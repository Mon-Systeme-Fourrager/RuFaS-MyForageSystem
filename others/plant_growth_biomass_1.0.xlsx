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9"/>
  <workbookPr/>
  <mc:AlternateContent xmlns:mc="http://schemas.openxmlformats.org/markup-compatibility/2006">
    <mc:Choice Requires="x15">
      <x15ac:absPath xmlns:x15ac="http://schemas.microsoft.com/office/spreadsheetml/2010/11/ac" url="/Users/Kass/Desktop/"/>
    </mc:Choice>
  </mc:AlternateContent>
  <xr:revisionPtr revIDLastSave="0" documentId="13_ncr:1_{CE8BD392-BD6F-AB41-88A7-E66B71B80458}" xr6:coauthVersionLast="31" xr6:coauthVersionMax="31" xr10:uidLastSave="{00000000-0000-0000-0000-000000000000}"/>
  <bookViews>
    <workbookView xWindow="0" yWindow="440" windowWidth="25200" windowHeight="12580" activeTab="1" xr2:uid="{00000000-000D-0000-FFFF-FFFF00000000}"/>
  </bookViews>
  <sheets>
    <sheet name="weather data" sheetId="1" r:id="rId1"/>
    <sheet name="user input" sheetId="2" r:id="rId2"/>
    <sheet name="heat units" sheetId="4" r:id="rId3"/>
    <sheet name="LAI" sheetId="5" r:id="rId4"/>
    <sheet name="max biomass" sheetId="6" r:id="rId5"/>
  </sheets>
  <calcPr calcId="179017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4" l="1"/>
  <c r="H5" i="4"/>
  <c r="C5" i="5"/>
  <c r="C14" i="2"/>
  <c r="C15" i="2"/>
  <c r="D5" i="5"/>
  <c r="G4" i="4"/>
  <c r="H4" i="4"/>
  <c r="C4" i="5"/>
  <c r="D4" i="5"/>
  <c r="E4" i="5"/>
  <c r="F4" i="5"/>
  <c r="E5" i="5"/>
  <c r="F5" i="5"/>
  <c r="G6" i="4"/>
  <c r="H6" i="4"/>
  <c r="C6" i="5"/>
  <c r="D6" i="5"/>
  <c r="E6" i="5"/>
  <c r="F6" i="5"/>
  <c r="G7" i="4"/>
  <c r="H7" i="4"/>
  <c r="C7" i="5"/>
  <c r="D7" i="5"/>
  <c r="E7" i="5"/>
  <c r="F7" i="5"/>
  <c r="G8" i="4"/>
  <c r="H8" i="4"/>
  <c r="C8" i="5"/>
  <c r="D8" i="5"/>
  <c r="E8" i="5"/>
  <c r="F8" i="5"/>
  <c r="G9" i="4"/>
  <c r="H9" i="4"/>
  <c r="C9" i="5"/>
  <c r="D9" i="5"/>
  <c r="E9" i="5"/>
  <c r="F9" i="5"/>
  <c r="G10" i="4"/>
  <c r="H10" i="4"/>
  <c r="C10" i="5"/>
  <c r="D10" i="5"/>
  <c r="E10" i="5"/>
  <c r="F10" i="5"/>
  <c r="G11" i="4"/>
  <c r="H11" i="4"/>
  <c r="C11" i="5"/>
  <c r="D11" i="5"/>
  <c r="E11" i="5"/>
  <c r="F11" i="5"/>
  <c r="G12" i="4"/>
  <c r="H12" i="4"/>
  <c r="C12" i="5"/>
  <c r="D12" i="5"/>
  <c r="E12" i="5"/>
  <c r="F12" i="5"/>
  <c r="G13" i="4"/>
  <c r="H13" i="4"/>
  <c r="C13" i="5"/>
  <c r="D13" i="5"/>
  <c r="E13" i="5"/>
  <c r="F13" i="5"/>
  <c r="G14" i="4"/>
  <c r="H14" i="4"/>
  <c r="C14" i="5"/>
  <c r="D14" i="5"/>
  <c r="E14" i="5"/>
  <c r="F14" i="5"/>
  <c r="G15" i="4"/>
  <c r="H15" i="4"/>
  <c r="C15" i="5"/>
  <c r="D15" i="5"/>
  <c r="E15" i="5"/>
  <c r="F15" i="5"/>
  <c r="G16" i="4"/>
  <c r="H16" i="4"/>
  <c r="C16" i="5"/>
  <c r="D16" i="5"/>
  <c r="E16" i="5"/>
  <c r="F16" i="5"/>
  <c r="G17" i="4"/>
  <c r="H17" i="4"/>
  <c r="C17" i="5"/>
  <c r="D17" i="5"/>
  <c r="E17" i="5"/>
  <c r="F17" i="5"/>
  <c r="G18" i="4"/>
  <c r="H18" i="4"/>
  <c r="C18" i="5"/>
  <c r="D18" i="5"/>
  <c r="E18" i="5"/>
  <c r="F18" i="5"/>
  <c r="G19" i="4"/>
  <c r="H19" i="4"/>
  <c r="C19" i="5"/>
  <c r="D19" i="5"/>
  <c r="E19" i="5"/>
  <c r="F19" i="5"/>
  <c r="G20" i="4"/>
  <c r="H20" i="4"/>
  <c r="C20" i="5"/>
  <c r="D20" i="5"/>
  <c r="E20" i="5"/>
  <c r="F20" i="5"/>
  <c r="G21" i="4"/>
  <c r="H21" i="4"/>
  <c r="C21" i="5"/>
  <c r="D21" i="5"/>
  <c r="E21" i="5"/>
  <c r="F21" i="5"/>
  <c r="G22" i="4"/>
  <c r="H22" i="4"/>
  <c r="C22" i="5"/>
  <c r="D22" i="5"/>
  <c r="E22" i="5"/>
  <c r="F22" i="5"/>
  <c r="G23" i="4"/>
  <c r="H23" i="4"/>
  <c r="C23" i="5"/>
  <c r="D23" i="5"/>
  <c r="E23" i="5"/>
  <c r="F23" i="5"/>
  <c r="G24" i="4"/>
  <c r="H24" i="4"/>
  <c r="C24" i="5"/>
  <c r="D24" i="5"/>
  <c r="E24" i="5"/>
  <c r="F24" i="5"/>
  <c r="G25" i="4"/>
  <c r="H25" i="4"/>
  <c r="C25" i="5"/>
  <c r="D25" i="5"/>
  <c r="E25" i="5"/>
  <c r="F25" i="5"/>
  <c r="G26" i="4"/>
  <c r="H26" i="4"/>
  <c r="C26" i="5"/>
  <c r="D26" i="5"/>
  <c r="E26" i="5"/>
  <c r="F26" i="5"/>
  <c r="G27" i="4"/>
  <c r="H27" i="4"/>
  <c r="C27" i="5"/>
  <c r="D27" i="5"/>
  <c r="E27" i="5"/>
  <c r="F27" i="5"/>
  <c r="G28" i="4"/>
  <c r="H28" i="4"/>
  <c r="C28" i="5"/>
  <c r="D28" i="5"/>
  <c r="E28" i="5"/>
  <c r="F28" i="5"/>
  <c r="G29" i="4"/>
  <c r="H29" i="4"/>
  <c r="C29" i="5"/>
  <c r="D29" i="5"/>
  <c r="E29" i="5"/>
  <c r="F29" i="5"/>
  <c r="G30" i="4"/>
  <c r="H30" i="4"/>
  <c r="C30" i="5"/>
  <c r="D30" i="5"/>
  <c r="E30" i="5"/>
  <c r="F30" i="5"/>
  <c r="G31" i="4"/>
  <c r="H31" i="4"/>
  <c r="C31" i="5"/>
  <c r="D31" i="5"/>
  <c r="E31" i="5"/>
  <c r="F31" i="5"/>
  <c r="G32" i="4"/>
  <c r="H32" i="4"/>
  <c r="C32" i="5"/>
  <c r="D32" i="5"/>
  <c r="E32" i="5"/>
  <c r="F32" i="5"/>
  <c r="G33" i="4"/>
  <c r="H33" i="4"/>
  <c r="C33" i="5"/>
  <c r="D33" i="5"/>
  <c r="E33" i="5"/>
  <c r="F33" i="5"/>
  <c r="G34" i="4"/>
  <c r="H34" i="4"/>
  <c r="C34" i="5"/>
  <c r="D34" i="5"/>
  <c r="E34" i="5"/>
  <c r="F34" i="5"/>
  <c r="G35" i="4"/>
  <c r="H35" i="4"/>
  <c r="C35" i="5"/>
  <c r="D35" i="5"/>
  <c r="E35" i="5"/>
  <c r="F35" i="5"/>
  <c r="G36" i="4"/>
  <c r="H36" i="4"/>
  <c r="C36" i="5"/>
  <c r="D36" i="5"/>
  <c r="E36" i="5"/>
  <c r="F36" i="5"/>
  <c r="G37" i="4"/>
  <c r="H37" i="4"/>
  <c r="C37" i="5"/>
  <c r="D37" i="5"/>
  <c r="E37" i="5"/>
  <c r="F37" i="5"/>
  <c r="G38" i="4"/>
  <c r="H38" i="4"/>
  <c r="C38" i="5"/>
  <c r="D38" i="5"/>
  <c r="E38" i="5"/>
  <c r="F38" i="5"/>
  <c r="G39" i="4"/>
  <c r="H39" i="4"/>
  <c r="C39" i="5"/>
  <c r="D39" i="5"/>
  <c r="E39" i="5"/>
  <c r="F39" i="5"/>
  <c r="G40" i="4"/>
  <c r="H40" i="4"/>
  <c r="C40" i="5"/>
  <c r="D40" i="5"/>
  <c r="E40" i="5"/>
  <c r="F40" i="5"/>
  <c r="G41" i="4"/>
  <c r="H41" i="4"/>
  <c r="C41" i="5"/>
  <c r="D41" i="5"/>
  <c r="E41" i="5"/>
  <c r="F41" i="5"/>
  <c r="G42" i="4"/>
  <c r="H42" i="4"/>
  <c r="C42" i="5"/>
  <c r="D42" i="5"/>
  <c r="E42" i="5"/>
  <c r="F42" i="5"/>
  <c r="G43" i="4"/>
  <c r="H43" i="4"/>
  <c r="C43" i="5"/>
  <c r="D43" i="5"/>
  <c r="E43" i="5"/>
  <c r="F43" i="5"/>
  <c r="G44" i="4"/>
  <c r="H44" i="4"/>
  <c r="C44" i="5"/>
  <c r="D44" i="5"/>
  <c r="E44" i="5"/>
  <c r="F44" i="5"/>
  <c r="G45" i="4"/>
  <c r="H45" i="4"/>
  <c r="C45" i="5"/>
  <c r="D45" i="5"/>
  <c r="E45" i="5"/>
  <c r="F45" i="5"/>
  <c r="G46" i="4"/>
  <c r="H46" i="4"/>
  <c r="C46" i="5"/>
  <c r="D46" i="5"/>
  <c r="E46" i="5"/>
  <c r="F46" i="5"/>
  <c r="G47" i="4"/>
  <c r="H47" i="4"/>
  <c r="C47" i="5"/>
  <c r="D47" i="5"/>
  <c r="E47" i="5"/>
  <c r="F47" i="5"/>
  <c r="G48" i="4"/>
  <c r="H48" i="4"/>
  <c r="C48" i="5"/>
  <c r="D48" i="5"/>
  <c r="E48" i="5"/>
  <c r="F48" i="5"/>
  <c r="G49" i="4"/>
  <c r="H49" i="4"/>
  <c r="C49" i="5"/>
  <c r="D49" i="5"/>
  <c r="E49" i="5"/>
  <c r="F49" i="5"/>
  <c r="G50" i="4"/>
  <c r="H50" i="4"/>
  <c r="C50" i="5"/>
  <c r="D50" i="5"/>
  <c r="E50" i="5"/>
  <c r="F50" i="5"/>
  <c r="G51" i="4"/>
  <c r="H51" i="4"/>
  <c r="C51" i="5"/>
  <c r="D51" i="5"/>
  <c r="E51" i="5"/>
  <c r="F51" i="5"/>
  <c r="G52" i="4"/>
  <c r="H52" i="4"/>
  <c r="C52" i="5"/>
  <c r="D52" i="5"/>
  <c r="E52" i="5"/>
  <c r="F52" i="5"/>
  <c r="G53" i="4"/>
  <c r="H53" i="4"/>
  <c r="C53" i="5"/>
  <c r="D53" i="5"/>
  <c r="E53" i="5"/>
  <c r="F53" i="5"/>
  <c r="G54" i="4"/>
  <c r="H54" i="4"/>
  <c r="C54" i="5"/>
  <c r="D54" i="5"/>
  <c r="E54" i="5"/>
  <c r="F54" i="5"/>
  <c r="G55" i="4"/>
  <c r="H55" i="4"/>
  <c r="C55" i="5"/>
  <c r="D55" i="5"/>
  <c r="E55" i="5"/>
  <c r="F55" i="5"/>
  <c r="G56" i="4"/>
  <c r="H56" i="4"/>
  <c r="C56" i="5"/>
  <c r="D56" i="5"/>
  <c r="E56" i="5"/>
  <c r="F56" i="5"/>
  <c r="G57" i="4"/>
  <c r="H57" i="4"/>
  <c r="C57" i="5"/>
  <c r="D57" i="5"/>
  <c r="E57" i="5"/>
  <c r="F57" i="5"/>
  <c r="G58" i="4"/>
  <c r="H58" i="4"/>
  <c r="C58" i="5"/>
  <c r="D58" i="5"/>
  <c r="E58" i="5"/>
  <c r="F58" i="5"/>
  <c r="G59" i="4"/>
  <c r="H59" i="4"/>
  <c r="C59" i="5"/>
  <c r="D59" i="5"/>
  <c r="E59" i="5"/>
  <c r="F59" i="5"/>
  <c r="G60" i="4"/>
  <c r="H60" i="4"/>
  <c r="C60" i="5"/>
  <c r="D60" i="5"/>
  <c r="E60" i="5"/>
  <c r="F60" i="5"/>
  <c r="G61" i="4"/>
  <c r="H61" i="4"/>
  <c r="C61" i="5"/>
  <c r="D61" i="5"/>
  <c r="E61" i="5"/>
  <c r="F61" i="5"/>
  <c r="G62" i="4"/>
  <c r="H62" i="4"/>
  <c r="C62" i="5"/>
  <c r="D62" i="5"/>
  <c r="E62" i="5"/>
  <c r="F62" i="5"/>
  <c r="G63" i="4"/>
  <c r="H63" i="4"/>
  <c r="C63" i="5"/>
  <c r="D63" i="5"/>
  <c r="E63" i="5"/>
  <c r="F63" i="5"/>
  <c r="G64" i="4"/>
  <c r="H64" i="4"/>
  <c r="C64" i="5"/>
  <c r="D64" i="5"/>
  <c r="E64" i="5"/>
  <c r="F64" i="5"/>
  <c r="G65" i="4"/>
  <c r="H65" i="4"/>
  <c r="C65" i="5"/>
  <c r="D65" i="5"/>
  <c r="E65" i="5"/>
  <c r="F65" i="5"/>
  <c r="G66" i="4"/>
  <c r="H66" i="4"/>
  <c r="C66" i="5"/>
  <c r="D66" i="5"/>
  <c r="E66" i="5"/>
  <c r="F66" i="5"/>
  <c r="G67" i="4"/>
  <c r="H67" i="4"/>
  <c r="C67" i="5"/>
  <c r="D67" i="5"/>
  <c r="E67" i="5"/>
  <c r="F67" i="5"/>
  <c r="G68" i="4"/>
  <c r="H68" i="4"/>
  <c r="C68" i="5"/>
  <c r="D68" i="5"/>
  <c r="E68" i="5"/>
  <c r="F68" i="5"/>
  <c r="G69" i="4"/>
  <c r="H69" i="4"/>
  <c r="C69" i="5"/>
  <c r="D69" i="5"/>
  <c r="E69" i="5"/>
  <c r="F69" i="5"/>
  <c r="G70" i="4"/>
  <c r="H70" i="4"/>
  <c r="C70" i="5"/>
  <c r="D70" i="5"/>
  <c r="E70" i="5"/>
  <c r="F70" i="5"/>
  <c r="G71" i="4"/>
  <c r="H71" i="4"/>
  <c r="C71" i="5"/>
  <c r="D71" i="5"/>
  <c r="E71" i="5"/>
  <c r="F71" i="5"/>
  <c r="G72" i="4"/>
  <c r="H72" i="4"/>
  <c r="C72" i="5"/>
  <c r="D72" i="5"/>
  <c r="E72" i="5"/>
  <c r="F72" i="5"/>
  <c r="G73" i="4"/>
  <c r="H73" i="4"/>
  <c r="C73" i="5"/>
  <c r="D73" i="5"/>
  <c r="E73" i="5"/>
  <c r="F73" i="5"/>
  <c r="G74" i="4"/>
  <c r="H74" i="4"/>
  <c r="C74" i="5"/>
  <c r="D74" i="5"/>
  <c r="E74" i="5"/>
  <c r="F74" i="5"/>
  <c r="G75" i="4"/>
  <c r="H75" i="4"/>
  <c r="C75" i="5"/>
  <c r="D75" i="5"/>
  <c r="E75" i="5"/>
  <c r="F75" i="5"/>
  <c r="G76" i="4"/>
  <c r="H76" i="4"/>
  <c r="C76" i="5"/>
  <c r="D76" i="5"/>
  <c r="E76" i="5"/>
  <c r="F76" i="5"/>
  <c r="G77" i="4"/>
  <c r="H77" i="4"/>
  <c r="C77" i="5"/>
  <c r="D77" i="5"/>
  <c r="E77" i="5"/>
  <c r="F77" i="5"/>
  <c r="G78" i="4"/>
  <c r="H78" i="4"/>
  <c r="C78" i="5"/>
  <c r="D78" i="5"/>
  <c r="E78" i="5"/>
  <c r="F78" i="5"/>
  <c r="G79" i="4"/>
  <c r="H79" i="4"/>
  <c r="C79" i="5"/>
  <c r="D79" i="5"/>
  <c r="E79" i="5"/>
  <c r="F79" i="5"/>
  <c r="G80" i="4"/>
  <c r="H80" i="4"/>
  <c r="C80" i="5"/>
  <c r="D80" i="5"/>
  <c r="E80" i="5"/>
  <c r="F80" i="5"/>
  <c r="G81" i="4"/>
  <c r="H81" i="4"/>
  <c r="C81" i="5"/>
  <c r="D81" i="5"/>
  <c r="E81" i="5"/>
  <c r="F81" i="5"/>
  <c r="G82" i="4"/>
  <c r="H82" i="4"/>
  <c r="C82" i="5"/>
  <c r="D82" i="5"/>
  <c r="E82" i="5"/>
  <c r="F82" i="5"/>
  <c r="G83" i="4"/>
  <c r="H83" i="4"/>
  <c r="C83" i="5"/>
  <c r="D83" i="5"/>
  <c r="E83" i="5"/>
  <c r="F83" i="5"/>
  <c r="G84" i="4"/>
  <c r="H84" i="4"/>
  <c r="C84" i="5"/>
  <c r="D84" i="5"/>
  <c r="E84" i="5"/>
  <c r="F84" i="5"/>
  <c r="G85" i="4"/>
  <c r="H85" i="4"/>
  <c r="C85" i="5"/>
  <c r="D85" i="5"/>
  <c r="E85" i="5"/>
  <c r="F85" i="5"/>
  <c r="G86" i="4"/>
  <c r="H86" i="4"/>
  <c r="C86" i="5"/>
  <c r="D86" i="5"/>
  <c r="E86" i="5"/>
  <c r="F86" i="5"/>
  <c r="G87" i="4"/>
  <c r="H87" i="4"/>
  <c r="C87" i="5"/>
  <c r="D87" i="5"/>
  <c r="E87" i="5"/>
  <c r="F87" i="5"/>
  <c r="G88" i="4"/>
  <c r="H88" i="4"/>
  <c r="C88" i="5"/>
  <c r="D88" i="5"/>
  <c r="E88" i="5"/>
  <c r="F88" i="5"/>
  <c r="G89" i="4"/>
  <c r="H89" i="4"/>
  <c r="C89" i="5"/>
  <c r="D89" i="5"/>
  <c r="E89" i="5"/>
  <c r="F89" i="5"/>
  <c r="G90" i="4"/>
  <c r="H90" i="4"/>
  <c r="C90" i="5"/>
  <c r="D90" i="5"/>
  <c r="E90" i="5"/>
  <c r="F90" i="5"/>
  <c r="G91" i="4"/>
  <c r="H91" i="4"/>
  <c r="C91" i="5"/>
  <c r="D91" i="5"/>
  <c r="E91" i="5"/>
  <c r="F91" i="5"/>
  <c r="G92" i="4"/>
  <c r="H92" i="4"/>
  <c r="C92" i="5"/>
  <c r="D92" i="5"/>
  <c r="E92" i="5"/>
  <c r="F92" i="5"/>
  <c r="G93" i="4"/>
  <c r="H93" i="4"/>
  <c r="C93" i="5"/>
  <c r="D93" i="5"/>
  <c r="E93" i="5"/>
  <c r="F93" i="5"/>
  <c r="G94" i="4"/>
  <c r="H94" i="4"/>
  <c r="C94" i="5"/>
  <c r="D94" i="5"/>
  <c r="E94" i="5"/>
  <c r="F94" i="5"/>
  <c r="G95" i="4"/>
  <c r="H95" i="4"/>
  <c r="C95" i="5"/>
  <c r="D95" i="5"/>
  <c r="E95" i="5"/>
  <c r="F95" i="5"/>
  <c r="G96" i="4"/>
  <c r="H96" i="4"/>
  <c r="C96" i="5"/>
  <c r="D96" i="5"/>
  <c r="E96" i="5"/>
  <c r="F96" i="5"/>
  <c r="G97" i="4"/>
  <c r="H97" i="4"/>
  <c r="C97" i="5"/>
  <c r="D97" i="5"/>
  <c r="E97" i="5"/>
  <c r="F97" i="5"/>
  <c r="G98" i="4"/>
  <c r="H98" i="4"/>
  <c r="C98" i="5"/>
  <c r="D98" i="5"/>
  <c r="E98" i="5"/>
  <c r="F98" i="5"/>
  <c r="G99" i="4"/>
  <c r="H99" i="4"/>
  <c r="C99" i="5"/>
  <c r="D99" i="5"/>
  <c r="E99" i="5"/>
  <c r="F99" i="5"/>
  <c r="G100" i="4"/>
  <c r="H100" i="4"/>
  <c r="C100" i="5"/>
  <c r="D100" i="5"/>
  <c r="E100" i="5"/>
  <c r="F100" i="5"/>
  <c r="G101" i="4"/>
  <c r="H101" i="4"/>
  <c r="C101" i="5"/>
  <c r="D101" i="5"/>
  <c r="E101" i="5"/>
  <c r="F101" i="5"/>
  <c r="G102" i="4"/>
  <c r="H102" i="4"/>
  <c r="C102" i="5"/>
  <c r="D102" i="5"/>
  <c r="E102" i="5"/>
  <c r="F102" i="5"/>
  <c r="G103" i="4"/>
  <c r="H103" i="4"/>
  <c r="C103" i="5"/>
  <c r="D103" i="5"/>
  <c r="E103" i="5"/>
  <c r="F103" i="5"/>
  <c r="G104" i="4"/>
  <c r="H104" i="4"/>
  <c r="C104" i="5"/>
  <c r="D104" i="5"/>
  <c r="E104" i="5"/>
  <c r="F104" i="5"/>
  <c r="G105" i="4"/>
  <c r="H105" i="4"/>
  <c r="C105" i="5"/>
  <c r="D105" i="5"/>
  <c r="E105" i="5"/>
  <c r="F105" i="5"/>
  <c r="G106" i="4"/>
  <c r="H106" i="4"/>
  <c r="C106" i="5"/>
  <c r="D106" i="5"/>
  <c r="E106" i="5"/>
  <c r="F106" i="5"/>
  <c r="G107" i="4"/>
  <c r="H107" i="4"/>
  <c r="C107" i="5"/>
  <c r="D107" i="5"/>
  <c r="E107" i="5"/>
  <c r="F107" i="5"/>
  <c r="G108" i="4"/>
  <c r="H108" i="4"/>
  <c r="C108" i="5"/>
  <c r="D108" i="5"/>
  <c r="E108" i="5"/>
  <c r="F108" i="5"/>
  <c r="G109" i="4"/>
  <c r="H109" i="4"/>
  <c r="C109" i="5"/>
  <c r="D109" i="5"/>
  <c r="E109" i="5"/>
  <c r="F109" i="5"/>
  <c r="G110" i="4"/>
  <c r="H110" i="4"/>
  <c r="C110" i="5"/>
  <c r="D110" i="5"/>
  <c r="E110" i="5"/>
  <c r="F110" i="5"/>
  <c r="G111" i="4"/>
  <c r="H111" i="4"/>
  <c r="C111" i="5"/>
  <c r="D111" i="5"/>
  <c r="E111" i="5"/>
  <c r="F111" i="5"/>
  <c r="G112" i="4"/>
  <c r="H112" i="4"/>
  <c r="C112" i="5"/>
  <c r="D112" i="5"/>
  <c r="E112" i="5"/>
  <c r="F112" i="5"/>
  <c r="G113" i="4"/>
  <c r="H113" i="4"/>
  <c r="C113" i="5"/>
  <c r="D113" i="5"/>
  <c r="E113" i="5"/>
  <c r="F113" i="5"/>
  <c r="G114" i="4"/>
  <c r="H114" i="4"/>
  <c r="C114" i="5"/>
  <c r="D114" i="5"/>
  <c r="E114" i="5"/>
  <c r="F114" i="5"/>
  <c r="G115" i="4"/>
  <c r="H115" i="4"/>
  <c r="C115" i="5"/>
  <c r="D115" i="5"/>
  <c r="E115" i="5"/>
  <c r="F115" i="5"/>
  <c r="G116" i="4"/>
  <c r="H116" i="4"/>
  <c r="C116" i="5"/>
  <c r="D116" i="5"/>
  <c r="E116" i="5"/>
  <c r="F116" i="5"/>
  <c r="G117" i="4"/>
  <c r="H117" i="4"/>
  <c r="C117" i="5"/>
  <c r="D117" i="5"/>
  <c r="E117" i="5"/>
  <c r="F117" i="5"/>
  <c r="G118" i="4"/>
  <c r="H118" i="4"/>
  <c r="C118" i="5"/>
  <c r="D118" i="5"/>
  <c r="E118" i="5"/>
  <c r="F118" i="5"/>
  <c r="G119" i="4"/>
  <c r="H119" i="4"/>
  <c r="C119" i="5"/>
  <c r="D119" i="5"/>
  <c r="E119" i="5"/>
  <c r="F119" i="5"/>
  <c r="G120" i="4"/>
  <c r="H120" i="4"/>
  <c r="C120" i="5"/>
  <c r="D120" i="5"/>
  <c r="E120" i="5"/>
  <c r="F120" i="5"/>
  <c r="G121" i="4"/>
  <c r="H121" i="4"/>
  <c r="C121" i="5"/>
  <c r="D121" i="5"/>
  <c r="E121" i="5"/>
  <c r="F121" i="5"/>
  <c r="G122" i="4"/>
  <c r="H122" i="4"/>
  <c r="C122" i="5"/>
  <c r="D122" i="5"/>
  <c r="E122" i="5"/>
  <c r="F122" i="5"/>
  <c r="C123" i="4"/>
  <c r="D123" i="4"/>
  <c r="E123" i="4"/>
  <c r="F123" i="4"/>
  <c r="G123" i="4"/>
  <c r="H123" i="4"/>
  <c r="C123" i="5"/>
  <c r="D123" i="5"/>
  <c r="E123" i="5"/>
  <c r="F123" i="5"/>
  <c r="C124" i="4"/>
  <c r="D124" i="4"/>
  <c r="E124" i="4"/>
  <c r="F124" i="4"/>
  <c r="G124" i="4"/>
  <c r="H124" i="4"/>
  <c r="C124" i="5"/>
  <c r="D124" i="5"/>
  <c r="E124" i="5"/>
  <c r="F124" i="5"/>
  <c r="C125" i="4"/>
  <c r="D125" i="4"/>
  <c r="E125" i="4"/>
  <c r="F125" i="4"/>
  <c r="G125" i="4"/>
  <c r="H125" i="4"/>
  <c r="C125" i="5"/>
  <c r="D125" i="5"/>
  <c r="E125" i="5"/>
  <c r="F125" i="5"/>
  <c r="C126" i="4"/>
  <c r="D126" i="4"/>
  <c r="E126" i="4"/>
  <c r="F126" i="4"/>
  <c r="G126" i="4"/>
  <c r="H126" i="4"/>
  <c r="C126" i="5"/>
  <c r="D126" i="5"/>
  <c r="E126" i="5"/>
  <c r="F126" i="5"/>
  <c r="C127" i="4"/>
  <c r="D127" i="4"/>
  <c r="E127" i="4"/>
  <c r="F127" i="4"/>
  <c r="G127" i="4"/>
  <c r="H127" i="4"/>
  <c r="C127" i="5"/>
  <c r="D127" i="5"/>
  <c r="E127" i="5"/>
  <c r="F127" i="5"/>
  <c r="C128" i="4"/>
  <c r="D128" i="4"/>
  <c r="E128" i="4"/>
  <c r="F128" i="4"/>
  <c r="G128" i="4"/>
  <c r="H128" i="4"/>
  <c r="C128" i="5"/>
  <c r="D128" i="5"/>
  <c r="E128" i="5"/>
  <c r="F128" i="5"/>
  <c r="C129" i="4"/>
  <c r="D129" i="4"/>
  <c r="E129" i="4"/>
  <c r="F129" i="4"/>
  <c r="G129" i="4"/>
  <c r="H129" i="4"/>
  <c r="C129" i="5"/>
  <c r="D129" i="5"/>
  <c r="E129" i="5"/>
  <c r="F129" i="5"/>
  <c r="C130" i="4"/>
  <c r="D130" i="4"/>
  <c r="E130" i="4"/>
  <c r="F130" i="4"/>
  <c r="G130" i="4"/>
  <c r="H130" i="4"/>
  <c r="C130" i="5"/>
  <c r="D130" i="5"/>
  <c r="E130" i="5"/>
  <c r="F130" i="5"/>
  <c r="C131" i="4"/>
  <c r="D131" i="4"/>
  <c r="E131" i="4"/>
  <c r="F131" i="4"/>
  <c r="G131" i="4"/>
  <c r="H131" i="4"/>
  <c r="C131" i="5"/>
  <c r="D131" i="5"/>
  <c r="E131" i="5"/>
  <c r="F131" i="5"/>
  <c r="C132" i="4"/>
  <c r="D132" i="4"/>
  <c r="E132" i="4"/>
  <c r="F132" i="4"/>
  <c r="G132" i="4"/>
  <c r="H132" i="4"/>
  <c r="C132" i="5"/>
  <c r="D132" i="5"/>
  <c r="E132" i="5"/>
  <c r="F132" i="5"/>
  <c r="C133" i="4"/>
  <c r="D133" i="4"/>
  <c r="E133" i="4"/>
  <c r="F133" i="4"/>
  <c r="G133" i="4"/>
  <c r="H133" i="4"/>
  <c r="C133" i="5"/>
  <c r="D133" i="5"/>
  <c r="E133" i="5"/>
  <c r="F133" i="5"/>
  <c r="C134" i="4"/>
  <c r="D134" i="4"/>
  <c r="E134" i="4"/>
  <c r="F134" i="4"/>
  <c r="G134" i="4"/>
  <c r="H134" i="4"/>
  <c r="C134" i="5"/>
  <c r="D134" i="5"/>
  <c r="E134" i="5"/>
  <c r="F134" i="5"/>
  <c r="C135" i="4"/>
  <c r="D135" i="4"/>
  <c r="E135" i="4"/>
  <c r="F135" i="4"/>
  <c r="G135" i="4"/>
  <c r="H135" i="4"/>
  <c r="C135" i="5"/>
  <c r="D135" i="5"/>
  <c r="E135" i="5"/>
  <c r="F135" i="5"/>
  <c r="C136" i="4"/>
  <c r="D136" i="4"/>
  <c r="E136" i="4"/>
  <c r="F136" i="4"/>
  <c r="G136" i="4"/>
  <c r="H136" i="4"/>
  <c r="C136" i="5"/>
  <c r="D136" i="5"/>
  <c r="E136" i="5"/>
  <c r="F136" i="5"/>
  <c r="C137" i="4"/>
  <c r="D137" i="4"/>
  <c r="E137" i="4"/>
  <c r="F137" i="4"/>
  <c r="G137" i="4"/>
  <c r="H137" i="4"/>
  <c r="C137" i="5"/>
  <c r="D137" i="5"/>
  <c r="E137" i="5"/>
  <c r="F137" i="5"/>
  <c r="C138" i="4"/>
  <c r="D138" i="4"/>
  <c r="E138" i="4"/>
  <c r="F138" i="4"/>
  <c r="G138" i="4"/>
  <c r="H138" i="4"/>
  <c r="C138" i="5"/>
  <c r="D138" i="5"/>
  <c r="E138" i="5"/>
  <c r="F138" i="5"/>
  <c r="C139" i="4"/>
  <c r="D139" i="4"/>
  <c r="E139" i="4"/>
  <c r="F139" i="4"/>
  <c r="G139" i="4"/>
  <c r="H139" i="4"/>
  <c r="C139" i="5"/>
  <c r="D139" i="5"/>
  <c r="E139" i="5"/>
  <c r="F139" i="5"/>
  <c r="C140" i="4"/>
  <c r="D140" i="4"/>
  <c r="E140" i="4"/>
  <c r="F140" i="4"/>
  <c r="G140" i="4"/>
  <c r="H140" i="4"/>
  <c r="C140" i="5"/>
  <c r="D140" i="5"/>
  <c r="E140" i="5"/>
  <c r="F140" i="5"/>
  <c r="C141" i="4"/>
  <c r="D141" i="4"/>
  <c r="E141" i="4"/>
  <c r="F141" i="4"/>
  <c r="G141" i="4"/>
  <c r="H141" i="4"/>
  <c r="C141" i="5"/>
  <c r="D141" i="5"/>
  <c r="E141" i="5"/>
  <c r="F141" i="5"/>
  <c r="C142" i="4"/>
  <c r="D142" i="4"/>
  <c r="E142" i="4"/>
  <c r="F142" i="4"/>
  <c r="G142" i="4"/>
  <c r="H142" i="4"/>
  <c r="C142" i="5"/>
  <c r="D142" i="5"/>
  <c r="E142" i="5"/>
  <c r="F142" i="5"/>
  <c r="C143" i="4"/>
  <c r="D143" i="4"/>
  <c r="E143" i="4"/>
  <c r="F143" i="4"/>
  <c r="G143" i="4"/>
  <c r="H143" i="4"/>
  <c r="C143" i="5"/>
  <c r="D143" i="5"/>
  <c r="E143" i="5"/>
  <c r="F143" i="5"/>
  <c r="C144" i="4"/>
  <c r="D144" i="4"/>
  <c r="E144" i="4"/>
  <c r="F144" i="4"/>
  <c r="G144" i="4"/>
  <c r="H144" i="4"/>
  <c r="C144" i="5"/>
  <c r="D144" i="5"/>
  <c r="E144" i="5"/>
  <c r="F144" i="5"/>
  <c r="C145" i="4"/>
  <c r="D145" i="4"/>
  <c r="E145" i="4"/>
  <c r="F145" i="4"/>
  <c r="G145" i="4"/>
  <c r="H145" i="4"/>
  <c r="C145" i="5"/>
  <c r="D145" i="5"/>
  <c r="E145" i="5"/>
  <c r="F145" i="5"/>
  <c r="C146" i="4"/>
  <c r="D146" i="4"/>
  <c r="E146" i="4"/>
  <c r="F146" i="4"/>
  <c r="G146" i="4"/>
  <c r="H146" i="4"/>
  <c r="C146" i="5"/>
  <c r="D146" i="5"/>
  <c r="E146" i="5"/>
  <c r="F146" i="5"/>
  <c r="C147" i="4"/>
  <c r="D147" i="4"/>
  <c r="E147" i="4"/>
  <c r="F147" i="4"/>
  <c r="G147" i="4"/>
  <c r="H147" i="4"/>
  <c r="C147" i="5"/>
  <c r="D147" i="5"/>
  <c r="E147" i="5"/>
  <c r="F147" i="5"/>
  <c r="C148" i="4"/>
  <c r="D148" i="4"/>
  <c r="E148" i="4"/>
  <c r="F148" i="4"/>
  <c r="G148" i="4"/>
  <c r="H148" i="4"/>
  <c r="C148" i="5"/>
  <c r="D148" i="5"/>
  <c r="E148" i="5"/>
  <c r="F148" i="5"/>
  <c r="C149" i="4"/>
  <c r="D149" i="4"/>
  <c r="E149" i="4"/>
  <c r="F149" i="4"/>
  <c r="G149" i="4"/>
  <c r="H149" i="4"/>
  <c r="C149" i="5"/>
  <c r="D149" i="5"/>
  <c r="E149" i="5"/>
  <c r="F149" i="5"/>
  <c r="C150" i="4"/>
  <c r="D150" i="4"/>
  <c r="E150" i="4"/>
  <c r="F150" i="4"/>
  <c r="G150" i="4"/>
  <c r="H150" i="4"/>
  <c r="C150" i="5"/>
  <c r="D150" i="5"/>
  <c r="E150" i="5"/>
  <c r="F150" i="5"/>
  <c r="C151" i="4"/>
  <c r="D151" i="4"/>
  <c r="E151" i="4"/>
  <c r="F151" i="4"/>
  <c r="G151" i="4"/>
  <c r="H151" i="4"/>
  <c r="C151" i="5"/>
  <c r="D151" i="5"/>
  <c r="E151" i="5"/>
  <c r="F151" i="5"/>
  <c r="C152" i="4"/>
  <c r="D152" i="4"/>
  <c r="E152" i="4"/>
  <c r="F152" i="4"/>
  <c r="G152" i="4"/>
  <c r="H152" i="4"/>
  <c r="C152" i="5"/>
  <c r="D152" i="5"/>
  <c r="E152" i="5"/>
  <c r="F152" i="5"/>
  <c r="C153" i="4"/>
  <c r="D153" i="4"/>
  <c r="E153" i="4"/>
  <c r="F153" i="4"/>
  <c r="G153" i="4"/>
  <c r="H153" i="4"/>
  <c r="C153" i="5"/>
  <c r="D153" i="5"/>
  <c r="E153" i="5"/>
  <c r="F153" i="5"/>
  <c r="C154" i="4"/>
  <c r="D154" i="4"/>
  <c r="E154" i="4"/>
  <c r="F154" i="4"/>
  <c r="G154" i="4"/>
  <c r="H154" i="4"/>
  <c r="C154" i="5"/>
  <c r="D154" i="5"/>
  <c r="E154" i="5"/>
  <c r="F154" i="5"/>
  <c r="C155" i="4"/>
  <c r="D155" i="4"/>
  <c r="E155" i="4"/>
  <c r="F155" i="4"/>
  <c r="G155" i="4"/>
  <c r="H155" i="4"/>
  <c r="C155" i="5"/>
  <c r="D155" i="5"/>
  <c r="E155" i="5"/>
  <c r="F155" i="5"/>
  <c r="C156" i="4"/>
  <c r="D156" i="4"/>
  <c r="E156" i="4"/>
  <c r="F156" i="4"/>
  <c r="G156" i="4"/>
  <c r="H156" i="4"/>
  <c r="C156" i="5"/>
  <c r="D156" i="5"/>
  <c r="E156" i="5"/>
  <c r="F156" i="5"/>
  <c r="C157" i="4"/>
  <c r="D157" i="4"/>
  <c r="E157" i="4"/>
  <c r="F157" i="4"/>
  <c r="G157" i="4"/>
  <c r="H157" i="4"/>
  <c r="C157" i="5"/>
  <c r="D157" i="5"/>
  <c r="E157" i="5"/>
  <c r="F157" i="5"/>
  <c r="C158" i="4"/>
  <c r="D158" i="4"/>
  <c r="E158" i="4"/>
  <c r="F158" i="4"/>
  <c r="G158" i="4"/>
  <c r="H158" i="4"/>
  <c r="C158" i="5"/>
  <c r="D158" i="5"/>
  <c r="E158" i="5"/>
  <c r="F158" i="5"/>
  <c r="C159" i="4"/>
  <c r="D159" i="4"/>
  <c r="E159" i="4"/>
  <c r="F159" i="4"/>
  <c r="G159" i="4"/>
  <c r="H159" i="4"/>
  <c r="C159" i="5"/>
  <c r="D159" i="5"/>
  <c r="E159" i="5"/>
  <c r="F159" i="5"/>
  <c r="C160" i="4"/>
  <c r="D160" i="4"/>
  <c r="E160" i="4"/>
  <c r="F160" i="4"/>
  <c r="G160" i="4"/>
  <c r="H160" i="4"/>
  <c r="C160" i="5"/>
  <c r="D160" i="5"/>
  <c r="E160" i="5"/>
  <c r="F160" i="5"/>
  <c r="C161" i="4"/>
  <c r="D161" i="4"/>
  <c r="E161" i="4"/>
  <c r="F161" i="4"/>
  <c r="G161" i="4"/>
  <c r="H161" i="4"/>
  <c r="C161" i="5"/>
  <c r="D161" i="5"/>
  <c r="E161" i="5"/>
  <c r="F161" i="5"/>
  <c r="C162" i="4"/>
  <c r="D162" i="4"/>
  <c r="E162" i="4"/>
  <c r="F162" i="4"/>
  <c r="G162" i="4"/>
  <c r="H162" i="4"/>
  <c r="C162" i="5"/>
  <c r="D162" i="5"/>
  <c r="E162" i="5"/>
  <c r="F162" i="5"/>
  <c r="C163" i="4"/>
  <c r="D163" i="4"/>
  <c r="E163" i="4"/>
  <c r="F163" i="4"/>
  <c r="G163" i="4"/>
  <c r="H163" i="4"/>
  <c r="C163" i="5"/>
  <c r="D163" i="5"/>
  <c r="E163" i="5"/>
  <c r="F163" i="5"/>
  <c r="C164" i="4"/>
  <c r="D164" i="4"/>
  <c r="E164" i="4"/>
  <c r="F164" i="4"/>
  <c r="G164" i="4"/>
  <c r="H164" i="4"/>
  <c r="C164" i="5"/>
  <c r="D164" i="5"/>
  <c r="E164" i="5"/>
  <c r="F164" i="5"/>
  <c r="C165" i="4"/>
  <c r="D165" i="4"/>
  <c r="E165" i="4"/>
  <c r="F165" i="4"/>
  <c r="G165" i="4"/>
  <c r="H165" i="4"/>
  <c r="C165" i="5"/>
  <c r="D165" i="5"/>
  <c r="E165" i="5"/>
  <c r="F165" i="5"/>
  <c r="C166" i="4"/>
  <c r="D166" i="4"/>
  <c r="E166" i="4"/>
  <c r="F166" i="4"/>
  <c r="G166" i="4"/>
  <c r="H166" i="4"/>
  <c r="C166" i="5"/>
  <c r="D166" i="5"/>
  <c r="E166" i="5"/>
  <c r="F166" i="5"/>
  <c r="C167" i="4"/>
  <c r="D167" i="4"/>
  <c r="E167" i="4"/>
  <c r="F167" i="4"/>
  <c r="G167" i="4"/>
  <c r="H167" i="4"/>
  <c r="C167" i="5"/>
  <c r="D167" i="5"/>
  <c r="E167" i="5"/>
  <c r="F167" i="5"/>
  <c r="C168" i="4"/>
  <c r="D168" i="4"/>
  <c r="E168" i="4"/>
  <c r="F168" i="4"/>
  <c r="G168" i="4"/>
  <c r="H168" i="4"/>
  <c r="C168" i="5"/>
  <c r="D168" i="5"/>
  <c r="E168" i="5"/>
  <c r="F168" i="5"/>
  <c r="C169" i="4"/>
  <c r="D169" i="4"/>
  <c r="E169" i="4"/>
  <c r="F169" i="4"/>
  <c r="G169" i="4"/>
  <c r="H169" i="4"/>
  <c r="C169" i="5"/>
  <c r="D169" i="5"/>
  <c r="E169" i="5"/>
  <c r="F169" i="5"/>
  <c r="C170" i="4"/>
  <c r="D170" i="4"/>
  <c r="E170" i="4"/>
  <c r="F170" i="4"/>
  <c r="G170" i="4"/>
  <c r="H170" i="4"/>
  <c r="C170" i="5"/>
  <c r="D170" i="5"/>
  <c r="E170" i="5"/>
  <c r="F170" i="5"/>
  <c r="C171" i="4"/>
  <c r="D171" i="4"/>
  <c r="E171" i="4"/>
  <c r="F171" i="4"/>
  <c r="G171" i="4"/>
  <c r="H171" i="4"/>
  <c r="C171" i="5"/>
  <c r="D171" i="5"/>
  <c r="E171" i="5"/>
  <c r="F171" i="5"/>
  <c r="C172" i="4"/>
  <c r="D172" i="4"/>
  <c r="E172" i="4"/>
  <c r="F172" i="4"/>
  <c r="G172" i="4"/>
  <c r="H172" i="4"/>
  <c r="C172" i="5"/>
  <c r="D172" i="5"/>
  <c r="E172" i="5"/>
  <c r="F172" i="5"/>
  <c r="C173" i="4"/>
  <c r="D173" i="4"/>
  <c r="E173" i="4"/>
  <c r="F173" i="4"/>
  <c r="G173" i="4"/>
  <c r="H173" i="4"/>
  <c r="C173" i="5"/>
  <c r="D173" i="5"/>
  <c r="E173" i="5"/>
  <c r="F173" i="5"/>
  <c r="C174" i="4"/>
  <c r="D174" i="4"/>
  <c r="E174" i="4"/>
  <c r="F174" i="4"/>
  <c r="G174" i="4"/>
  <c r="H174" i="4"/>
  <c r="C174" i="5"/>
  <c r="D174" i="5"/>
  <c r="E174" i="5"/>
  <c r="F174" i="5"/>
  <c r="C175" i="4"/>
  <c r="D175" i="4"/>
  <c r="E175" i="4"/>
  <c r="F175" i="4"/>
  <c r="G175" i="4"/>
  <c r="H175" i="4"/>
  <c r="C175" i="5"/>
  <c r="D175" i="5"/>
  <c r="E175" i="5"/>
  <c r="F175" i="5"/>
  <c r="C176" i="4"/>
  <c r="D176" i="4"/>
  <c r="E176" i="4"/>
  <c r="F176" i="4"/>
  <c r="G176" i="4"/>
  <c r="H176" i="4"/>
  <c r="C176" i="5"/>
  <c r="D176" i="5"/>
  <c r="E176" i="5"/>
  <c r="F176" i="5"/>
  <c r="C177" i="4"/>
  <c r="D177" i="4"/>
  <c r="E177" i="4"/>
  <c r="F177" i="4"/>
  <c r="G177" i="4"/>
  <c r="H177" i="4"/>
  <c r="C177" i="5"/>
  <c r="D177" i="5"/>
  <c r="E177" i="5"/>
  <c r="F177" i="5"/>
  <c r="C178" i="4"/>
  <c r="D178" i="4"/>
  <c r="E178" i="4"/>
  <c r="F178" i="4"/>
  <c r="G178" i="4"/>
  <c r="H178" i="4"/>
  <c r="C178" i="5"/>
  <c r="D178" i="5"/>
  <c r="E178" i="5"/>
  <c r="F178" i="5"/>
  <c r="C179" i="4"/>
  <c r="D179" i="4"/>
  <c r="E179" i="4"/>
  <c r="F179" i="4"/>
  <c r="G179" i="4"/>
  <c r="H179" i="4"/>
  <c r="C179" i="5"/>
  <c r="D179" i="5"/>
  <c r="E179" i="5"/>
  <c r="F179" i="5"/>
  <c r="C180" i="4"/>
  <c r="D180" i="4"/>
  <c r="E180" i="4"/>
  <c r="F180" i="4"/>
  <c r="G180" i="4"/>
  <c r="H180" i="4"/>
  <c r="C180" i="5"/>
  <c r="D180" i="5"/>
  <c r="E180" i="5"/>
  <c r="F180" i="5"/>
  <c r="C181" i="4"/>
  <c r="D181" i="4"/>
  <c r="E181" i="4"/>
  <c r="F181" i="4"/>
  <c r="G181" i="4"/>
  <c r="H181" i="4"/>
  <c r="C181" i="5"/>
  <c r="D181" i="5"/>
  <c r="E181" i="5"/>
  <c r="F181" i="5"/>
  <c r="C182" i="4"/>
  <c r="D182" i="4"/>
  <c r="E182" i="4"/>
  <c r="F182" i="4"/>
  <c r="G182" i="4"/>
  <c r="H182" i="4"/>
  <c r="C182" i="5"/>
  <c r="D182" i="5"/>
  <c r="E182" i="5"/>
  <c r="F182" i="5"/>
  <c r="C183" i="4"/>
  <c r="D183" i="4"/>
  <c r="E183" i="4"/>
  <c r="F183" i="4"/>
  <c r="G183" i="4"/>
  <c r="H183" i="4"/>
  <c r="C183" i="5"/>
  <c r="D183" i="5"/>
  <c r="E183" i="5"/>
  <c r="F183" i="5"/>
  <c r="C184" i="4"/>
  <c r="D184" i="4"/>
  <c r="E184" i="4"/>
  <c r="F184" i="4"/>
  <c r="G184" i="4"/>
  <c r="H184" i="4"/>
  <c r="C184" i="5"/>
  <c r="D184" i="5"/>
  <c r="E184" i="5"/>
  <c r="F184" i="5"/>
  <c r="C185" i="4"/>
  <c r="D185" i="4"/>
  <c r="E185" i="4"/>
  <c r="F185" i="4"/>
  <c r="G185" i="4"/>
  <c r="H185" i="4"/>
  <c r="C185" i="5"/>
  <c r="D185" i="5"/>
  <c r="E185" i="5"/>
  <c r="F185" i="5"/>
  <c r="C186" i="4"/>
  <c r="D186" i="4"/>
  <c r="E186" i="4"/>
  <c r="F186" i="4"/>
  <c r="G186" i="4"/>
  <c r="H186" i="4"/>
  <c r="C186" i="5"/>
  <c r="D186" i="5"/>
  <c r="E186" i="5"/>
  <c r="F186" i="5"/>
  <c r="C187" i="4"/>
  <c r="D187" i="4"/>
  <c r="E187" i="4"/>
  <c r="F187" i="4"/>
  <c r="G187" i="4"/>
  <c r="H187" i="4"/>
  <c r="C187" i="5"/>
  <c r="D187" i="5"/>
  <c r="E187" i="5"/>
  <c r="F187" i="5"/>
  <c r="C188" i="4"/>
  <c r="D188" i="4"/>
  <c r="E188" i="4"/>
  <c r="F188" i="4"/>
  <c r="G188" i="4"/>
  <c r="H188" i="4"/>
  <c r="C188" i="5"/>
  <c r="D188" i="5"/>
  <c r="E188" i="5"/>
  <c r="F188" i="5"/>
  <c r="C189" i="4"/>
  <c r="D189" i="4"/>
  <c r="E189" i="4"/>
  <c r="F189" i="4"/>
  <c r="G189" i="4"/>
  <c r="H189" i="4"/>
  <c r="C189" i="5"/>
  <c r="D189" i="5"/>
  <c r="E189" i="5"/>
  <c r="F189" i="5"/>
  <c r="C190" i="4"/>
  <c r="D190" i="4"/>
  <c r="E190" i="4"/>
  <c r="F190" i="4"/>
  <c r="G190" i="4"/>
  <c r="H190" i="4"/>
  <c r="C190" i="5"/>
  <c r="D190" i="5"/>
  <c r="E190" i="5"/>
  <c r="F190" i="5"/>
  <c r="C191" i="4"/>
  <c r="D191" i="4"/>
  <c r="E191" i="4"/>
  <c r="F191" i="4"/>
  <c r="G191" i="4"/>
  <c r="H191" i="4"/>
  <c r="C191" i="5"/>
  <c r="D191" i="5"/>
  <c r="E191" i="5"/>
  <c r="F191" i="5"/>
  <c r="C192" i="4"/>
  <c r="D192" i="4"/>
  <c r="E192" i="4"/>
  <c r="F192" i="4"/>
  <c r="G192" i="4"/>
  <c r="H192" i="4"/>
  <c r="C192" i="5"/>
  <c r="D192" i="5"/>
  <c r="E192" i="5"/>
  <c r="F192" i="5"/>
  <c r="C193" i="4"/>
  <c r="D193" i="4"/>
  <c r="E193" i="4"/>
  <c r="F193" i="4"/>
  <c r="G193" i="4"/>
  <c r="H193" i="4"/>
  <c r="C193" i="5"/>
  <c r="D193" i="5"/>
  <c r="E193" i="5"/>
  <c r="F193" i="5"/>
  <c r="C194" i="4"/>
  <c r="D194" i="4"/>
  <c r="E194" i="4"/>
  <c r="F194" i="4"/>
  <c r="G194" i="4"/>
  <c r="H194" i="4"/>
  <c r="C194" i="5"/>
  <c r="D194" i="5"/>
  <c r="E194" i="5"/>
  <c r="F194" i="5"/>
  <c r="C195" i="4"/>
  <c r="D195" i="4"/>
  <c r="E195" i="4"/>
  <c r="F195" i="4"/>
  <c r="G195" i="4"/>
  <c r="H195" i="4"/>
  <c r="C195" i="5"/>
  <c r="D195" i="5"/>
  <c r="E195" i="5"/>
  <c r="F195" i="5"/>
  <c r="C196" i="4"/>
  <c r="D196" i="4"/>
  <c r="E196" i="4"/>
  <c r="F196" i="4"/>
  <c r="G196" i="4"/>
  <c r="H196" i="4"/>
  <c r="C196" i="5"/>
  <c r="D196" i="5"/>
  <c r="E196" i="5"/>
  <c r="F196" i="5"/>
  <c r="C197" i="4"/>
  <c r="D197" i="4"/>
  <c r="E197" i="4"/>
  <c r="F197" i="4"/>
  <c r="G197" i="4"/>
  <c r="H197" i="4"/>
  <c r="C197" i="5"/>
  <c r="D197" i="5"/>
  <c r="E197" i="5"/>
  <c r="F197" i="5"/>
  <c r="C198" i="4"/>
  <c r="D198" i="4"/>
  <c r="E198" i="4"/>
  <c r="F198" i="4"/>
  <c r="G198" i="4"/>
  <c r="H198" i="4"/>
  <c r="C198" i="5"/>
  <c r="D198" i="5"/>
  <c r="E198" i="5"/>
  <c r="F198" i="5"/>
  <c r="C199" i="4"/>
  <c r="D199" i="4"/>
  <c r="E199" i="4"/>
  <c r="F199" i="4"/>
  <c r="G199" i="4"/>
  <c r="H199" i="4"/>
  <c r="C199" i="5"/>
  <c r="D199" i="5"/>
  <c r="E199" i="5"/>
  <c r="F199" i="5"/>
  <c r="C200" i="4"/>
  <c r="D200" i="4"/>
  <c r="E200" i="4"/>
  <c r="F200" i="4"/>
  <c r="G200" i="4"/>
  <c r="H200" i="4"/>
  <c r="C200" i="5"/>
  <c r="D200" i="5"/>
  <c r="E200" i="5"/>
  <c r="F200" i="5"/>
  <c r="C201" i="4"/>
  <c r="D201" i="4"/>
  <c r="E201" i="4"/>
  <c r="F201" i="4"/>
  <c r="G201" i="4"/>
  <c r="H201" i="4"/>
  <c r="C201" i="5"/>
  <c r="D201" i="5"/>
  <c r="E201" i="5"/>
  <c r="F201" i="5"/>
  <c r="C202" i="4"/>
  <c r="D202" i="4"/>
  <c r="E202" i="4"/>
  <c r="F202" i="4"/>
  <c r="G202" i="4"/>
  <c r="H202" i="4"/>
  <c r="C202" i="5"/>
  <c r="D202" i="5"/>
  <c r="E202" i="5"/>
  <c r="F202" i="5"/>
  <c r="C203" i="4"/>
  <c r="D203" i="4"/>
  <c r="E203" i="4"/>
  <c r="F203" i="4"/>
  <c r="G203" i="4"/>
  <c r="H203" i="4"/>
  <c r="C203" i="5"/>
  <c r="D203" i="5"/>
  <c r="E203" i="5"/>
  <c r="F203" i="5"/>
  <c r="C204" i="4"/>
  <c r="D204" i="4"/>
  <c r="E204" i="4"/>
  <c r="F204" i="4"/>
  <c r="G204" i="4"/>
  <c r="H204" i="4"/>
  <c r="C204" i="5"/>
  <c r="D204" i="5"/>
  <c r="E204" i="5"/>
  <c r="F204" i="5"/>
  <c r="C205" i="4"/>
  <c r="D205" i="4"/>
  <c r="E205" i="4"/>
  <c r="F205" i="4"/>
  <c r="G205" i="4"/>
  <c r="H205" i="4"/>
  <c r="C205" i="5"/>
  <c r="D205" i="5"/>
  <c r="E205" i="5"/>
  <c r="F205" i="5"/>
  <c r="C206" i="4"/>
  <c r="D206" i="4"/>
  <c r="E206" i="4"/>
  <c r="F206" i="4"/>
  <c r="G206" i="4"/>
  <c r="H206" i="4"/>
  <c r="C206" i="5"/>
  <c r="D206" i="5"/>
  <c r="E206" i="5"/>
  <c r="F206" i="5"/>
  <c r="C207" i="4"/>
  <c r="D207" i="4"/>
  <c r="E207" i="4"/>
  <c r="F207" i="4"/>
  <c r="G207" i="4"/>
  <c r="H207" i="4"/>
  <c r="C207" i="5"/>
  <c r="D207" i="5"/>
  <c r="E207" i="5"/>
  <c r="F207" i="5"/>
  <c r="C208" i="4"/>
  <c r="D208" i="4"/>
  <c r="E208" i="4"/>
  <c r="F208" i="4"/>
  <c r="G208" i="4"/>
  <c r="H208" i="4"/>
  <c r="C208" i="5"/>
  <c r="D208" i="5"/>
  <c r="E208" i="5"/>
  <c r="F208" i="5"/>
  <c r="C209" i="4"/>
  <c r="D209" i="4"/>
  <c r="E209" i="4"/>
  <c r="F209" i="4"/>
  <c r="G209" i="4"/>
  <c r="H209" i="4"/>
  <c r="C209" i="5"/>
  <c r="D209" i="5"/>
  <c r="E209" i="5"/>
  <c r="F209" i="5"/>
  <c r="C210" i="4"/>
  <c r="D210" i="4"/>
  <c r="E210" i="4"/>
  <c r="F210" i="4"/>
  <c r="G210" i="4"/>
  <c r="H210" i="4"/>
  <c r="C210" i="5"/>
  <c r="D210" i="5"/>
  <c r="E210" i="5"/>
  <c r="F210" i="5"/>
  <c r="C211" i="4"/>
  <c r="D211" i="4"/>
  <c r="E211" i="4"/>
  <c r="F211" i="4"/>
  <c r="G211" i="4"/>
  <c r="H211" i="4"/>
  <c r="C211" i="5"/>
  <c r="D211" i="5"/>
  <c r="E211" i="5"/>
  <c r="F211" i="5"/>
  <c r="C212" i="4"/>
  <c r="D212" i="4"/>
  <c r="E212" i="4"/>
  <c r="F212" i="4"/>
  <c r="G212" i="4"/>
  <c r="H212" i="4"/>
  <c r="C212" i="5"/>
  <c r="D212" i="5"/>
  <c r="E212" i="5"/>
  <c r="F212" i="5"/>
  <c r="C213" i="4"/>
  <c r="D213" i="4"/>
  <c r="E213" i="4"/>
  <c r="F213" i="4"/>
  <c r="G213" i="4"/>
  <c r="H213" i="4"/>
  <c r="C213" i="5"/>
  <c r="D213" i="5"/>
  <c r="E213" i="5"/>
  <c r="F213" i="5"/>
  <c r="C214" i="4"/>
  <c r="D214" i="4"/>
  <c r="E214" i="4"/>
  <c r="F214" i="4"/>
  <c r="G214" i="4"/>
  <c r="H214" i="4"/>
  <c r="C214" i="5"/>
  <c r="D214" i="5"/>
  <c r="E214" i="5"/>
  <c r="F214" i="5"/>
  <c r="C215" i="4"/>
  <c r="D215" i="4"/>
  <c r="E215" i="4"/>
  <c r="F215" i="4"/>
  <c r="G215" i="4"/>
  <c r="H215" i="4"/>
  <c r="C215" i="5"/>
  <c r="D215" i="5"/>
  <c r="E215" i="5"/>
  <c r="F215" i="5"/>
  <c r="C216" i="4"/>
  <c r="D216" i="4"/>
  <c r="E216" i="4"/>
  <c r="F216" i="4"/>
  <c r="G216" i="4"/>
  <c r="H216" i="4"/>
  <c r="C216" i="5"/>
  <c r="D216" i="5"/>
  <c r="E216" i="5"/>
  <c r="F216" i="5"/>
  <c r="C217" i="4"/>
  <c r="D217" i="4"/>
  <c r="E217" i="4"/>
  <c r="F217" i="4"/>
  <c r="G217" i="4"/>
  <c r="H217" i="4"/>
  <c r="C217" i="5"/>
  <c r="D217" i="5"/>
  <c r="E217" i="5"/>
  <c r="F217" i="5"/>
  <c r="C218" i="4"/>
  <c r="D218" i="4"/>
  <c r="E218" i="4"/>
  <c r="F218" i="4"/>
  <c r="G218" i="4"/>
  <c r="H218" i="4"/>
  <c r="C218" i="5"/>
  <c r="D218" i="5"/>
  <c r="E218" i="5"/>
  <c r="F218" i="5"/>
  <c r="C219" i="4"/>
  <c r="D219" i="4"/>
  <c r="E219" i="4"/>
  <c r="F219" i="4"/>
  <c r="G219" i="4"/>
  <c r="H219" i="4"/>
  <c r="C219" i="5"/>
  <c r="D219" i="5"/>
  <c r="E219" i="5"/>
  <c r="F219" i="5"/>
  <c r="C220" i="4"/>
  <c r="D220" i="4"/>
  <c r="E220" i="4"/>
  <c r="F220" i="4"/>
  <c r="G220" i="4"/>
  <c r="H220" i="4"/>
  <c r="C220" i="5"/>
  <c r="D220" i="5"/>
  <c r="E220" i="5"/>
  <c r="F220" i="5"/>
  <c r="C221" i="4"/>
  <c r="D221" i="4"/>
  <c r="E221" i="4"/>
  <c r="F221" i="4"/>
  <c r="G221" i="4"/>
  <c r="H221" i="4"/>
  <c r="C221" i="5"/>
  <c r="D221" i="5"/>
  <c r="E221" i="5"/>
  <c r="F221" i="5"/>
  <c r="C222" i="4"/>
  <c r="D222" i="4"/>
  <c r="E222" i="4"/>
  <c r="F222" i="4"/>
  <c r="G222" i="4"/>
  <c r="H222" i="4"/>
  <c r="C222" i="5"/>
  <c r="D222" i="5"/>
  <c r="E222" i="5"/>
  <c r="F222" i="5"/>
  <c r="C223" i="4"/>
  <c r="D223" i="4"/>
  <c r="E223" i="4"/>
  <c r="F223" i="4"/>
  <c r="G223" i="4"/>
  <c r="H223" i="4"/>
  <c r="C223" i="5"/>
  <c r="D223" i="5"/>
  <c r="E223" i="5"/>
  <c r="F223" i="5"/>
  <c r="C224" i="4"/>
  <c r="D224" i="4"/>
  <c r="E224" i="4"/>
  <c r="F224" i="4"/>
  <c r="G224" i="4"/>
  <c r="H224" i="4"/>
  <c r="C224" i="5"/>
  <c r="D224" i="5"/>
  <c r="E224" i="5"/>
  <c r="F224" i="5"/>
  <c r="C225" i="4"/>
  <c r="D225" i="4"/>
  <c r="E225" i="4"/>
  <c r="F225" i="4"/>
  <c r="G225" i="4"/>
  <c r="H225" i="4"/>
  <c r="C225" i="5"/>
  <c r="D225" i="5"/>
  <c r="E225" i="5"/>
  <c r="F225" i="5"/>
  <c r="C226" i="4"/>
  <c r="D226" i="4"/>
  <c r="E226" i="4"/>
  <c r="F226" i="4"/>
  <c r="G226" i="4"/>
  <c r="H226" i="4"/>
  <c r="C226" i="5"/>
  <c r="D226" i="5"/>
  <c r="E226" i="5"/>
  <c r="F226" i="5"/>
  <c r="C227" i="4"/>
  <c r="D227" i="4"/>
  <c r="E227" i="4"/>
  <c r="F227" i="4"/>
  <c r="G227" i="4"/>
  <c r="H227" i="4"/>
  <c r="C227" i="5"/>
  <c r="D227" i="5"/>
  <c r="F227" i="5"/>
  <c r="E227" i="5"/>
  <c r="C228" i="4"/>
  <c r="D228" i="4"/>
  <c r="E228" i="4"/>
  <c r="F228" i="4"/>
  <c r="G228" i="4"/>
  <c r="H228" i="4"/>
  <c r="C228" i="5"/>
  <c r="D228" i="5"/>
  <c r="F228" i="5"/>
  <c r="E228" i="5"/>
  <c r="C229" i="4"/>
  <c r="D229" i="4"/>
  <c r="E229" i="4"/>
  <c r="F229" i="4"/>
  <c r="G229" i="4"/>
  <c r="H229" i="4"/>
  <c r="C229" i="5"/>
  <c r="D229" i="5"/>
  <c r="F229" i="5"/>
  <c r="E229" i="5"/>
  <c r="C230" i="4"/>
  <c r="D230" i="4"/>
  <c r="E230" i="4"/>
  <c r="F230" i="4"/>
  <c r="G230" i="4"/>
  <c r="H230" i="4"/>
  <c r="C230" i="5"/>
  <c r="D230" i="5"/>
  <c r="F230" i="5"/>
  <c r="E230" i="5"/>
  <c r="C231" i="4"/>
  <c r="D231" i="4"/>
  <c r="E231" i="4"/>
  <c r="F231" i="4"/>
  <c r="G231" i="4"/>
  <c r="H231" i="4"/>
  <c r="C231" i="5"/>
  <c r="D231" i="5"/>
  <c r="F231" i="5"/>
  <c r="E231" i="5"/>
  <c r="C232" i="4"/>
  <c r="D232" i="4"/>
  <c r="E232" i="4"/>
  <c r="F232" i="4"/>
  <c r="G232" i="4"/>
  <c r="H232" i="4"/>
  <c r="C232" i="5"/>
  <c r="D232" i="5"/>
  <c r="F232" i="5"/>
  <c r="E232" i="5"/>
  <c r="C233" i="4"/>
  <c r="D233" i="4"/>
  <c r="E233" i="4"/>
  <c r="F233" i="4"/>
  <c r="G233" i="4"/>
  <c r="H233" i="4"/>
  <c r="C233" i="5"/>
  <c r="D233" i="5"/>
  <c r="F233" i="5"/>
  <c r="E233" i="5"/>
  <c r="C234" i="4"/>
  <c r="D234" i="4"/>
  <c r="E234" i="4"/>
  <c r="F234" i="4"/>
  <c r="G234" i="4"/>
  <c r="H234" i="4"/>
  <c r="C234" i="5"/>
  <c r="D234" i="5"/>
  <c r="F234" i="5"/>
  <c r="E234" i="5"/>
  <c r="C235" i="4"/>
  <c r="D235" i="4"/>
  <c r="E235" i="4"/>
  <c r="F235" i="4"/>
  <c r="G235" i="4"/>
  <c r="H235" i="4"/>
  <c r="C235" i="5"/>
  <c r="D235" i="5"/>
  <c r="F235" i="5"/>
  <c r="E235" i="5"/>
  <c r="C236" i="4"/>
  <c r="D236" i="4"/>
  <c r="E236" i="4"/>
  <c r="F236" i="4"/>
  <c r="G236" i="4"/>
  <c r="H236" i="4"/>
  <c r="C236" i="5"/>
  <c r="D236" i="5"/>
  <c r="F236" i="5"/>
  <c r="E236" i="5"/>
  <c r="C237" i="4"/>
  <c r="D237" i="4"/>
  <c r="E237" i="4"/>
  <c r="F237" i="4"/>
  <c r="G237" i="4"/>
  <c r="H237" i="4"/>
  <c r="C237" i="5"/>
  <c r="D237" i="5"/>
  <c r="F237" i="5"/>
  <c r="E237" i="5"/>
  <c r="C238" i="4"/>
  <c r="D238" i="4"/>
  <c r="E238" i="4"/>
  <c r="F238" i="4"/>
  <c r="G238" i="4"/>
  <c r="H238" i="4"/>
  <c r="C238" i="5"/>
  <c r="D238" i="5"/>
  <c r="F238" i="5"/>
  <c r="E238" i="5"/>
  <c r="C239" i="4"/>
  <c r="D239" i="4"/>
  <c r="E239" i="4"/>
  <c r="F239" i="4"/>
  <c r="G239" i="4"/>
  <c r="H239" i="4"/>
  <c r="C239" i="5"/>
  <c r="D239" i="5"/>
  <c r="F239" i="5"/>
  <c r="E239" i="5"/>
  <c r="C240" i="4"/>
  <c r="D240" i="4"/>
  <c r="E240" i="4"/>
  <c r="F240" i="4"/>
  <c r="G240" i="4"/>
  <c r="H240" i="4"/>
  <c r="C240" i="5"/>
  <c r="D240" i="5"/>
  <c r="F240" i="5"/>
  <c r="E240" i="5"/>
  <c r="C241" i="4"/>
  <c r="D241" i="4"/>
  <c r="E241" i="4"/>
  <c r="F241" i="4"/>
  <c r="G241" i="4"/>
  <c r="H241" i="4"/>
  <c r="C241" i="5"/>
  <c r="D241" i="5"/>
  <c r="F241" i="5"/>
  <c r="E241" i="5"/>
  <c r="C242" i="4"/>
  <c r="D242" i="4"/>
  <c r="E242" i="4"/>
  <c r="F242" i="4"/>
  <c r="G242" i="4"/>
  <c r="H242" i="4"/>
  <c r="C242" i="5"/>
  <c r="D242" i="5"/>
  <c r="F242" i="5"/>
  <c r="E242" i="5"/>
  <c r="C243" i="4"/>
  <c r="D243" i="4"/>
  <c r="E243" i="4"/>
  <c r="F243" i="4"/>
  <c r="G243" i="4"/>
  <c r="H243" i="4"/>
  <c r="C243" i="5"/>
  <c r="D243" i="5"/>
  <c r="F243" i="5"/>
  <c r="E243" i="5"/>
  <c r="C244" i="4"/>
  <c r="D244" i="4"/>
  <c r="E244" i="4"/>
  <c r="F244" i="4"/>
  <c r="G244" i="4"/>
  <c r="H244" i="4"/>
  <c r="C244" i="5"/>
  <c r="D244" i="5"/>
  <c r="F244" i="5"/>
  <c r="E244" i="5"/>
  <c r="C245" i="4"/>
  <c r="D245" i="4"/>
  <c r="E245" i="4"/>
  <c r="F245" i="4"/>
  <c r="G245" i="4"/>
  <c r="H245" i="4"/>
  <c r="C245" i="5"/>
  <c r="D245" i="5"/>
  <c r="F245" i="5"/>
  <c r="E245" i="5"/>
  <c r="C246" i="4"/>
  <c r="D246" i="4"/>
  <c r="E246" i="4"/>
  <c r="F246" i="4"/>
  <c r="G246" i="4"/>
  <c r="H246" i="4"/>
  <c r="C246" i="5"/>
  <c r="D246" i="5"/>
  <c r="F246" i="5"/>
  <c r="E246" i="5"/>
  <c r="C247" i="4"/>
  <c r="D247" i="4"/>
  <c r="E247" i="4"/>
  <c r="F247" i="4"/>
  <c r="G247" i="4"/>
  <c r="H247" i="4"/>
  <c r="C247" i="5"/>
  <c r="D247" i="5"/>
  <c r="F247" i="5"/>
  <c r="E247" i="5"/>
  <c r="C248" i="4"/>
  <c r="D248" i="4"/>
  <c r="E248" i="4"/>
  <c r="F248" i="4"/>
  <c r="G248" i="4"/>
  <c r="H248" i="4"/>
  <c r="C248" i="5"/>
  <c r="D248" i="5"/>
  <c r="F248" i="5"/>
  <c r="E248" i="5"/>
  <c r="C249" i="4"/>
  <c r="D249" i="4"/>
  <c r="E249" i="4"/>
  <c r="F249" i="4"/>
  <c r="G249" i="4"/>
  <c r="H249" i="4"/>
  <c r="C249" i="5"/>
  <c r="D249" i="5"/>
  <c r="F249" i="5"/>
  <c r="E249" i="5"/>
  <c r="C250" i="4"/>
  <c r="D250" i="4"/>
  <c r="E250" i="4"/>
  <c r="F250" i="4"/>
  <c r="G250" i="4"/>
  <c r="H250" i="4"/>
  <c r="C250" i="5"/>
  <c r="D250" i="5"/>
  <c r="F250" i="5"/>
  <c r="E250" i="5"/>
  <c r="C251" i="4"/>
  <c r="D251" i="4"/>
  <c r="E251" i="4"/>
  <c r="F251" i="4"/>
  <c r="G251" i="4"/>
  <c r="H251" i="4"/>
  <c r="C251" i="5"/>
  <c r="D251" i="5"/>
  <c r="F251" i="5"/>
  <c r="E251" i="5"/>
  <c r="C252" i="4"/>
  <c r="D252" i="4"/>
  <c r="E252" i="4"/>
  <c r="F252" i="4"/>
  <c r="G252" i="4"/>
  <c r="H252" i="4"/>
  <c r="C252" i="5"/>
  <c r="D252" i="5"/>
  <c r="F252" i="5"/>
  <c r="E252" i="5"/>
  <c r="C253" i="4"/>
  <c r="D253" i="4"/>
  <c r="E253" i="4"/>
  <c r="F253" i="4"/>
  <c r="G253" i="4"/>
  <c r="H253" i="4"/>
  <c r="C253" i="5"/>
  <c r="D253" i="5"/>
  <c r="F253" i="5"/>
  <c r="E253" i="5"/>
  <c r="C254" i="4"/>
  <c r="D254" i="4"/>
  <c r="E254" i="4"/>
  <c r="F254" i="4"/>
  <c r="G254" i="4"/>
  <c r="H254" i="4"/>
  <c r="C254" i="5"/>
  <c r="D254" i="5"/>
  <c r="F254" i="5"/>
  <c r="E254" i="5"/>
  <c r="C255" i="4"/>
  <c r="D255" i="4"/>
  <c r="E255" i="4"/>
  <c r="F255" i="4"/>
  <c r="G255" i="4"/>
  <c r="H255" i="4"/>
  <c r="C255" i="5"/>
  <c r="D255" i="5"/>
  <c r="F255" i="5"/>
  <c r="E255" i="5"/>
  <c r="C256" i="4"/>
  <c r="D256" i="4"/>
  <c r="E256" i="4"/>
  <c r="F256" i="4"/>
  <c r="G256" i="4"/>
  <c r="H256" i="4"/>
  <c r="C256" i="5"/>
  <c r="D256" i="5"/>
  <c r="F256" i="5"/>
  <c r="E256" i="5"/>
  <c r="C257" i="4"/>
  <c r="D257" i="4"/>
  <c r="E257" i="4"/>
  <c r="F257" i="4"/>
  <c r="G257" i="4"/>
  <c r="H257" i="4"/>
  <c r="C257" i="5"/>
  <c r="D257" i="5"/>
  <c r="F257" i="5"/>
  <c r="E257" i="5"/>
  <c r="C258" i="4"/>
  <c r="D258" i="4"/>
  <c r="E258" i="4"/>
  <c r="F258" i="4"/>
  <c r="G258" i="4"/>
  <c r="H258" i="4"/>
  <c r="C258" i="5"/>
  <c r="D258" i="5"/>
  <c r="F258" i="5"/>
  <c r="E258" i="5"/>
  <c r="C259" i="4"/>
  <c r="D259" i="4"/>
  <c r="E259" i="4"/>
  <c r="F259" i="4"/>
  <c r="G259" i="4"/>
  <c r="H259" i="4"/>
  <c r="C259" i="5"/>
  <c r="D259" i="5"/>
  <c r="F259" i="5"/>
  <c r="E259" i="5"/>
  <c r="C260" i="4"/>
  <c r="D260" i="4"/>
  <c r="E260" i="4"/>
  <c r="F260" i="4"/>
  <c r="G260" i="4"/>
  <c r="H260" i="4"/>
  <c r="C260" i="5"/>
  <c r="D260" i="5"/>
  <c r="F260" i="5"/>
  <c r="E260" i="5"/>
  <c r="C261" i="4"/>
  <c r="D261" i="4"/>
  <c r="E261" i="4"/>
  <c r="F261" i="4"/>
  <c r="G261" i="4"/>
  <c r="H261" i="4"/>
  <c r="C261" i="5"/>
  <c r="D261" i="5"/>
  <c r="F261" i="5"/>
  <c r="E261" i="5"/>
  <c r="C262" i="4"/>
  <c r="D262" i="4"/>
  <c r="E262" i="4"/>
  <c r="F262" i="4"/>
  <c r="G262" i="4"/>
  <c r="H262" i="4"/>
  <c r="C262" i="5"/>
  <c r="D262" i="5"/>
  <c r="F262" i="5"/>
  <c r="E262" i="5"/>
  <c r="C263" i="4"/>
  <c r="D263" i="4"/>
  <c r="E263" i="4"/>
  <c r="F263" i="4"/>
  <c r="G263" i="4"/>
  <c r="H263" i="4"/>
  <c r="C263" i="5"/>
  <c r="D263" i="5"/>
  <c r="F263" i="5"/>
  <c r="E263" i="5"/>
  <c r="C264" i="4"/>
  <c r="D264" i="4"/>
  <c r="E264" i="4"/>
  <c r="F264" i="4"/>
  <c r="G264" i="4"/>
  <c r="H264" i="4"/>
  <c r="C264" i="5"/>
  <c r="D264" i="5"/>
  <c r="F264" i="5"/>
  <c r="E264" i="5"/>
  <c r="C265" i="4"/>
  <c r="D265" i="4"/>
  <c r="E265" i="4"/>
  <c r="F265" i="4"/>
  <c r="G265" i="4"/>
  <c r="H265" i="4"/>
  <c r="C265" i="5"/>
  <c r="D265" i="5"/>
  <c r="F265" i="5"/>
  <c r="E265" i="5"/>
  <c r="C266" i="4"/>
  <c r="D266" i="4"/>
  <c r="E266" i="4"/>
  <c r="F266" i="4"/>
  <c r="G266" i="4"/>
  <c r="H266" i="4"/>
  <c r="C266" i="5"/>
  <c r="D266" i="5"/>
  <c r="F266" i="5"/>
  <c r="E266" i="5"/>
  <c r="C267" i="4"/>
  <c r="D267" i="4"/>
  <c r="E267" i="4"/>
  <c r="F267" i="4"/>
  <c r="G267" i="4"/>
  <c r="H267" i="4"/>
  <c r="C267" i="5"/>
  <c r="D267" i="5"/>
  <c r="F267" i="5"/>
  <c r="E267" i="5"/>
  <c r="C268" i="4"/>
  <c r="D268" i="4"/>
  <c r="E268" i="4"/>
  <c r="F268" i="4"/>
  <c r="G268" i="4"/>
  <c r="H268" i="4"/>
  <c r="C268" i="5"/>
  <c r="D268" i="5"/>
  <c r="F268" i="5"/>
  <c r="E268" i="5"/>
  <c r="C269" i="4"/>
  <c r="D269" i="4"/>
  <c r="E269" i="4"/>
  <c r="F269" i="4"/>
  <c r="G269" i="4"/>
  <c r="H269" i="4"/>
  <c r="C269" i="5"/>
  <c r="D269" i="5"/>
  <c r="F269" i="5"/>
  <c r="E269" i="5"/>
  <c r="C270" i="4"/>
  <c r="D270" i="4"/>
  <c r="E270" i="4"/>
  <c r="F270" i="4"/>
  <c r="G270" i="4"/>
  <c r="H270" i="4"/>
  <c r="C270" i="5"/>
  <c r="D270" i="5"/>
  <c r="F270" i="5"/>
  <c r="E270" i="5"/>
  <c r="C271" i="4"/>
  <c r="D271" i="4"/>
  <c r="E271" i="4"/>
  <c r="F271" i="4"/>
  <c r="G271" i="4"/>
  <c r="H271" i="4"/>
  <c r="C271" i="5"/>
  <c r="D271" i="5"/>
  <c r="F271" i="5"/>
  <c r="E271" i="5"/>
  <c r="C272" i="4"/>
  <c r="D272" i="4"/>
  <c r="E272" i="4"/>
  <c r="F272" i="4"/>
  <c r="G272" i="4"/>
  <c r="H272" i="4"/>
  <c r="C272" i="5"/>
  <c r="D272" i="5"/>
  <c r="F272" i="5"/>
  <c r="E272" i="5"/>
  <c r="C273" i="4"/>
  <c r="D273" i="4"/>
  <c r="E273" i="4"/>
  <c r="F273" i="4"/>
  <c r="G273" i="4"/>
  <c r="H273" i="4"/>
  <c r="C273" i="5"/>
  <c r="D273" i="5"/>
  <c r="F273" i="5"/>
  <c r="E273" i="5"/>
  <c r="C274" i="4"/>
  <c r="D274" i="4"/>
  <c r="E274" i="4"/>
  <c r="F274" i="4"/>
  <c r="G274" i="4"/>
  <c r="H274" i="4"/>
  <c r="C274" i="5"/>
  <c r="D274" i="5"/>
  <c r="F274" i="5"/>
  <c r="E274" i="5"/>
  <c r="C275" i="4"/>
  <c r="D275" i="4"/>
  <c r="E275" i="4"/>
  <c r="F275" i="4"/>
  <c r="G275" i="4"/>
  <c r="H275" i="4"/>
  <c r="C275" i="5"/>
  <c r="D275" i="5"/>
  <c r="F275" i="5"/>
  <c r="E275" i="5"/>
  <c r="C276" i="4"/>
  <c r="D276" i="4"/>
  <c r="E276" i="4"/>
  <c r="F276" i="4"/>
  <c r="G276" i="4"/>
  <c r="H276" i="4"/>
  <c r="C276" i="5"/>
  <c r="D276" i="5"/>
  <c r="F276" i="5"/>
  <c r="E276" i="5"/>
  <c r="C277" i="4"/>
  <c r="D277" i="4"/>
  <c r="E277" i="4"/>
  <c r="F277" i="4"/>
  <c r="G277" i="4"/>
  <c r="H277" i="4"/>
  <c r="C277" i="5"/>
  <c r="D277" i="5"/>
  <c r="F277" i="5"/>
  <c r="E277" i="5"/>
  <c r="C278" i="4"/>
  <c r="D278" i="4"/>
  <c r="E278" i="4"/>
  <c r="F278" i="4"/>
  <c r="G278" i="4"/>
  <c r="H278" i="4"/>
  <c r="C278" i="5"/>
  <c r="D278" i="5"/>
  <c r="F278" i="5"/>
  <c r="E278" i="5"/>
  <c r="C279" i="4"/>
  <c r="D279" i="4"/>
  <c r="E279" i="4"/>
  <c r="F279" i="4"/>
  <c r="G279" i="4"/>
  <c r="H279" i="4"/>
  <c r="C279" i="5"/>
  <c r="D279" i="5"/>
  <c r="F279" i="5"/>
  <c r="E279" i="5"/>
  <c r="C280" i="4"/>
  <c r="D280" i="4"/>
  <c r="E280" i="4"/>
  <c r="F280" i="4"/>
  <c r="G280" i="4"/>
  <c r="H280" i="4"/>
  <c r="C280" i="5"/>
  <c r="D280" i="5"/>
  <c r="F280" i="5"/>
  <c r="E280" i="5"/>
  <c r="C281" i="4"/>
  <c r="D281" i="4"/>
  <c r="E281" i="4"/>
  <c r="F281" i="4"/>
  <c r="G281" i="4"/>
  <c r="H281" i="4"/>
  <c r="C281" i="5"/>
  <c r="D281" i="5"/>
  <c r="F281" i="5"/>
  <c r="E281" i="5"/>
  <c r="C282" i="4"/>
  <c r="D282" i="4"/>
  <c r="E282" i="4"/>
  <c r="F282" i="4"/>
  <c r="G282" i="4"/>
  <c r="H282" i="4"/>
  <c r="C282" i="5"/>
  <c r="D282" i="5"/>
  <c r="F282" i="5"/>
  <c r="E282" i="5"/>
  <c r="C283" i="4"/>
  <c r="D283" i="4"/>
  <c r="E283" i="4"/>
  <c r="F283" i="4"/>
  <c r="G283" i="4"/>
  <c r="H283" i="4"/>
  <c r="C283" i="5"/>
  <c r="D283" i="5"/>
  <c r="F283" i="5"/>
  <c r="E283" i="5"/>
  <c r="C284" i="4"/>
  <c r="D284" i="4"/>
  <c r="E284" i="4"/>
  <c r="F284" i="4"/>
  <c r="G284" i="4"/>
  <c r="H284" i="4"/>
  <c r="C284" i="5"/>
  <c r="D284" i="5"/>
  <c r="F284" i="5"/>
  <c r="E284" i="5"/>
  <c r="C285" i="4"/>
  <c r="D285" i="4"/>
  <c r="E285" i="4"/>
  <c r="F285" i="4"/>
  <c r="G285" i="4"/>
  <c r="H285" i="4"/>
  <c r="C285" i="5"/>
  <c r="D285" i="5"/>
  <c r="F285" i="5"/>
  <c r="E285" i="5"/>
  <c r="C286" i="4"/>
  <c r="D286" i="4"/>
  <c r="E286" i="4"/>
  <c r="F286" i="4"/>
  <c r="G286" i="4"/>
  <c r="H286" i="4"/>
  <c r="C286" i="5"/>
  <c r="D286" i="5"/>
  <c r="F286" i="5"/>
  <c r="E286" i="5"/>
  <c r="C287" i="4"/>
  <c r="D287" i="4"/>
  <c r="E287" i="4"/>
  <c r="F287" i="4"/>
  <c r="G287" i="4"/>
  <c r="H287" i="4"/>
  <c r="C287" i="5"/>
  <c r="D287" i="5"/>
  <c r="F287" i="5"/>
  <c r="E287" i="5"/>
  <c r="C288" i="4"/>
  <c r="D288" i="4"/>
  <c r="E288" i="4"/>
  <c r="F288" i="4"/>
  <c r="G288" i="4"/>
  <c r="H288" i="4"/>
  <c r="C288" i="5"/>
  <c r="D288" i="5"/>
  <c r="F288" i="5"/>
  <c r="E288" i="5"/>
  <c r="C289" i="4"/>
  <c r="D289" i="4"/>
  <c r="E289" i="4"/>
  <c r="F289" i="4"/>
  <c r="G289" i="4"/>
  <c r="H289" i="4"/>
  <c r="C289" i="5"/>
  <c r="D289" i="5"/>
  <c r="F289" i="5"/>
  <c r="E289" i="5"/>
  <c r="C290" i="4"/>
  <c r="D290" i="4"/>
  <c r="E290" i="4"/>
  <c r="F290" i="4"/>
  <c r="G290" i="4"/>
  <c r="H290" i="4"/>
  <c r="C290" i="5"/>
  <c r="D290" i="5"/>
  <c r="F290" i="5"/>
  <c r="E290" i="5"/>
  <c r="C291" i="4"/>
  <c r="D291" i="4"/>
  <c r="E291" i="4"/>
  <c r="F291" i="4"/>
  <c r="G291" i="4"/>
  <c r="H291" i="4"/>
  <c r="C291" i="5"/>
  <c r="D291" i="5"/>
  <c r="F291" i="5"/>
  <c r="E291" i="5"/>
  <c r="C292" i="4"/>
  <c r="D292" i="4"/>
  <c r="E292" i="4"/>
  <c r="F292" i="4"/>
  <c r="G292" i="4"/>
  <c r="H292" i="4"/>
  <c r="C292" i="5"/>
  <c r="D292" i="5"/>
  <c r="F292" i="5"/>
  <c r="E292" i="5"/>
  <c r="C293" i="4"/>
  <c r="D293" i="4"/>
  <c r="E293" i="4"/>
  <c r="F293" i="4"/>
  <c r="G293" i="4"/>
  <c r="H293" i="4"/>
  <c r="C293" i="5"/>
  <c r="D293" i="5"/>
  <c r="F293" i="5"/>
  <c r="E293" i="5"/>
  <c r="C294" i="4"/>
  <c r="D294" i="4"/>
  <c r="E294" i="4"/>
  <c r="F294" i="4"/>
  <c r="G294" i="4"/>
  <c r="H294" i="4"/>
  <c r="C294" i="5"/>
  <c r="D294" i="5"/>
  <c r="F294" i="5"/>
  <c r="E294" i="5"/>
  <c r="C295" i="4"/>
  <c r="D295" i="4"/>
  <c r="E295" i="4"/>
  <c r="F295" i="4"/>
  <c r="G295" i="4"/>
  <c r="H295" i="4"/>
  <c r="C295" i="5"/>
  <c r="D295" i="5"/>
  <c r="F295" i="5"/>
  <c r="E295" i="5"/>
  <c r="C296" i="4"/>
  <c r="D296" i="4"/>
  <c r="E296" i="4"/>
  <c r="F296" i="4"/>
  <c r="G296" i="4"/>
  <c r="H296" i="4"/>
  <c r="C296" i="5"/>
  <c r="D296" i="5"/>
  <c r="F296" i="5"/>
  <c r="E296" i="5"/>
  <c r="C297" i="4"/>
  <c r="D297" i="4"/>
  <c r="E297" i="4"/>
  <c r="F297" i="4"/>
  <c r="G297" i="4"/>
  <c r="H297" i="4"/>
  <c r="C297" i="5"/>
  <c r="D297" i="5"/>
  <c r="F297" i="5"/>
  <c r="E297" i="5"/>
  <c r="C298" i="4"/>
  <c r="D298" i="4"/>
  <c r="E298" i="4"/>
  <c r="F298" i="4"/>
  <c r="G298" i="4"/>
  <c r="H298" i="4"/>
  <c r="C298" i="5"/>
  <c r="D298" i="5"/>
  <c r="F298" i="5"/>
  <c r="E298" i="5"/>
  <c r="C299" i="4"/>
  <c r="D299" i="4"/>
  <c r="E299" i="4"/>
  <c r="F299" i="4"/>
  <c r="G299" i="4"/>
  <c r="H299" i="4"/>
  <c r="C299" i="5"/>
  <c r="D299" i="5"/>
  <c r="F299" i="5"/>
  <c r="E299" i="5"/>
  <c r="C300" i="4"/>
  <c r="D300" i="4"/>
  <c r="E300" i="4"/>
  <c r="F300" i="4"/>
  <c r="G300" i="4"/>
  <c r="H300" i="4"/>
  <c r="C300" i="5"/>
  <c r="D300" i="5"/>
  <c r="F300" i="5"/>
  <c r="E300" i="5"/>
  <c r="C301" i="4"/>
  <c r="D301" i="4"/>
  <c r="E301" i="4"/>
  <c r="F301" i="4"/>
  <c r="G301" i="4"/>
  <c r="H301" i="4"/>
  <c r="C301" i="5"/>
  <c r="D301" i="5"/>
  <c r="F301" i="5"/>
  <c r="E301" i="5"/>
  <c r="C302" i="4"/>
  <c r="D302" i="4"/>
  <c r="E302" i="4"/>
  <c r="F302" i="4"/>
  <c r="G302" i="4"/>
  <c r="H302" i="4"/>
  <c r="C302" i="5"/>
  <c r="D302" i="5"/>
  <c r="F302" i="5"/>
  <c r="E302" i="5"/>
  <c r="C303" i="4"/>
  <c r="D303" i="4"/>
  <c r="E303" i="4"/>
  <c r="F303" i="4"/>
  <c r="G303" i="4"/>
  <c r="H303" i="4"/>
  <c r="C303" i="5"/>
  <c r="D303" i="5"/>
  <c r="F303" i="5"/>
  <c r="E303" i="5"/>
  <c r="C304" i="4"/>
  <c r="D304" i="4"/>
  <c r="E304" i="4"/>
  <c r="F304" i="4"/>
  <c r="G304" i="4"/>
  <c r="H304" i="4"/>
  <c r="C304" i="5"/>
  <c r="D304" i="5"/>
  <c r="F304" i="5"/>
  <c r="E304" i="5"/>
  <c r="C305" i="4"/>
  <c r="D305" i="4"/>
  <c r="E305" i="4"/>
  <c r="F305" i="4"/>
  <c r="G305" i="4"/>
  <c r="H305" i="4"/>
  <c r="C305" i="5"/>
  <c r="D305" i="5"/>
  <c r="F305" i="5"/>
  <c r="E305" i="5"/>
  <c r="C306" i="4"/>
  <c r="D306" i="4"/>
  <c r="E306" i="4"/>
  <c r="F306" i="4"/>
  <c r="G306" i="4"/>
  <c r="H306" i="4"/>
  <c r="C306" i="5"/>
  <c r="D306" i="5"/>
  <c r="F306" i="5"/>
  <c r="E306" i="5"/>
  <c r="C307" i="4"/>
  <c r="D307" i="4"/>
  <c r="E307" i="4"/>
  <c r="F307" i="4"/>
  <c r="G307" i="4"/>
  <c r="H307" i="4"/>
  <c r="C307" i="5"/>
  <c r="D307" i="5"/>
  <c r="F307" i="5"/>
  <c r="E307" i="5"/>
  <c r="C308" i="4"/>
  <c r="D308" i="4"/>
  <c r="E308" i="4"/>
  <c r="F308" i="4"/>
  <c r="G308" i="4"/>
  <c r="H308" i="4"/>
  <c r="C308" i="5"/>
  <c r="D308" i="5"/>
  <c r="F308" i="5"/>
  <c r="E308" i="5"/>
  <c r="C309" i="4"/>
  <c r="D309" i="4"/>
  <c r="E309" i="4"/>
  <c r="F309" i="4"/>
  <c r="G309" i="4"/>
  <c r="H309" i="4"/>
  <c r="C309" i="5"/>
  <c r="D309" i="5"/>
  <c r="F309" i="5"/>
  <c r="E309" i="5"/>
  <c r="C310" i="4"/>
  <c r="D310" i="4"/>
  <c r="E310" i="4"/>
  <c r="F310" i="4"/>
  <c r="G310" i="4"/>
  <c r="H310" i="4"/>
  <c r="C310" i="5"/>
  <c r="D310" i="5"/>
  <c r="F310" i="5"/>
  <c r="E310" i="5"/>
  <c r="C311" i="4"/>
  <c r="D311" i="4"/>
  <c r="E311" i="4"/>
  <c r="F311" i="4"/>
  <c r="G311" i="4"/>
  <c r="H311" i="4"/>
  <c r="C311" i="5"/>
  <c r="D311" i="5"/>
  <c r="F311" i="5"/>
  <c r="E311" i="5"/>
  <c r="C312" i="4"/>
  <c r="D312" i="4"/>
  <c r="E312" i="4"/>
  <c r="F312" i="4"/>
  <c r="G312" i="4"/>
  <c r="H312" i="4"/>
  <c r="C312" i="5"/>
  <c r="D312" i="5"/>
  <c r="F312" i="5"/>
  <c r="E312" i="5"/>
  <c r="C313" i="4"/>
  <c r="D313" i="4"/>
  <c r="E313" i="4"/>
  <c r="F313" i="4"/>
  <c r="G313" i="4"/>
  <c r="H313" i="4"/>
  <c r="C313" i="5"/>
  <c r="D313" i="5"/>
  <c r="F313" i="5"/>
  <c r="E313" i="5"/>
  <c r="C314" i="4"/>
  <c r="D314" i="4"/>
  <c r="E314" i="4"/>
  <c r="F314" i="4"/>
  <c r="G314" i="4"/>
  <c r="H314" i="4"/>
  <c r="C314" i="5"/>
  <c r="D314" i="5"/>
  <c r="F314" i="5"/>
  <c r="E314" i="5"/>
  <c r="C315" i="4"/>
  <c r="D315" i="4"/>
  <c r="E315" i="4"/>
  <c r="F315" i="4"/>
  <c r="G315" i="4"/>
  <c r="H315" i="4"/>
  <c r="C315" i="5"/>
  <c r="D315" i="5"/>
  <c r="F315" i="5"/>
  <c r="E315" i="5"/>
  <c r="C316" i="4"/>
  <c r="D316" i="4"/>
  <c r="E316" i="4"/>
  <c r="F316" i="4"/>
  <c r="G316" i="4"/>
  <c r="H316" i="4"/>
  <c r="C316" i="5"/>
  <c r="D316" i="5"/>
  <c r="F316" i="5"/>
  <c r="E316" i="5"/>
  <c r="C317" i="4"/>
  <c r="D317" i="4"/>
  <c r="E317" i="4"/>
  <c r="F317" i="4"/>
  <c r="G317" i="4"/>
  <c r="H317" i="4"/>
  <c r="C317" i="5"/>
  <c r="D317" i="5"/>
  <c r="F317" i="5"/>
  <c r="E317" i="5"/>
  <c r="C318" i="4"/>
  <c r="D318" i="4"/>
  <c r="E318" i="4"/>
  <c r="F318" i="4"/>
  <c r="G318" i="4"/>
  <c r="H318" i="4"/>
  <c r="C318" i="5"/>
  <c r="D318" i="5"/>
  <c r="F318" i="5"/>
  <c r="E318" i="5"/>
  <c r="C319" i="4"/>
  <c r="D319" i="4"/>
  <c r="E319" i="4"/>
  <c r="F319" i="4"/>
  <c r="G319" i="4"/>
  <c r="H319" i="4"/>
  <c r="C319" i="5"/>
  <c r="D319" i="5"/>
  <c r="F319" i="5"/>
  <c r="E319" i="5"/>
  <c r="C320" i="4"/>
  <c r="D320" i="4"/>
  <c r="E320" i="4"/>
  <c r="F320" i="4"/>
  <c r="G320" i="4"/>
  <c r="H320" i="4"/>
  <c r="C320" i="5"/>
  <c r="D320" i="5"/>
  <c r="F320" i="5"/>
  <c r="E320" i="5"/>
  <c r="C321" i="4"/>
  <c r="D321" i="4"/>
  <c r="E321" i="4"/>
  <c r="F321" i="4"/>
  <c r="G321" i="4"/>
  <c r="H321" i="4"/>
  <c r="C321" i="5"/>
  <c r="D321" i="5"/>
  <c r="F321" i="5"/>
  <c r="E321" i="5"/>
  <c r="C322" i="5"/>
  <c r="D322" i="5"/>
  <c r="E322" i="5"/>
  <c r="F322" i="5"/>
  <c r="C323" i="5"/>
  <c r="D323" i="5"/>
  <c r="E323" i="5"/>
  <c r="F323" i="5"/>
  <c r="C324" i="5"/>
  <c r="D324" i="5"/>
  <c r="E324" i="5"/>
  <c r="F324" i="5"/>
  <c r="C325" i="5"/>
  <c r="D325" i="5"/>
  <c r="E325" i="5"/>
  <c r="F325" i="5"/>
  <c r="C326" i="5"/>
  <c r="D326" i="5"/>
  <c r="E326" i="5"/>
  <c r="F326" i="5"/>
  <c r="C327" i="5"/>
  <c r="D327" i="5"/>
  <c r="E327" i="5"/>
  <c r="F327" i="5"/>
  <c r="C328" i="5"/>
  <c r="D328" i="5"/>
  <c r="E328" i="5"/>
  <c r="F328" i="5"/>
  <c r="C329" i="5"/>
  <c r="D329" i="5"/>
  <c r="E329" i="5"/>
  <c r="F329" i="5"/>
  <c r="C330" i="5"/>
  <c r="D330" i="5"/>
  <c r="E330" i="5"/>
  <c r="F330" i="5"/>
  <c r="C331" i="5"/>
  <c r="D331" i="5"/>
  <c r="E331" i="5"/>
  <c r="F331" i="5"/>
  <c r="C332" i="5"/>
  <c r="D332" i="5"/>
  <c r="E332" i="5"/>
  <c r="F332" i="5"/>
  <c r="C333" i="5"/>
  <c r="D333" i="5"/>
  <c r="E333" i="5"/>
  <c r="F333" i="5"/>
  <c r="C334" i="5"/>
  <c r="D334" i="5"/>
  <c r="E334" i="5"/>
  <c r="F334" i="5"/>
  <c r="C335" i="5"/>
  <c r="D335" i="5"/>
  <c r="E335" i="5"/>
  <c r="F335" i="5"/>
  <c r="C336" i="5"/>
  <c r="D336" i="5"/>
  <c r="E336" i="5"/>
  <c r="F336" i="5"/>
  <c r="C337" i="5"/>
  <c r="D337" i="5"/>
  <c r="E337" i="5"/>
  <c r="F337" i="5"/>
  <c r="C338" i="5"/>
  <c r="D338" i="5"/>
  <c r="E338" i="5"/>
  <c r="F338" i="5"/>
  <c r="C339" i="5"/>
  <c r="D339" i="5"/>
  <c r="E339" i="5"/>
  <c r="F339" i="5"/>
  <c r="C340" i="5"/>
  <c r="D340" i="5"/>
  <c r="E340" i="5"/>
  <c r="F340" i="5"/>
  <c r="C341" i="5"/>
  <c r="D341" i="5"/>
  <c r="E341" i="5"/>
  <c r="F341" i="5"/>
  <c r="C342" i="5"/>
  <c r="D342" i="5"/>
  <c r="E342" i="5"/>
  <c r="F342" i="5"/>
  <c r="C343" i="5"/>
  <c r="D343" i="5"/>
  <c r="E343" i="5"/>
  <c r="F343" i="5"/>
  <c r="C344" i="5"/>
  <c r="D344" i="5"/>
  <c r="E344" i="5"/>
  <c r="F344" i="5"/>
  <c r="C345" i="5"/>
  <c r="D345" i="5"/>
  <c r="E345" i="5"/>
  <c r="F345" i="5"/>
  <c r="C346" i="5"/>
  <c r="D346" i="5"/>
  <c r="E346" i="5"/>
  <c r="F346" i="5"/>
  <c r="C347" i="5"/>
  <c r="D347" i="5"/>
  <c r="E347" i="5"/>
  <c r="F347" i="5"/>
  <c r="C348" i="5"/>
  <c r="D348" i="5"/>
  <c r="E348" i="5"/>
  <c r="F348" i="5"/>
  <c r="C349" i="5"/>
  <c r="D349" i="5"/>
  <c r="E349" i="5"/>
  <c r="F349" i="5"/>
  <c r="C350" i="5"/>
  <c r="D350" i="5"/>
  <c r="E350" i="5"/>
  <c r="F350" i="5"/>
  <c r="C351" i="5"/>
  <c r="D351" i="5"/>
  <c r="E351" i="5"/>
  <c r="F351" i="5"/>
  <c r="C352" i="5"/>
  <c r="D352" i="5"/>
  <c r="E352" i="5"/>
  <c r="F352" i="5"/>
  <c r="C353" i="5"/>
  <c r="D353" i="5"/>
  <c r="E353" i="5"/>
  <c r="F353" i="5"/>
  <c r="C354" i="5"/>
  <c r="D354" i="5"/>
  <c r="E354" i="5"/>
  <c r="F354" i="5"/>
  <c r="C355" i="5"/>
  <c r="D355" i="5"/>
  <c r="E355" i="5"/>
  <c r="F355" i="5"/>
  <c r="C356" i="5"/>
  <c r="D356" i="5"/>
  <c r="E356" i="5"/>
  <c r="F356" i="5"/>
  <c r="C357" i="5"/>
  <c r="D357" i="5"/>
  <c r="E357" i="5"/>
  <c r="F357" i="5"/>
  <c r="C358" i="5"/>
  <c r="D358" i="5"/>
  <c r="E358" i="5"/>
  <c r="F358" i="5"/>
  <c r="C359" i="5"/>
  <c r="D359" i="5"/>
  <c r="E359" i="5"/>
  <c r="F359" i="5"/>
  <c r="C360" i="5"/>
  <c r="D360" i="5"/>
  <c r="E360" i="5"/>
  <c r="F360" i="5"/>
  <c r="C361" i="5"/>
  <c r="D361" i="5"/>
  <c r="E361" i="5"/>
  <c r="F361" i="5"/>
  <c r="C362" i="5"/>
  <c r="D362" i="5"/>
  <c r="E362" i="5"/>
  <c r="F362" i="5"/>
  <c r="C363" i="5"/>
  <c r="D363" i="5"/>
  <c r="E363" i="5"/>
  <c r="F363" i="5"/>
  <c r="C364" i="5"/>
  <c r="D364" i="5"/>
  <c r="E364" i="5"/>
  <c r="F364" i="5"/>
  <c r="C365" i="5"/>
  <c r="D365" i="5"/>
  <c r="E365" i="5"/>
  <c r="F365" i="5"/>
  <c r="C366" i="5"/>
  <c r="D366" i="5"/>
  <c r="E366" i="5"/>
  <c r="F366" i="5"/>
  <c r="C367" i="5"/>
  <c r="D367" i="5"/>
  <c r="E367" i="5"/>
  <c r="F367" i="5"/>
  <c r="G368" i="4"/>
  <c r="H368" i="4"/>
  <c r="C368" i="5"/>
  <c r="D368" i="5"/>
  <c r="E368" i="5"/>
  <c r="F368" i="5"/>
  <c r="G369" i="4"/>
  <c r="H369" i="4"/>
  <c r="C369" i="5"/>
  <c r="D369" i="5"/>
  <c r="E369" i="5"/>
  <c r="F369" i="5"/>
  <c r="G370" i="4"/>
  <c r="H370" i="4"/>
  <c r="C370" i="5"/>
  <c r="D370" i="5"/>
  <c r="E370" i="5"/>
  <c r="F370" i="5"/>
  <c r="G371" i="4"/>
  <c r="H371" i="4"/>
  <c r="C371" i="5"/>
  <c r="D371" i="5"/>
  <c r="E371" i="5"/>
  <c r="F371" i="5"/>
  <c r="G372" i="4"/>
  <c r="H372" i="4"/>
  <c r="C372" i="5"/>
  <c r="D372" i="5"/>
  <c r="E372" i="5"/>
  <c r="F372" i="5"/>
  <c r="G373" i="4"/>
  <c r="H373" i="4"/>
  <c r="C373" i="5"/>
  <c r="D373" i="5"/>
  <c r="E373" i="5"/>
  <c r="F373" i="5"/>
  <c r="G374" i="4"/>
  <c r="H374" i="4"/>
  <c r="C374" i="5"/>
  <c r="D374" i="5"/>
  <c r="E374" i="5"/>
  <c r="F374" i="5"/>
  <c r="G375" i="4"/>
  <c r="H375" i="4"/>
  <c r="C375" i="5"/>
  <c r="D375" i="5"/>
  <c r="E375" i="5"/>
  <c r="F375" i="5"/>
  <c r="G376" i="4"/>
  <c r="H376" i="4"/>
  <c r="C376" i="5"/>
  <c r="D376" i="5"/>
  <c r="E376" i="5"/>
  <c r="F376" i="5"/>
  <c r="G377" i="4"/>
  <c r="H377" i="4"/>
  <c r="C377" i="5"/>
  <c r="D377" i="5"/>
  <c r="E377" i="5"/>
  <c r="F377" i="5"/>
  <c r="G378" i="4"/>
  <c r="H378" i="4"/>
  <c r="C378" i="5"/>
  <c r="D378" i="5"/>
  <c r="E378" i="5"/>
  <c r="F378" i="5"/>
  <c r="G379" i="4"/>
  <c r="H379" i="4"/>
  <c r="C379" i="5"/>
  <c r="D379" i="5"/>
  <c r="E379" i="5"/>
  <c r="F379" i="5"/>
  <c r="G380" i="4"/>
  <c r="H380" i="4"/>
  <c r="C380" i="5"/>
  <c r="D380" i="5"/>
  <c r="E380" i="5"/>
  <c r="F380" i="5"/>
  <c r="G381" i="4"/>
  <c r="H381" i="4"/>
  <c r="C381" i="5"/>
  <c r="D381" i="5"/>
  <c r="E381" i="5"/>
  <c r="F381" i="5"/>
  <c r="G382" i="4"/>
  <c r="H382" i="4"/>
  <c r="C382" i="5"/>
  <c r="D382" i="5"/>
  <c r="E382" i="5"/>
  <c r="F382" i="5"/>
  <c r="G383" i="4"/>
  <c r="H383" i="4"/>
  <c r="C383" i="5"/>
  <c r="D383" i="5"/>
  <c r="E383" i="5"/>
  <c r="F383" i="5"/>
  <c r="G384" i="4"/>
  <c r="H384" i="4"/>
  <c r="C384" i="5"/>
  <c r="D384" i="5"/>
  <c r="E384" i="5"/>
  <c r="F384" i="5"/>
  <c r="G385" i="4"/>
  <c r="H385" i="4"/>
  <c r="C385" i="5"/>
  <c r="D385" i="5"/>
  <c r="E385" i="5"/>
  <c r="F385" i="5"/>
  <c r="G386" i="4"/>
  <c r="H386" i="4"/>
  <c r="C386" i="5"/>
  <c r="D386" i="5"/>
  <c r="E386" i="5"/>
  <c r="F386" i="5"/>
  <c r="G387" i="4"/>
  <c r="H387" i="4"/>
  <c r="C387" i="5"/>
  <c r="D387" i="5"/>
  <c r="E387" i="5"/>
  <c r="F387" i="5"/>
  <c r="G388" i="4"/>
  <c r="H388" i="4"/>
  <c r="C388" i="5"/>
  <c r="D388" i="5"/>
  <c r="E388" i="5"/>
  <c r="F388" i="5"/>
  <c r="G389" i="4"/>
  <c r="H389" i="4"/>
  <c r="C389" i="5"/>
  <c r="D389" i="5"/>
  <c r="E389" i="5"/>
  <c r="F389" i="5"/>
  <c r="G390" i="4"/>
  <c r="H390" i="4"/>
  <c r="C390" i="5"/>
  <c r="D390" i="5"/>
  <c r="E390" i="5"/>
  <c r="F390" i="5"/>
  <c r="G391" i="4"/>
  <c r="H391" i="4"/>
  <c r="C391" i="5"/>
  <c r="D391" i="5"/>
  <c r="E391" i="5"/>
  <c r="F391" i="5"/>
  <c r="G392" i="4"/>
  <c r="H392" i="4"/>
  <c r="C392" i="5"/>
  <c r="D392" i="5"/>
  <c r="E392" i="5"/>
  <c r="F392" i="5"/>
  <c r="G393" i="4"/>
  <c r="H393" i="4"/>
  <c r="C393" i="5"/>
  <c r="D393" i="5"/>
  <c r="E393" i="5"/>
  <c r="F393" i="5"/>
  <c r="G394" i="4"/>
  <c r="H394" i="4"/>
  <c r="C394" i="5"/>
  <c r="D394" i="5"/>
  <c r="E394" i="5"/>
  <c r="F394" i="5"/>
  <c r="G395" i="4"/>
  <c r="H395" i="4"/>
  <c r="C395" i="5"/>
  <c r="D395" i="5"/>
  <c r="E395" i="5"/>
  <c r="F395" i="5"/>
  <c r="G396" i="4"/>
  <c r="H396" i="4"/>
  <c r="C396" i="5"/>
  <c r="D396" i="5"/>
  <c r="E396" i="5"/>
  <c r="F396" i="5"/>
  <c r="G397" i="4"/>
  <c r="H397" i="4"/>
  <c r="C397" i="5"/>
  <c r="D397" i="5"/>
  <c r="E397" i="5"/>
  <c r="F397" i="5"/>
  <c r="G398" i="4"/>
  <c r="H398" i="4"/>
  <c r="C398" i="5"/>
  <c r="D398" i="5"/>
  <c r="E398" i="5"/>
  <c r="F398" i="5"/>
  <c r="G399" i="4"/>
  <c r="H399" i="4"/>
  <c r="C399" i="5"/>
  <c r="D399" i="5"/>
  <c r="E399" i="5"/>
  <c r="F399" i="5"/>
  <c r="G400" i="4"/>
  <c r="H400" i="4"/>
  <c r="C400" i="5"/>
  <c r="D400" i="5"/>
  <c r="E400" i="5"/>
  <c r="F400" i="5"/>
  <c r="G401" i="4"/>
  <c r="H401" i="4"/>
  <c r="C401" i="5"/>
  <c r="D401" i="5"/>
  <c r="E401" i="5"/>
  <c r="F401" i="5"/>
  <c r="G402" i="4"/>
  <c r="H402" i="4"/>
  <c r="C402" i="5"/>
  <c r="D402" i="5"/>
  <c r="E402" i="5"/>
  <c r="F402" i="5"/>
  <c r="G403" i="4"/>
  <c r="H403" i="4"/>
  <c r="C403" i="5"/>
  <c r="D403" i="5"/>
  <c r="E403" i="5"/>
  <c r="F403" i="5"/>
  <c r="G404" i="4"/>
  <c r="H404" i="4"/>
  <c r="C404" i="5"/>
  <c r="D404" i="5"/>
  <c r="E404" i="5"/>
  <c r="F404" i="5"/>
  <c r="G405" i="4"/>
  <c r="H405" i="4"/>
  <c r="C405" i="5"/>
  <c r="D405" i="5"/>
  <c r="E405" i="5"/>
  <c r="F405" i="5"/>
  <c r="G406" i="4"/>
  <c r="H406" i="4"/>
  <c r="C406" i="5"/>
  <c r="D406" i="5"/>
  <c r="E406" i="5"/>
  <c r="F406" i="5"/>
  <c r="G407" i="4"/>
  <c r="H407" i="4"/>
  <c r="C407" i="5"/>
  <c r="D407" i="5"/>
  <c r="E407" i="5"/>
  <c r="F407" i="5"/>
  <c r="G408" i="4"/>
  <c r="H408" i="4"/>
  <c r="C408" i="5"/>
  <c r="D408" i="5"/>
  <c r="E408" i="5"/>
  <c r="F408" i="5"/>
  <c r="G409" i="4"/>
  <c r="H409" i="4"/>
  <c r="C409" i="5"/>
  <c r="D409" i="5"/>
  <c r="E409" i="5"/>
  <c r="F409" i="5"/>
  <c r="G410" i="4"/>
  <c r="H410" i="4"/>
  <c r="C410" i="5"/>
  <c r="D410" i="5"/>
  <c r="E410" i="5"/>
  <c r="F410" i="5"/>
  <c r="G411" i="4"/>
  <c r="H411" i="4"/>
  <c r="C411" i="5"/>
  <c r="D411" i="5"/>
  <c r="E411" i="5"/>
  <c r="F411" i="5"/>
  <c r="G412" i="4"/>
  <c r="H412" i="4"/>
  <c r="C412" i="5"/>
  <c r="D412" i="5"/>
  <c r="E412" i="5"/>
  <c r="F412" i="5"/>
  <c r="G413" i="4"/>
  <c r="H413" i="4"/>
  <c r="C413" i="5"/>
  <c r="D413" i="5"/>
  <c r="E413" i="5"/>
  <c r="F413" i="5"/>
  <c r="G414" i="4"/>
  <c r="H414" i="4"/>
  <c r="C414" i="5"/>
  <c r="D414" i="5"/>
  <c r="E414" i="5"/>
  <c r="F414" i="5"/>
  <c r="G415" i="4"/>
  <c r="H415" i="4"/>
  <c r="C415" i="5"/>
  <c r="D415" i="5"/>
  <c r="E415" i="5"/>
  <c r="F415" i="5"/>
  <c r="G416" i="4"/>
  <c r="H416" i="4"/>
  <c r="C416" i="5"/>
  <c r="D416" i="5"/>
  <c r="E416" i="5"/>
  <c r="F416" i="5"/>
  <c r="G417" i="4"/>
  <c r="H417" i="4"/>
  <c r="C417" i="5"/>
  <c r="D417" i="5"/>
  <c r="E417" i="5"/>
  <c r="F417" i="5"/>
  <c r="G418" i="4"/>
  <c r="H418" i="4"/>
  <c r="C418" i="5"/>
  <c r="D418" i="5"/>
  <c r="E418" i="5"/>
  <c r="F418" i="5"/>
  <c r="G419" i="4"/>
  <c r="H419" i="4"/>
  <c r="C419" i="5"/>
  <c r="D419" i="5"/>
  <c r="E419" i="5"/>
  <c r="F419" i="5"/>
  <c r="G420" i="4"/>
  <c r="H420" i="4"/>
  <c r="C420" i="5"/>
  <c r="D420" i="5"/>
  <c r="E420" i="5"/>
  <c r="F420" i="5"/>
  <c r="G421" i="4"/>
  <c r="H421" i="4"/>
  <c r="C421" i="5"/>
  <c r="D421" i="5"/>
  <c r="E421" i="5"/>
  <c r="F421" i="5"/>
  <c r="G422" i="4"/>
  <c r="H422" i="4"/>
  <c r="C422" i="5"/>
  <c r="D422" i="5"/>
  <c r="E422" i="5"/>
  <c r="F422" i="5"/>
  <c r="G423" i="4"/>
  <c r="H423" i="4"/>
  <c r="C423" i="5"/>
  <c r="D423" i="5"/>
  <c r="E423" i="5"/>
  <c r="F423" i="5"/>
  <c r="G424" i="4"/>
  <c r="H424" i="4"/>
  <c r="C424" i="5"/>
  <c r="D424" i="5"/>
  <c r="E424" i="5"/>
  <c r="F424" i="5"/>
  <c r="G425" i="4"/>
  <c r="H425" i="4"/>
  <c r="C425" i="5"/>
  <c r="D425" i="5"/>
  <c r="E425" i="5"/>
  <c r="F425" i="5"/>
  <c r="G426" i="4"/>
  <c r="H426" i="4"/>
  <c r="C426" i="5"/>
  <c r="D426" i="5"/>
  <c r="E426" i="5"/>
  <c r="F426" i="5"/>
  <c r="G427" i="4"/>
  <c r="H427" i="4"/>
  <c r="C427" i="5"/>
  <c r="D427" i="5"/>
  <c r="E427" i="5"/>
  <c r="F427" i="5"/>
  <c r="G428" i="4"/>
  <c r="H428" i="4"/>
  <c r="C428" i="5"/>
  <c r="D428" i="5"/>
  <c r="E428" i="5"/>
  <c r="F428" i="5"/>
  <c r="G429" i="4"/>
  <c r="H429" i="4"/>
  <c r="C429" i="5"/>
  <c r="D429" i="5"/>
  <c r="E429" i="5"/>
  <c r="F429" i="5"/>
  <c r="G430" i="4"/>
  <c r="H430" i="4"/>
  <c r="C430" i="5"/>
  <c r="D430" i="5"/>
  <c r="E430" i="5"/>
  <c r="F430" i="5"/>
  <c r="G431" i="4"/>
  <c r="H431" i="4"/>
  <c r="C431" i="5"/>
  <c r="D431" i="5"/>
  <c r="E431" i="5"/>
  <c r="F431" i="5"/>
  <c r="G432" i="4"/>
  <c r="H432" i="4"/>
  <c r="C432" i="5"/>
  <c r="D432" i="5"/>
  <c r="E432" i="5"/>
  <c r="F432" i="5"/>
  <c r="G433" i="4"/>
  <c r="H433" i="4"/>
  <c r="C433" i="5"/>
  <c r="D433" i="5"/>
  <c r="E433" i="5"/>
  <c r="F433" i="5"/>
  <c r="G434" i="4"/>
  <c r="H434" i="4"/>
  <c r="C434" i="5"/>
  <c r="D434" i="5"/>
  <c r="E434" i="5"/>
  <c r="F434" i="5"/>
  <c r="G435" i="4"/>
  <c r="H435" i="4"/>
  <c r="C435" i="5"/>
  <c r="D435" i="5"/>
  <c r="E435" i="5"/>
  <c r="F435" i="5"/>
  <c r="G436" i="4"/>
  <c r="H436" i="4"/>
  <c r="C436" i="5"/>
  <c r="D436" i="5"/>
  <c r="E436" i="5"/>
  <c r="F436" i="5"/>
  <c r="G437" i="4"/>
  <c r="H437" i="4"/>
  <c r="C437" i="5"/>
  <c r="D437" i="5"/>
  <c r="E437" i="5"/>
  <c r="F437" i="5"/>
  <c r="G438" i="4"/>
  <c r="H438" i="4"/>
  <c r="C438" i="5"/>
  <c r="D438" i="5"/>
  <c r="E438" i="5"/>
  <c r="F438" i="5"/>
  <c r="G439" i="4"/>
  <c r="H439" i="4"/>
  <c r="C439" i="5"/>
  <c r="D439" i="5"/>
  <c r="E439" i="5"/>
  <c r="F439" i="5"/>
  <c r="G440" i="4"/>
  <c r="H440" i="4"/>
  <c r="C440" i="5"/>
  <c r="D440" i="5"/>
  <c r="E440" i="5"/>
  <c r="F440" i="5"/>
  <c r="G441" i="4"/>
  <c r="H441" i="4"/>
  <c r="C441" i="5"/>
  <c r="D441" i="5"/>
  <c r="E441" i="5"/>
  <c r="F441" i="5"/>
  <c r="G442" i="4"/>
  <c r="H442" i="4"/>
  <c r="C442" i="5"/>
  <c r="D442" i="5"/>
  <c r="E442" i="5"/>
  <c r="F442" i="5"/>
  <c r="G443" i="4"/>
  <c r="H443" i="4"/>
  <c r="C443" i="5"/>
  <c r="D443" i="5"/>
  <c r="E443" i="5"/>
  <c r="F443" i="5"/>
  <c r="G444" i="4"/>
  <c r="H444" i="4"/>
  <c r="C444" i="5"/>
  <c r="D444" i="5"/>
  <c r="E444" i="5"/>
  <c r="F444" i="5"/>
  <c r="G445" i="4"/>
  <c r="H445" i="4"/>
  <c r="C445" i="5"/>
  <c r="D445" i="5"/>
  <c r="E445" i="5"/>
  <c r="F445" i="5"/>
  <c r="G446" i="4"/>
  <c r="H446" i="4"/>
  <c r="C446" i="5"/>
  <c r="D446" i="5"/>
  <c r="E446" i="5"/>
  <c r="F446" i="5"/>
  <c r="G447" i="4"/>
  <c r="H447" i="4"/>
  <c r="C447" i="5"/>
  <c r="D447" i="5"/>
  <c r="E447" i="5"/>
  <c r="F447" i="5"/>
  <c r="G448" i="4"/>
  <c r="H448" i="4"/>
  <c r="C448" i="5"/>
  <c r="D448" i="5"/>
  <c r="E448" i="5"/>
  <c r="F448" i="5"/>
  <c r="G449" i="4"/>
  <c r="H449" i="4"/>
  <c r="C449" i="5"/>
  <c r="D449" i="5"/>
  <c r="E449" i="5"/>
  <c r="F449" i="5"/>
  <c r="G450" i="4"/>
  <c r="H450" i="4"/>
  <c r="C450" i="5"/>
  <c r="D450" i="5"/>
  <c r="E450" i="5"/>
  <c r="F450" i="5"/>
  <c r="G451" i="4"/>
  <c r="H451" i="4"/>
  <c r="C451" i="5"/>
  <c r="D451" i="5"/>
  <c r="E451" i="5"/>
  <c r="F451" i="5"/>
  <c r="G452" i="4"/>
  <c r="H452" i="4"/>
  <c r="C452" i="5"/>
  <c r="D452" i="5"/>
  <c r="E452" i="5"/>
  <c r="F452" i="5"/>
  <c r="G453" i="4"/>
  <c r="H453" i="4"/>
  <c r="C453" i="5"/>
  <c r="D453" i="5"/>
  <c r="E453" i="5"/>
  <c r="F453" i="5"/>
  <c r="G454" i="4"/>
  <c r="H454" i="4"/>
  <c r="C454" i="5"/>
  <c r="D454" i="5"/>
  <c r="E454" i="5"/>
  <c r="F454" i="5"/>
  <c r="G455" i="4"/>
  <c r="H455" i="4"/>
  <c r="C455" i="5"/>
  <c r="D455" i="5"/>
  <c r="E455" i="5"/>
  <c r="F455" i="5"/>
  <c r="G456" i="4"/>
  <c r="H456" i="4"/>
  <c r="C456" i="5"/>
  <c r="D456" i="5"/>
  <c r="E456" i="5"/>
  <c r="F456" i="5"/>
  <c r="G457" i="4"/>
  <c r="H457" i="4"/>
  <c r="C457" i="5"/>
  <c r="D457" i="5"/>
  <c r="E457" i="5"/>
  <c r="F457" i="5"/>
  <c r="G458" i="4"/>
  <c r="H458" i="4"/>
  <c r="C458" i="5"/>
  <c r="D458" i="5"/>
  <c r="E458" i="5"/>
  <c r="F458" i="5"/>
  <c r="G459" i="4"/>
  <c r="H459" i="4"/>
  <c r="C459" i="5"/>
  <c r="D459" i="5"/>
  <c r="E459" i="5"/>
  <c r="F459" i="5"/>
  <c r="G460" i="4"/>
  <c r="H460" i="4"/>
  <c r="C460" i="5"/>
  <c r="D460" i="5"/>
  <c r="E460" i="5"/>
  <c r="F460" i="5"/>
  <c r="G461" i="4"/>
  <c r="H461" i="4"/>
  <c r="C461" i="5"/>
  <c r="D461" i="5"/>
  <c r="E461" i="5"/>
  <c r="F461" i="5"/>
  <c r="G462" i="4"/>
  <c r="H462" i="4"/>
  <c r="C462" i="5"/>
  <c r="D462" i="5"/>
  <c r="E462" i="5"/>
  <c r="F462" i="5"/>
  <c r="G463" i="4"/>
  <c r="H463" i="4"/>
  <c r="C463" i="5"/>
  <c r="D463" i="5"/>
  <c r="E463" i="5"/>
  <c r="F463" i="5"/>
  <c r="G464" i="4"/>
  <c r="H464" i="4"/>
  <c r="C464" i="5"/>
  <c r="D464" i="5"/>
  <c r="E464" i="5"/>
  <c r="F464" i="5"/>
  <c r="G465" i="4"/>
  <c r="H465" i="4"/>
  <c r="C465" i="5"/>
  <c r="D465" i="5"/>
  <c r="E465" i="5"/>
  <c r="F465" i="5"/>
  <c r="G466" i="4"/>
  <c r="H466" i="4"/>
  <c r="C466" i="5"/>
  <c r="D466" i="5"/>
  <c r="E466" i="5"/>
  <c r="F466" i="5"/>
  <c r="G467" i="4"/>
  <c r="H467" i="4"/>
  <c r="C467" i="5"/>
  <c r="D467" i="5"/>
  <c r="E467" i="5"/>
  <c r="F467" i="5"/>
  <c r="G468" i="4"/>
  <c r="H468" i="4"/>
  <c r="C468" i="5"/>
  <c r="D468" i="5"/>
  <c r="E468" i="5"/>
  <c r="F468" i="5"/>
  <c r="G469" i="4"/>
  <c r="H469" i="4"/>
  <c r="C469" i="5"/>
  <c r="D469" i="5"/>
  <c r="E469" i="5"/>
  <c r="F469" i="5"/>
  <c r="G470" i="4"/>
  <c r="H470" i="4"/>
  <c r="C470" i="5"/>
  <c r="D470" i="5"/>
  <c r="E470" i="5"/>
  <c r="F470" i="5"/>
  <c r="G471" i="4"/>
  <c r="H471" i="4"/>
  <c r="C471" i="5"/>
  <c r="D471" i="5"/>
  <c r="E471" i="5"/>
  <c r="F471" i="5"/>
  <c r="G472" i="4"/>
  <c r="H472" i="4"/>
  <c r="C472" i="5"/>
  <c r="D472" i="5"/>
  <c r="E472" i="5"/>
  <c r="F472" i="5"/>
  <c r="G473" i="4"/>
  <c r="H473" i="4"/>
  <c r="C473" i="5"/>
  <c r="D473" i="5"/>
  <c r="E473" i="5"/>
  <c r="F473" i="5"/>
  <c r="G474" i="4"/>
  <c r="H474" i="4"/>
  <c r="C474" i="5"/>
  <c r="D474" i="5"/>
  <c r="E474" i="5"/>
  <c r="F474" i="5"/>
  <c r="G475" i="4"/>
  <c r="H475" i="4"/>
  <c r="C475" i="5"/>
  <c r="D475" i="5"/>
  <c r="E475" i="5"/>
  <c r="F475" i="5"/>
  <c r="G476" i="4"/>
  <c r="H476" i="4"/>
  <c r="C476" i="5"/>
  <c r="D476" i="5"/>
  <c r="E476" i="5"/>
  <c r="F476" i="5"/>
  <c r="G477" i="4"/>
  <c r="H477" i="4"/>
  <c r="C477" i="5"/>
  <c r="D477" i="5"/>
  <c r="E477" i="5"/>
  <c r="F477" i="5"/>
  <c r="G478" i="4"/>
  <c r="H478" i="4"/>
  <c r="C478" i="5"/>
  <c r="D478" i="5"/>
  <c r="E478" i="5"/>
  <c r="F478" i="5"/>
  <c r="G479" i="4"/>
  <c r="H479" i="4"/>
  <c r="C479" i="5"/>
  <c r="D479" i="5"/>
  <c r="E479" i="5"/>
  <c r="F479" i="5"/>
  <c r="G480" i="4"/>
  <c r="H480" i="4"/>
  <c r="C480" i="5"/>
  <c r="D480" i="5"/>
  <c r="E480" i="5"/>
  <c r="F480" i="5"/>
  <c r="G481" i="4"/>
  <c r="H481" i="4"/>
  <c r="C481" i="5"/>
  <c r="D481" i="5"/>
  <c r="E481" i="5"/>
  <c r="F481" i="5"/>
  <c r="G482" i="4"/>
  <c r="H482" i="4"/>
  <c r="C482" i="5"/>
  <c r="D482" i="5"/>
  <c r="E482" i="5"/>
  <c r="F482" i="5"/>
  <c r="G483" i="4"/>
  <c r="H483" i="4"/>
  <c r="C483" i="5"/>
  <c r="D483" i="5"/>
  <c r="E483" i="5"/>
  <c r="F483" i="5"/>
  <c r="G484" i="4"/>
  <c r="H484" i="4"/>
  <c r="C484" i="5"/>
  <c r="D484" i="5"/>
  <c r="E484" i="5"/>
  <c r="F484" i="5"/>
  <c r="G485" i="4"/>
  <c r="H485" i="4"/>
  <c r="C485" i="5"/>
  <c r="D485" i="5"/>
  <c r="E485" i="5"/>
  <c r="F485" i="5"/>
  <c r="G486" i="4"/>
  <c r="H486" i="4"/>
  <c r="C486" i="5"/>
  <c r="D486" i="5"/>
  <c r="E486" i="5"/>
  <c r="F486" i="5"/>
  <c r="G487" i="4"/>
  <c r="H487" i="4"/>
  <c r="C487" i="5"/>
  <c r="D487" i="5"/>
  <c r="E487" i="5"/>
  <c r="F487" i="5"/>
  <c r="C488" i="4"/>
  <c r="D488" i="4"/>
  <c r="E488" i="4"/>
  <c r="F488" i="4"/>
  <c r="G488" i="4"/>
  <c r="H488" i="4"/>
  <c r="C488" i="5"/>
  <c r="D488" i="5"/>
  <c r="E488" i="5"/>
  <c r="F488" i="5"/>
  <c r="C489" i="4"/>
  <c r="D489" i="4"/>
  <c r="E489" i="4"/>
  <c r="F489" i="4"/>
  <c r="G489" i="4"/>
  <c r="H489" i="4"/>
  <c r="C489" i="5"/>
  <c r="D489" i="5"/>
  <c r="E489" i="5"/>
  <c r="F489" i="5"/>
  <c r="C490" i="4"/>
  <c r="D490" i="4"/>
  <c r="E490" i="4"/>
  <c r="F490" i="4"/>
  <c r="G490" i="4"/>
  <c r="H490" i="4"/>
  <c r="C490" i="5"/>
  <c r="D490" i="5"/>
  <c r="E490" i="5"/>
  <c r="F490" i="5"/>
  <c r="C491" i="4"/>
  <c r="D491" i="4"/>
  <c r="E491" i="4"/>
  <c r="F491" i="4"/>
  <c r="G491" i="4"/>
  <c r="H491" i="4"/>
  <c r="C491" i="5"/>
  <c r="D491" i="5"/>
  <c r="E491" i="5"/>
  <c r="F491" i="5"/>
  <c r="C492" i="4"/>
  <c r="D492" i="4"/>
  <c r="E492" i="4"/>
  <c r="F492" i="4"/>
  <c r="G492" i="4"/>
  <c r="H492" i="4"/>
  <c r="C492" i="5"/>
  <c r="D492" i="5"/>
  <c r="E492" i="5"/>
  <c r="F492" i="5"/>
  <c r="C493" i="4"/>
  <c r="D493" i="4"/>
  <c r="E493" i="4"/>
  <c r="F493" i="4"/>
  <c r="G493" i="4"/>
  <c r="H493" i="4"/>
  <c r="C493" i="5"/>
  <c r="D493" i="5"/>
  <c r="E493" i="5"/>
  <c r="F493" i="5"/>
  <c r="C494" i="4"/>
  <c r="D494" i="4"/>
  <c r="E494" i="4"/>
  <c r="F494" i="4"/>
  <c r="G494" i="4"/>
  <c r="H494" i="4"/>
  <c r="C494" i="5"/>
  <c r="D494" i="5"/>
  <c r="E494" i="5"/>
  <c r="F494" i="5"/>
  <c r="C495" i="4"/>
  <c r="D495" i="4"/>
  <c r="E495" i="4"/>
  <c r="F495" i="4"/>
  <c r="G495" i="4"/>
  <c r="H495" i="4"/>
  <c r="C495" i="5"/>
  <c r="D495" i="5"/>
  <c r="E495" i="5"/>
  <c r="F495" i="5"/>
  <c r="C496" i="4"/>
  <c r="D496" i="4"/>
  <c r="E496" i="4"/>
  <c r="F496" i="4"/>
  <c r="G496" i="4"/>
  <c r="H496" i="4"/>
  <c r="C496" i="5"/>
  <c r="D496" i="5"/>
  <c r="E496" i="5"/>
  <c r="F496" i="5"/>
  <c r="C497" i="4"/>
  <c r="D497" i="4"/>
  <c r="E497" i="4"/>
  <c r="F497" i="4"/>
  <c r="G497" i="4"/>
  <c r="H497" i="4"/>
  <c r="C497" i="5"/>
  <c r="D497" i="5"/>
  <c r="E497" i="5"/>
  <c r="F497" i="5"/>
  <c r="C498" i="4"/>
  <c r="D498" i="4"/>
  <c r="E498" i="4"/>
  <c r="F498" i="4"/>
  <c r="G498" i="4"/>
  <c r="H498" i="4"/>
  <c r="C498" i="5"/>
  <c r="D498" i="5"/>
  <c r="E498" i="5"/>
  <c r="F498" i="5"/>
  <c r="C499" i="4"/>
  <c r="D499" i="4"/>
  <c r="E499" i="4"/>
  <c r="F499" i="4"/>
  <c r="G499" i="4"/>
  <c r="H499" i="4"/>
  <c r="C499" i="5"/>
  <c r="D499" i="5"/>
  <c r="E499" i="5"/>
  <c r="F499" i="5"/>
  <c r="C500" i="4"/>
  <c r="D500" i="4"/>
  <c r="E500" i="4"/>
  <c r="F500" i="4"/>
  <c r="G500" i="4"/>
  <c r="H500" i="4"/>
  <c r="C500" i="5"/>
  <c r="D500" i="5"/>
  <c r="E500" i="5"/>
  <c r="F500" i="5"/>
  <c r="C501" i="4"/>
  <c r="D501" i="4"/>
  <c r="E501" i="4"/>
  <c r="F501" i="4"/>
  <c r="G501" i="4"/>
  <c r="H501" i="4"/>
  <c r="C501" i="5"/>
  <c r="D501" i="5"/>
  <c r="E501" i="5"/>
  <c r="F501" i="5"/>
  <c r="C502" i="4"/>
  <c r="D502" i="4"/>
  <c r="E502" i="4"/>
  <c r="F502" i="4"/>
  <c r="G502" i="4"/>
  <c r="H502" i="4"/>
  <c r="C502" i="5"/>
  <c r="D502" i="5"/>
  <c r="E502" i="5"/>
  <c r="F502" i="5"/>
  <c r="C503" i="4"/>
  <c r="D503" i="4"/>
  <c r="E503" i="4"/>
  <c r="F503" i="4"/>
  <c r="G503" i="4"/>
  <c r="H503" i="4"/>
  <c r="C503" i="5"/>
  <c r="D503" i="5"/>
  <c r="E503" i="5"/>
  <c r="F503" i="5"/>
  <c r="C504" i="4"/>
  <c r="D504" i="4"/>
  <c r="E504" i="4"/>
  <c r="F504" i="4"/>
  <c r="G504" i="4"/>
  <c r="H504" i="4"/>
  <c r="C504" i="5"/>
  <c r="D504" i="5"/>
  <c r="E504" i="5"/>
  <c r="F504" i="5"/>
  <c r="C505" i="4"/>
  <c r="D505" i="4"/>
  <c r="E505" i="4"/>
  <c r="F505" i="4"/>
  <c r="G505" i="4"/>
  <c r="H505" i="4"/>
  <c r="C505" i="5"/>
  <c r="D505" i="5"/>
  <c r="E505" i="5"/>
  <c r="F505" i="5"/>
  <c r="C506" i="4"/>
  <c r="D506" i="4"/>
  <c r="E506" i="4"/>
  <c r="F506" i="4"/>
  <c r="G506" i="4"/>
  <c r="H506" i="4"/>
  <c r="C506" i="5"/>
  <c r="D506" i="5"/>
  <c r="E506" i="5"/>
  <c r="F506" i="5"/>
  <c r="C507" i="4"/>
  <c r="D507" i="4"/>
  <c r="E507" i="4"/>
  <c r="F507" i="4"/>
  <c r="G507" i="4"/>
  <c r="H507" i="4"/>
  <c r="C507" i="5"/>
  <c r="D507" i="5"/>
  <c r="E507" i="5"/>
  <c r="F507" i="5"/>
  <c r="C508" i="4"/>
  <c r="D508" i="4"/>
  <c r="E508" i="4"/>
  <c r="F508" i="4"/>
  <c r="G508" i="4"/>
  <c r="H508" i="4"/>
  <c r="C508" i="5"/>
  <c r="D508" i="5"/>
  <c r="E508" i="5"/>
  <c r="F508" i="5"/>
  <c r="C509" i="4"/>
  <c r="D509" i="4"/>
  <c r="E509" i="4"/>
  <c r="F509" i="4"/>
  <c r="G509" i="4"/>
  <c r="H509" i="4"/>
  <c r="C509" i="5"/>
  <c r="D509" i="5"/>
  <c r="E509" i="5"/>
  <c r="F509" i="5"/>
  <c r="C510" i="4"/>
  <c r="D510" i="4"/>
  <c r="E510" i="4"/>
  <c r="F510" i="4"/>
  <c r="G510" i="4"/>
  <c r="H510" i="4"/>
  <c r="C510" i="5"/>
  <c r="D510" i="5"/>
  <c r="E510" i="5"/>
  <c r="F510" i="5"/>
  <c r="C511" i="4"/>
  <c r="D511" i="4"/>
  <c r="E511" i="4"/>
  <c r="F511" i="4"/>
  <c r="G511" i="4"/>
  <c r="H511" i="4"/>
  <c r="C511" i="5"/>
  <c r="D511" i="5"/>
  <c r="E511" i="5"/>
  <c r="F511" i="5"/>
  <c r="C512" i="4"/>
  <c r="D512" i="4"/>
  <c r="E512" i="4"/>
  <c r="F512" i="4"/>
  <c r="G512" i="4"/>
  <c r="H512" i="4"/>
  <c r="C512" i="5"/>
  <c r="D512" i="5"/>
  <c r="E512" i="5"/>
  <c r="F512" i="5"/>
  <c r="C513" i="4"/>
  <c r="D513" i="4"/>
  <c r="E513" i="4"/>
  <c r="F513" i="4"/>
  <c r="G513" i="4"/>
  <c r="H513" i="4"/>
  <c r="C513" i="5"/>
  <c r="D513" i="5"/>
  <c r="E513" i="5"/>
  <c r="F513" i="5"/>
  <c r="C514" i="4"/>
  <c r="D514" i="4"/>
  <c r="E514" i="4"/>
  <c r="F514" i="4"/>
  <c r="G514" i="4"/>
  <c r="H514" i="4"/>
  <c r="C514" i="5"/>
  <c r="D514" i="5"/>
  <c r="E514" i="5"/>
  <c r="F514" i="5"/>
  <c r="C515" i="4"/>
  <c r="D515" i="4"/>
  <c r="E515" i="4"/>
  <c r="F515" i="4"/>
  <c r="G515" i="4"/>
  <c r="H515" i="4"/>
  <c r="C515" i="5"/>
  <c r="D515" i="5"/>
  <c r="E515" i="5"/>
  <c r="F515" i="5"/>
  <c r="C516" i="4"/>
  <c r="D516" i="4"/>
  <c r="E516" i="4"/>
  <c r="F516" i="4"/>
  <c r="G516" i="4"/>
  <c r="H516" i="4"/>
  <c r="C516" i="5"/>
  <c r="D516" i="5"/>
  <c r="E516" i="5"/>
  <c r="F516" i="5"/>
  <c r="C517" i="4"/>
  <c r="D517" i="4"/>
  <c r="E517" i="4"/>
  <c r="F517" i="4"/>
  <c r="G517" i="4"/>
  <c r="H517" i="4"/>
  <c r="C517" i="5"/>
  <c r="D517" i="5"/>
  <c r="E517" i="5"/>
  <c r="F517" i="5"/>
  <c r="C518" i="4"/>
  <c r="D518" i="4"/>
  <c r="E518" i="4"/>
  <c r="F518" i="4"/>
  <c r="G518" i="4"/>
  <c r="H518" i="4"/>
  <c r="C518" i="5"/>
  <c r="D518" i="5"/>
  <c r="E518" i="5"/>
  <c r="F518" i="5"/>
  <c r="C519" i="4"/>
  <c r="D519" i="4"/>
  <c r="E519" i="4"/>
  <c r="F519" i="4"/>
  <c r="G519" i="4"/>
  <c r="H519" i="4"/>
  <c r="C519" i="5"/>
  <c r="D519" i="5"/>
  <c r="E519" i="5"/>
  <c r="F519" i="5"/>
  <c r="C520" i="4"/>
  <c r="D520" i="4"/>
  <c r="E520" i="4"/>
  <c r="F520" i="4"/>
  <c r="G520" i="4"/>
  <c r="H520" i="4"/>
  <c r="C520" i="5"/>
  <c r="D520" i="5"/>
  <c r="E520" i="5"/>
  <c r="F520" i="5"/>
  <c r="C521" i="4"/>
  <c r="D521" i="4"/>
  <c r="E521" i="4"/>
  <c r="F521" i="4"/>
  <c r="G521" i="4"/>
  <c r="H521" i="4"/>
  <c r="C521" i="5"/>
  <c r="D521" i="5"/>
  <c r="E521" i="5"/>
  <c r="F521" i="5"/>
  <c r="C522" i="4"/>
  <c r="D522" i="4"/>
  <c r="E522" i="4"/>
  <c r="F522" i="4"/>
  <c r="G522" i="4"/>
  <c r="H522" i="4"/>
  <c r="C522" i="5"/>
  <c r="D522" i="5"/>
  <c r="E522" i="5"/>
  <c r="F522" i="5"/>
  <c r="C523" i="4"/>
  <c r="D523" i="4"/>
  <c r="E523" i="4"/>
  <c r="F523" i="4"/>
  <c r="G523" i="4"/>
  <c r="H523" i="4"/>
  <c r="C523" i="5"/>
  <c r="D523" i="5"/>
  <c r="E523" i="5"/>
  <c r="F523" i="5"/>
  <c r="C524" i="4"/>
  <c r="D524" i="4"/>
  <c r="E524" i="4"/>
  <c r="F524" i="4"/>
  <c r="G524" i="4"/>
  <c r="H524" i="4"/>
  <c r="C524" i="5"/>
  <c r="D524" i="5"/>
  <c r="E524" i="5"/>
  <c r="F524" i="5"/>
  <c r="C525" i="4"/>
  <c r="D525" i="4"/>
  <c r="E525" i="4"/>
  <c r="F525" i="4"/>
  <c r="G525" i="4"/>
  <c r="H525" i="4"/>
  <c r="C525" i="5"/>
  <c r="D525" i="5"/>
  <c r="E525" i="5"/>
  <c r="F525" i="5"/>
  <c r="C526" i="4"/>
  <c r="D526" i="4"/>
  <c r="E526" i="4"/>
  <c r="F526" i="4"/>
  <c r="G526" i="4"/>
  <c r="H526" i="4"/>
  <c r="C526" i="5"/>
  <c r="D526" i="5"/>
  <c r="E526" i="5"/>
  <c r="F526" i="5"/>
  <c r="C527" i="4"/>
  <c r="D527" i="4"/>
  <c r="E527" i="4"/>
  <c r="F527" i="4"/>
  <c r="G527" i="4"/>
  <c r="H527" i="4"/>
  <c r="C527" i="5"/>
  <c r="D527" i="5"/>
  <c r="E527" i="5"/>
  <c r="F527" i="5"/>
  <c r="C528" i="4"/>
  <c r="D528" i="4"/>
  <c r="E528" i="4"/>
  <c r="F528" i="4"/>
  <c r="G528" i="4"/>
  <c r="H528" i="4"/>
  <c r="C528" i="5"/>
  <c r="D528" i="5"/>
  <c r="E528" i="5"/>
  <c r="F528" i="5"/>
  <c r="C529" i="4"/>
  <c r="D529" i="4"/>
  <c r="E529" i="4"/>
  <c r="F529" i="4"/>
  <c r="G529" i="4"/>
  <c r="H529" i="4"/>
  <c r="C529" i="5"/>
  <c r="D529" i="5"/>
  <c r="E529" i="5"/>
  <c r="F529" i="5"/>
  <c r="C530" i="4"/>
  <c r="D530" i="4"/>
  <c r="E530" i="4"/>
  <c r="F530" i="4"/>
  <c r="G530" i="4"/>
  <c r="H530" i="4"/>
  <c r="C530" i="5"/>
  <c r="D530" i="5"/>
  <c r="E530" i="5"/>
  <c r="F530" i="5"/>
  <c r="C531" i="4"/>
  <c r="D531" i="4"/>
  <c r="E531" i="4"/>
  <c r="F531" i="4"/>
  <c r="G531" i="4"/>
  <c r="H531" i="4"/>
  <c r="C531" i="5"/>
  <c r="D531" i="5"/>
  <c r="E531" i="5"/>
  <c r="F531" i="5"/>
  <c r="C532" i="4"/>
  <c r="D532" i="4"/>
  <c r="E532" i="4"/>
  <c r="F532" i="4"/>
  <c r="G532" i="4"/>
  <c r="H532" i="4"/>
  <c r="C532" i="5"/>
  <c r="D532" i="5"/>
  <c r="E532" i="5"/>
  <c r="F532" i="5"/>
  <c r="C533" i="4"/>
  <c r="D533" i="4"/>
  <c r="E533" i="4"/>
  <c r="F533" i="4"/>
  <c r="G533" i="4"/>
  <c r="H533" i="4"/>
  <c r="C533" i="5"/>
  <c r="D533" i="5"/>
  <c r="E533" i="5"/>
  <c r="F533" i="5"/>
  <c r="C534" i="4"/>
  <c r="D534" i="4"/>
  <c r="E534" i="4"/>
  <c r="F534" i="4"/>
  <c r="G534" i="4"/>
  <c r="H534" i="4"/>
  <c r="C534" i="5"/>
  <c r="D534" i="5"/>
  <c r="E534" i="5"/>
  <c r="F534" i="5"/>
  <c r="C535" i="4"/>
  <c r="D535" i="4"/>
  <c r="E535" i="4"/>
  <c r="F535" i="4"/>
  <c r="G535" i="4"/>
  <c r="H535" i="4"/>
  <c r="C535" i="5"/>
  <c r="D535" i="5"/>
  <c r="E535" i="5"/>
  <c r="F535" i="5"/>
  <c r="C536" i="4"/>
  <c r="D536" i="4"/>
  <c r="E536" i="4"/>
  <c r="F536" i="4"/>
  <c r="G536" i="4"/>
  <c r="H536" i="4"/>
  <c r="C536" i="5"/>
  <c r="D536" i="5"/>
  <c r="E536" i="5"/>
  <c r="F536" i="5"/>
  <c r="C537" i="4"/>
  <c r="D537" i="4"/>
  <c r="E537" i="4"/>
  <c r="F537" i="4"/>
  <c r="G537" i="4"/>
  <c r="H537" i="4"/>
  <c r="C537" i="5"/>
  <c r="D537" i="5"/>
  <c r="E537" i="5"/>
  <c r="F537" i="5"/>
  <c r="C538" i="4"/>
  <c r="D538" i="4"/>
  <c r="E538" i="4"/>
  <c r="F538" i="4"/>
  <c r="G538" i="4"/>
  <c r="H538" i="4"/>
  <c r="C538" i="5"/>
  <c r="D538" i="5"/>
  <c r="E538" i="5"/>
  <c r="F538" i="5"/>
  <c r="C539" i="4"/>
  <c r="D539" i="4"/>
  <c r="E539" i="4"/>
  <c r="F539" i="4"/>
  <c r="G539" i="4"/>
  <c r="H539" i="4"/>
  <c r="C539" i="5"/>
  <c r="D539" i="5"/>
  <c r="E539" i="5"/>
  <c r="F539" i="5"/>
  <c r="C540" i="4"/>
  <c r="D540" i="4"/>
  <c r="E540" i="4"/>
  <c r="F540" i="4"/>
  <c r="G540" i="4"/>
  <c r="H540" i="4"/>
  <c r="C540" i="5"/>
  <c r="D540" i="5"/>
  <c r="E540" i="5"/>
  <c r="F540" i="5"/>
  <c r="C541" i="4"/>
  <c r="D541" i="4"/>
  <c r="E541" i="4"/>
  <c r="F541" i="4"/>
  <c r="G541" i="4"/>
  <c r="H541" i="4"/>
  <c r="C541" i="5"/>
  <c r="D541" i="5"/>
  <c r="E541" i="5"/>
  <c r="F541" i="5"/>
  <c r="C542" i="4"/>
  <c r="D542" i="4"/>
  <c r="E542" i="4"/>
  <c r="F542" i="4"/>
  <c r="G542" i="4"/>
  <c r="H542" i="4"/>
  <c r="C542" i="5"/>
  <c r="D542" i="5"/>
  <c r="E542" i="5"/>
  <c r="F542" i="5"/>
  <c r="C543" i="4"/>
  <c r="D543" i="4"/>
  <c r="E543" i="4"/>
  <c r="F543" i="4"/>
  <c r="G543" i="4"/>
  <c r="H543" i="4"/>
  <c r="C543" i="5"/>
  <c r="D543" i="5"/>
  <c r="E543" i="5"/>
  <c r="F543" i="5"/>
  <c r="C544" i="4"/>
  <c r="D544" i="4"/>
  <c r="E544" i="4"/>
  <c r="F544" i="4"/>
  <c r="G544" i="4"/>
  <c r="H544" i="4"/>
  <c r="C544" i="5"/>
  <c r="D544" i="5"/>
  <c r="E544" i="5"/>
  <c r="F544" i="5"/>
  <c r="C545" i="4"/>
  <c r="D545" i="4"/>
  <c r="E545" i="4"/>
  <c r="F545" i="4"/>
  <c r="G545" i="4"/>
  <c r="H545" i="4"/>
  <c r="C545" i="5"/>
  <c r="D545" i="5"/>
  <c r="E545" i="5"/>
  <c r="F545" i="5"/>
  <c r="C546" i="4"/>
  <c r="D546" i="4"/>
  <c r="E546" i="4"/>
  <c r="F546" i="4"/>
  <c r="G546" i="4"/>
  <c r="H546" i="4"/>
  <c r="C546" i="5"/>
  <c r="D546" i="5"/>
  <c r="E546" i="5"/>
  <c r="F546" i="5"/>
  <c r="C547" i="4"/>
  <c r="D547" i="4"/>
  <c r="E547" i="4"/>
  <c r="F547" i="4"/>
  <c r="G547" i="4"/>
  <c r="H547" i="4"/>
  <c r="C547" i="5"/>
  <c r="D547" i="5"/>
  <c r="E547" i="5"/>
  <c r="F547" i="5"/>
  <c r="C548" i="4"/>
  <c r="D548" i="4"/>
  <c r="E548" i="4"/>
  <c r="F548" i="4"/>
  <c r="G548" i="4"/>
  <c r="H548" i="4"/>
  <c r="C548" i="5"/>
  <c r="D548" i="5"/>
  <c r="E548" i="5"/>
  <c r="F548" i="5"/>
  <c r="C549" i="4"/>
  <c r="D549" i="4"/>
  <c r="E549" i="4"/>
  <c r="F549" i="4"/>
  <c r="G549" i="4"/>
  <c r="H549" i="4"/>
  <c r="C549" i="5"/>
  <c r="D549" i="5"/>
  <c r="E549" i="5"/>
  <c r="F549" i="5"/>
  <c r="C550" i="4"/>
  <c r="D550" i="4"/>
  <c r="E550" i="4"/>
  <c r="F550" i="4"/>
  <c r="G550" i="4"/>
  <c r="H550" i="4"/>
  <c r="C550" i="5"/>
  <c r="D550" i="5"/>
  <c r="E550" i="5"/>
  <c r="F550" i="5"/>
  <c r="C551" i="4"/>
  <c r="D551" i="4"/>
  <c r="E551" i="4"/>
  <c r="F551" i="4"/>
  <c r="G551" i="4"/>
  <c r="H551" i="4"/>
  <c r="C551" i="5"/>
  <c r="D551" i="5"/>
  <c r="E551" i="5"/>
  <c r="F551" i="5"/>
  <c r="C552" i="4"/>
  <c r="D552" i="4"/>
  <c r="E552" i="4"/>
  <c r="F552" i="4"/>
  <c r="G552" i="4"/>
  <c r="H552" i="4"/>
  <c r="C552" i="5"/>
  <c r="D552" i="5"/>
  <c r="E552" i="5"/>
  <c r="F552" i="5"/>
  <c r="C553" i="4"/>
  <c r="D553" i="4"/>
  <c r="E553" i="4"/>
  <c r="F553" i="4"/>
  <c r="G553" i="4"/>
  <c r="H553" i="4"/>
  <c r="C553" i="5"/>
  <c r="D553" i="5"/>
  <c r="E553" i="5"/>
  <c r="F553" i="5"/>
  <c r="C554" i="4"/>
  <c r="D554" i="4"/>
  <c r="E554" i="4"/>
  <c r="F554" i="4"/>
  <c r="G554" i="4"/>
  <c r="H554" i="4"/>
  <c r="C554" i="5"/>
  <c r="D554" i="5"/>
  <c r="E554" i="5"/>
  <c r="F554" i="5"/>
  <c r="C555" i="4"/>
  <c r="D555" i="4"/>
  <c r="E555" i="4"/>
  <c r="F555" i="4"/>
  <c r="G555" i="4"/>
  <c r="H555" i="4"/>
  <c r="C555" i="5"/>
  <c r="D555" i="5"/>
  <c r="E555" i="5"/>
  <c r="F555" i="5"/>
  <c r="C556" i="4"/>
  <c r="D556" i="4"/>
  <c r="E556" i="4"/>
  <c r="F556" i="4"/>
  <c r="G556" i="4"/>
  <c r="H556" i="4"/>
  <c r="C556" i="5"/>
  <c r="D556" i="5"/>
  <c r="E556" i="5"/>
  <c r="F556" i="5"/>
  <c r="C557" i="4"/>
  <c r="D557" i="4"/>
  <c r="E557" i="4"/>
  <c r="F557" i="4"/>
  <c r="G557" i="4"/>
  <c r="H557" i="4"/>
  <c r="C557" i="5"/>
  <c r="D557" i="5"/>
  <c r="E557" i="5"/>
  <c r="F557" i="5"/>
  <c r="C558" i="4"/>
  <c r="D558" i="4"/>
  <c r="E558" i="4"/>
  <c r="F558" i="4"/>
  <c r="G558" i="4"/>
  <c r="H558" i="4"/>
  <c r="C558" i="5"/>
  <c r="D558" i="5"/>
  <c r="E558" i="5"/>
  <c r="F558" i="5"/>
  <c r="C559" i="4"/>
  <c r="D559" i="4"/>
  <c r="E559" i="4"/>
  <c r="F559" i="4"/>
  <c r="G559" i="4"/>
  <c r="H559" i="4"/>
  <c r="C559" i="5"/>
  <c r="D559" i="5"/>
  <c r="E559" i="5"/>
  <c r="F559" i="5"/>
  <c r="C560" i="4"/>
  <c r="D560" i="4"/>
  <c r="E560" i="4"/>
  <c r="F560" i="4"/>
  <c r="G560" i="4"/>
  <c r="H560" i="4"/>
  <c r="C560" i="5"/>
  <c r="D560" i="5"/>
  <c r="E560" i="5"/>
  <c r="F560" i="5"/>
  <c r="C561" i="4"/>
  <c r="D561" i="4"/>
  <c r="E561" i="4"/>
  <c r="F561" i="4"/>
  <c r="G561" i="4"/>
  <c r="H561" i="4"/>
  <c r="C561" i="5"/>
  <c r="D561" i="5"/>
  <c r="E561" i="5"/>
  <c r="F561" i="5"/>
  <c r="C562" i="4"/>
  <c r="D562" i="4"/>
  <c r="E562" i="4"/>
  <c r="F562" i="4"/>
  <c r="G562" i="4"/>
  <c r="H562" i="4"/>
  <c r="C562" i="5"/>
  <c r="D562" i="5"/>
  <c r="E562" i="5"/>
  <c r="F562" i="5"/>
  <c r="C563" i="4"/>
  <c r="D563" i="4"/>
  <c r="E563" i="4"/>
  <c r="F563" i="4"/>
  <c r="G563" i="4"/>
  <c r="H563" i="4"/>
  <c r="C563" i="5"/>
  <c r="D563" i="5"/>
  <c r="E563" i="5"/>
  <c r="F563" i="5"/>
  <c r="C564" i="4"/>
  <c r="D564" i="4"/>
  <c r="E564" i="4"/>
  <c r="F564" i="4"/>
  <c r="G564" i="4"/>
  <c r="H564" i="4"/>
  <c r="C564" i="5"/>
  <c r="D564" i="5"/>
  <c r="E564" i="5"/>
  <c r="F564" i="5"/>
  <c r="C565" i="4"/>
  <c r="D565" i="4"/>
  <c r="E565" i="4"/>
  <c r="F565" i="4"/>
  <c r="G565" i="4"/>
  <c r="H565" i="4"/>
  <c r="C565" i="5"/>
  <c r="D565" i="5"/>
  <c r="E565" i="5"/>
  <c r="F565" i="5"/>
  <c r="C566" i="4"/>
  <c r="D566" i="4"/>
  <c r="E566" i="4"/>
  <c r="F566" i="4"/>
  <c r="G566" i="4"/>
  <c r="H566" i="4"/>
  <c r="C566" i="5"/>
  <c r="D566" i="5"/>
  <c r="E566" i="5"/>
  <c r="F566" i="5"/>
  <c r="C567" i="4"/>
  <c r="D567" i="4"/>
  <c r="E567" i="4"/>
  <c r="F567" i="4"/>
  <c r="G567" i="4"/>
  <c r="H567" i="4"/>
  <c r="C567" i="5"/>
  <c r="D567" i="5"/>
  <c r="E567" i="5"/>
  <c r="F567" i="5"/>
  <c r="C568" i="4"/>
  <c r="D568" i="4"/>
  <c r="E568" i="4"/>
  <c r="F568" i="4"/>
  <c r="G568" i="4"/>
  <c r="H568" i="4"/>
  <c r="C568" i="5"/>
  <c r="D568" i="5"/>
  <c r="E568" i="5"/>
  <c r="F568" i="5"/>
  <c r="C569" i="4"/>
  <c r="D569" i="4"/>
  <c r="E569" i="4"/>
  <c r="F569" i="4"/>
  <c r="G569" i="4"/>
  <c r="H569" i="4"/>
  <c r="C569" i="5"/>
  <c r="D569" i="5"/>
  <c r="E569" i="5"/>
  <c r="F569" i="5"/>
  <c r="C570" i="4"/>
  <c r="D570" i="4"/>
  <c r="E570" i="4"/>
  <c r="F570" i="4"/>
  <c r="G570" i="4"/>
  <c r="H570" i="4"/>
  <c r="C570" i="5"/>
  <c r="D570" i="5"/>
  <c r="E570" i="5"/>
  <c r="F570" i="5"/>
  <c r="C571" i="4"/>
  <c r="D571" i="4"/>
  <c r="E571" i="4"/>
  <c r="F571" i="4"/>
  <c r="G571" i="4"/>
  <c r="H571" i="4"/>
  <c r="C571" i="5"/>
  <c r="D571" i="5"/>
  <c r="E571" i="5"/>
  <c r="F571" i="5"/>
  <c r="C572" i="4"/>
  <c r="D572" i="4"/>
  <c r="E572" i="4"/>
  <c r="F572" i="4"/>
  <c r="G572" i="4"/>
  <c r="H572" i="4"/>
  <c r="C572" i="5"/>
  <c r="D572" i="5"/>
  <c r="E572" i="5"/>
  <c r="F572" i="5"/>
  <c r="C573" i="4"/>
  <c r="D573" i="4"/>
  <c r="E573" i="4"/>
  <c r="F573" i="4"/>
  <c r="G573" i="4"/>
  <c r="H573" i="4"/>
  <c r="C573" i="5"/>
  <c r="D573" i="5"/>
  <c r="E573" i="5"/>
  <c r="F573" i="5"/>
  <c r="C574" i="4"/>
  <c r="D574" i="4"/>
  <c r="E574" i="4"/>
  <c r="F574" i="4"/>
  <c r="G574" i="4"/>
  <c r="H574" i="4"/>
  <c r="C574" i="5"/>
  <c r="D574" i="5"/>
  <c r="E574" i="5"/>
  <c r="F574" i="5"/>
  <c r="C575" i="4"/>
  <c r="D575" i="4"/>
  <c r="E575" i="4"/>
  <c r="F575" i="4"/>
  <c r="G575" i="4"/>
  <c r="H575" i="4"/>
  <c r="C575" i="5"/>
  <c r="D575" i="5"/>
  <c r="E575" i="5"/>
  <c r="F575" i="5"/>
  <c r="C576" i="4"/>
  <c r="D576" i="4"/>
  <c r="E576" i="4"/>
  <c r="F576" i="4"/>
  <c r="G576" i="4"/>
  <c r="H576" i="4"/>
  <c r="C576" i="5"/>
  <c r="D576" i="5"/>
  <c r="E576" i="5"/>
  <c r="F576" i="5"/>
  <c r="C577" i="4"/>
  <c r="D577" i="4"/>
  <c r="E577" i="4"/>
  <c r="F577" i="4"/>
  <c r="G577" i="4"/>
  <c r="H577" i="4"/>
  <c r="C577" i="5"/>
  <c r="D577" i="5"/>
  <c r="E577" i="5"/>
  <c r="F577" i="5"/>
  <c r="C578" i="4"/>
  <c r="D578" i="4"/>
  <c r="E578" i="4"/>
  <c r="F578" i="4"/>
  <c r="G578" i="4"/>
  <c r="H578" i="4"/>
  <c r="C578" i="5"/>
  <c r="D578" i="5"/>
  <c r="E578" i="5"/>
  <c r="F578" i="5"/>
  <c r="C579" i="4"/>
  <c r="D579" i="4"/>
  <c r="E579" i="4"/>
  <c r="F579" i="4"/>
  <c r="G579" i="4"/>
  <c r="H579" i="4"/>
  <c r="C579" i="5"/>
  <c r="D579" i="5"/>
  <c r="E579" i="5"/>
  <c r="F579" i="5"/>
  <c r="C580" i="4"/>
  <c r="D580" i="4"/>
  <c r="E580" i="4"/>
  <c r="F580" i="4"/>
  <c r="G580" i="4"/>
  <c r="H580" i="4"/>
  <c r="C580" i="5"/>
  <c r="D580" i="5"/>
  <c r="E580" i="5"/>
  <c r="F580" i="5"/>
  <c r="C581" i="4"/>
  <c r="D581" i="4"/>
  <c r="E581" i="4"/>
  <c r="F581" i="4"/>
  <c r="G581" i="4"/>
  <c r="H581" i="4"/>
  <c r="C581" i="5"/>
  <c r="D581" i="5"/>
  <c r="E581" i="5"/>
  <c r="F581" i="5"/>
  <c r="C582" i="4"/>
  <c r="D582" i="4"/>
  <c r="E582" i="4"/>
  <c r="F582" i="4"/>
  <c r="G582" i="4"/>
  <c r="H582" i="4"/>
  <c r="C582" i="5"/>
  <c r="D582" i="5"/>
  <c r="E582" i="5"/>
  <c r="F582" i="5"/>
  <c r="C583" i="4"/>
  <c r="D583" i="4"/>
  <c r="E583" i="4"/>
  <c r="F583" i="4"/>
  <c r="G583" i="4"/>
  <c r="H583" i="4"/>
  <c r="C583" i="5"/>
  <c r="D583" i="5"/>
  <c r="E583" i="5"/>
  <c r="F583" i="5"/>
  <c r="C584" i="4"/>
  <c r="D584" i="4"/>
  <c r="E584" i="4"/>
  <c r="F584" i="4"/>
  <c r="G584" i="4"/>
  <c r="H584" i="4"/>
  <c r="C584" i="5"/>
  <c r="D584" i="5"/>
  <c r="E584" i="5"/>
  <c r="F584" i="5"/>
  <c r="C585" i="4"/>
  <c r="D585" i="4"/>
  <c r="E585" i="4"/>
  <c r="F585" i="4"/>
  <c r="G585" i="4"/>
  <c r="H585" i="4"/>
  <c r="C585" i="5"/>
  <c r="D585" i="5"/>
  <c r="E585" i="5"/>
  <c r="F585" i="5"/>
  <c r="C586" i="4"/>
  <c r="D586" i="4"/>
  <c r="E586" i="4"/>
  <c r="F586" i="4"/>
  <c r="G586" i="4"/>
  <c r="H586" i="4"/>
  <c r="C586" i="5"/>
  <c r="D586" i="5"/>
  <c r="E586" i="5"/>
  <c r="F586" i="5"/>
  <c r="C587" i="4"/>
  <c r="D587" i="4"/>
  <c r="E587" i="4"/>
  <c r="F587" i="4"/>
  <c r="G587" i="4"/>
  <c r="H587" i="4"/>
  <c r="C587" i="5"/>
  <c r="D587" i="5"/>
  <c r="E587" i="5"/>
  <c r="F587" i="5"/>
  <c r="C588" i="4"/>
  <c r="D588" i="4"/>
  <c r="E588" i="4"/>
  <c r="F588" i="4"/>
  <c r="G588" i="4"/>
  <c r="H588" i="4"/>
  <c r="C588" i="5"/>
  <c r="D588" i="5"/>
  <c r="E588" i="5"/>
  <c r="F588" i="5"/>
  <c r="C589" i="4"/>
  <c r="D589" i="4"/>
  <c r="E589" i="4"/>
  <c r="F589" i="4"/>
  <c r="G589" i="4"/>
  <c r="H589" i="4"/>
  <c r="C589" i="5"/>
  <c r="D589" i="5"/>
  <c r="E589" i="5"/>
  <c r="F589" i="5"/>
  <c r="C590" i="4"/>
  <c r="D590" i="4"/>
  <c r="E590" i="4"/>
  <c r="F590" i="4"/>
  <c r="G590" i="4"/>
  <c r="H590" i="4"/>
  <c r="C590" i="5"/>
  <c r="D590" i="5"/>
  <c r="E590" i="5"/>
  <c r="F590" i="5"/>
  <c r="C591" i="4"/>
  <c r="D591" i="4"/>
  <c r="E591" i="4"/>
  <c r="F591" i="4"/>
  <c r="G591" i="4"/>
  <c r="H591" i="4"/>
  <c r="C591" i="5"/>
  <c r="D591" i="5"/>
  <c r="E591" i="5"/>
  <c r="F591" i="5"/>
  <c r="C592" i="4"/>
  <c r="D592" i="4"/>
  <c r="E592" i="4"/>
  <c r="F592" i="4"/>
  <c r="G592" i="4"/>
  <c r="H592" i="4"/>
  <c r="C592" i="5"/>
  <c r="D592" i="5"/>
  <c r="E592" i="5"/>
  <c r="F592" i="5"/>
  <c r="C593" i="4"/>
  <c r="D593" i="4"/>
  <c r="E593" i="4"/>
  <c r="F593" i="4"/>
  <c r="G593" i="4"/>
  <c r="H593" i="4"/>
  <c r="C593" i="5"/>
  <c r="D593" i="5"/>
  <c r="E593" i="5"/>
  <c r="F593" i="5"/>
  <c r="C594" i="4"/>
  <c r="D594" i="4"/>
  <c r="E594" i="4"/>
  <c r="F594" i="4"/>
  <c r="G594" i="4"/>
  <c r="H594" i="4"/>
  <c r="C594" i="5"/>
  <c r="D594" i="5"/>
  <c r="E594" i="5"/>
  <c r="F594" i="5"/>
  <c r="C595" i="4"/>
  <c r="D595" i="4"/>
  <c r="E595" i="4"/>
  <c r="F595" i="4"/>
  <c r="G595" i="4"/>
  <c r="H595" i="4"/>
  <c r="C595" i="5"/>
  <c r="D595" i="5"/>
  <c r="E595" i="5"/>
  <c r="F595" i="5"/>
  <c r="C596" i="4"/>
  <c r="D596" i="4"/>
  <c r="E596" i="4"/>
  <c r="F596" i="4"/>
  <c r="G596" i="4"/>
  <c r="H596" i="4"/>
  <c r="C596" i="5"/>
  <c r="D596" i="5"/>
  <c r="F596" i="5"/>
  <c r="E596" i="5"/>
  <c r="C597" i="4"/>
  <c r="D597" i="4"/>
  <c r="E597" i="4"/>
  <c r="F597" i="4"/>
  <c r="G597" i="4"/>
  <c r="H597" i="4"/>
  <c r="C597" i="5"/>
  <c r="D597" i="5"/>
  <c r="F597" i="5"/>
  <c r="E597" i="5"/>
  <c r="C598" i="4"/>
  <c r="D598" i="4"/>
  <c r="E598" i="4"/>
  <c r="F598" i="4"/>
  <c r="G598" i="4"/>
  <c r="H598" i="4"/>
  <c r="C598" i="5"/>
  <c r="D598" i="5"/>
  <c r="F598" i="5"/>
  <c r="E598" i="5"/>
  <c r="C599" i="4"/>
  <c r="D599" i="4"/>
  <c r="E599" i="4"/>
  <c r="F599" i="4"/>
  <c r="G599" i="4"/>
  <c r="H599" i="4"/>
  <c r="C599" i="5"/>
  <c r="D599" i="5"/>
  <c r="F599" i="5"/>
  <c r="E599" i="5"/>
  <c r="C600" i="4"/>
  <c r="D600" i="4"/>
  <c r="E600" i="4"/>
  <c r="F600" i="4"/>
  <c r="G600" i="4"/>
  <c r="H600" i="4"/>
  <c r="C600" i="5"/>
  <c r="D600" i="5"/>
  <c r="F600" i="5"/>
  <c r="E600" i="5"/>
  <c r="C601" i="4"/>
  <c r="D601" i="4"/>
  <c r="E601" i="4"/>
  <c r="F601" i="4"/>
  <c r="G601" i="4"/>
  <c r="H601" i="4"/>
  <c r="C601" i="5"/>
  <c r="D601" i="5"/>
  <c r="F601" i="5"/>
  <c r="E601" i="5"/>
  <c r="C602" i="4"/>
  <c r="D602" i="4"/>
  <c r="E602" i="4"/>
  <c r="F602" i="4"/>
  <c r="G602" i="4"/>
  <c r="H602" i="4"/>
  <c r="C602" i="5"/>
  <c r="D602" i="5"/>
  <c r="F602" i="5"/>
  <c r="E602" i="5"/>
  <c r="C603" i="4"/>
  <c r="D603" i="4"/>
  <c r="E603" i="4"/>
  <c r="F603" i="4"/>
  <c r="G603" i="4"/>
  <c r="H603" i="4"/>
  <c r="C603" i="5"/>
  <c r="D603" i="5"/>
  <c r="F603" i="5"/>
  <c r="E603" i="5"/>
  <c r="C604" i="4"/>
  <c r="D604" i="4"/>
  <c r="E604" i="4"/>
  <c r="F604" i="4"/>
  <c r="G604" i="4"/>
  <c r="H604" i="4"/>
  <c r="C604" i="5"/>
  <c r="D604" i="5"/>
  <c r="F604" i="5"/>
  <c r="E604" i="5"/>
  <c r="C605" i="4"/>
  <c r="D605" i="4"/>
  <c r="E605" i="4"/>
  <c r="F605" i="4"/>
  <c r="G605" i="4"/>
  <c r="H605" i="4"/>
  <c r="C605" i="5"/>
  <c r="D605" i="5"/>
  <c r="F605" i="5"/>
  <c r="E605" i="5"/>
  <c r="C606" i="4"/>
  <c r="D606" i="4"/>
  <c r="E606" i="4"/>
  <c r="F606" i="4"/>
  <c r="G606" i="4"/>
  <c r="H606" i="4"/>
  <c r="C606" i="5"/>
  <c r="D606" i="5"/>
  <c r="F606" i="5"/>
  <c r="E606" i="5"/>
  <c r="C607" i="4"/>
  <c r="D607" i="4"/>
  <c r="E607" i="4"/>
  <c r="F607" i="4"/>
  <c r="G607" i="4"/>
  <c r="H607" i="4"/>
  <c r="C607" i="5"/>
  <c r="D607" i="5"/>
  <c r="F607" i="5"/>
  <c r="E607" i="5"/>
  <c r="C608" i="4"/>
  <c r="D608" i="4"/>
  <c r="E608" i="4"/>
  <c r="F608" i="4"/>
  <c r="G608" i="4"/>
  <c r="H608" i="4"/>
  <c r="C608" i="5"/>
  <c r="D608" i="5"/>
  <c r="F608" i="5"/>
  <c r="E608" i="5"/>
  <c r="C609" i="4"/>
  <c r="D609" i="4"/>
  <c r="E609" i="4"/>
  <c r="F609" i="4"/>
  <c r="G609" i="4"/>
  <c r="H609" i="4"/>
  <c r="C609" i="5"/>
  <c r="D609" i="5"/>
  <c r="F609" i="5"/>
  <c r="E609" i="5"/>
  <c r="C610" i="4"/>
  <c r="D610" i="4"/>
  <c r="E610" i="4"/>
  <c r="F610" i="4"/>
  <c r="G610" i="4"/>
  <c r="H610" i="4"/>
  <c r="C610" i="5"/>
  <c r="D610" i="5"/>
  <c r="F610" i="5"/>
  <c r="E610" i="5"/>
  <c r="C611" i="4"/>
  <c r="D611" i="4"/>
  <c r="E611" i="4"/>
  <c r="F611" i="4"/>
  <c r="G611" i="4"/>
  <c r="H611" i="4"/>
  <c r="C611" i="5"/>
  <c r="D611" i="5"/>
  <c r="F611" i="5"/>
  <c r="E611" i="5"/>
  <c r="C612" i="4"/>
  <c r="D612" i="4"/>
  <c r="E612" i="4"/>
  <c r="F612" i="4"/>
  <c r="G612" i="4"/>
  <c r="H612" i="4"/>
  <c r="C612" i="5"/>
  <c r="D612" i="5"/>
  <c r="F612" i="5"/>
  <c r="E612" i="5"/>
  <c r="C613" i="4"/>
  <c r="D613" i="4"/>
  <c r="E613" i="4"/>
  <c r="F613" i="4"/>
  <c r="G613" i="4"/>
  <c r="H613" i="4"/>
  <c r="C613" i="5"/>
  <c r="D613" i="5"/>
  <c r="F613" i="5"/>
  <c r="E613" i="5"/>
  <c r="C614" i="4"/>
  <c r="D614" i="4"/>
  <c r="E614" i="4"/>
  <c r="F614" i="4"/>
  <c r="G614" i="4"/>
  <c r="H614" i="4"/>
  <c r="C614" i="5"/>
  <c r="D614" i="5"/>
  <c r="F614" i="5"/>
  <c r="E614" i="5"/>
  <c r="C615" i="4"/>
  <c r="D615" i="4"/>
  <c r="E615" i="4"/>
  <c r="F615" i="4"/>
  <c r="G615" i="4"/>
  <c r="H615" i="4"/>
  <c r="C615" i="5"/>
  <c r="D615" i="5"/>
  <c r="F615" i="5"/>
  <c r="E615" i="5"/>
  <c r="C616" i="4"/>
  <c r="D616" i="4"/>
  <c r="E616" i="4"/>
  <c r="F616" i="4"/>
  <c r="G616" i="4"/>
  <c r="H616" i="4"/>
  <c r="C616" i="5"/>
  <c r="D616" i="5"/>
  <c r="F616" i="5"/>
  <c r="E616" i="5"/>
  <c r="C617" i="4"/>
  <c r="D617" i="4"/>
  <c r="E617" i="4"/>
  <c r="F617" i="4"/>
  <c r="G617" i="4"/>
  <c r="H617" i="4"/>
  <c r="C617" i="5"/>
  <c r="D617" i="5"/>
  <c r="F617" i="5"/>
  <c r="E617" i="5"/>
  <c r="C618" i="4"/>
  <c r="D618" i="4"/>
  <c r="E618" i="4"/>
  <c r="F618" i="4"/>
  <c r="G618" i="4"/>
  <c r="H618" i="4"/>
  <c r="C618" i="5"/>
  <c r="D618" i="5"/>
  <c r="F618" i="5"/>
  <c r="E618" i="5"/>
  <c r="C619" i="4"/>
  <c r="D619" i="4"/>
  <c r="E619" i="4"/>
  <c r="F619" i="4"/>
  <c r="G619" i="4"/>
  <c r="H619" i="4"/>
  <c r="C619" i="5"/>
  <c r="D619" i="5"/>
  <c r="F619" i="5"/>
  <c r="E619" i="5"/>
  <c r="C620" i="4"/>
  <c r="D620" i="4"/>
  <c r="E620" i="4"/>
  <c r="F620" i="4"/>
  <c r="G620" i="4"/>
  <c r="H620" i="4"/>
  <c r="C620" i="5"/>
  <c r="D620" i="5"/>
  <c r="F620" i="5"/>
  <c r="E620" i="5"/>
  <c r="C621" i="4"/>
  <c r="D621" i="4"/>
  <c r="E621" i="4"/>
  <c r="F621" i="4"/>
  <c r="G621" i="4"/>
  <c r="H621" i="4"/>
  <c r="C621" i="5"/>
  <c r="D621" i="5"/>
  <c r="F621" i="5"/>
  <c r="E621" i="5"/>
  <c r="C622" i="4"/>
  <c r="D622" i="4"/>
  <c r="E622" i="4"/>
  <c r="F622" i="4"/>
  <c r="G622" i="4"/>
  <c r="H622" i="4"/>
  <c r="C622" i="5"/>
  <c r="D622" i="5"/>
  <c r="F622" i="5"/>
  <c r="E622" i="5"/>
  <c r="C623" i="4"/>
  <c r="D623" i="4"/>
  <c r="E623" i="4"/>
  <c r="F623" i="4"/>
  <c r="G623" i="4"/>
  <c r="H623" i="4"/>
  <c r="C623" i="5"/>
  <c r="D623" i="5"/>
  <c r="F623" i="5"/>
  <c r="E623" i="5"/>
  <c r="C624" i="4"/>
  <c r="D624" i="4"/>
  <c r="E624" i="4"/>
  <c r="F624" i="4"/>
  <c r="G624" i="4"/>
  <c r="H624" i="4"/>
  <c r="C624" i="5"/>
  <c r="D624" i="5"/>
  <c r="F624" i="5"/>
  <c r="E624" i="5"/>
  <c r="C625" i="4"/>
  <c r="D625" i="4"/>
  <c r="E625" i="4"/>
  <c r="F625" i="4"/>
  <c r="G625" i="4"/>
  <c r="H625" i="4"/>
  <c r="C625" i="5"/>
  <c r="D625" i="5"/>
  <c r="F625" i="5"/>
  <c r="E625" i="5"/>
  <c r="C626" i="4"/>
  <c r="D626" i="4"/>
  <c r="E626" i="4"/>
  <c r="F626" i="4"/>
  <c r="G626" i="4"/>
  <c r="H626" i="4"/>
  <c r="C626" i="5"/>
  <c r="D626" i="5"/>
  <c r="F626" i="5"/>
  <c r="E626" i="5"/>
  <c r="C627" i="4"/>
  <c r="D627" i="4"/>
  <c r="E627" i="4"/>
  <c r="F627" i="4"/>
  <c r="G627" i="4"/>
  <c r="H627" i="4"/>
  <c r="C627" i="5"/>
  <c r="D627" i="5"/>
  <c r="F627" i="5"/>
  <c r="E627" i="5"/>
  <c r="C628" i="4"/>
  <c r="D628" i="4"/>
  <c r="E628" i="4"/>
  <c r="F628" i="4"/>
  <c r="G628" i="4"/>
  <c r="H628" i="4"/>
  <c r="C628" i="5"/>
  <c r="D628" i="5"/>
  <c r="F628" i="5"/>
  <c r="E628" i="5"/>
  <c r="C629" i="4"/>
  <c r="D629" i="4"/>
  <c r="E629" i="4"/>
  <c r="F629" i="4"/>
  <c r="G629" i="4"/>
  <c r="H629" i="4"/>
  <c r="C629" i="5"/>
  <c r="D629" i="5"/>
  <c r="F629" i="5"/>
  <c r="E629" i="5"/>
  <c r="C630" i="4"/>
  <c r="D630" i="4"/>
  <c r="E630" i="4"/>
  <c r="F630" i="4"/>
  <c r="G630" i="4"/>
  <c r="H630" i="4"/>
  <c r="C630" i="5"/>
  <c r="D630" i="5"/>
  <c r="F630" i="5"/>
  <c r="E630" i="5"/>
  <c r="C631" i="4"/>
  <c r="D631" i="4"/>
  <c r="E631" i="4"/>
  <c r="F631" i="4"/>
  <c r="G631" i="4"/>
  <c r="H631" i="4"/>
  <c r="C631" i="5"/>
  <c r="D631" i="5"/>
  <c r="F631" i="5"/>
  <c r="E631" i="5"/>
  <c r="C632" i="4"/>
  <c r="D632" i="4"/>
  <c r="E632" i="4"/>
  <c r="F632" i="4"/>
  <c r="G632" i="4"/>
  <c r="H632" i="4"/>
  <c r="C632" i="5"/>
  <c r="D632" i="5"/>
  <c r="F632" i="5"/>
  <c r="E632" i="5"/>
  <c r="C633" i="4"/>
  <c r="D633" i="4"/>
  <c r="E633" i="4"/>
  <c r="F633" i="4"/>
  <c r="G633" i="4"/>
  <c r="H633" i="4"/>
  <c r="C633" i="5"/>
  <c r="D633" i="5"/>
  <c r="F633" i="5"/>
  <c r="E633" i="5"/>
  <c r="C634" i="4"/>
  <c r="D634" i="4"/>
  <c r="E634" i="4"/>
  <c r="F634" i="4"/>
  <c r="G634" i="4"/>
  <c r="H634" i="4"/>
  <c r="C634" i="5"/>
  <c r="D634" i="5"/>
  <c r="F634" i="5"/>
  <c r="E634" i="5"/>
  <c r="C635" i="4"/>
  <c r="D635" i="4"/>
  <c r="E635" i="4"/>
  <c r="F635" i="4"/>
  <c r="G635" i="4"/>
  <c r="H635" i="4"/>
  <c r="C635" i="5"/>
  <c r="D635" i="5"/>
  <c r="F635" i="5"/>
  <c r="E635" i="5"/>
  <c r="C636" i="4"/>
  <c r="D636" i="4"/>
  <c r="E636" i="4"/>
  <c r="F636" i="4"/>
  <c r="G636" i="4"/>
  <c r="H636" i="4"/>
  <c r="C636" i="5"/>
  <c r="D636" i="5"/>
  <c r="F636" i="5"/>
  <c r="E636" i="5"/>
  <c r="C637" i="4"/>
  <c r="D637" i="4"/>
  <c r="E637" i="4"/>
  <c r="F637" i="4"/>
  <c r="G637" i="4"/>
  <c r="H637" i="4"/>
  <c r="C637" i="5"/>
  <c r="D637" i="5"/>
  <c r="F637" i="5"/>
  <c r="E637" i="5"/>
  <c r="C638" i="4"/>
  <c r="D638" i="4"/>
  <c r="E638" i="4"/>
  <c r="F638" i="4"/>
  <c r="G638" i="4"/>
  <c r="H638" i="4"/>
  <c r="C638" i="5"/>
  <c r="D638" i="5"/>
  <c r="F638" i="5"/>
  <c r="E638" i="5"/>
  <c r="C639" i="4"/>
  <c r="D639" i="4"/>
  <c r="E639" i="4"/>
  <c r="F639" i="4"/>
  <c r="G639" i="4"/>
  <c r="H639" i="4"/>
  <c r="C639" i="5"/>
  <c r="D639" i="5"/>
  <c r="F639" i="5"/>
  <c r="E639" i="5"/>
  <c r="C640" i="4"/>
  <c r="D640" i="4"/>
  <c r="E640" i="4"/>
  <c r="F640" i="4"/>
  <c r="G640" i="4"/>
  <c r="H640" i="4"/>
  <c r="C640" i="5"/>
  <c r="D640" i="5"/>
  <c r="F640" i="5"/>
  <c r="E640" i="5"/>
  <c r="C641" i="4"/>
  <c r="D641" i="4"/>
  <c r="E641" i="4"/>
  <c r="F641" i="4"/>
  <c r="G641" i="4"/>
  <c r="H641" i="4"/>
  <c r="C641" i="5"/>
  <c r="D641" i="5"/>
  <c r="F641" i="5"/>
  <c r="E641" i="5"/>
  <c r="C642" i="4"/>
  <c r="D642" i="4"/>
  <c r="E642" i="4"/>
  <c r="F642" i="4"/>
  <c r="G642" i="4"/>
  <c r="H642" i="4"/>
  <c r="C642" i="5"/>
  <c r="D642" i="5"/>
  <c r="F642" i="5"/>
  <c r="E642" i="5"/>
  <c r="C643" i="4"/>
  <c r="D643" i="4"/>
  <c r="E643" i="4"/>
  <c r="F643" i="4"/>
  <c r="G643" i="4"/>
  <c r="H643" i="4"/>
  <c r="C643" i="5"/>
  <c r="D643" i="5"/>
  <c r="F643" i="5"/>
  <c r="E643" i="5"/>
  <c r="C644" i="4"/>
  <c r="D644" i="4"/>
  <c r="E644" i="4"/>
  <c r="F644" i="4"/>
  <c r="G644" i="4"/>
  <c r="H644" i="4"/>
  <c r="C644" i="5"/>
  <c r="D644" i="5"/>
  <c r="F644" i="5"/>
  <c r="E644" i="5"/>
  <c r="C645" i="4"/>
  <c r="D645" i="4"/>
  <c r="E645" i="4"/>
  <c r="F645" i="4"/>
  <c r="G645" i="4"/>
  <c r="H645" i="4"/>
  <c r="C645" i="5"/>
  <c r="D645" i="5"/>
  <c r="F645" i="5"/>
  <c r="E645" i="5"/>
  <c r="C646" i="4"/>
  <c r="D646" i="4"/>
  <c r="E646" i="4"/>
  <c r="F646" i="4"/>
  <c r="G646" i="4"/>
  <c r="H646" i="4"/>
  <c r="C646" i="5"/>
  <c r="D646" i="5"/>
  <c r="F646" i="5"/>
  <c r="E646" i="5"/>
  <c r="C647" i="4"/>
  <c r="D647" i="4"/>
  <c r="E647" i="4"/>
  <c r="F647" i="4"/>
  <c r="G647" i="4"/>
  <c r="H647" i="4"/>
  <c r="C647" i="5"/>
  <c r="D647" i="5"/>
  <c r="F647" i="5"/>
  <c r="E647" i="5"/>
  <c r="C648" i="4"/>
  <c r="D648" i="4"/>
  <c r="E648" i="4"/>
  <c r="F648" i="4"/>
  <c r="G648" i="4"/>
  <c r="H648" i="4"/>
  <c r="C648" i="5"/>
  <c r="D648" i="5"/>
  <c r="F648" i="5"/>
  <c r="E648" i="5"/>
  <c r="C649" i="4"/>
  <c r="D649" i="4"/>
  <c r="E649" i="4"/>
  <c r="F649" i="4"/>
  <c r="G649" i="4"/>
  <c r="H649" i="4"/>
  <c r="C649" i="5"/>
  <c r="D649" i="5"/>
  <c r="F649" i="5"/>
  <c r="E649" i="5"/>
  <c r="C650" i="4"/>
  <c r="D650" i="4"/>
  <c r="E650" i="4"/>
  <c r="F650" i="4"/>
  <c r="G650" i="4"/>
  <c r="H650" i="4"/>
  <c r="C650" i="5"/>
  <c r="D650" i="5"/>
  <c r="F650" i="5"/>
  <c r="E650" i="5"/>
  <c r="C651" i="4"/>
  <c r="D651" i="4"/>
  <c r="E651" i="4"/>
  <c r="F651" i="4"/>
  <c r="G651" i="4"/>
  <c r="H651" i="4"/>
  <c r="C651" i="5"/>
  <c r="D651" i="5"/>
  <c r="F651" i="5"/>
  <c r="E651" i="5"/>
  <c r="C652" i="4"/>
  <c r="D652" i="4"/>
  <c r="E652" i="4"/>
  <c r="F652" i="4"/>
  <c r="G652" i="4"/>
  <c r="H652" i="4"/>
  <c r="C652" i="5"/>
  <c r="D652" i="5"/>
  <c r="F652" i="5"/>
  <c r="E652" i="5"/>
  <c r="C653" i="4"/>
  <c r="D653" i="4"/>
  <c r="E653" i="4"/>
  <c r="F653" i="4"/>
  <c r="G653" i="4"/>
  <c r="H653" i="4"/>
  <c r="C653" i="5"/>
  <c r="D653" i="5"/>
  <c r="F653" i="5"/>
  <c r="E653" i="5"/>
  <c r="C654" i="4"/>
  <c r="D654" i="4"/>
  <c r="E654" i="4"/>
  <c r="F654" i="4"/>
  <c r="G654" i="4"/>
  <c r="H654" i="4"/>
  <c r="C654" i="5"/>
  <c r="D654" i="5"/>
  <c r="F654" i="5"/>
  <c r="E654" i="5"/>
  <c r="C655" i="4"/>
  <c r="D655" i="4"/>
  <c r="E655" i="4"/>
  <c r="F655" i="4"/>
  <c r="G655" i="4"/>
  <c r="H655" i="4"/>
  <c r="C655" i="5"/>
  <c r="D655" i="5"/>
  <c r="F655" i="5"/>
  <c r="E655" i="5"/>
  <c r="C656" i="4"/>
  <c r="D656" i="4"/>
  <c r="E656" i="4"/>
  <c r="F656" i="4"/>
  <c r="G656" i="4"/>
  <c r="H656" i="4"/>
  <c r="C656" i="5"/>
  <c r="D656" i="5"/>
  <c r="F656" i="5"/>
  <c r="E656" i="5"/>
  <c r="C657" i="4"/>
  <c r="D657" i="4"/>
  <c r="E657" i="4"/>
  <c r="F657" i="4"/>
  <c r="G657" i="4"/>
  <c r="H657" i="4"/>
  <c r="C657" i="5"/>
  <c r="D657" i="5"/>
  <c r="F657" i="5"/>
  <c r="E657" i="5"/>
  <c r="C658" i="4"/>
  <c r="D658" i="4"/>
  <c r="E658" i="4"/>
  <c r="F658" i="4"/>
  <c r="G658" i="4"/>
  <c r="H658" i="4"/>
  <c r="C658" i="5"/>
  <c r="D658" i="5"/>
  <c r="F658" i="5"/>
  <c r="E658" i="5"/>
  <c r="C659" i="4"/>
  <c r="D659" i="4"/>
  <c r="E659" i="4"/>
  <c r="F659" i="4"/>
  <c r="G659" i="4"/>
  <c r="H659" i="4"/>
  <c r="C659" i="5"/>
  <c r="D659" i="5"/>
  <c r="F659" i="5"/>
  <c r="E659" i="5"/>
  <c r="C660" i="4"/>
  <c r="D660" i="4"/>
  <c r="E660" i="4"/>
  <c r="F660" i="4"/>
  <c r="G660" i="4"/>
  <c r="H660" i="4"/>
  <c r="C660" i="5"/>
  <c r="D660" i="5"/>
  <c r="F660" i="5"/>
  <c r="E660" i="5"/>
  <c r="C661" i="4"/>
  <c r="D661" i="4"/>
  <c r="E661" i="4"/>
  <c r="F661" i="4"/>
  <c r="G661" i="4"/>
  <c r="H661" i="4"/>
  <c r="C661" i="5"/>
  <c r="D661" i="5"/>
  <c r="F661" i="5"/>
  <c r="E661" i="5"/>
  <c r="C662" i="4"/>
  <c r="D662" i="4"/>
  <c r="E662" i="4"/>
  <c r="F662" i="4"/>
  <c r="G662" i="4"/>
  <c r="H662" i="4"/>
  <c r="C662" i="5"/>
  <c r="D662" i="5"/>
  <c r="F662" i="5"/>
  <c r="E662" i="5"/>
  <c r="C663" i="4"/>
  <c r="D663" i="4"/>
  <c r="E663" i="4"/>
  <c r="F663" i="4"/>
  <c r="G663" i="4"/>
  <c r="H663" i="4"/>
  <c r="C663" i="5"/>
  <c r="D663" i="5"/>
  <c r="F663" i="5"/>
  <c r="E663" i="5"/>
  <c r="C664" i="4"/>
  <c r="D664" i="4"/>
  <c r="E664" i="4"/>
  <c r="F664" i="4"/>
  <c r="G664" i="4"/>
  <c r="H664" i="4"/>
  <c r="C664" i="5"/>
  <c r="D664" i="5"/>
  <c r="F664" i="5"/>
  <c r="E664" i="5"/>
  <c r="C665" i="4"/>
  <c r="D665" i="4"/>
  <c r="E665" i="4"/>
  <c r="F665" i="4"/>
  <c r="G665" i="4"/>
  <c r="H665" i="4"/>
  <c r="C665" i="5"/>
  <c r="D665" i="5"/>
  <c r="F665" i="5"/>
  <c r="E665" i="5"/>
  <c r="C666" i="4"/>
  <c r="D666" i="4"/>
  <c r="E666" i="4"/>
  <c r="F666" i="4"/>
  <c r="G666" i="4"/>
  <c r="H666" i="4"/>
  <c r="C666" i="5"/>
  <c r="D666" i="5"/>
  <c r="F666" i="5"/>
  <c r="E666" i="5"/>
  <c r="C667" i="4"/>
  <c r="D667" i="4"/>
  <c r="E667" i="4"/>
  <c r="F667" i="4"/>
  <c r="G667" i="4"/>
  <c r="H667" i="4"/>
  <c r="C667" i="5"/>
  <c r="D667" i="5"/>
  <c r="F667" i="5"/>
  <c r="E667" i="5"/>
  <c r="C668" i="4"/>
  <c r="D668" i="4"/>
  <c r="E668" i="4"/>
  <c r="F668" i="4"/>
  <c r="G668" i="4"/>
  <c r="H668" i="4"/>
  <c r="C668" i="5"/>
  <c r="D668" i="5"/>
  <c r="F668" i="5"/>
  <c r="E668" i="5"/>
  <c r="C669" i="4"/>
  <c r="D669" i="4"/>
  <c r="E669" i="4"/>
  <c r="F669" i="4"/>
  <c r="G669" i="4"/>
  <c r="H669" i="4"/>
  <c r="C669" i="5"/>
  <c r="D669" i="5"/>
  <c r="F669" i="5"/>
  <c r="E669" i="5"/>
  <c r="C670" i="4"/>
  <c r="D670" i="4"/>
  <c r="E670" i="4"/>
  <c r="F670" i="4"/>
  <c r="G670" i="4"/>
  <c r="H670" i="4"/>
  <c r="C670" i="5"/>
  <c r="D670" i="5"/>
  <c r="F670" i="5"/>
  <c r="E670" i="5"/>
  <c r="C671" i="4"/>
  <c r="D671" i="4"/>
  <c r="E671" i="4"/>
  <c r="F671" i="4"/>
  <c r="G671" i="4"/>
  <c r="H671" i="4"/>
  <c r="C671" i="5"/>
  <c r="D671" i="5"/>
  <c r="F671" i="5"/>
  <c r="E671" i="5"/>
  <c r="C672" i="4"/>
  <c r="D672" i="4"/>
  <c r="E672" i="4"/>
  <c r="F672" i="4"/>
  <c r="G672" i="4"/>
  <c r="H672" i="4"/>
  <c r="C672" i="5"/>
  <c r="D672" i="5"/>
  <c r="F672" i="5"/>
  <c r="E672" i="5"/>
  <c r="C673" i="4"/>
  <c r="D673" i="4"/>
  <c r="E673" i="4"/>
  <c r="F673" i="4"/>
  <c r="G673" i="4"/>
  <c r="H673" i="4"/>
  <c r="C673" i="5"/>
  <c r="D673" i="5"/>
  <c r="F673" i="5"/>
  <c r="E673" i="5"/>
  <c r="C674" i="4"/>
  <c r="D674" i="4"/>
  <c r="E674" i="4"/>
  <c r="F674" i="4"/>
  <c r="G674" i="4"/>
  <c r="H674" i="4"/>
  <c r="C674" i="5"/>
  <c r="D674" i="5"/>
  <c r="F674" i="5"/>
  <c r="E674" i="5"/>
  <c r="C675" i="4"/>
  <c r="D675" i="4"/>
  <c r="E675" i="4"/>
  <c r="F675" i="4"/>
  <c r="G675" i="4"/>
  <c r="H675" i="4"/>
  <c r="C675" i="5"/>
  <c r="D675" i="5"/>
  <c r="F675" i="5"/>
  <c r="E675" i="5"/>
  <c r="C676" i="4"/>
  <c r="D676" i="4"/>
  <c r="E676" i="4"/>
  <c r="F676" i="4"/>
  <c r="G676" i="4"/>
  <c r="H676" i="4"/>
  <c r="C676" i="5"/>
  <c r="D676" i="5"/>
  <c r="F676" i="5"/>
  <c r="E676" i="5"/>
  <c r="C677" i="4"/>
  <c r="D677" i="4"/>
  <c r="E677" i="4"/>
  <c r="F677" i="4"/>
  <c r="G677" i="4"/>
  <c r="H677" i="4"/>
  <c r="C677" i="5"/>
  <c r="D677" i="5"/>
  <c r="F677" i="5"/>
  <c r="E677" i="5"/>
  <c r="C678" i="4"/>
  <c r="D678" i="4"/>
  <c r="E678" i="4"/>
  <c r="F678" i="4"/>
  <c r="G678" i="4"/>
  <c r="H678" i="4"/>
  <c r="C678" i="5"/>
  <c r="D678" i="5"/>
  <c r="F678" i="5"/>
  <c r="E678" i="5"/>
  <c r="C679" i="4"/>
  <c r="D679" i="4"/>
  <c r="E679" i="4"/>
  <c r="F679" i="4"/>
  <c r="G679" i="4"/>
  <c r="H679" i="4"/>
  <c r="C679" i="5"/>
  <c r="D679" i="5"/>
  <c r="F679" i="5"/>
  <c r="E679" i="5"/>
  <c r="C680" i="4"/>
  <c r="D680" i="4"/>
  <c r="E680" i="4"/>
  <c r="F680" i="4"/>
  <c r="G680" i="4"/>
  <c r="H680" i="4"/>
  <c r="C680" i="5"/>
  <c r="D680" i="5"/>
  <c r="F680" i="5"/>
  <c r="E680" i="5"/>
  <c r="C681" i="4"/>
  <c r="D681" i="4"/>
  <c r="E681" i="4"/>
  <c r="F681" i="4"/>
  <c r="G681" i="4"/>
  <c r="H681" i="4"/>
  <c r="C681" i="5"/>
  <c r="D681" i="5"/>
  <c r="F681" i="5"/>
  <c r="E681" i="5"/>
  <c r="C682" i="4"/>
  <c r="D682" i="4"/>
  <c r="E682" i="4"/>
  <c r="F682" i="4"/>
  <c r="G682" i="4"/>
  <c r="H682" i="4"/>
  <c r="C682" i="5"/>
  <c r="D682" i="5"/>
  <c r="F682" i="5"/>
  <c r="E682" i="5"/>
  <c r="C683" i="4"/>
  <c r="D683" i="4"/>
  <c r="E683" i="4"/>
  <c r="F683" i="4"/>
  <c r="G683" i="4"/>
  <c r="H683" i="4"/>
  <c r="C683" i="5"/>
  <c r="D683" i="5"/>
  <c r="F683" i="5"/>
  <c r="E683" i="5"/>
  <c r="C684" i="4"/>
  <c r="D684" i="4"/>
  <c r="E684" i="4"/>
  <c r="F684" i="4"/>
  <c r="G684" i="4"/>
  <c r="H684" i="4"/>
  <c r="C684" i="5"/>
  <c r="D684" i="5"/>
  <c r="F684" i="5"/>
  <c r="E684" i="5"/>
  <c r="C685" i="4"/>
  <c r="D685" i="4"/>
  <c r="E685" i="4"/>
  <c r="F685" i="4"/>
  <c r="G685" i="4"/>
  <c r="H685" i="4"/>
  <c r="C685" i="5"/>
  <c r="D685" i="5"/>
  <c r="F685" i="5"/>
  <c r="E685" i="5"/>
  <c r="C686" i="4"/>
  <c r="D686" i="4"/>
  <c r="E686" i="4"/>
  <c r="F686" i="4"/>
  <c r="G686" i="4"/>
  <c r="H686" i="4"/>
  <c r="C686" i="5"/>
  <c r="D686" i="5"/>
  <c r="F686" i="5"/>
  <c r="E686" i="5"/>
  <c r="C687" i="5"/>
  <c r="D687" i="5"/>
  <c r="E687" i="5"/>
  <c r="F687" i="5"/>
  <c r="C688" i="5"/>
  <c r="D688" i="5"/>
  <c r="E688" i="5"/>
  <c r="F688" i="5"/>
  <c r="C689" i="5"/>
  <c r="D689" i="5"/>
  <c r="E689" i="5"/>
  <c r="F689" i="5"/>
  <c r="C690" i="5"/>
  <c r="D690" i="5"/>
  <c r="E690" i="5"/>
  <c r="F690" i="5"/>
  <c r="C691" i="5"/>
  <c r="D691" i="5"/>
  <c r="E691" i="5"/>
  <c r="F691" i="5"/>
  <c r="C692" i="5"/>
  <c r="D692" i="5"/>
  <c r="E692" i="5"/>
  <c r="F692" i="5"/>
  <c r="C693" i="5"/>
  <c r="D693" i="5"/>
  <c r="E693" i="5"/>
  <c r="F693" i="5"/>
  <c r="C694" i="5"/>
  <c r="D694" i="5"/>
  <c r="E694" i="5"/>
  <c r="F694" i="5"/>
  <c r="C695" i="5"/>
  <c r="D695" i="5"/>
  <c r="E695" i="5"/>
  <c r="F695" i="5"/>
  <c r="C696" i="5"/>
  <c r="D696" i="5"/>
  <c r="E696" i="5"/>
  <c r="F696" i="5"/>
  <c r="C697" i="5"/>
  <c r="D697" i="5"/>
  <c r="E697" i="5"/>
  <c r="F697" i="5"/>
  <c r="C698" i="5"/>
  <c r="D698" i="5"/>
  <c r="E698" i="5"/>
  <c r="F698" i="5"/>
  <c r="C699" i="5"/>
  <c r="D699" i="5"/>
  <c r="E699" i="5"/>
  <c r="F699" i="5"/>
  <c r="C700" i="5"/>
  <c r="D700" i="5"/>
  <c r="E700" i="5"/>
  <c r="F700" i="5"/>
  <c r="C701" i="5"/>
  <c r="D701" i="5"/>
  <c r="E701" i="5"/>
  <c r="F701" i="5"/>
  <c r="C702" i="5"/>
  <c r="D702" i="5"/>
  <c r="E702" i="5"/>
  <c r="F702" i="5"/>
  <c r="C703" i="5"/>
  <c r="D703" i="5"/>
  <c r="E703" i="5"/>
  <c r="F703" i="5"/>
  <c r="C704" i="5"/>
  <c r="D704" i="5"/>
  <c r="E704" i="5"/>
  <c r="F704" i="5"/>
  <c r="C705" i="5"/>
  <c r="D705" i="5"/>
  <c r="E705" i="5"/>
  <c r="F705" i="5"/>
  <c r="C706" i="5"/>
  <c r="D706" i="5"/>
  <c r="E706" i="5"/>
  <c r="F706" i="5"/>
  <c r="C707" i="5"/>
  <c r="D707" i="5"/>
  <c r="E707" i="5"/>
  <c r="F707" i="5"/>
  <c r="C708" i="5"/>
  <c r="D708" i="5"/>
  <c r="E708" i="5"/>
  <c r="F708" i="5"/>
  <c r="C709" i="5"/>
  <c r="D709" i="5"/>
  <c r="E709" i="5"/>
  <c r="F709" i="5"/>
  <c r="C710" i="5"/>
  <c r="D710" i="5"/>
  <c r="E710" i="5"/>
  <c r="F710" i="5"/>
  <c r="C711" i="5"/>
  <c r="D711" i="5"/>
  <c r="E711" i="5"/>
  <c r="F711" i="5"/>
  <c r="C712" i="5"/>
  <c r="D712" i="5"/>
  <c r="E712" i="5"/>
  <c r="F712" i="5"/>
  <c r="C713" i="5"/>
  <c r="D713" i="5"/>
  <c r="E713" i="5"/>
  <c r="F713" i="5"/>
  <c r="C714" i="5"/>
  <c r="D714" i="5"/>
  <c r="E714" i="5"/>
  <c r="F714" i="5"/>
  <c r="C715" i="5"/>
  <c r="D715" i="5"/>
  <c r="E715" i="5"/>
  <c r="F715" i="5"/>
  <c r="C716" i="5"/>
  <c r="D716" i="5"/>
  <c r="E716" i="5"/>
  <c r="F716" i="5"/>
  <c r="C717" i="5"/>
  <c r="D717" i="5"/>
  <c r="E717" i="5"/>
  <c r="F717" i="5"/>
  <c r="C718" i="5"/>
  <c r="D718" i="5"/>
  <c r="E718" i="5"/>
  <c r="F718" i="5"/>
  <c r="C719" i="5"/>
  <c r="D719" i="5"/>
  <c r="E719" i="5"/>
  <c r="F719" i="5"/>
  <c r="C720" i="5"/>
  <c r="D720" i="5"/>
  <c r="E720" i="5"/>
  <c r="F720" i="5"/>
  <c r="C721" i="5"/>
  <c r="D721" i="5"/>
  <c r="E721" i="5"/>
  <c r="F721" i="5"/>
  <c r="C722" i="5"/>
  <c r="D722" i="5"/>
  <c r="E722" i="5"/>
  <c r="F722" i="5"/>
  <c r="C723" i="5"/>
  <c r="D723" i="5"/>
  <c r="E723" i="5"/>
  <c r="F723" i="5"/>
  <c r="C724" i="5"/>
  <c r="D724" i="5"/>
  <c r="E724" i="5"/>
  <c r="F724" i="5"/>
  <c r="C725" i="5"/>
  <c r="D725" i="5"/>
  <c r="E725" i="5"/>
  <c r="F725" i="5"/>
  <c r="C726" i="5"/>
  <c r="D726" i="5"/>
  <c r="E726" i="5"/>
  <c r="F726" i="5"/>
  <c r="C727" i="5"/>
  <c r="D727" i="5"/>
  <c r="E727" i="5"/>
  <c r="F727" i="5"/>
  <c r="C728" i="5"/>
  <c r="D728" i="5"/>
  <c r="E728" i="5"/>
  <c r="F728" i="5"/>
  <c r="C729" i="5"/>
  <c r="D729" i="5"/>
  <c r="E729" i="5"/>
  <c r="F729" i="5"/>
  <c r="C730" i="5"/>
  <c r="D730" i="5"/>
  <c r="E730" i="5"/>
  <c r="F730" i="5"/>
  <c r="C731" i="5"/>
  <c r="D731" i="5"/>
  <c r="E731" i="5"/>
  <c r="F731" i="5"/>
  <c r="C732" i="5"/>
  <c r="D732" i="5"/>
  <c r="E732" i="5"/>
  <c r="F732" i="5"/>
  <c r="G733" i="4"/>
  <c r="H733" i="4"/>
  <c r="C733" i="5"/>
  <c r="D733" i="5"/>
  <c r="E733" i="5"/>
  <c r="F733" i="5"/>
  <c r="G734" i="4"/>
  <c r="H734" i="4"/>
  <c r="C734" i="5"/>
  <c r="D734" i="5"/>
  <c r="E734" i="5"/>
  <c r="F734" i="5"/>
  <c r="G735" i="4"/>
  <c r="H735" i="4"/>
  <c r="C735" i="5"/>
  <c r="D735" i="5"/>
  <c r="E735" i="5"/>
  <c r="F735" i="5"/>
  <c r="G736" i="4"/>
  <c r="H736" i="4"/>
  <c r="C736" i="5"/>
  <c r="D736" i="5"/>
  <c r="E736" i="5"/>
  <c r="F736" i="5"/>
  <c r="G737" i="4"/>
  <c r="H737" i="4"/>
  <c r="C737" i="5"/>
  <c r="D737" i="5"/>
  <c r="E737" i="5"/>
  <c r="F737" i="5"/>
  <c r="G738" i="4"/>
  <c r="H738" i="4"/>
  <c r="C738" i="5"/>
  <c r="D738" i="5"/>
  <c r="E738" i="5"/>
  <c r="F738" i="5"/>
  <c r="G739" i="4"/>
  <c r="H739" i="4"/>
  <c r="C739" i="5"/>
  <c r="D739" i="5"/>
  <c r="E739" i="5"/>
  <c r="F739" i="5"/>
  <c r="G740" i="4"/>
  <c r="H740" i="4"/>
  <c r="C740" i="5"/>
  <c r="D740" i="5"/>
  <c r="E740" i="5"/>
  <c r="F740" i="5"/>
  <c r="G741" i="4"/>
  <c r="H741" i="4"/>
  <c r="C741" i="5"/>
  <c r="D741" i="5"/>
  <c r="E741" i="5"/>
  <c r="F741" i="5"/>
  <c r="G742" i="4"/>
  <c r="H742" i="4"/>
  <c r="C742" i="5"/>
  <c r="D742" i="5"/>
  <c r="E742" i="5"/>
  <c r="F742" i="5"/>
  <c r="G743" i="4"/>
  <c r="H743" i="4"/>
  <c r="C743" i="5"/>
  <c r="D743" i="5"/>
  <c r="E743" i="5"/>
  <c r="F743" i="5"/>
  <c r="G744" i="4"/>
  <c r="H744" i="4"/>
  <c r="C744" i="5"/>
  <c r="D744" i="5"/>
  <c r="E744" i="5"/>
  <c r="F744" i="5"/>
  <c r="G745" i="4"/>
  <c r="H745" i="4"/>
  <c r="C745" i="5"/>
  <c r="D745" i="5"/>
  <c r="E745" i="5"/>
  <c r="F745" i="5"/>
  <c r="G746" i="4"/>
  <c r="H746" i="4"/>
  <c r="C746" i="5"/>
  <c r="D746" i="5"/>
  <c r="E746" i="5"/>
  <c r="F746" i="5"/>
  <c r="G747" i="4"/>
  <c r="H747" i="4"/>
  <c r="C747" i="5"/>
  <c r="D747" i="5"/>
  <c r="E747" i="5"/>
  <c r="F747" i="5"/>
  <c r="G748" i="4"/>
  <c r="H748" i="4"/>
  <c r="C748" i="5"/>
  <c r="D748" i="5"/>
  <c r="E748" i="5"/>
  <c r="F748" i="5"/>
  <c r="G749" i="4"/>
  <c r="H749" i="4"/>
  <c r="C749" i="5"/>
  <c r="D749" i="5"/>
  <c r="E749" i="5"/>
  <c r="F749" i="5"/>
  <c r="G750" i="4"/>
  <c r="H750" i="4"/>
  <c r="C750" i="5"/>
  <c r="D750" i="5"/>
  <c r="E750" i="5"/>
  <c r="F750" i="5"/>
  <c r="G751" i="4"/>
  <c r="H751" i="4"/>
  <c r="C751" i="5"/>
  <c r="D751" i="5"/>
  <c r="E751" i="5"/>
  <c r="F751" i="5"/>
  <c r="G752" i="4"/>
  <c r="H752" i="4"/>
  <c r="C752" i="5"/>
  <c r="D752" i="5"/>
  <c r="E752" i="5"/>
  <c r="F752" i="5"/>
  <c r="G753" i="4"/>
  <c r="H753" i="4"/>
  <c r="C753" i="5"/>
  <c r="D753" i="5"/>
  <c r="E753" i="5"/>
  <c r="F753" i="5"/>
  <c r="G754" i="4"/>
  <c r="H754" i="4"/>
  <c r="C754" i="5"/>
  <c r="D754" i="5"/>
  <c r="E754" i="5"/>
  <c r="F754" i="5"/>
  <c r="G755" i="4"/>
  <c r="H755" i="4"/>
  <c r="C755" i="5"/>
  <c r="D755" i="5"/>
  <c r="E755" i="5"/>
  <c r="F755" i="5"/>
  <c r="G756" i="4"/>
  <c r="H756" i="4"/>
  <c r="C756" i="5"/>
  <c r="D756" i="5"/>
  <c r="E756" i="5"/>
  <c r="F756" i="5"/>
  <c r="G757" i="4"/>
  <c r="H757" i="4"/>
  <c r="C757" i="5"/>
  <c r="D757" i="5"/>
  <c r="E757" i="5"/>
  <c r="F757" i="5"/>
  <c r="G758" i="4"/>
  <c r="H758" i="4"/>
  <c r="C758" i="5"/>
  <c r="D758" i="5"/>
  <c r="E758" i="5"/>
  <c r="F758" i="5"/>
  <c r="G759" i="4"/>
  <c r="H759" i="4"/>
  <c r="C759" i="5"/>
  <c r="D759" i="5"/>
  <c r="E759" i="5"/>
  <c r="F759" i="5"/>
  <c r="G760" i="4"/>
  <c r="H760" i="4"/>
  <c r="C760" i="5"/>
  <c r="D760" i="5"/>
  <c r="E760" i="5"/>
  <c r="F760" i="5"/>
  <c r="G761" i="4"/>
  <c r="H761" i="4"/>
  <c r="C761" i="5"/>
  <c r="D761" i="5"/>
  <c r="E761" i="5"/>
  <c r="F761" i="5"/>
  <c r="G762" i="4"/>
  <c r="H762" i="4"/>
  <c r="C762" i="5"/>
  <c r="D762" i="5"/>
  <c r="E762" i="5"/>
  <c r="F762" i="5"/>
  <c r="G763" i="4"/>
  <c r="H763" i="4"/>
  <c r="C763" i="5"/>
  <c r="D763" i="5"/>
  <c r="E763" i="5"/>
  <c r="F763" i="5"/>
  <c r="G764" i="4"/>
  <c r="H764" i="4"/>
  <c r="C764" i="5"/>
  <c r="D764" i="5"/>
  <c r="E764" i="5"/>
  <c r="F764" i="5"/>
  <c r="G765" i="4"/>
  <c r="H765" i="4"/>
  <c r="C765" i="5"/>
  <c r="D765" i="5"/>
  <c r="E765" i="5"/>
  <c r="F765" i="5"/>
  <c r="G766" i="4"/>
  <c r="H766" i="4"/>
  <c r="C766" i="5"/>
  <c r="D766" i="5"/>
  <c r="E766" i="5"/>
  <c r="F766" i="5"/>
  <c r="G767" i="4"/>
  <c r="H767" i="4"/>
  <c r="C767" i="5"/>
  <c r="D767" i="5"/>
  <c r="E767" i="5"/>
  <c r="F767" i="5"/>
  <c r="G768" i="4"/>
  <c r="H768" i="4"/>
  <c r="C768" i="5"/>
  <c r="D768" i="5"/>
  <c r="E768" i="5"/>
  <c r="F768" i="5"/>
  <c r="G769" i="4"/>
  <c r="H769" i="4"/>
  <c r="C769" i="5"/>
  <c r="D769" i="5"/>
  <c r="E769" i="5"/>
  <c r="F769" i="5"/>
  <c r="G770" i="4"/>
  <c r="H770" i="4"/>
  <c r="C770" i="5"/>
  <c r="D770" i="5"/>
  <c r="E770" i="5"/>
  <c r="F770" i="5"/>
  <c r="G771" i="4"/>
  <c r="H771" i="4"/>
  <c r="C771" i="5"/>
  <c r="D771" i="5"/>
  <c r="E771" i="5"/>
  <c r="F771" i="5"/>
  <c r="G772" i="4"/>
  <c r="H772" i="4"/>
  <c r="C772" i="5"/>
  <c r="D772" i="5"/>
  <c r="E772" i="5"/>
  <c r="F772" i="5"/>
  <c r="G773" i="4"/>
  <c r="H773" i="4"/>
  <c r="C773" i="5"/>
  <c r="D773" i="5"/>
  <c r="E773" i="5"/>
  <c r="F773" i="5"/>
  <c r="G774" i="4"/>
  <c r="H774" i="4"/>
  <c r="C774" i="5"/>
  <c r="D774" i="5"/>
  <c r="E774" i="5"/>
  <c r="F774" i="5"/>
  <c r="G775" i="4"/>
  <c r="H775" i="4"/>
  <c r="C775" i="5"/>
  <c r="D775" i="5"/>
  <c r="E775" i="5"/>
  <c r="F775" i="5"/>
  <c r="G776" i="4"/>
  <c r="H776" i="4"/>
  <c r="C776" i="5"/>
  <c r="D776" i="5"/>
  <c r="E776" i="5"/>
  <c r="F776" i="5"/>
  <c r="G777" i="4"/>
  <c r="H777" i="4"/>
  <c r="C777" i="5"/>
  <c r="D777" i="5"/>
  <c r="E777" i="5"/>
  <c r="F777" i="5"/>
  <c r="G778" i="4"/>
  <c r="H778" i="4"/>
  <c r="C778" i="5"/>
  <c r="D778" i="5"/>
  <c r="E778" i="5"/>
  <c r="F778" i="5"/>
  <c r="G779" i="4"/>
  <c r="H779" i="4"/>
  <c r="C779" i="5"/>
  <c r="D779" i="5"/>
  <c r="E779" i="5"/>
  <c r="F779" i="5"/>
  <c r="G780" i="4"/>
  <c r="H780" i="4"/>
  <c r="C780" i="5"/>
  <c r="D780" i="5"/>
  <c r="E780" i="5"/>
  <c r="F780" i="5"/>
  <c r="G781" i="4"/>
  <c r="H781" i="4"/>
  <c r="C781" i="5"/>
  <c r="D781" i="5"/>
  <c r="E781" i="5"/>
  <c r="F781" i="5"/>
  <c r="G782" i="4"/>
  <c r="H782" i="4"/>
  <c r="C782" i="5"/>
  <c r="D782" i="5"/>
  <c r="E782" i="5"/>
  <c r="F782" i="5"/>
  <c r="G783" i="4"/>
  <c r="H783" i="4"/>
  <c r="C783" i="5"/>
  <c r="D783" i="5"/>
  <c r="E783" i="5"/>
  <c r="F783" i="5"/>
  <c r="G784" i="4"/>
  <c r="H784" i="4"/>
  <c r="C784" i="5"/>
  <c r="D784" i="5"/>
  <c r="E784" i="5"/>
  <c r="F784" i="5"/>
  <c r="G785" i="4"/>
  <c r="H785" i="4"/>
  <c r="C785" i="5"/>
  <c r="D785" i="5"/>
  <c r="E785" i="5"/>
  <c r="F785" i="5"/>
  <c r="G786" i="4"/>
  <c r="H786" i="4"/>
  <c r="C786" i="5"/>
  <c r="D786" i="5"/>
  <c r="E786" i="5"/>
  <c r="F786" i="5"/>
  <c r="G787" i="4"/>
  <c r="H787" i="4"/>
  <c r="C787" i="5"/>
  <c r="D787" i="5"/>
  <c r="E787" i="5"/>
  <c r="F787" i="5"/>
  <c r="G788" i="4"/>
  <c r="H788" i="4"/>
  <c r="C788" i="5"/>
  <c r="D788" i="5"/>
  <c r="E788" i="5"/>
  <c r="F788" i="5"/>
  <c r="G789" i="4"/>
  <c r="H789" i="4"/>
  <c r="C789" i="5"/>
  <c r="D789" i="5"/>
  <c r="E789" i="5"/>
  <c r="F789" i="5"/>
  <c r="G790" i="4"/>
  <c r="H790" i="4"/>
  <c r="C790" i="5"/>
  <c r="D790" i="5"/>
  <c r="E790" i="5"/>
  <c r="F790" i="5"/>
  <c r="G791" i="4"/>
  <c r="H791" i="4"/>
  <c r="C791" i="5"/>
  <c r="D791" i="5"/>
  <c r="E791" i="5"/>
  <c r="F791" i="5"/>
  <c r="G792" i="4"/>
  <c r="H792" i="4"/>
  <c r="C792" i="5"/>
  <c r="D792" i="5"/>
  <c r="E792" i="5"/>
  <c r="F792" i="5"/>
  <c r="G793" i="4"/>
  <c r="H793" i="4"/>
  <c r="C793" i="5"/>
  <c r="D793" i="5"/>
  <c r="E793" i="5"/>
  <c r="F793" i="5"/>
  <c r="G794" i="4"/>
  <c r="H794" i="4"/>
  <c r="C794" i="5"/>
  <c r="D794" i="5"/>
  <c r="E794" i="5"/>
  <c r="F794" i="5"/>
  <c r="G795" i="4"/>
  <c r="H795" i="4"/>
  <c r="C795" i="5"/>
  <c r="D795" i="5"/>
  <c r="E795" i="5"/>
  <c r="F795" i="5"/>
  <c r="G796" i="4"/>
  <c r="H796" i="4"/>
  <c r="C796" i="5"/>
  <c r="D796" i="5"/>
  <c r="E796" i="5"/>
  <c r="F796" i="5"/>
  <c r="G797" i="4"/>
  <c r="H797" i="4"/>
  <c r="C797" i="5"/>
  <c r="D797" i="5"/>
  <c r="E797" i="5"/>
  <c r="F797" i="5"/>
  <c r="G798" i="4"/>
  <c r="H798" i="4"/>
  <c r="C798" i="5"/>
  <c r="D798" i="5"/>
  <c r="E798" i="5"/>
  <c r="F798" i="5"/>
  <c r="G799" i="4"/>
  <c r="H799" i="4"/>
  <c r="C799" i="5"/>
  <c r="D799" i="5"/>
  <c r="E799" i="5"/>
  <c r="F799" i="5"/>
  <c r="G800" i="4"/>
  <c r="H800" i="4"/>
  <c r="C800" i="5"/>
  <c r="D800" i="5"/>
  <c r="E800" i="5"/>
  <c r="F800" i="5"/>
  <c r="G801" i="4"/>
  <c r="H801" i="4"/>
  <c r="C801" i="5"/>
  <c r="D801" i="5"/>
  <c r="E801" i="5"/>
  <c r="F801" i="5"/>
  <c r="G802" i="4"/>
  <c r="H802" i="4"/>
  <c r="C802" i="5"/>
  <c r="D802" i="5"/>
  <c r="E802" i="5"/>
  <c r="F802" i="5"/>
  <c r="G803" i="4"/>
  <c r="H803" i="4"/>
  <c r="C803" i="5"/>
  <c r="D803" i="5"/>
  <c r="E803" i="5"/>
  <c r="F803" i="5"/>
  <c r="G804" i="4"/>
  <c r="H804" i="4"/>
  <c r="C804" i="5"/>
  <c r="D804" i="5"/>
  <c r="E804" i="5"/>
  <c r="F804" i="5"/>
  <c r="G805" i="4"/>
  <c r="H805" i="4"/>
  <c r="C805" i="5"/>
  <c r="D805" i="5"/>
  <c r="E805" i="5"/>
  <c r="F805" i="5"/>
  <c r="G806" i="4"/>
  <c r="H806" i="4"/>
  <c r="C806" i="5"/>
  <c r="D806" i="5"/>
  <c r="E806" i="5"/>
  <c r="F806" i="5"/>
  <c r="G807" i="4"/>
  <c r="H807" i="4"/>
  <c r="C807" i="5"/>
  <c r="D807" i="5"/>
  <c r="E807" i="5"/>
  <c r="F807" i="5"/>
  <c r="G808" i="4"/>
  <c r="H808" i="4"/>
  <c r="C808" i="5"/>
  <c r="D808" i="5"/>
  <c r="E808" i="5"/>
  <c r="F808" i="5"/>
  <c r="G809" i="4"/>
  <c r="H809" i="4"/>
  <c r="C809" i="5"/>
  <c r="D809" i="5"/>
  <c r="E809" i="5"/>
  <c r="F809" i="5"/>
  <c r="G810" i="4"/>
  <c r="H810" i="4"/>
  <c r="C810" i="5"/>
  <c r="D810" i="5"/>
  <c r="E810" i="5"/>
  <c r="F810" i="5"/>
  <c r="G811" i="4"/>
  <c r="H811" i="4"/>
  <c r="C811" i="5"/>
  <c r="D811" i="5"/>
  <c r="E811" i="5"/>
  <c r="F811" i="5"/>
  <c r="G812" i="4"/>
  <c r="H812" i="4"/>
  <c r="C812" i="5"/>
  <c r="D812" i="5"/>
  <c r="E812" i="5"/>
  <c r="F812" i="5"/>
  <c r="G813" i="4"/>
  <c r="H813" i="4"/>
  <c r="C813" i="5"/>
  <c r="D813" i="5"/>
  <c r="E813" i="5"/>
  <c r="F813" i="5"/>
  <c r="G814" i="4"/>
  <c r="H814" i="4"/>
  <c r="C814" i="5"/>
  <c r="D814" i="5"/>
  <c r="E814" i="5"/>
  <c r="F814" i="5"/>
  <c r="G815" i="4"/>
  <c r="H815" i="4"/>
  <c r="C815" i="5"/>
  <c r="D815" i="5"/>
  <c r="E815" i="5"/>
  <c r="F815" i="5"/>
  <c r="G816" i="4"/>
  <c r="H816" i="4"/>
  <c r="C816" i="5"/>
  <c r="D816" i="5"/>
  <c r="E816" i="5"/>
  <c r="F816" i="5"/>
  <c r="G817" i="4"/>
  <c r="H817" i="4"/>
  <c r="C817" i="5"/>
  <c r="D817" i="5"/>
  <c r="E817" i="5"/>
  <c r="F817" i="5"/>
  <c r="G818" i="4"/>
  <c r="H818" i="4"/>
  <c r="C818" i="5"/>
  <c r="D818" i="5"/>
  <c r="E818" i="5"/>
  <c r="F818" i="5"/>
  <c r="G819" i="4"/>
  <c r="H819" i="4"/>
  <c r="C819" i="5"/>
  <c r="D819" i="5"/>
  <c r="E819" i="5"/>
  <c r="F819" i="5"/>
  <c r="G820" i="4"/>
  <c r="H820" i="4"/>
  <c r="C820" i="5"/>
  <c r="D820" i="5"/>
  <c r="E820" i="5"/>
  <c r="F820" i="5"/>
  <c r="G821" i="4"/>
  <c r="H821" i="4"/>
  <c r="C821" i="5"/>
  <c r="D821" i="5"/>
  <c r="E821" i="5"/>
  <c r="F821" i="5"/>
  <c r="G822" i="4"/>
  <c r="H822" i="4"/>
  <c r="C822" i="5"/>
  <c r="D822" i="5"/>
  <c r="E822" i="5"/>
  <c r="F822" i="5"/>
  <c r="G823" i="4"/>
  <c r="H823" i="4"/>
  <c r="C823" i="5"/>
  <c r="D823" i="5"/>
  <c r="E823" i="5"/>
  <c r="F823" i="5"/>
  <c r="G824" i="4"/>
  <c r="H824" i="4"/>
  <c r="C824" i="5"/>
  <c r="D824" i="5"/>
  <c r="E824" i="5"/>
  <c r="F824" i="5"/>
  <c r="G825" i="4"/>
  <c r="H825" i="4"/>
  <c r="C825" i="5"/>
  <c r="D825" i="5"/>
  <c r="E825" i="5"/>
  <c r="F825" i="5"/>
  <c r="G826" i="4"/>
  <c r="H826" i="4"/>
  <c r="C826" i="5"/>
  <c r="D826" i="5"/>
  <c r="E826" i="5"/>
  <c r="F826" i="5"/>
  <c r="G827" i="4"/>
  <c r="H827" i="4"/>
  <c r="C827" i="5"/>
  <c r="D827" i="5"/>
  <c r="E827" i="5"/>
  <c r="F827" i="5"/>
  <c r="G828" i="4"/>
  <c r="H828" i="4"/>
  <c r="C828" i="5"/>
  <c r="D828" i="5"/>
  <c r="E828" i="5"/>
  <c r="F828" i="5"/>
  <c r="G829" i="4"/>
  <c r="H829" i="4"/>
  <c r="C829" i="5"/>
  <c r="D829" i="5"/>
  <c r="E829" i="5"/>
  <c r="F829" i="5"/>
  <c r="G830" i="4"/>
  <c r="H830" i="4"/>
  <c r="C830" i="5"/>
  <c r="D830" i="5"/>
  <c r="E830" i="5"/>
  <c r="F830" i="5"/>
  <c r="G831" i="4"/>
  <c r="H831" i="4"/>
  <c r="C831" i="5"/>
  <c r="D831" i="5"/>
  <c r="E831" i="5"/>
  <c r="F831" i="5"/>
  <c r="G832" i="4"/>
  <c r="H832" i="4"/>
  <c r="C832" i="5"/>
  <c r="D832" i="5"/>
  <c r="E832" i="5"/>
  <c r="F832" i="5"/>
  <c r="G833" i="4"/>
  <c r="H833" i="4"/>
  <c r="C833" i="5"/>
  <c r="D833" i="5"/>
  <c r="E833" i="5"/>
  <c r="F833" i="5"/>
  <c r="G834" i="4"/>
  <c r="H834" i="4"/>
  <c r="C834" i="5"/>
  <c r="D834" i="5"/>
  <c r="E834" i="5"/>
  <c r="F834" i="5"/>
  <c r="G835" i="4"/>
  <c r="H835" i="4"/>
  <c r="C835" i="5"/>
  <c r="D835" i="5"/>
  <c r="E835" i="5"/>
  <c r="F835" i="5"/>
  <c r="G836" i="4"/>
  <c r="H836" i="4"/>
  <c r="C836" i="5"/>
  <c r="D836" i="5"/>
  <c r="E836" i="5"/>
  <c r="F836" i="5"/>
  <c r="G837" i="4"/>
  <c r="H837" i="4"/>
  <c r="C837" i="5"/>
  <c r="D837" i="5"/>
  <c r="E837" i="5"/>
  <c r="F837" i="5"/>
  <c r="G838" i="4"/>
  <c r="H838" i="4"/>
  <c r="C838" i="5"/>
  <c r="D838" i="5"/>
  <c r="E838" i="5"/>
  <c r="F838" i="5"/>
  <c r="G839" i="4"/>
  <c r="H839" i="4"/>
  <c r="C839" i="5"/>
  <c r="D839" i="5"/>
  <c r="E839" i="5"/>
  <c r="F839" i="5"/>
  <c r="G840" i="4"/>
  <c r="H840" i="4"/>
  <c r="C840" i="5"/>
  <c r="D840" i="5"/>
  <c r="E840" i="5"/>
  <c r="F840" i="5"/>
  <c r="G841" i="4"/>
  <c r="H841" i="4"/>
  <c r="C841" i="5"/>
  <c r="D841" i="5"/>
  <c r="E841" i="5"/>
  <c r="F841" i="5"/>
  <c r="G842" i="4"/>
  <c r="H842" i="4"/>
  <c r="C842" i="5"/>
  <c r="D842" i="5"/>
  <c r="E842" i="5"/>
  <c r="F842" i="5"/>
  <c r="G843" i="4"/>
  <c r="H843" i="4"/>
  <c r="C843" i="5"/>
  <c r="D843" i="5"/>
  <c r="E843" i="5"/>
  <c r="F843" i="5"/>
  <c r="G844" i="4"/>
  <c r="H844" i="4"/>
  <c r="C844" i="5"/>
  <c r="D844" i="5"/>
  <c r="E844" i="5"/>
  <c r="F844" i="5"/>
  <c r="G845" i="4"/>
  <c r="H845" i="4"/>
  <c r="C845" i="5"/>
  <c r="D845" i="5"/>
  <c r="E845" i="5"/>
  <c r="F845" i="5"/>
  <c r="G846" i="4"/>
  <c r="H846" i="4"/>
  <c r="C846" i="5"/>
  <c r="D846" i="5"/>
  <c r="E846" i="5"/>
  <c r="F846" i="5"/>
  <c r="G847" i="4"/>
  <c r="H847" i="4"/>
  <c r="C847" i="5"/>
  <c r="D847" i="5"/>
  <c r="E847" i="5"/>
  <c r="F847" i="5"/>
  <c r="G848" i="4"/>
  <c r="H848" i="4"/>
  <c r="C848" i="5"/>
  <c r="D848" i="5"/>
  <c r="E848" i="5"/>
  <c r="F848" i="5"/>
  <c r="G849" i="4"/>
  <c r="H849" i="4"/>
  <c r="C849" i="5"/>
  <c r="D849" i="5"/>
  <c r="E849" i="5"/>
  <c r="F849" i="5"/>
  <c r="G850" i="4"/>
  <c r="H850" i="4"/>
  <c r="C850" i="5"/>
  <c r="D850" i="5"/>
  <c r="E850" i="5"/>
  <c r="F850" i="5"/>
  <c r="G851" i="4"/>
  <c r="H851" i="4"/>
  <c r="C851" i="5"/>
  <c r="D851" i="5"/>
  <c r="E851" i="5"/>
  <c r="F851" i="5"/>
  <c r="G852" i="4"/>
  <c r="H852" i="4"/>
  <c r="C852" i="5"/>
  <c r="D852" i="5"/>
  <c r="E852" i="5"/>
  <c r="F852" i="5"/>
  <c r="C853" i="4"/>
  <c r="D853" i="4"/>
  <c r="E853" i="4"/>
  <c r="F853" i="4"/>
  <c r="G853" i="4"/>
  <c r="H853" i="4"/>
  <c r="C853" i="5"/>
  <c r="D853" i="5"/>
  <c r="E853" i="5"/>
  <c r="F853" i="5"/>
  <c r="C854" i="4"/>
  <c r="D854" i="4"/>
  <c r="E854" i="4"/>
  <c r="F854" i="4"/>
  <c r="G854" i="4"/>
  <c r="H854" i="4"/>
  <c r="C854" i="5"/>
  <c r="D854" i="5"/>
  <c r="E854" i="5"/>
  <c r="F854" i="5"/>
  <c r="C855" i="4"/>
  <c r="D855" i="4"/>
  <c r="E855" i="4"/>
  <c r="F855" i="4"/>
  <c r="G855" i="4"/>
  <c r="H855" i="4"/>
  <c r="C855" i="5"/>
  <c r="D855" i="5"/>
  <c r="E855" i="5"/>
  <c r="F855" i="5"/>
  <c r="C856" i="4"/>
  <c r="D856" i="4"/>
  <c r="E856" i="4"/>
  <c r="F856" i="4"/>
  <c r="G856" i="4"/>
  <c r="H856" i="4"/>
  <c r="C856" i="5"/>
  <c r="D856" i="5"/>
  <c r="E856" i="5"/>
  <c r="F856" i="5"/>
  <c r="C857" i="4"/>
  <c r="D857" i="4"/>
  <c r="E857" i="4"/>
  <c r="F857" i="4"/>
  <c r="G857" i="4"/>
  <c r="H857" i="4"/>
  <c r="C857" i="5"/>
  <c r="D857" i="5"/>
  <c r="E857" i="5"/>
  <c r="F857" i="5"/>
  <c r="C858" i="4"/>
  <c r="D858" i="4"/>
  <c r="E858" i="4"/>
  <c r="F858" i="4"/>
  <c r="G858" i="4"/>
  <c r="H858" i="4"/>
  <c r="C858" i="5"/>
  <c r="D858" i="5"/>
  <c r="E858" i="5"/>
  <c r="F858" i="5"/>
  <c r="C859" i="4"/>
  <c r="D859" i="4"/>
  <c r="E859" i="4"/>
  <c r="F859" i="4"/>
  <c r="G859" i="4"/>
  <c r="H859" i="4"/>
  <c r="C859" i="5"/>
  <c r="D859" i="5"/>
  <c r="E859" i="5"/>
  <c r="F859" i="5"/>
  <c r="C860" i="4"/>
  <c r="D860" i="4"/>
  <c r="E860" i="4"/>
  <c r="F860" i="4"/>
  <c r="G860" i="4"/>
  <c r="H860" i="4"/>
  <c r="C860" i="5"/>
  <c r="D860" i="5"/>
  <c r="E860" i="5"/>
  <c r="F860" i="5"/>
  <c r="C861" i="4"/>
  <c r="D861" i="4"/>
  <c r="E861" i="4"/>
  <c r="F861" i="4"/>
  <c r="G861" i="4"/>
  <c r="H861" i="4"/>
  <c r="C861" i="5"/>
  <c r="D861" i="5"/>
  <c r="E861" i="5"/>
  <c r="F861" i="5"/>
  <c r="C862" i="4"/>
  <c r="D862" i="4"/>
  <c r="E862" i="4"/>
  <c r="F862" i="4"/>
  <c r="G862" i="4"/>
  <c r="H862" i="4"/>
  <c r="C862" i="5"/>
  <c r="D862" i="5"/>
  <c r="E862" i="5"/>
  <c r="F862" i="5"/>
  <c r="C863" i="4"/>
  <c r="D863" i="4"/>
  <c r="E863" i="4"/>
  <c r="F863" i="4"/>
  <c r="G863" i="4"/>
  <c r="H863" i="4"/>
  <c r="C863" i="5"/>
  <c r="D863" i="5"/>
  <c r="E863" i="5"/>
  <c r="F863" i="5"/>
  <c r="C864" i="4"/>
  <c r="D864" i="4"/>
  <c r="E864" i="4"/>
  <c r="F864" i="4"/>
  <c r="G864" i="4"/>
  <c r="H864" i="4"/>
  <c r="C864" i="5"/>
  <c r="D864" i="5"/>
  <c r="E864" i="5"/>
  <c r="F864" i="5"/>
  <c r="C865" i="4"/>
  <c r="D865" i="4"/>
  <c r="E865" i="4"/>
  <c r="F865" i="4"/>
  <c r="G865" i="4"/>
  <c r="H865" i="4"/>
  <c r="C865" i="5"/>
  <c r="D865" i="5"/>
  <c r="E865" i="5"/>
  <c r="F865" i="5"/>
  <c r="C866" i="4"/>
  <c r="D866" i="4"/>
  <c r="E866" i="4"/>
  <c r="F866" i="4"/>
  <c r="G866" i="4"/>
  <c r="H866" i="4"/>
  <c r="C866" i="5"/>
  <c r="D866" i="5"/>
  <c r="E866" i="5"/>
  <c r="F866" i="5"/>
  <c r="C867" i="4"/>
  <c r="D867" i="4"/>
  <c r="E867" i="4"/>
  <c r="F867" i="4"/>
  <c r="G867" i="4"/>
  <c r="H867" i="4"/>
  <c r="C867" i="5"/>
  <c r="D867" i="5"/>
  <c r="E867" i="5"/>
  <c r="F867" i="5"/>
  <c r="C868" i="4"/>
  <c r="D868" i="4"/>
  <c r="E868" i="4"/>
  <c r="F868" i="4"/>
  <c r="G868" i="4"/>
  <c r="H868" i="4"/>
  <c r="C868" i="5"/>
  <c r="D868" i="5"/>
  <c r="E868" i="5"/>
  <c r="F868" i="5"/>
  <c r="C869" i="4"/>
  <c r="D869" i="4"/>
  <c r="E869" i="4"/>
  <c r="F869" i="4"/>
  <c r="G869" i="4"/>
  <c r="H869" i="4"/>
  <c r="C869" i="5"/>
  <c r="D869" i="5"/>
  <c r="E869" i="5"/>
  <c r="F869" i="5"/>
  <c r="C870" i="4"/>
  <c r="D870" i="4"/>
  <c r="E870" i="4"/>
  <c r="F870" i="4"/>
  <c r="G870" i="4"/>
  <c r="H870" i="4"/>
  <c r="C870" i="5"/>
  <c r="D870" i="5"/>
  <c r="E870" i="5"/>
  <c r="F870" i="5"/>
  <c r="C871" i="4"/>
  <c r="D871" i="4"/>
  <c r="E871" i="4"/>
  <c r="F871" i="4"/>
  <c r="G871" i="4"/>
  <c r="H871" i="4"/>
  <c r="C871" i="5"/>
  <c r="D871" i="5"/>
  <c r="E871" i="5"/>
  <c r="F871" i="5"/>
  <c r="C872" i="4"/>
  <c r="D872" i="4"/>
  <c r="E872" i="4"/>
  <c r="F872" i="4"/>
  <c r="G872" i="4"/>
  <c r="H872" i="4"/>
  <c r="C872" i="5"/>
  <c r="D872" i="5"/>
  <c r="E872" i="5"/>
  <c r="F872" i="5"/>
  <c r="C873" i="4"/>
  <c r="D873" i="4"/>
  <c r="E873" i="4"/>
  <c r="F873" i="4"/>
  <c r="G873" i="4"/>
  <c r="H873" i="4"/>
  <c r="C873" i="5"/>
  <c r="D873" i="5"/>
  <c r="E873" i="5"/>
  <c r="F873" i="5"/>
  <c r="C874" i="4"/>
  <c r="D874" i="4"/>
  <c r="E874" i="4"/>
  <c r="F874" i="4"/>
  <c r="G874" i="4"/>
  <c r="H874" i="4"/>
  <c r="C874" i="5"/>
  <c r="D874" i="5"/>
  <c r="E874" i="5"/>
  <c r="F874" i="5"/>
  <c r="C875" i="4"/>
  <c r="D875" i="4"/>
  <c r="E875" i="4"/>
  <c r="F875" i="4"/>
  <c r="G875" i="4"/>
  <c r="H875" i="4"/>
  <c r="C875" i="5"/>
  <c r="D875" i="5"/>
  <c r="E875" i="5"/>
  <c r="F875" i="5"/>
  <c r="C876" i="4"/>
  <c r="D876" i="4"/>
  <c r="E876" i="4"/>
  <c r="F876" i="4"/>
  <c r="G876" i="4"/>
  <c r="H876" i="4"/>
  <c r="C876" i="5"/>
  <c r="D876" i="5"/>
  <c r="E876" i="5"/>
  <c r="F876" i="5"/>
  <c r="C877" i="4"/>
  <c r="D877" i="4"/>
  <c r="E877" i="4"/>
  <c r="F877" i="4"/>
  <c r="G877" i="4"/>
  <c r="H877" i="4"/>
  <c r="C877" i="5"/>
  <c r="D877" i="5"/>
  <c r="E877" i="5"/>
  <c r="F877" i="5"/>
  <c r="C878" i="4"/>
  <c r="D878" i="4"/>
  <c r="E878" i="4"/>
  <c r="F878" i="4"/>
  <c r="G878" i="4"/>
  <c r="H878" i="4"/>
  <c r="C878" i="5"/>
  <c r="D878" i="5"/>
  <c r="E878" i="5"/>
  <c r="F878" i="5"/>
  <c r="C879" i="4"/>
  <c r="D879" i="4"/>
  <c r="E879" i="4"/>
  <c r="F879" i="4"/>
  <c r="G879" i="4"/>
  <c r="H879" i="4"/>
  <c r="C879" i="5"/>
  <c r="D879" i="5"/>
  <c r="E879" i="5"/>
  <c r="F879" i="5"/>
  <c r="C880" i="4"/>
  <c r="D880" i="4"/>
  <c r="E880" i="4"/>
  <c r="F880" i="4"/>
  <c r="G880" i="4"/>
  <c r="H880" i="4"/>
  <c r="C880" i="5"/>
  <c r="D880" i="5"/>
  <c r="E880" i="5"/>
  <c r="F880" i="5"/>
  <c r="C881" i="4"/>
  <c r="D881" i="4"/>
  <c r="E881" i="4"/>
  <c r="F881" i="4"/>
  <c r="G881" i="4"/>
  <c r="H881" i="4"/>
  <c r="C881" i="5"/>
  <c r="D881" i="5"/>
  <c r="E881" i="5"/>
  <c r="F881" i="5"/>
  <c r="C882" i="4"/>
  <c r="D882" i="4"/>
  <c r="E882" i="4"/>
  <c r="F882" i="4"/>
  <c r="G882" i="4"/>
  <c r="H882" i="4"/>
  <c r="C882" i="5"/>
  <c r="D882" i="5"/>
  <c r="E882" i="5"/>
  <c r="F882" i="5"/>
  <c r="C883" i="4"/>
  <c r="D883" i="4"/>
  <c r="E883" i="4"/>
  <c r="F883" i="4"/>
  <c r="G883" i="4"/>
  <c r="H883" i="4"/>
  <c r="C883" i="5"/>
  <c r="D883" i="5"/>
  <c r="E883" i="5"/>
  <c r="F883" i="5"/>
  <c r="C884" i="4"/>
  <c r="D884" i="4"/>
  <c r="E884" i="4"/>
  <c r="F884" i="4"/>
  <c r="G884" i="4"/>
  <c r="H884" i="4"/>
  <c r="C884" i="5"/>
  <c r="D884" i="5"/>
  <c r="E884" i="5"/>
  <c r="F884" i="5"/>
  <c r="C885" i="4"/>
  <c r="D885" i="4"/>
  <c r="E885" i="4"/>
  <c r="F885" i="4"/>
  <c r="G885" i="4"/>
  <c r="H885" i="4"/>
  <c r="C885" i="5"/>
  <c r="D885" i="5"/>
  <c r="E885" i="5"/>
  <c r="F885" i="5"/>
  <c r="C886" i="4"/>
  <c r="D886" i="4"/>
  <c r="E886" i="4"/>
  <c r="F886" i="4"/>
  <c r="G886" i="4"/>
  <c r="H886" i="4"/>
  <c r="C886" i="5"/>
  <c r="D886" i="5"/>
  <c r="E886" i="5"/>
  <c r="F886" i="5"/>
  <c r="C887" i="4"/>
  <c r="D887" i="4"/>
  <c r="E887" i="4"/>
  <c r="F887" i="4"/>
  <c r="G887" i="4"/>
  <c r="H887" i="4"/>
  <c r="C887" i="5"/>
  <c r="D887" i="5"/>
  <c r="E887" i="5"/>
  <c r="F887" i="5"/>
  <c r="C888" i="4"/>
  <c r="D888" i="4"/>
  <c r="E888" i="4"/>
  <c r="F888" i="4"/>
  <c r="G888" i="4"/>
  <c r="H888" i="4"/>
  <c r="C888" i="5"/>
  <c r="D888" i="5"/>
  <c r="E888" i="5"/>
  <c r="F888" i="5"/>
  <c r="C889" i="4"/>
  <c r="D889" i="4"/>
  <c r="E889" i="4"/>
  <c r="F889" i="4"/>
  <c r="G889" i="4"/>
  <c r="H889" i="4"/>
  <c r="C889" i="5"/>
  <c r="D889" i="5"/>
  <c r="E889" i="5"/>
  <c r="F889" i="5"/>
  <c r="C890" i="4"/>
  <c r="D890" i="4"/>
  <c r="E890" i="4"/>
  <c r="F890" i="4"/>
  <c r="G890" i="4"/>
  <c r="H890" i="4"/>
  <c r="C890" i="5"/>
  <c r="D890" i="5"/>
  <c r="E890" i="5"/>
  <c r="F890" i="5"/>
  <c r="C891" i="4"/>
  <c r="D891" i="4"/>
  <c r="E891" i="4"/>
  <c r="F891" i="4"/>
  <c r="G891" i="4"/>
  <c r="H891" i="4"/>
  <c r="C891" i="5"/>
  <c r="D891" i="5"/>
  <c r="E891" i="5"/>
  <c r="F891" i="5"/>
  <c r="C892" i="4"/>
  <c r="D892" i="4"/>
  <c r="E892" i="4"/>
  <c r="F892" i="4"/>
  <c r="G892" i="4"/>
  <c r="H892" i="4"/>
  <c r="C892" i="5"/>
  <c r="D892" i="5"/>
  <c r="E892" i="5"/>
  <c r="F892" i="5"/>
  <c r="C893" i="4"/>
  <c r="D893" i="4"/>
  <c r="E893" i="4"/>
  <c r="F893" i="4"/>
  <c r="G893" i="4"/>
  <c r="H893" i="4"/>
  <c r="C893" i="5"/>
  <c r="D893" i="5"/>
  <c r="E893" i="5"/>
  <c r="F893" i="5"/>
  <c r="C894" i="4"/>
  <c r="D894" i="4"/>
  <c r="E894" i="4"/>
  <c r="F894" i="4"/>
  <c r="G894" i="4"/>
  <c r="H894" i="4"/>
  <c r="C894" i="5"/>
  <c r="D894" i="5"/>
  <c r="E894" i="5"/>
  <c r="F894" i="5"/>
  <c r="C895" i="4"/>
  <c r="D895" i="4"/>
  <c r="E895" i="4"/>
  <c r="F895" i="4"/>
  <c r="G895" i="4"/>
  <c r="H895" i="4"/>
  <c r="C895" i="5"/>
  <c r="D895" i="5"/>
  <c r="E895" i="5"/>
  <c r="F895" i="5"/>
  <c r="C896" i="4"/>
  <c r="D896" i="4"/>
  <c r="E896" i="4"/>
  <c r="F896" i="4"/>
  <c r="G896" i="4"/>
  <c r="H896" i="4"/>
  <c r="C896" i="5"/>
  <c r="D896" i="5"/>
  <c r="E896" i="5"/>
  <c r="F896" i="5"/>
  <c r="C897" i="4"/>
  <c r="D897" i="4"/>
  <c r="E897" i="4"/>
  <c r="F897" i="4"/>
  <c r="G897" i="4"/>
  <c r="H897" i="4"/>
  <c r="C897" i="5"/>
  <c r="D897" i="5"/>
  <c r="E897" i="5"/>
  <c r="F897" i="5"/>
  <c r="C898" i="4"/>
  <c r="D898" i="4"/>
  <c r="E898" i="4"/>
  <c r="F898" i="4"/>
  <c r="G898" i="4"/>
  <c r="H898" i="4"/>
  <c r="C898" i="5"/>
  <c r="D898" i="5"/>
  <c r="E898" i="5"/>
  <c r="F898" i="5"/>
  <c r="C899" i="4"/>
  <c r="D899" i="4"/>
  <c r="E899" i="4"/>
  <c r="F899" i="4"/>
  <c r="G899" i="4"/>
  <c r="H899" i="4"/>
  <c r="C899" i="5"/>
  <c r="D899" i="5"/>
  <c r="E899" i="5"/>
  <c r="F899" i="5"/>
  <c r="C900" i="4"/>
  <c r="D900" i="4"/>
  <c r="E900" i="4"/>
  <c r="F900" i="4"/>
  <c r="G900" i="4"/>
  <c r="H900" i="4"/>
  <c r="C900" i="5"/>
  <c r="D900" i="5"/>
  <c r="E900" i="5"/>
  <c r="F900" i="5"/>
  <c r="C901" i="4"/>
  <c r="D901" i="4"/>
  <c r="E901" i="4"/>
  <c r="F901" i="4"/>
  <c r="G901" i="4"/>
  <c r="H901" i="4"/>
  <c r="C901" i="5"/>
  <c r="D901" i="5"/>
  <c r="E901" i="5"/>
  <c r="F901" i="5"/>
  <c r="C902" i="4"/>
  <c r="D902" i="4"/>
  <c r="E902" i="4"/>
  <c r="F902" i="4"/>
  <c r="G902" i="4"/>
  <c r="H902" i="4"/>
  <c r="C902" i="5"/>
  <c r="D902" i="5"/>
  <c r="E902" i="5"/>
  <c r="F902" i="5"/>
  <c r="C903" i="4"/>
  <c r="D903" i="4"/>
  <c r="E903" i="4"/>
  <c r="F903" i="4"/>
  <c r="G903" i="4"/>
  <c r="H903" i="4"/>
  <c r="C903" i="5"/>
  <c r="D903" i="5"/>
  <c r="E903" i="5"/>
  <c r="F903" i="5"/>
  <c r="C904" i="4"/>
  <c r="D904" i="4"/>
  <c r="E904" i="4"/>
  <c r="F904" i="4"/>
  <c r="G904" i="4"/>
  <c r="H904" i="4"/>
  <c r="C904" i="5"/>
  <c r="D904" i="5"/>
  <c r="E904" i="5"/>
  <c r="F904" i="5"/>
  <c r="C905" i="4"/>
  <c r="D905" i="4"/>
  <c r="E905" i="4"/>
  <c r="F905" i="4"/>
  <c r="G905" i="4"/>
  <c r="H905" i="4"/>
  <c r="C905" i="5"/>
  <c r="D905" i="5"/>
  <c r="E905" i="5"/>
  <c r="F905" i="5"/>
  <c r="C906" i="4"/>
  <c r="D906" i="4"/>
  <c r="E906" i="4"/>
  <c r="F906" i="4"/>
  <c r="G906" i="4"/>
  <c r="H906" i="4"/>
  <c r="C906" i="5"/>
  <c r="D906" i="5"/>
  <c r="E906" i="5"/>
  <c r="F906" i="5"/>
  <c r="C907" i="4"/>
  <c r="D907" i="4"/>
  <c r="E907" i="4"/>
  <c r="F907" i="4"/>
  <c r="G907" i="4"/>
  <c r="H907" i="4"/>
  <c r="C907" i="5"/>
  <c r="D907" i="5"/>
  <c r="E907" i="5"/>
  <c r="F907" i="5"/>
  <c r="C908" i="4"/>
  <c r="D908" i="4"/>
  <c r="E908" i="4"/>
  <c r="F908" i="4"/>
  <c r="G908" i="4"/>
  <c r="H908" i="4"/>
  <c r="C908" i="5"/>
  <c r="D908" i="5"/>
  <c r="E908" i="5"/>
  <c r="F908" i="5"/>
  <c r="C909" i="4"/>
  <c r="D909" i="4"/>
  <c r="E909" i="4"/>
  <c r="F909" i="4"/>
  <c r="G909" i="4"/>
  <c r="H909" i="4"/>
  <c r="C909" i="5"/>
  <c r="D909" i="5"/>
  <c r="E909" i="5"/>
  <c r="F909" i="5"/>
  <c r="C910" i="4"/>
  <c r="D910" i="4"/>
  <c r="E910" i="4"/>
  <c r="F910" i="4"/>
  <c r="G910" i="4"/>
  <c r="H910" i="4"/>
  <c r="C910" i="5"/>
  <c r="D910" i="5"/>
  <c r="E910" i="5"/>
  <c r="F910" i="5"/>
  <c r="C911" i="4"/>
  <c r="D911" i="4"/>
  <c r="E911" i="4"/>
  <c r="F911" i="4"/>
  <c r="G911" i="4"/>
  <c r="H911" i="4"/>
  <c r="C911" i="5"/>
  <c r="D911" i="5"/>
  <c r="E911" i="5"/>
  <c r="F911" i="5"/>
  <c r="C912" i="4"/>
  <c r="D912" i="4"/>
  <c r="E912" i="4"/>
  <c r="F912" i="4"/>
  <c r="G912" i="4"/>
  <c r="H912" i="4"/>
  <c r="C912" i="5"/>
  <c r="D912" i="5"/>
  <c r="E912" i="5"/>
  <c r="F912" i="5"/>
  <c r="C913" i="4"/>
  <c r="D913" i="4"/>
  <c r="E913" i="4"/>
  <c r="F913" i="4"/>
  <c r="G913" i="4"/>
  <c r="H913" i="4"/>
  <c r="C913" i="5"/>
  <c r="D913" i="5"/>
  <c r="E913" i="5"/>
  <c r="F913" i="5"/>
  <c r="C914" i="4"/>
  <c r="D914" i="4"/>
  <c r="E914" i="4"/>
  <c r="F914" i="4"/>
  <c r="G914" i="4"/>
  <c r="H914" i="4"/>
  <c r="C914" i="5"/>
  <c r="D914" i="5"/>
  <c r="E914" i="5"/>
  <c r="F914" i="5"/>
  <c r="C915" i="4"/>
  <c r="D915" i="4"/>
  <c r="E915" i="4"/>
  <c r="F915" i="4"/>
  <c r="G915" i="4"/>
  <c r="H915" i="4"/>
  <c r="C915" i="5"/>
  <c r="D915" i="5"/>
  <c r="E915" i="5"/>
  <c r="F915" i="5"/>
  <c r="C916" i="4"/>
  <c r="D916" i="4"/>
  <c r="E916" i="4"/>
  <c r="F916" i="4"/>
  <c r="G916" i="4"/>
  <c r="H916" i="4"/>
  <c r="C916" i="5"/>
  <c r="D916" i="5"/>
  <c r="E916" i="5"/>
  <c r="F916" i="5"/>
  <c r="C917" i="4"/>
  <c r="D917" i="4"/>
  <c r="E917" i="4"/>
  <c r="F917" i="4"/>
  <c r="G917" i="4"/>
  <c r="H917" i="4"/>
  <c r="C917" i="5"/>
  <c r="D917" i="5"/>
  <c r="E917" i="5"/>
  <c r="F917" i="5"/>
  <c r="C918" i="4"/>
  <c r="D918" i="4"/>
  <c r="E918" i="4"/>
  <c r="F918" i="4"/>
  <c r="G918" i="4"/>
  <c r="H918" i="4"/>
  <c r="C918" i="5"/>
  <c r="D918" i="5"/>
  <c r="E918" i="5"/>
  <c r="F918" i="5"/>
  <c r="C919" i="4"/>
  <c r="D919" i="4"/>
  <c r="E919" i="4"/>
  <c r="F919" i="4"/>
  <c r="G919" i="4"/>
  <c r="H919" i="4"/>
  <c r="C919" i="5"/>
  <c r="D919" i="5"/>
  <c r="E919" i="5"/>
  <c r="F919" i="5"/>
  <c r="C920" i="4"/>
  <c r="D920" i="4"/>
  <c r="E920" i="4"/>
  <c r="F920" i="4"/>
  <c r="G920" i="4"/>
  <c r="H920" i="4"/>
  <c r="C920" i="5"/>
  <c r="D920" i="5"/>
  <c r="E920" i="5"/>
  <c r="F920" i="5"/>
  <c r="C921" i="4"/>
  <c r="D921" i="4"/>
  <c r="E921" i="4"/>
  <c r="F921" i="4"/>
  <c r="G921" i="4"/>
  <c r="H921" i="4"/>
  <c r="C921" i="5"/>
  <c r="D921" i="5"/>
  <c r="E921" i="5"/>
  <c r="F921" i="5"/>
  <c r="C922" i="4"/>
  <c r="D922" i="4"/>
  <c r="E922" i="4"/>
  <c r="F922" i="4"/>
  <c r="G922" i="4"/>
  <c r="H922" i="4"/>
  <c r="C922" i="5"/>
  <c r="D922" i="5"/>
  <c r="E922" i="5"/>
  <c r="F922" i="5"/>
  <c r="C923" i="4"/>
  <c r="D923" i="4"/>
  <c r="E923" i="4"/>
  <c r="F923" i="4"/>
  <c r="G923" i="4"/>
  <c r="H923" i="4"/>
  <c r="C923" i="5"/>
  <c r="D923" i="5"/>
  <c r="E923" i="5"/>
  <c r="F923" i="5"/>
  <c r="C924" i="4"/>
  <c r="D924" i="4"/>
  <c r="E924" i="4"/>
  <c r="F924" i="4"/>
  <c r="G924" i="4"/>
  <c r="H924" i="4"/>
  <c r="C924" i="5"/>
  <c r="D924" i="5"/>
  <c r="E924" i="5"/>
  <c r="F924" i="5"/>
  <c r="C925" i="4"/>
  <c r="D925" i="4"/>
  <c r="E925" i="4"/>
  <c r="F925" i="4"/>
  <c r="G925" i="4"/>
  <c r="H925" i="4"/>
  <c r="C925" i="5"/>
  <c r="D925" i="5"/>
  <c r="E925" i="5"/>
  <c r="F925" i="5"/>
  <c r="C926" i="4"/>
  <c r="D926" i="4"/>
  <c r="E926" i="4"/>
  <c r="F926" i="4"/>
  <c r="G926" i="4"/>
  <c r="H926" i="4"/>
  <c r="C926" i="5"/>
  <c r="D926" i="5"/>
  <c r="E926" i="5"/>
  <c r="F926" i="5"/>
  <c r="C927" i="4"/>
  <c r="D927" i="4"/>
  <c r="E927" i="4"/>
  <c r="F927" i="4"/>
  <c r="G927" i="4"/>
  <c r="H927" i="4"/>
  <c r="C927" i="5"/>
  <c r="D927" i="5"/>
  <c r="E927" i="5"/>
  <c r="F927" i="5"/>
  <c r="C928" i="4"/>
  <c r="D928" i="4"/>
  <c r="E928" i="4"/>
  <c r="F928" i="4"/>
  <c r="G928" i="4"/>
  <c r="H928" i="4"/>
  <c r="C928" i="5"/>
  <c r="D928" i="5"/>
  <c r="E928" i="5"/>
  <c r="F928" i="5"/>
  <c r="C929" i="4"/>
  <c r="D929" i="4"/>
  <c r="E929" i="4"/>
  <c r="F929" i="4"/>
  <c r="G929" i="4"/>
  <c r="H929" i="4"/>
  <c r="C929" i="5"/>
  <c r="D929" i="5"/>
  <c r="E929" i="5"/>
  <c r="F929" i="5"/>
  <c r="C930" i="4"/>
  <c r="D930" i="4"/>
  <c r="E930" i="4"/>
  <c r="F930" i="4"/>
  <c r="G930" i="4"/>
  <c r="H930" i="4"/>
  <c r="C930" i="5"/>
  <c r="D930" i="5"/>
  <c r="E930" i="5"/>
  <c r="F930" i="5"/>
  <c r="C931" i="4"/>
  <c r="D931" i="4"/>
  <c r="E931" i="4"/>
  <c r="F931" i="4"/>
  <c r="G931" i="4"/>
  <c r="H931" i="4"/>
  <c r="C931" i="5"/>
  <c r="D931" i="5"/>
  <c r="E931" i="5"/>
  <c r="F931" i="5"/>
  <c r="C932" i="4"/>
  <c r="D932" i="4"/>
  <c r="E932" i="4"/>
  <c r="F932" i="4"/>
  <c r="G932" i="4"/>
  <c r="H932" i="4"/>
  <c r="C932" i="5"/>
  <c r="D932" i="5"/>
  <c r="E932" i="5"/>
  <c r="F932" i="5"/>
  <c r="C933" i="4"/>
  <c r="D933" i="4"/>
  <c r="E933" i="4"/>
  <c r="F933" i="4"/>
  <c r="G933" i="4"/>
  <c r="H933" i="4"/>
  <c r="C933" i="5"/>
  <c r="D933" i="5"/>
  <c r="E933" i="5"/>
  <c r="F933" i="5"/>
  <c r="C934" i="4"/>
  <c r="D934" i="4"/>
  <c r="E934" i="4"/>
  <c r="F934" i="4"/>
  <c r="G934" i="4"/>
  <c r="H934" i="4"/>
  <c r="C934" i="5"/>
  <c r="D934" i="5"/>
  <c r="E934" i="5"/>
  <c r="F934" i="5"/>
  <c r="C935" i="4"/>
  <c r="D935" i="4"/>
  <c r="E935" i="4"/>
  <c r="F935" i="4"/>
  <c r="G935" i="4"/>
  <c r="H935" i="4"/>
  <c r="C935" i="5"/>
  <c r="D935" i="5"/>
  <c r="E935" i="5"/>
  <c r="F935" i="5"/>
  <c r="C936" i="4"/>
  <c r="D936" i="4"/>
  <c r="E936" i="4"/>
  <c r="F936" i="4"/>
  <c r="G936" i="4"/>
  <c r="H936" i="4"/>
  <c r="C936" i="5"/>
  <c r="D936" i="5"/>
  <c r="E936" i="5"/>
  <c r="F936" i="5"/>
  <c r="C937" i="4"/>
  <c r="D937" i="4"/>
  <c r="E937" i="4"/>
  <c r="F937" i="4"/>
  <c r="G937" i="4"/>
  <c r="H937" i="4"/>
  <c r="C937" i="5"/>
  <c r="D937" i="5"/>
  <c r="E937" i="5"/>
  <c r="F937" i="5"/>
  <c r="C938" i="4"/>
  <c r="D938" i="4"/>
  <c r="E938" i="4"/>
  <c r="F938" i="4"/>
  <c r="G938" i="4"/>
  <c r="H938" i="4"/>
  <c r="C938" i="5"/>
  <c r="D938" i="5"/>
  <c r="E938" i="5"/>
  <c r="F938" i="5"/>
  <c r="C939" i="4"/>
  <c r="D939" i="4"/>
  <c r="E939" i="4"/>
  <c r="F939" i="4"/>
  <c r="G939" i="4"/>
  <c r="H939" i="4"/>
  <c r="C939" i="5"/>
  <c r="D939" i="5"/>
  <c r="E939" i="5"/>
  <c r="F939" i="5"/>
  <c r="C940" i="4"/>
  <c r="D940" i="4"/>
  <c r="E940" i="4"/>
  <c r="F940" i="4"/>
  <c r="G940" i="4"/>
  <c r="H940" i="4"/>
  <c r="C940" i="5"/>
  <c r="D940" i="5"/>
  <c r="E940" i="5"/>
  <c r="F940" i="5"/>
  <c r="C941" i="4"/>
  <c r="D941" i="4"/>
  <c r="E941" i="4"/>
  <c r="F941" i="4"/>
  <c r="G941" i="4"/>
  <c r="H941" i="4"/>
  <c r="C941" i="5"/>
  <c r="D941" i="5"/>
  <c r="E941" i="5"/>
  <c r="F941" i="5"/>
  <c r="C942" i="4"/>
  <c r="D942" i="4"/>
  <c r="E942" i="4"/>
  <c r="F942" i="4"/>
  <c r="G942" i="4"/>
  <c r="H942" i="4"/>
  <c r="C942" i="5"/>
  <c r="D942" i="5"/>
  <c r="E942" i="5"/>
  <c r="F942" i="5"/>
  <c r="C943" i="4"/>
  <c r="D943" i="4"/>
  <c r="E943" i="4"/>
  <c r="F943" i="4"/>
  <c r="G943" i="4"/>
  <c r="H943" i="4"/>
  <c r="C943" i="5"/>
  <c r="D943" i="5"/>
  <c r="E943" i="5"/>
  <c r="F943" i="5"/>
  <c r="C944" i="4"/>
  <c r="D944" i="4"/>
  <c r="E944" i="4"/>
  <c r="F944" i="4"/>
  <c r="G944" i="4"/>
  <c r="H944" i="4"/>
  <c r="C944" i="5"/>
  <c r="D944" i="5"/>
  <c r="E944" i="5"/>
  <c r="F944" i="5"/>
  <c r="C945" i="4"/>
  <c r="D945" i="4"/>
  <c r="E945" i="4"/>
  <c r="F945" i="4"/>
  <c r="G945" i="4"/>
  <c r="H945" i="4"/>
  <c r="C945" i="5"/>
  <c r="D945" i="5"/>
  <c r="E945" i="5"/>
  <c r="F945" i="5"/>
  <c r="C946" i="4"/>
  <c r="D946" i="4"/>
  <c r="E946" i="4"/>
  <c r="F946" i="4"/>
  <c r="G946" i="4"/>
  <c r="H946" i="4"/>
  <c r="C946" i="5"/>
  <c r="D946" i="5"/>
  <c r="E946" i="5"/>
  <c r="F946" i="5"/>
  <c r="C947" i="4"/>
  <c r="D947" i="4"/>
  <c r="E947" i="4"/>
  <c r="F947" i="4"/>
  <c r="G947" i="4"/>
  <c r="H947" i="4"/>
  <c r="C947" i="5"/>
  <c r="D947" i="5"/>
  <c r="E947" i="5"/>
  <c r="F947" i="5"/>
  <c r="C948" i="4"/>
  <c r="D948" i="4"/>
  <c r="E948" i="4"/>
  <c r="F948" i="4"/>
  <c r="G948" i="4"/>
  <c r="H948" i="4"/>
  <c r="C948" i="5"/>
  <c r="D948" i="5"/>
  <c r="E948" i="5"/>
  <c r="F948" i="5"/>
  <c r="C949" i="4"/>
  <c r="D949" i="4"/>
  <c r="E949" i="4"/>
  <c r="F949" i="4"/>
  <c r="G949" i="4"/>
  <c r="H949" i="4"/>
  <c r="C949" i="5"/>
  <c r="D949" i="5"/>
  <c r="E949" i="5"/>
  <c r="F949" i="5"/>
  <c r="C950" i="4"/>
  <c r="D950" i="4"/>
  <c r="E950" i="4"/>
  <c r="F950" i="4"/>
  <c r="G950" i="4"/>
  <c r="H950" i="4"/>
  <c r="C950" i="5"/>
  <c r="D950" i="5"/>
  <c r="E950" i="5"/>
  <c r="F950" i="5"/>
  <c r="C951" i="4"/>
  <c r="D951" i="4"/>
  <c r="E951" i="4"/>
  <c r="F951" i="4"/>
  <c r="G951" i="4"/>
  <c r="H951" i="4"/>
  <c r="C951" i="5"/>
  <c r="D951" i="5"/>
  <c r="E951" i="5"/>
  <c r="F951" i="5"/>
  <c r="C952" i="4"/>
  <c r="D952" i="4"/>
  <c r="E952" i="4"/>
  <c r="F952" i="4"/>
  <c r="G952" i="4"/>
  <c r="H952" i="4"/>
  <c r="C952" i="5"/>
  <c r="D952" i="5"/>
  <c r="F952" i="5"/>
  <c r="E952" i="5"/>
  <c r="C953" i="4"/>
  <c r="D953" i="4"/>
  <c r="E953" i="4"/>
  <c r="F953" i="4"/>
  <c r="G953" i="4"/>
  <c r="H953" i="4"/>
  <c r="C953" i="5"/>
  <c r="D953" i="5"/>
  <c r="F953" i="5"/>
  <c r="E953" i="5"/>
  <c r="C954" i="4"/>
  <c r="D954" i="4"/>
  <c r="E954" i="4"/>
  <c r="F954" i="4"/>
  <c r="G954" i="4"/>
  <c r="H954" i="4"/>
  <c r="C954" i="5"/>
  <c r="D954" i="5"/>
  <c r="F954" i="5"/>
  <c r="E954" i="5"/>
  <c r="C955" i="4"/>
  <c r="D955" i="4"/>
  <c r="E955" i="4"/>
  <c r="F955" i="4"/>
  <c r="G955" i="4"/>
  <c r="H955" i="4"/>
  <c r="C955" i="5"/>
  <c r="D955" i="5"/>
  <c r="F955" i="5"/>
  <c r="E955" i="5"/>
  <c r="C956" i="4"/>
  <c r="D956" i="4"/>
  <c r="E956" i="4"/>
  <c r="F956" i="4"/>
  <c r="G956" i="4"/>
  <c r="H956" i="4"/>
  <c r="C956" i="5"/>
  <c r="D956" i="5"/>
  <c r="F956" i="5"/>
  <c r="E956" i="5"/>
  <c r="C957" i="4"/>
  <c r="D957" i="4"/>
  <c r="E957" i="4"/>
  <c r="F957" i="4"/>
  <c r="G957" i="4"/>
  <c r="H957" i="4"/>
  <c r="C957" i="5"/>
  <c r="D957" i="5"/>
  <c r="F957" i="5"/>
  <c r="E957" i="5"/>
  <c r="C958" i="4"/>
  <c r="D958" i="4"/>
  <c r="E958" i="4"/>
  <c r="F958" i="4"/>
  <c r="G958" i="4"/>
  <c r="H958" i="4"/>
  <c r="C958" i="5"/>
  <c r="D958" i="5"/>
  <c r="F958" i="5"/>
  <c r="E958" i="5"/>
  <c r="C959" i="4"/>
  <c r="D959" i="4"/>
  <c r="E959" i="4"/>
  <c r="F959" i="4"/>
  <c r="G959" i="4"/>
  <c r="H959" i="4"/>
  <c r="C959" i="5"/>
  <c r="D959" i="5"/>
  <c r="F959" i="5"/>
  <c r="E959" i="5"/>
  <c r="C960" i="4"/>
  <c r="D960" i="4"/>
  <c r="E960" i="4"/>
  <c r="F960" i="4"/>
  <c r="G960" i="4"/>
  <c r="H960" i="4"/>
  <c r="C960" i="5"/>
  <c r="D960" i="5"/>
  <c r="F960" i="5"/>
  <c r="E960" i="5"/>
  <c r="C961" i="4"/>
  <c r="D961" i="4"/>
  <c r="E961" i="4"/>
  <c r="F961" i="4"/>
  <c r="G961" i="4"/>
  <c r="H961" i="4"/>
  <c r="C961" i="5"/>
  <c r="D961" i="5"/>
  <c r="F961" i="5"/>
  <c r="E961" i="5"/>
  <c r="C962" i="4"/>
  <c r="D962" i="4"/>
  <c r="E962" i="4"/>
  <c r="F962" i="4"/>
  <c r="G962" i="4"/>
  <c r="H962" i="4"/>
  <c r="C962" i="5"/>
  <c r="D962" i="5"/>
  <c r="F962" i="5"/>
  <c r="E962" i="5"/>
  <c r="C963" i="4"/>
  <c r="D963" i="4"/>
  <c r="E963" i="4"/>
  <c r="F963" i="4"/>
  <c r="G963" i="4"/>
  <c r="H963" i="4"/>
  <c r="C963" i="5"/>
  <c r="D963" i="5"/>
  <c r="F963" i="5"/>
  <c r="E963" i="5"/>
  <c r="C964" i="4"/>
  <c r="D964" i="4"/>
  <c r="E964" i="4"/>
  <c r="F964" i="4"/>
  <c r="G964" i="4"/>
  <c r="H964" i="4"/>
  <c r="C964" i="5"/>
  <c r="D964" i="5"/>
  <c r="F964" i="5"/>
  <c r="E964" i="5"/>
  <c r="C965" i="4"/>
  <c r="D965" i="4"/>
  <c r="E965" i="4"/>
  <c r="F965" i="4"/>
  <c r="G965" i="4"/>
  <c r="H965" i="4"/>
  <c r="C965" i="5"/>
  <c r="D965" i="5"/>
  <c r="F965" i="5"/>
  <c r="E965" i="5"/>
  <c r="C966" i="4"/>
  <c r="D966" i="4"/>
  <c r="E966" i="4"/>
  <c r="F966" i="4"/>
  <c r="G966" i="4"/>
  <c r="H966" i="4"/>
  <c r="C966" i="5"/>
  <c r="D966" i="5"/>
  <c r="F966" i="5"/>
  <c r="E966" i="5"/>
  <c r="C967" i="4"/>
  <c r="D967" i="4"/>
  <c r="E967" i="4"/>
  <c r="F967" i="4"/>
  <c r="G967" i="4"/>
  <c r="H967" i="4"/>
  <c r="C967" i="5"/>
  <c r="D967" i="5"/>
  <c r="F967" i="5"/>
  <c r="E967" i="5"/>
  <c r="C968" i="4"/>
  <c r="D968" i="4"/>
  <c r="E968" i="4"/>
  <c r="F968" i="4"/>
  <c r="G968" i="4"/>
  <c r="H968" i="4"/>
  <c r="C968" i="5"/>
  <c r="D968" i="5"/>
  <c r="F968" i="5"/>
  <c r="E968" i="5"/>
  <c r="C969" i="4"/>
  <c r="D969" i="4"/>
  <c r="E969" i="4"/>
  <c r="F969" i="4"/>
  <c r="G969" i="4"/>
  <c r="H969" i="4"/>
  <c r="C969" i="5"/>
  <c r="D969" i="5"/>
  <c r="F969" i="5"/>
  <c r="E969" i="5"/>
  <c r="C970" i="4"/>
  <c r="D970" i="4"/>
  <c r="E970" i="4"/>
  <c r="F970" i="4"/>
  <c r="G970" i="4"/>
  <c r="H970" i="4"/>
  <c r="C970" i="5"/>
  <c r="D970" i="5"/>
  <c r="F970" i="5"/>
  <c r="E970" i="5"/>
  <c r="C971" i="4"/>
  <c r="D971" i="4"/>
  <c r="E971" i="4"/>
  <c r="F971" i="4"/>
  <c r="G971" i="4"/>
  <c r="H971" i="4"/>
  <c r="C971" i="5"/>
  <c r="D971" i="5"/>
  <c r="F971" i="5"/>
  <c r="E971" i="5"/>
  <c r="C972" i="4"/>
  <c r="D972" i="4"/>
  <c r="E972" i="4"/>
  <c r="F972" i="4"/>
  <c r="G972" i="4"/>
  <c r="H972" i="4"/>
  <c r="C972" i="5"/>
  <c r="D972" i="5"/>
  <c r="F972" i="5"/>
  <c r="E972" i="5"/>
  <c r="C973" i="4"/>
  <c r="D973" i="4"/>
  <c r="E973" i="4"/>
  <c r="F973" i="4"/>
  <c r="G973" i="4"/>
  <c r="H973" i="4"/>
  <c r="C973" i="5"/>
  <c r="D973" i="5"/>
  <c r="F973" i="5"/>
  <c r="E973" i="5"/>
  <c r="C974" i="4"/>
  <c r="D974" i="4"/>
  <c r="E974" i="4"/>
  <c r="F974" i="4"/>
  <c r="G974" i="4"/>
  <c r="H974" i="4"/>
  <c r="C974" i="5"/>
  <c r="D974" i="5"/>
  <c r="F974" i="5"/>
  <c r="E974" i="5"/>
  <c r="C975" i="4"/>
  <c r="D975" i="4"/>
  <c r="E975" i="4"/>
  <c r="F975" i="4"/>
  <c r="G975" i="4"/>
  <c r="H975" i="4"/>
  <c r="C975" i="5"/>
  <c r="D975" i="5"/>
  <c r="F975" i="5"/>
  <c r="E975" i="5"/>
  <c r="C976" i="4"/>
  <c r="D976" i="4"/>
  <c r="E976" i="4"/>
  <c r="F976" i="4"/>
  <c r="G976" i="4"/>
  <c r="H976" i="4"/>
  <c r="C976" i="5"/>
  <c r="D976" i="5"/>
  <c r="F976" i="5"/>
  <c r="E976" i="5"/>
  <c r="C977" i="4"/>
  <c r="D977" i="4"/>
  <c r="E977" i="4"/>
  <c r="F977" i="4"/>
  <c r="G977" i="4"/>
  <c r="H977" i="4"/>
  <c r="C977" i="5"/>
  <c r="D977" i="5"/>
  <c r="F977" i="5"/>
  <c r="E977" i="5"/>
  <c r="C978" i="4"/>
  <c r="D978" i="4"/>
  <c r="E978" i="4"/>
  <c r="F978" i="4"/>
  <c r="G978" i="4"/>
  <c r="H978" i="4"/>
  <c r="C978" i="5"/>
  <c r="D978" i="5"/>
  <c r="F978" i="5"/>
  <c r="E978" i="5"/>
  <c r="C979" i="4"/>
  <c r="D979" i="4"/>
  <c r="E979" i="4"/>
  <c r="F979" i="4"/>
  <c r="G979" i="4"/>
  <c r="H979" i="4"/>
  <c r="C979" i="5"/>
  <c r="D979" i="5"/>
  <c r="F979" i="5"/>
  <c r="E979" i="5"/>
  <c r="C980" i="4"/>
  <c r="D980" i="4"/>
  <c r="E980" i="4"/>
  <c r="F980" i="4"/>
  <c r="G980" i="4"/>
  <c r="H980" i="4"/>
  <c r="C980" i="5"/>
  <c r="D980" i="5"/>
  <c r="F980" i="5"/>
  <c r="E980" i="5"/>
  <c r="C981" i="4"/>
  <c r="D981" i="4"/>
  <c r="E981" i="4"/>
  <c r="F981" i="4"/>
  <c r="G981" i="4"/>
  <c r="H981" i="4"/>
  <c r="C981" i="5"/>
  <c r="D981" i="5"/>
  <c r="F981" i="5"/>
  <c r="E981" i="5"/>
  <c r="C982" i="4"/>
  <c r="D982" i="4"/>
  <c r="E982" i="4"/>
  <c r="F982" i="4"/>
  <c r="G982" i="4"/>
  <c r="H982" i="4"/>
  <c r="C982" i="5"/>
  <c r="D982" i="5"/>
  <c r="F982" i="5"/>
  <c r="E982" i="5"/>
  <c r="C983" i="4"/>
  <c r="D983" i="4"/>
  <c r="E983" i="4"/>
  <c r="F983" i="4"/>
  <c r="G983" i="4"/>
  <c r="H983" i="4"/>
  <c r="C983" i="5"/>
  <c r="D983" i="5"/>
  <c r="F983" i="5"/>
  <c r="E983" i="5"/>
  <c r="C984" i="4"/>
  <c r="D984" i="4"/>
  <c r="E984" i="4"/>
  <c r="F984" i="4"/>
  <c r="G984" i="4"/>
  <c r="H984" i="4"/>
  <c r="C984" i="5"/>
  <c r="D984" i="5"/>
  <c r="F984" i="5"/>
  <c r="E984" i="5"/>
  <c r="C985" i="4"/>
  <c r="D985" i="4"/>
  <c r="E985" i="4"/>
  <c r="F985" i="4"/>
  <c r="G985" i="4"/>
  <c r="H985" i="4"/>
  <c r="C985" i="5"/>
  <c r="D985" i="5"/>
  <c r="F985" i="5"/>
  <c r="E985" i="5"/>
  <c r="C986" i="4"/>
  <c r="D986" i="4"/>
  <c r="E986" i="4"/>
  <c r="F986" i="4"/>
  <c r="G986" i="4"/>
  <c r="H986" i="4"/>
  <c r="C986" i="5"/>
  <c r="D986" i="5"/>
  <c r="F986" i="5"/>
  <c r="E986" i="5"/>
  <c r="C987" i="4"/>
  <c r="D987" i="4"/>
  <c r="E987" i="4"/>
  <c r="F987" i="4"/>
  <c r="G987" i="4"/>
  <c r="H987" i="4"/>
  <c r="C987" i="5"/>
  <c r="D987" i="5"/>
  <c r="F987" i="5"/>
  <c r="E987" i="5"/>
  <c r="C988" i="4"/>
  <c r="D988" i="4"/>
  <c r="E988" i="4"/>
  <c r="F988" i="4"/>
  <c r="G988" i="4"/>
  <c r="H988" i="4"/>
  <c r="C988" i="5"/>
  <c r="D988" i="5"/>
  <c r="F988" i="5"/>
  <c r="E988" i="5"/>
  <c r="C989" i="4"/>
  <c r="D989" i="4"/>
  <c r="E989" i="4"/>
  <c r="F989" i="4"/>
  <c r="G989" i="4"/>
  <c r="H989" i="4"/>
  <c r="C989" i="5"/>
  <c r="D989" i="5"/>
  <c r="F989" i="5"/>
  <c r="E989" i="5"/>
  <c r="C990" i="4"/>
  <c r="D990" i="4"/>
  <c r="E990" i="4"/>
  <c r="F990" i="4"/>
  <c r="G990" i="4"/>
  <c r="H990" i="4"/>
  <c r="C990" i="5"/>
  <c r="D990" i="5"/>
  <c r="F990" i="5"/>
  <c r="E990" i="5"/>
  <c r="C991" i="4"/>
  <c r="D991" i="4"/>
  <c r="E991" i="4"/>
  <c r="F991" i="4"/>
  <c r="G991" i="4"/>
  <c r="H991" i="4"/>
  <c r="C991" i="5"/>
  <c r="D991" i="5"/>
  <c r="F991" i="5"/>
  <c r="E991" i="5"/>
  <c r="C992" i="4"/>
  <c r="D992" i="4"/>
  <c r="E992" i="4"/>
  <c r="F992" i="4"/>
  <c r="G992" i="4"/>
  <c r="H992" i="4"/>
  <c r="C992" i="5"/>
  <c r="D992" i="5"/>
  <c r="F992" i="5"/>
  <c r="E992" i="5"/>
  <c r="C993" i="4"/>
  <c r="D993" i="4"/>
  <c r="E993" i="4"/>
  <c r="F993" i="4"/>
  <c r="G993" i="4"/>
  <c r="H993" i="4"/>
  <c r="C993" i="5"/>
  <c r="D993" i="5"/>
  <c r="F993" i="5"/>
  <c r="E993" i="5"/>
  <c r="C994" i="4"/>
  <c r="D994" i="4"/>
  <c r="E994" i="4"/>
  <c r="F994" i="4"/>
  <c r="G994" i="4"/>
  <c r="H994" i="4"/>
  <c r="C994" i="5"/>
  <c r="D994" i="5"/>
  <c r="F994" i="5"/>
  <c r="E994" i="5"/>
  <c r="C995" i="4"/>
  <c r="D995" i="4"/>
  <c r="E995" i="4"/>
  <c r="F995" i="4"/>
  <c r="G995" i="4"/>
  <c r="H995" i="4"/>
  <c r="C995" i="5"/>
  <c r="D995" i="5"/>
  <c r="F995" i="5"/>
  <c r="E995" i="5"/>
  <c r="C996" i="4"/>
  <c r="D996" i="4"/>
  <c r="E996" i="4"/>
  <c r="F996" i="4"/>
  <c r="G996" i="4"/>
  <c r="H996" i="4"/>
  <c r="C996" i="5"/>
  <c r="D996" i="5"/>
  <c r="F996" i="5"/>
  <c r="E996" i="5"/>
  <c r="C997" i="4"/>
  <c r="D997" i="4"/>
  <c r="E997" i="4"/>
  <c r="F997" i="4"/>
  <c r="G997" i="4"/>
  <c r="H997" i="4"/>
  <c r="C997" i="5"/>
  <c r="D997" i="5"/>
  <c r="F997" i="5"/>
  <c r="E997" i="5"/>
  <c r="C998" i="4"/>
  <c r="D998" i="4"/>
  <c r="E998" i="4"/>
  <c r="F998" i="4"/>
  <c r="G998" i="4"/>
  <c r="H998" i="4"/>
  <c r="C998" i="5"/>
  <c r="D998" i="5"/>
  <c r="F998" i="5"/>
  <c r="E998" i="5"/>
  <c r="C999" i="4"/>
  <c r="D999" i="4"/>
  <c r="E999" i="4"/>
  <c r="F999" i="4"/>
  <c r="G999" i="4"/>
  <c r="H999" i="4"/>
  <c r="C999" i="5"/>
  <c r="D999" i="5"/>
  <c r="F999" i="5"/>
  <c r="E999" i="5"/>
  <c r="C1000" i="4"/>
  <c r="D1000" i="4"/>
  <c r="E1000" i="4"/>
  <c r="F1000" i="4"/>
  <c r="G1000" i="4"/>
  <c r="H1000" i="4"/>
  <c r="C1000" i="5"/>
  <c r="D1000" i="5"/>
  <c r="F1000" i="5"/>
  <c r="E1000" i="5"/>
  <c r="C1001" i="4"/>
  <c r="D1001" i="4"/>
  <c r="E1001" i="4"/>
  <c r="F1001" i="4"/>
  <c r="G1001" i="4"/>
  <c r="H1001" i="4"/>
  <c r="C1001" i="5"/>
  <c r="D1001" i="5"/>
  <c r="F1001" i="5"/>
  <c r="E1001" i="5"/>
  <c r="C1002" i="4"/>
  <c r="D1002" i="4"/>
  <c r="E1002" i="4"/>
  <c r="F1002" i="4"/>
  <c r="G1002" i="4"/>
  <c r="H1002" i="4"/>
  <c r="C1002" i="5"/>
  <c r="D1002" i="5"/>
  <c r="F1002" i="5"/>
  <c r="E1002" i="5"/>
  <c r="C1003" i="4"/>
  <c r="D1003" i="4"/>
  <c r="E1003" i="4"/>
  <c r="F1003" i="4"/>
  <c r="G1003" i="4"/>
  <c r="H1003" i="4"/>
  <c r="C1003" i="5"/>
  <c r="D1003" i="5"/>
  <c r="F1003" i="5"/>
  <c r="E1003" i="5"/>
  <c r="C1004" i="4"/>
  <c r="D1004" i="4"/>
  <c r="E1004" i="4"/>
  <c r="F1004" i="4"/>
  <c r="G1004" i="4"/>
  <c r="H1004" i="4"/>
  <c r="C1004" i="5"/>
  <c r="D1004" i="5"/>
  <c r="F1004" i="5"/>
  <c r="E1004" i="5"/>
  <c r="C1005" i="4"/>
  <c r="D1005" i="4"/>
  <c r="E1005" i="4"/>
  <c r="F1005" i="4"/>
  <c r="G1005" i="4"/>
  <c r="H1005" i="4"/>
  <c r="C1005" i="5"/>
  <c r="D1005" i="5"/>
  <c r="F1005" i="5"/>
  <c r="E1005" i="5"/>
  <c r="C1006" i="4"/>
  <c r="D1006" i="4"/>
  <c r="E1006" i="4"/>
  <c r="F1006" i="4"/>
  <c r="G1006" i="4"/>
  <c r="H1006" i="4"/>
  <c r="C1006" i="5"/>
  <c r="D1006" i="5"/>
  <c r="F1006" i="5"/>
  <c r="E1006" i="5"/>
  <c r="C1007" i="4"/>
  <c r="D1007" i="4"/>
  <c r="E1007" i="4"/>
  <c r="F1007" i="4"/>
  <c r="G1007" i="4"/>
  <c r="H1007" i="4"/>
  <c r="C1007" i="5"/>
  <c r="D1007" i="5"/>
  <c r="F1007" i="5"/>
  <c r="E1007" i="5"/>
  <c r="C1008" i="4"/>
  <c r="D1008" i="4"/>
  <c r="E1008" i="4"/>
  <c r="F1008" i="4"/>
  <c r="G1008" i="4"/>
  <c r="H1008" i="4"/>
  <c r="C1008" i="5"/>
  <c r="D1008" i="5"/>
  <c r="F1008" i="5"/>
  <c r="E1008" i="5"/>
  <c r="C1009" i="4"/>
  <c r="D1009" i="4"/>
  <c r="E1009" i="4"/>
  <c r="F1009" i="4"/>
  <c r="G1009" i="4"/>
  <c r="H1009" i="4"/>
  <c r="C1009" i="5"/>
  <c r="D1009" i="5"/>
  <c r="F1009" i="5"/>
  <c r="E1009" i="5"/>
  <c r="C1010" i="4"/>
  <c r="D1010" i="4"/>
  <c r="E1010" i="4"/>
  <c r="F1010" i="4"/>
  <c r="G1010" i="4"/>
  <c r="H1010" i="4"/>
  <c r="C1010" i="5"/>
  <c r="D1010" i="5"/>
  <c r="F1010" i="5"/>
  <c r="E1010" i="5"/>
  <c r="C1011" i="4"/>
  <c r="D1011" i="4"/>
  <c r="E1011" i="4"/>
  <c r="F1011" i="4"/>
  <c r="G1011" i="4"/>
  <c r="H1011" i="4"/>
  <c r="C1011" i="5"/>
  <c r="D1011" i="5"/>
  <c r="F1011" i="5"/>
  <c r="E1011" i="5"/>
  <c r="C1012" i="4"/>
  <c r="D1012" i="4"/>
  <c r="E1012" i="4"/>
  <c r="F1012" i="4"/>
  <c r="G1012" i="4"/>
  <c r="H1012" i="4"/>
  <c r="C1012" i="5"/>
  <c r="D1012" i="5"/>
  <c r="F1012" i="5"/>
  <c r="E1012" i="5"/>
  <c r="C1013" i="4"/>
  <c r="D1013" i="4"/>
  <c r="E1013" i="4"/>
  <c r="F1013" i="4"/>
  <c r="G1013" i="4"/>
  <c r="H1013" i="4"/>
  <c r="C1013" i="5"/>
  <c r="D1013" i="5"/>
  <c r="F1013" i="5"/>
  <c r="E1013" i="5"/>
  <c r="C1014" i="4"/>
  <c r="D1014" i="4"/>
  <c r="E1014" i="4"/>
  <c r="F1014" i="4"/>
  <c r="G1014" i="4"/>
  <c r="H1014" i="4"/>
  <c r="C1014" i="5"/>
  <c r="D1014" i="5"/>
  <c r="F1014" i="5"/>
  <c r="E1014" i="5"/>
  <c r="C1015" i="4"/>
  <c r="D1015" i="4"/>
  <c r="E1015" i="4"/>
  <c r="F1015" i="4"/>
  <c r="G1015" i="4"/>
  <c r="H1015" i="4"/>
  <c r="C1015" i="5"/>
  <c r="D1015" i="5"/>
  <c r="F1015" i="5"/>
  <c r="E1015" i="5"/>
  <c r="C1016" i="4"/>
  <c r="D1016" i="4"/>
  <c r="E1016" i="4"/>
  <c r="F1016" i="4"/>
  <c r="G1016" i="4"/>
  <c r="H1016" i="4"/>
  <c r="C1016" i="5"/>
  <c r="D1016" i="5"/>
  <c r="F1016" i="5"/>
  <c r="E1016" i="5"/>
  <c r="C1017" i="4"/>
  <c r="D1017" i="4"/>
  <c r="E1017" i="4"/>
  <c r="F1017" i="4"/>
  <c r="G1017" i="4"/>
  <c r="H1017" i="4"/>
  <c r="C1017" i="5"/>
  <c r="D1017" i="5"/>
  <c r="F1017" i="5"/>
  <c r="E1017" i="5"/>
  <c r="C1018" i="4"/>
  <c r="D1018" i="4"/>
  <c r="E1018" i="4"/>
  <c r="F1018" i="4"/>
  <c r="G1018" i="4"/>
  <c r="H1018" i="4"/>
  <c r="C1018" i="5"/>
  <c r="D1018" i="5"/>
  <c r="F1018" i="5"/>
  <c r="E1018" i="5"/>
  <c r="C1019" i="4"/>
  <c r="D1019" i="4"/>
  <c r="E1019" i="4"/>
  <c r="F1019" i="4"/>
  <c r="G1019" i="4"/>
  <c r="H1019" i="4"/>
  <c r="C1019" i="5"/>
  <c r="D1019" i="5"/>
  <c r="F1019" i="5"/>
  <c r="E1019" i="5"/>
  <c r="C1020" i="4"/>
  <c r="D1020" i="4"/>
  <c r="E1020" i="4"/>
  <c r="F1020" i="4"/>
  <c r="G1020" i="4"/>
  <c r="H1020" i="4"/>
  <c r="C1020" i="5"/>
  <c r="D1020" i="5"/>
  <c r="F1020" i="5"/>
  <c r="E1020" i="5"/>
  <c r="C1021" i="4"/>
  <c r="D1021" i="4"/>
  <c r="E1021" i="4"/>
  <c r="F1021" i="4"/>
  <c r="G1021" i="4"/>
  <c r="H1021" i="4"/>
  <c r="C1021" i="5"/>
  <c r="D1021" i="5"/>
  <c r="F1021" i="5"/>
  <c r="E1021" i="5"/>
  <c r="C1022" i="4"/>
  <c r="D1022" i="4"/>
  <c r="E1022" i="4"/>
  <c r="F1022" i="4"/>
  <c r="G1022" i="4"/>
  <c r="H1022" i="4"/>
  <c r="C1022" i="5"/>
  <c r="D1022" i="5"/>
  <c r="F1022" i="5"/>
  <c r="E1022" i="5"/>
  <c r="C1023" i="4"/>
  <c r="D1023" i="4"/>
  <c r="E1023" i="4"/>
  <c r="F1023" i="4"/>
  <c r="G1023" i="4"/>
  <c r="H1023" i="4"/>
  <c r="C1023" i="5"/>
  <c r="D1023" i="5"/>
  <c r="F1023" i="5"/>
  <c r="E1023" i="5"/>
  <c r="C1024" i="4"/>
  <c r="D1024" i="4"/>
  <c r="E1024" i="4"/>
  <c r="F1024" i="4"/>
  <c r="G1024" i="4"/>
  <c r="H1024" i="4"/>
  <c r="C1024" i="5"/>
  <c r="D1024" i="5"/>
  <c r="F1024" i="5"/>
  <c r="E1024" i="5"/>
  <c r="C1025" i="4"/>
  <c r="D1025" i="4"/>
  <c r="E1025" i="4"/>
  <c r="F1025" i="4"/>
  <c r="G1025" i="4"/>
  <c r="H1025" i="4"/>
  <c r="C1025" i="5"/>
  <c r="D1025" i="5"/>
  <c r="F1025" i="5"/>
  <c r="E1025" i="5"/>
  <c r="C1026" i="4"/>
  <c r="D1026" i="4"/>
  <c r="E1026" i="4"/>
  <c r="F1026" i="4"/>
  <c r="G1026" i="4"/>
  <c r="H1026" i="4"/>
  <c r="C1026" i="5"/>
  <c r="D1026" i="5"/>
  <c r="F1026" i="5"/>
  <c r="E1026" i="5"/>
  <c r="C1027" i="4"/>
  <c r="D1027" i="4"/>
  <c r="E1027" i="4"/>
  <c r="F1027" i="4"/>
  <c r="G1027" i="4"/>
  <c r="H1027" i="4"/>
  <c r="C1027" i="5"/>
  <c r="D1027" i="5"/>
  <c r="F1027" i="5"/>
  <c r="E1027" i="5"/>
  <c r="C1028" i="4"/>
  <c r="D1028" i="4"/>
  <c r="E1028" i="4"/>
  <c r="F1028" i="4"/>
  <c r="G1028" i="4"/>
  <c r="H1028" i="4"/>
  <c r="C1028" i="5"/>
  <c r="D1028" i="5"/>
  <c r="F1028" i="5"/>
  <c r="E1028" i="5"/>
  <c r="C1029" i="4"/>
  <c r="D1029" i="4"/>
  <c r="E1029" i="4"/>
  <c r="F1029" i="4"/>
  <c r="G1029" i="4"/>
  <c r="H1029" i="4"/>
  <c r="C1029" i="5"/>
  <c r="D1029" i="5"/>
  <c r="F1029" i="5"/>
  <c r="E1029" i="5"/>
  <c r="C1030" i="4"/>
  <c r="D1030" i="4"/>
  <c r="E1030" i="4"/>
  <c r="F1030" i="4"/>
  <c r="G1030" i="4"/>
  <c r="H1030" i="4"/>
  <c r="C1030" i="5"/>
  <c r="D1030" i="5"/>
  <c r="F1030" i="5"/>
  <c r="E1030" i="5"/>
  <c r="C1031" i="4"/>
  <c r="D1031" i="4"/>
  <c r="E1031" i="4"/>
  <c r="F1031" i="4"/>
  <c r="G1031" i="4"/>
  <c r="H1031" i="4"/>
  <c r="C1031" i="5"/>
  <c r="D1031" i="5"/>
  <c r="F1031" i="5"/>
  <c r="E1031" i="5"/>
  <c r="C1032" i="4"/>
  <c r="D1032" i="4"/>
  <c r="E1032" i="4"/>
  <c r="F1032" i="4"/>
  <c r="G1032" i="4"/>
  <c r="H1032" i="4"/>
  <c r="C1032" i="5"/>
  <c r="D1032" i="5"/>
  <c r="F1032" i="5"/>
  <c r="E1032" i="5"/>
  <c r="C1033" i="4"/>
  <c r="D1033" i="4"/>
  <c r="E1033" i="4"/>
  <c r="F1033" i="4"/>
  <c r="G1033" i="4"/>
  <c r="H1033" i="4"/>
  <c r="C1033" i="5"/>
  <c r="D1033" i="5"/>
  <c r="F1033" i="5"/>
  <c r="E1033" i="5"/>
  <c r="C1034" i="4"/>
  <c r="D1034" i="4"/>
  <c r="E1034" i="4"/>
  <c r="F1034" i="4"/>
  <c r="G1034" i="4"/>
  <c r="H1034" i="4"/>
  <c r="C1034" i="5"/>
  <c r="D1034" i="5"/>
  <c r="F1034" i="5"/>
  <c r="E1034" i="5"/>
  <c r="C1035" i="4"/>
  <c r="D1035" i="4"/>
  <c r="E1035" i="4"/>
  <c r="F1035" i="4"/>
  <c r="G1035" i="4"/>
  <c r="H1035" i="4"/>
  <c r="C1035" i="5"/>
  <c r="D1035" i="5"/>
  <c r="F1035" i="5"/>
  <c r="E1035" i="5"/>
  <c r="C1036" i="4"/>
  <c r="D1036" i="4"/>
  <c r="E1036" i="4"/>
  <c r="F1036" i="4"/>
  <c r="G1036" i="4"/>
  <c r="H1036" i="4"/>
  <c r="C1036" i="5"/>
  <c r="D1036" i="5"/>
  <c r="F1036" i="5"/>
  <c r="E1036" i="5"/>
  <c r="C1037" i="4"/>
  <c r="D1037" i="4"/>
  <c r="E1037" i="4"/>
  <c r="F1037" i="4"/>
  <c r="G1037" i="4"/>
  <c r="H1037" i="4"/>
  <c r="C1037" i="5"/>
  <c r="D1037" i="5"/>
  <c r="F1037" i="5"/>
  <c r="E1037" i="5"/>
  <c r="C1038" i="4"/>
  <c r="D1038" i="4"/>
  <c r="E1038" i="4"/>
  <c r="F1038" i="4"/>
  <c r="G1038" i="4"/>
  <c r="H1038" i="4"/>
  <c r="C1038" i="5"/>
  <c r="D1038" i="5"/>
  <c r="F1038" i="5"/>
  <c r="E1038" i="5"/>
  <c r="C1039" i="4"/>
  <c r="D1039" i="4"/>
  <c r="E1039" i="4"/>
  <c r="F1039" i="4"/>
  <c r="G1039" i="4"/>
  <c r="H1039" i="4"/>
  <c r="C1039" i="5"/>
  <c r="D1039" i="5"/>
  <c r="F1039" i="5"/>
  <c r="E1039" i="5"/>
  <c r="C1040" i="4"/>
  <c r="D1040" i="4"/>
  <c r="E1040" i="4"/>
  <c r="F1040" i="4"/>
  <c r="G1040" i="4"/>
  <c r="H1040" i="4"/>
  <c r="C1040" i="5"/>
  <c r="D1040" i="5"/>
  <c r="F1040" i="5"/>
  <c r="E1040" i="5"/>
  <c r="C1041" i="4"/>
  <c r="D1041" i="4"/>
  <c r="E1041" i="4"/>
  <c r="F1041" i="4"/>
  <c r="G1041" i="4"/>
  <c r="H1041" i="4"/>
  <c r="C1041" i="5"/>
  <c r="D1041" i="5"/>
  <c r="F1041" i="5"/>
  <c r="E1041" i="5"/>
  <c r="C1042" i="4"/>
  <c r="D1042" i="4"/>
  <c r="E1042" i="4"/>
  <c r="F1042" i="4"/>
  <c r="G1042" i="4"/>
  <c r="H1042" i="4"/>
  <c r="C1042" i="5"/>
  <c r="D1042" i="5"/>
  <c r="F1042" i="5"/>
  <c r="E1042" i="5"/>
  <c r="C1043" i="4"/>
  <c r="D1043" i="4"/>
  <c r="E1043" i="4"/>
  <c r="F1043" i="4"/>
  <c r="G1043" i="4"/>
  <c r="H1043" i="4"/>
  <c r="C1043" i="5"/>
  <c r="D1043" i="5"/>
  <c r="F1043" i="5"/>
  <c r="E1043" i="5"/>
  <c r="C1044" i="4"/>
  <c r="D1044" i="4"/>
  <c r="E1044" i="4"/>
  <c r="F1044" i="4"/>
  <c r="G1044" i="4"/>
  <c r="H1044" i="4"/>
  <c r="C1044" i="5"/>
  <c r="D1044" i="5"/>
  <c r="F1044" i="5"/>
  <c r="E1044" i="5"/>
  <c r="C1045" i="4"/>
  <c r="D1045" i="4"/>
  <c r="E1045" i="4"/>
  <c r="F1045" i="4"/>
  <c r="G1045" i="4"/>
  <c r="H1045" i="4"/>
  <c r="C1045" i="5"/>
  <c r="D1045" i="5"/>
  <c r="F1045" i="5"/>
  <c r="E1045" i="5"/>
  <c r="C1046" i="4"/>
  <c r="D1046" i="4"/>
  <c r="E1046" i="4"/>
  <c r="F1046" i="4"/>
  <c r="G1046" i="4"/>
  <c r="H1046" i="4"/>
  <c r="C1046" i="5"/>
  <c r="D1046" i="5"/>
  <c r="F1046" i="5"/>
  <c r="E1046" i="5"/>
  <c r="C1047" i="4"/>
  <c r="D1047" i="4"/>
  <c r="E1047" i="4"/>
  <c r="F1047" i="4"/>
  <c r="G1047" i="4"/>
  <c r="H1047" i="4"/>
  <c r="C1047" i="5"/>
  <c r="D1047" i="5"/>
  <c r="F1047" i="5"/>
  <c r="E1047" i="5"/>
  <c r="C1048" i="4"/>
  <c r="D1048" i="4"/>
  <c r="E1048" i="4"/>
  <c r="F1048" i="4"/>
  <c r="G1048" i="4"/>
  <c r="H1048" i="4"/>
  <c r="C1048" i="5"/>
  <c r="D1048" i="5"/>
  <c r="F1048" i="5"/>
  <c r="E1048" i="5"/>
  <c r="C1049" i="4"/>
  <c r="D1049" i="4"/>
  <c r="E1049" i="4"/>
  <c r="F1049" i="4"/>
  <c r="G1049" i="4"/>
  <c r="H1049" i="4"/>
  <c r="C1049" i="5"/>
  <c r="D1049" i="5"/>
  <c r="F1049" i="5"/>
  <c r="E1049" i="5"/>
  <c r="C1050" i="4"/>
  <c r="D1050" i="4"/>
  <c r="E1050" i="4"/>
  <c r="F1050" i="4"/>
  <c r="G1050" i="4"/>
  <c r="H1050" i="4"/>
  <c r="C1050" i="5"/>
  <c r="D1050" i="5"/>
  <c r="F1050" i="5"/>
  <c r="E1050" i="5"/>
  <c r="C1051" i="4"/>
  <c r="D1051" i="4"/>
  <c r="E1051" i="4"/>
  <c r="F1051" i="4"/>
  <c r="G1051" i="4"/>
  <c r="H1051" i="4"/>
  <c r="C1051" i="5"/>
  <c r="D1051" i="5"/>
  <c r="F1051" i="5"/>
  <c r="E1051" i="5"/>
  <c r="C1052" i="5"/>
  <c r="D1052" i="5"/>
  <c r="E1052" i="5"/>
  <c r="F1052" i="5"/>
  <c r="C1053" i="5"/>
  <c r="D1053" i="5"/>
  <c r="E1053" i="5"/>
  <c r="F1053" i="5"/>
  <c r="C1054" i="5"/>
  <c r="D1054" i="5"/>
  <c r="E1054" i="5"/>
  <c r="F1054" i="5"/>
  <c r="C1055" i="5"/>
  <c r="D1055" i="5"/>
  <c r="E1055" i="5"/>
  <c r="F1055" i="5"/>
  <c r="C1056" i="5"/>
  <c r="D1056" i="5"/>
  <c r="E1056" i="5"/>
  <c r="F1056" i="5"/>
  <c r="C1057" i="5"/>
  <c r="D1057" i="5"/>
  <c r="E1057" i="5"/>
  <c r="F1057" i="5"/>
  <c r="C1058" i="5"/>
  <c r="D1058" i="5"/>
  <c r="E1058" i="5"/>
  <c r="F1058" i="5"/>
  <c r="C1059" i="5"/>
  <c r="D1059" i="5"/>
  <c r="E1059" i="5"/>
  <c r="F1059" i="5"/>
  <c r="C1060" i="5"/>
  <c r="D1060" i="5"/>
  <c r="E1060" i="5"/>
  <c r="F1060" i="5"/>
  <c r="C1061" i="5"/>
  <c r="D1061" i="5"/>
  <c r="E1061" i="5"/>
  <c r="F1061" i="5"/>
  <c r="C1062" i="5"/>
  <c r="D1062" i="5"/>
  <c r="E1062" i="5"/>
  <c r="F1062" i="5"/>
  <c r="C1063" i="5"/>
  <c r="D1063" i="5"/>
  <c r="E1063" i="5"/>
  <c r="F1063" i="5"/>
  <c r="C1064" i="5"/>
  <c r="D1064" i="5"/>
  <c r="E1064" i="5"/>
  <c r="F1064" i="5"/>
  <c r="C1065" i="5"/>
  <c r="D1065" i="5"/>
  <c r="E1065" i="5"/>
  <c r="F1065" i="5"/>
  <c r="C1066" i="5"/>
  <c r="D1066" i="5"/>
  <c r="E1066" i="5"/>
  <c r="F1066" i="5"/>
  <c r="C1067" i="5"/>
  <c r="D1067" i="5"/>
  <c r="E1067" i="5"/>
  <c r="F1067" i="5"/>
  <c r="C1068" i="5"/>
  <c r="D1068" i="5"/>
  <c r="E1068" i="5"/>
  <c r="F1068" i="5"/>
  <c r="C1069" i="5"/>
  <c r="D1069" i="5"/>
  <c r="E1069" i="5"/>
  <c r="F1069" i="5"/>
  <c r="C1070" i="5"/>
  <c r="D1070" i="5"/>
  <c r="E1070" i="5"/>
  <c r="F1070" i="5"/>
  <c r="C1071" i="5"/>
  <c r="D1071" i="5"/>
  <c r="E1071" i="5"/>
  <c r="F1071" i="5"/>
  <c r="C1072" i="5"/>
  <c r="D1072" i="5"/>
  <c r="E1072" i="5"/>
  <c r="F1072" i="5"/>
  <c r="C1073" i="5"/>
  <c r="D1073" i="5"/>
  <c r="E1073" i="5"/>
  <c r="F1073" i="5"/>
  <c r="C1074" i="5"/>
  <c r="D1074" i="5"/>
  <c r="E1074" i="5"/>
  <c r="F1074" i="5"/>
  <c r="C1075" i="5"/>
  <c r="D1075" i="5"/>
  <c r="E1075" i="5"/>
  <c r="F1075" i="5"/>
  <c r="C1076" i="5"/>
  <c r="D1076" i="5"/>
  <c r="E1076" i="5"/>
  <c r="F1076" i="5"/>
  <c r="C1077" i="5"/>
  <c r="D1077" i="5"/>
  <c r="E1077" i="5"/>
  <c r="F1077" i="5"/>
  <c r="C1078" i="5"/>
  <c r="D1078" i="5"/>
  <c r="E1078" i="5"/>
  <c r="F1078" i="5"/>
  <c r="C1079" i="5"/>
  <c r="D1079" i="5"/>
  <c r="E1079" i="5"/>
  <c r="F1079" i="5"/>
  <c r="C1080" i="5"/>
  <c r="D1080" i="5"/>
  <c r="E1080" i="5"/>
  <c r="F1080" i="5"/>
  <c r="C1081" i="5"/>
  <c r="D1081" i="5"/>
  <c r="E1081" i="5"/>
  <c r="F1081" i="5"/>
  <c r="C1082" i="5"/>
  <c r="D1082" i="5"/>
  <c r="E1082" i="5"/>
  <c r="F1082" i="5"/>
  <c r="C1083" i="5"/>
  <c r="D1083" i="5"/>
  <c r="E1083" i="5"/>
  <c r="F1083" i="5"/>
  <c r="C1084" i="5"/>
  <c r="D1084" i="5"/>
  <c r="E1084" i="5"/>
  <c r="F1084" i="5"/>
  <c r="C1085" i="5"/>
  <c r="D1085" i="5"/>
  <c r="E1085" i="5"/>
  <c r="F1085" i="5"/>
  <c r="C1086" i="5"/>
  <c r="D1086" i="5"/>
  <c r="E1086" i="5"/>
  <c r="F1086" i="5"/>
  <c r="C1087" i="5"/>
  <c r="D1087" i="5"/>
  <c r="E1087" i="5"/>
  <c r="F1087" i="5"/>
  <c r="C1088" i="5"/>
  <c r="D1088" i="5"/>
  <c r="E1088" i="5"/>
  <c r="F1088" i="5"/>
  <c r="C1089" i="5"/>
  <c r="D1089" i="5"/>
  <c r="E1089" i="5"/>
  <c r="F1089" i="5"/>
  <c r="C1090" i="5"/>
  <c r="D1090" i="5"/>
  <c r="E1090" i="5"/>
  <c r="F1090" i="5"/>
  <c r="C1091" i="5"/>
  <c r="D1091" i="5"/>
  <c r="E1091" i="5"/>
  <c r="F1091" i="5"/>
  <c r="C1092" i="5"/>
  <c r="D1092" i="5"/>
  <c r="E1092" i="5"/>
  <c r="F1092" i="5"/>
  <c r="C1093" i="5"/>
  <c r="D1093" i="5"/>
  <c r="E1093" i="5"/>
  <c r="F1093" i="5"/>
  <c r="C1094" i="5"/>
  <c r="D1094" i="5"/>
  <c r="E1094" i="5"/>
  <c r="F1094" i="5"/>
  <c r="C1095" i="5"/>
  <c r="D1095" i="5"/>
  <c r="E1095" i="5"/>
  <c r="F1095" i="5"/>
  <c r="C1096" i="5"/>
  <c r="D1096" i="5"/>
  <c r="E1096" i="5"/>
  <c r="F1096" i="5"/>
  <c r="C1097" i="5"/>
  <c r="D1097" i="5"/>
  <c r="E1097" i="5"/>
  <c r="F1097" i="5"/>
  <c r="G1098" i="4"/>
  <c r="H1098" i="4"/>
  <c r="C1098" i="5"/>
  <c r="D1098" i="5"/>
  <c r="E1098" i="5"/>
  <c r="F1098" i="5"/>
  <c r="G1099" i="4"/>
  <c r="H1099" i="4"/>
  <c r="C1099" i="5"/>
  <c r="D1099" i="5"/>
  <c r="E1099" i="5"/>
  <c r="F1099" i="5"/>
  <c r="G1100" i="4"/>
  <c r="H1100" i="4"/>
  <c r="C1100" i="5"/>
  <c r="D1100" i="5"/>
  <c r="E1100" i="5"/>
  <c r="F1100" i="5"/>
  <c r="G1101" i="4"/>
  <c r="H1101" i="4"/>
  <c r="C1101" i="5"/>
  <c r="D1101" i="5"/>
  <c r="E1101" i="5"/>
  <c r="F1101" i="5"/>
  <c r="G1102" i="4"/>
  <c r="H1102" i="4"/>
  <c r="C1102" i="5"/>
  <c r="D1102" i="5"/>
  <c r="E1102" i="5"/>
  <c r="F1102" i="5"/>
  <c r="G1103" i="4"/>
  <c r="H1103" i="4"/>
  <c r="C1103" i="5"/>
  <c r="D1103" i="5"/>
  <c r="E1103" i="5"/>
  <c r="F1103" i="5"/>
  <c r="G1104" i="4"/>
  <c r="H1104" i="4"/>
  <c r="C1104" i="5"/>
  <c r="D1104" i="5"/>
  <c r="E1104" i="5"/>
  <c r="F1104" i="5"/>
  <c r="G1105" i="4"/>
  <c r="H1105" i="4"/>
  <c r="C1105" i="5"/>
  <c r="D1105" i="5"/>
  <c r="E1105" i="5"/>
  <c r="F1105" i="5"/>
  <c r="G1106" i="4"/>
  <c r="H1106" i="4"/>
  <c r="C1106" i="5"/>
  <c r="D1106" i="5"/>
  <c r="E1106" i="5"/>
  <c r="F1106" i="5"/>
  <c r="G1107" i="4"/>
  <c r="H1107" i="4"/>
  <c r="C1107" i="5"/>
  <c r="D1107" i="5"/>
  <c r="E1107" i="5"/>
  <c r="F1107" i="5"/>
  <c r="G1108" i="4"/>
  <c r="H1108" i="4"/>
  <c r="C1108" i="5"/>
  <c r="D1108" i="5"/>
  <c r="E1108" i="5"/>
  <c r="F1108" i="5"/>
  <c r="G1109" i="4"/>
  <c r="H1109" i="4"/>
  <c r="C1109" i="5"/>
  <c r="D1109" i="5"/>
  <c r="E1109" i="5"/>
  <c r="F1109" i="5"/>
  <c r="G1110" i="4"/>
  <c r="H1110" i="4"/>
  <c r="C1110" i="5"/>
  <c r="D1110" i="5"/>
  <c r="E1110" i="5"/>
  <c r="F1110" i="5"/>
  <c r="G1111" i="4"/>
  <c r="H1111" i="4"/>
  <c r="C1111" i="5"/>
  <c r="D1111" i="5"/>
  <c r="E1111" i="5"/>
  <c r="F1111" i="5"/>
  <c r="G1112" i="4"/>
  <c r="H1112" i="4"/>
  <c r="C1112" i="5"/>
  <c r="D1112" i="5"/>
  <c r="E1112" i="5"/>
  <c r="F1112" i="5"/>
  <c r="G1113" i="4"/>
  <c r="H1113" i="4"/>
  <c r="C1113" i="5"/>
  <c r="D1113" i="5"/>
  <c r="E1113" i="5"/>
  <c r="F1113" i="5"/>
  <c r="G1114" i="4"/>
  <c r="H1114" i="4"/>
  <c r="C1114" i="5"/>
  <c r="D1114" i="5"/>
  <c r="E1114" i="5"/>
  <c r="F1114" i="5"/>
  <c r="G1115" i="4"/>
  <c r="H1115" i="4"/>
  <c r="C1115" i="5"/>
  <c r="D1115" i="5"/>
  <c r="E1115" i="5"/>
  <c r="F1115" i="5"/>
  <c r="G1116" i="4"/>
  <c r="H1116" i="4"/>
  <c r="C1116" i="5"/>
  <c r="D1116" i="5"/>
  <c r="E1116" i="5"/>
  <c r="F1116" i="5"/>
  <c r="G1117" i="4"/>
  <c r="H1117" i="4"/>
  <c r="C1117" i="5"/>
  <c r="D1117" i="5"/>
  <c r="E1117" i="5"/>
  <c r="F1117" i="5"/>
  <c r="G1118" i="4"/>
  <c r="H1118" i="4"/>
  <c r="C1118" i="5"/>
  <c r="D1118" i="5"/>
  <c r="E1118" i="5"/>
  <c r="F1118" i="5"/>
  <c r="G1119" i="4"/>
  <c r="H1119" i="4"/>
  <c r="C1119" i="5"/>
  <c r="D1119" i="5"/>
  <c r="E1119" i="5"/>
  <c r="F1119" i="5"/>
  <c r="G1120" i="4"/>
  <c r="H1120" i="4"/>
  <c r="C1120" i="5"/>
  <c r="D1120" i="5"/>
  <c r="E1120" i="5"/>
  <c r="F1120" i="5"/>
  <c r="G1121" i="4"/>
  <c r="H1121" i="4"/>
  <c r="C1121" i="5"/>
  <c r="D1121" i="5"/>
  <c r="E1121" i="5"/>
  <c r="F1121" i="5"/>
  <c r="G1122" i="4"/>
  <c r="H1122" i="4"/>
  <c r="C1122" i="5"/>
  <c r="D1122" i="5"/>
  <c r="E1122" i="5"/>
  <c r="F1122" i="5"/>
  <c r="G1123" i="4"/>
  <c r="H1123" i="4"/>
  <c r="C1123" i="5"/>
  <c r="D1123" i="5"/>
  <c r="E1123" i="5"/>
  <c r="F1123" i="5"/>
  <c r="G1124" i="4"/>
  <c r="H1124" i="4"/>
  <c r="C1124" i="5"/>
  <c r="D1124" i="5"/>
  <c r="E1124" i="5"/>
  <c r="F1124" i="5"/>
  <c r="G1125" i="4"/>
  <c r="H1125" i="4"/>
  <c r="C1125" i="5"/>
  <c r="D1125" i="5"/>
  <c r="E1125" i="5"/>
  <c r="F1125" i="5"/>
  <c r="G1126" i="4"/>
  <c r="H1126" i="4"/>
  <c r="C1126" i="5"/>
  <c r="D1126" i="5"/>
  <c r="E1126" i="5"/>
  <c r="F1126" i="5"/>
  <c r="G1127" i="4"/>
  <c r="H1127" i="4"/>
  <c r="C1127" i="5"/>
  <c r="D1127" i="5"/>
  <c r="E1127" i="5"/>
  <c r="F1127" i="5"/>
  <c r="G1128" i="4"/>
  <c r="H1128" i="4"/>
  <c r="C1128" i="5"/>
  <c r="D1128" i="5"/>
  <c r="E1128" i="5"/>
  <c r="F1128" i="5"/>
  <c r="G1129" i="4"/>
  <c r="H1129" i="4"/>
  <c r="C1129" i="5"/>
  <c r="D1129" i="5"/>
  <c r="E1129" i="5"/>
  <c r="F1129" i="5"/>
  <c r="G1130" i="4"/>
  <c r="H1130" i="4"/>
  <c r="C1130" i="5"/>
  <c r="D1130" i="5"/>
  <c r="E1130" i="5"/>
  <c r="F1130" i="5"/>
  <c r="G1131" i="4"/>
  <c r="H1131" i="4"/>
  <c r="C1131" i="5"/>
  <c r="D1131" i="5"/>
  <c r="E1131" i="5"/>
  <c r="F1131" i="5"/>
  <c r="G1132" i="4"/>
  <c r="H1132" i="4"/>
  <c r="C1132" i="5"/>
  <c r="D1132" i="5"/>
  <c r="E1132" i="5"/>
  <c r="F1132" i="5"/>
  <c r="G1133" i="4"/>
  <c r="H1133" i="4"/>
  <c r="C1133" i="5"/>
  <c r="D1133" i="5"/>
  <c r="E1133" i="5"/>
  <c r="F1133" i="5"/>
  <c r="G1134" i="4"/>
  <c r="H1134" i="4"/>
  <c r="C1134" i="5"/>
  <c r="D1134" i="5"/>
  <c r="E1134" i="5"/>
  <c r="F1134" i="5"/>
  <c r="G1135" i="4"/>
  <c r="H1135" i="4"/>
  <c r="C1135" i="5"/>
  <c r="D1135" i="5"/>
  <c r="E1135" i="5"/>
  <c r="F1135" i="5"/>
  <c r="G1136" i="4"/>
  <c r="H1136" i="4"/>
  <c r="C1136" i="5"/>
  <c r="D1136" i="5"/>
  <c r="E1136" i="5"/>
  <c r="F1136" i="5"/>
  <c r="G1137" i="4"/>
  <c r="H1137" i="4"/>
  <c r="C1137" i="5"/>
  <c r="D1137" i="5"/>
  <c r="E1137" i="5"/>
  <c r="F1137" i="5"/>
  <c r="G1138" i="4"/>
  <c r="H1138" i="4"/>
  <c r="C1138" i="5"/>
  <c r="D1138" i="5"/>
  <c r="E1138" i="5"/>
  <c r="F1138" i="5"/>
  <c r="G1139" i="4"/>
  <c r="H1139" i="4"/>
  <c r="C1139" i="5"/>
  <c r="D1139" i="5"/>
  <c r="E1139" i="5"/>
  <c r="F1139" i="5"/>
  <c r="G1140" i="4"/>
  <c r="H1140" i="4"/>
  <c r="C1140" i="5"/>
  <c r="D1140" i="5"/>
  <c r="E1140" i="5"/>
  <c r="F1140" i="5"/>
  <c r="G1141" i="4"/>
  <c r="H1141" i="4"/>
  <c r="C1141" i="5"/>
  <c r="D1141" i="5"/>
  <c r="E1141" i="5"/>
  <c r="F1141" i="5"/>
  <c r="G1142" i="4"/>
  <c r="H1142" i="4"/>
  <c r="C1142" i="5"/>
  <c r="D1142" i="5"/>
  <c r="E1142" i="5"/>
  <c r="F1142" i="5"/>
  <c r="G1143" i="4"/>
  <c r="H1143" i="4"/>
  <c r="C1143" i="5"/>
  <c r="D1143" i="5"/>
  <c r="E1143" i="5"/>
  <c r="F1143" i="5"/>
  <c r="G1144" i="4"/>
  <c r="H1144" i="4"/>
  <c r="C1144" i="5"/>
  <c r="D1144" i="5"/>
  <c r="E1144" i="5"/>
  <c r="F1144" i="5"/>
  <c r="G1145" i="4"/>
  <c r="H1145" i="4"/>
  <c r="C1145" i="5"/>
  <c r="D1145" i="5"/>
  <c r="E1145" i="5"/>
  <c r="F1145" i="5"/>
  <c r="G1146" i="4"/>
  <c r="H1146" i="4"/>
  <c r="C1146" i="5"/>
  <c r="D1146" i="5"/>
  <c r="E1146" i="5"/>
  <c r="F1146" i="5"/>
  <c r="G1147" i="4"/>
  <c r="H1147" i="4"/>
  <c r="C1147" i="5"/>
  <c r="D1147" i="5"/>
  <c r="E1147" i="5"/>
  <c r="F1147" i="5"/>
  <c r="G1148" i="4"/>
  <c r="H1148" i="4"/>
  <c r="C1148" i="5"/>
  <c r="D1148" i="5"/>
  <c r="E1148" i="5"/>
  <c r="F1148" i="5"/>
  <c r="G1149" i="4"/>
  <c r="H1149" i="4"/>
  <c r="C1149" i="5"/>
  <c r="D1149" i="5"/>
  <c r="E1149" i="5"/>
  <c r="F1149" i="5"/>
  <c r="G1150" i="4"/>
  <c r="H1150" i="4"/>
  <c r="C1150" i="5"/>
  <c r="D1150" i="5"/>
  <c r="E1150" i="5"/>
  <c r="F1150" i="5"/>
  <c r="G1151" i="4"/>
  <c r="H1151" i="4"/>
  <c r="C1151" i="5"/>
  <c r="D1151" i="5"/>
  <c r="E1151" i="5"/>
  <c r="F1151" i="5"/>
  <c r="G1152" i="4"/>
  <c r="H1152" i="4"/>
  <c r="C1152" i="5"/>
  <c r="D1152" i="5"/>
  <c r="E1152" i="5"/>
  <c r="F1152" i="5"/>
  <c r="G1153" i="4"/>
  <c r="H1153" i="4"/>
  <c r="C1153" i="5"/>
  <c r="D1153" i="5"/>
  <c r="E1153" i="5"/>
  <c r="F1153" i="5"/>
  <c r="G1154" i="4"/>
  <c r="H1154" i="4"/>
  <c r="C1154" i="5"/>
  <c r="D1154" i="5"/>
  <c r="E1154" i="5"/>
  <c r="F1154" i="5"/>
  <c r="G1155" i="4"/>
  <c r="H1155" i="4"/>
  <c r="C1155" i="5"/>
  <c r="D1155" i="5"/>
  <c r="E1155" i="5"/>
  <c r="F1155" i="5"/>
  <c r="G1156" i="4"/>
  <c r="H1156" i="4"/>
  <c r="C1156" i="5"/>
  <c r="D1156" i="5"/>
  <c r="E1156" i="5"/>
  <c r="F1156" i="5"/>
  <c r="G1157" i="4"/>
  <c r="H1157" i="4"/>
  <c r="C1157" i="5"/>
  <c r="D1157" i="5"/>
  <c r="E1157" i="5"/>
  <c r="F1157" i="5"/>
  <c r="G1158" i="4"/>
  <c r="H1158" i="4"/>
  <c r="C1158" i="5"/>
  <c r="D1158" i="5"/>
  <c r="E1158" i="5"/>
  <c r="F1158" i="5"/>
  <c r="G1159" i="4"/>
  <c r="H1159" i="4"/>
  <c r="C1159" i="5"/>
  <c r="D1159" i="5"/>
  <c r="E1159" i="5"/>
  <c r="F1159" i="5"/>
  <c r="G1160" i="4"/>
  <c r="H1160" i="4"/>
  <c r="C1160" i="5"/>
  <c r="D1160" i="5"/>
  <c r="E1160" i="5"/>
  <c r="F1160" i="5"/>
  <c r="G1161" i="4"/>
  <c r="H1161" i="4"/>
  <c r="C1161" i="5"/>
  <c r="D1161" i="5"/>
  <c r="E1161" i="5"/>
  <c r="F1161" i="5"/>
  <c r="G1162" i="4"/>
  <c r="H1162" i="4"/>
  <c r="C1162" i="5"/>
  <c r="D1162" i="5"/>
  <c r="E1162" i="5"/>
  <c r="F1162" i="5"/>
  <c r="G1163" i="4"/>
  <c r="H1163" i="4"/>
  <c r="C1163" i="5"/>
  <c r="D1163" i="5"/>
  <c r="E1163" i="5"/>
  <c r="F1163" i="5"/>
  <c r="G1164" i="4"/>
  <c r="H1164" i="4"/>
  <c r="C1164" i="5"/>
  <c r="D1164" i="5"/>
  <c r="E1164" i="5"/>
  <c r="F1164" i="5"/>
  <c r="G1165" i="4"/>
  <c r="H1165" i="4"/>
  <c r="C1165" i="5"/>
  <c r="D1165" i="5"/>
  <c r="E1165" i="5"/>
  <c r="F1165" i="5"/>
  <c r="G1166" i="4"/>
  <c r="H1166" i="4"/>
  <c r="C1166" i="5"/>
  <c r="D1166" i="5"/>
  <c r="E1166" i="5"/>
  <c r="F1166" i="5"/>
  <c r="G1167" i="4"/>
  <c r="H1167" i="4"/>
  <c r="C1167" i="5"/>
  <c r="D1167" i="5"/>
  <c r="E1167" i="5"/>
  <c r="F1167" i="5"/>
  <c r="G1168" i="4"/>
  <c r="H1168" i="4"/>
  <c r="C1168" i="5"/>
  <c r="D1168" i="5"/>
  <c r="E1168" i="5"/>
  <c r="F1168" i="5"/>
  <c r="G1169" i="4"/>
  <c r="H1169" i="4"/>
  <c r="C1169" i="5"/>
  <c r="D1169" i="5"/>
  <c r="E1169" i="5"/>
  <c r="F1169" i="5"/>
  <c r="G1170" i="4"/>
  <c r="H1170" i="4"/>
  <c r="C1170" i="5"/>
  <c r="D1170" i="5"/>
  <c r="E1170" i="5"/>
  <c r="F1170" i="5"/>
  <c r="G1171" i="4"/>
  <c r="H1171" i="4"/>
  <c r="C1171" i="5"/>
  <c r="D1171" i="5"/>
  <c r="E1171" i="5"/>
  <c r="F1171" i="5"/>
  <c r="G1172" i="4"/>
  <c r="H1172" i="4"/>
  <c r="C1172" i="5"/>
  <c r="D1172" i="5"/>
  <c r="E1172" i="5"/>
  <c r="F1172" i="5"/>
  <c r="G1173" i="4"/>
  <c r="H1173" i="4"/>
  <c r="C1173" i="5"/>
  <c r="D1173" i="5"/>
  <c r="E1173" i="5"/>
  <c r="F1173" i="5"/>
  <c r="G1174" i="4"/>
  <c r="H1174" i="4"/>
  <c r="C1174" i="5"/>
  <c r="D1174" i="5"/>
  <c r="E1174" i="5"/>
  <c r="F1174" i="5"/>
  <c r="G1175" i="4"/>
  <c r="H1175" i="4"/>
  <c r="C1175" i="5"/>
  <c r="D1175" i="5"/>
  <c r="E1175" i="5"/>
  <c r="F1175" i="5"/>
  <c r="G1176" i="4"/>
  <c r="H1176" i="4"/>
  <c r="C1176" i="5"/>
  <c r="D1176" i="5"/>
  <c r="E1176" i="5"/>
  <c r="F1176" i="5"/>
  <c r="G1177" i="4"/>
  <c r="H1177" i="4"/>
  <c r="C1177" i="5"/>
  <c r="D1177" i="5"/>
  <c r="E1177" i="5"/>
  <c r="F1177" i="5"/>
  <c r="G1178" i="4"/>
  <c r="H1178" i="4"/>
  <c r="C1178" i="5"/>
  <c r="D1178" i="5"/>
  <c r="E1178" i="5"/>
  <c r="F1178" i="5"/>
  <c r="G1179" i="4"/>
  <c r="H1179" i="4"/>
  <c r="C1179" i="5"/>
  <c r="D1179" i="5"/>
  <c r="E1179" i="5"/>
  <c r="F1179" i="5"/>
  <c r="G1180" i="4"/>
  <c r="H1180" i="4"/>
  <c r="C1180" i="5"/>
  <c r="D1180" i="5"/>
  <c r="E1180" i="5"/>
  <c r="F1180" i="5"/>
  <c r="G1181" i="4"/>
  <c r="H1181" i="4"/>
  <c r="C1181" i="5"/>
  <c r="D1181" i="5"/>
  <c r="E1181" i="5"/>
  <c r="F1181" i="5"/>
  <c r="G1182" i="4"/>
  <c r="H1182" i="4"/>
  <c r="C1182" i="5"/>
  <c r="D1182" i="5"/>
  <c r="E1182" i="5"/>
  <c r="F1182" i="5"/>
  <c r="G1183" i="4"/>
  <c r="H1183" i="4"/>
  <c r="C1183" i="5"/>
  <c r="D1183" i="5"/>
  <c r="E1183" i="5"/>
  <c r="F1183" i="5"/>
  <c r="G1184" i="4"/>
  <c r="H1184" i="4"/>
  <c r="C1184" i="5"/>
  <c r="D1184" i="5"/>
  <c r="E1184" i="5"/>
  <c r="F1184" i="5"/>
  <c r="G1185" i="4"/>
  <c r="H1185" i="4"/>
  <c r="C1185" i="5"/>
  <c r="D1185" i="5"/>
  <c r="E1185" i="5"/>
  <c r="F1185" i="5"/>
  <c r="G1186" i="4"/>
  <c r="H1186" i="4"/>
  <c r="C1186" i="5"/>
  <c r="D1186" i="5"/>
  <c r="E1186" i="5"/>
  <c r="F1186" i="5"/>
  <c r="G1187" i="4"/>
  <c r="H1187" i="4"/>
  <c r="C1187" i="5"/>
  <c r="D1187" i="5"/>
  <c r="E1187" i="5"/>
  <c r="F1187" i="5"/>
  <c r="G1188" i="4"/>
  <c r="H1188" i="4"/>
  <c r="C1188" i="5"/>
  <c r="D1188" i="5"/>
  <c r="E1188" i="5"/>
  <c r="F1188" i="5"/>
  <c r="G1189" i="4"/>
  <c r="H1189" i="4"/>
  <c r="C1189" i="5"/>
  <c r="D1189" i="5"/>
  <c r="E1189" i="5"/>
  <c r="F1189" i="5"/>
  <c r="G1190" i="4"/>
  <c r="H1190" i="4"/>
  <c r="C1190" i="5"/>
  <c r="D1190" i="5"/>
  <c r="E1190" i="5"/>
  <c r="F1190" i="5"/>
  <c r="G1191" i="4"/>
  <c r="H1191" i="4"/>
  <c r="C1191" i="5"/>
  <c r="D1191" i="5"/>
  <c r="E1191" i="5"/>
  <c r="F1191" i="5"/>
  <c r="G1192" i="4"/>
  <c r="H1192" i="4"/>
  <c r="C1192" i="5"/>
  <c r="D1192" i="5"/>
  <c r="E1192" i="5"/>
  <c r="F1192" i="5"/>
  <c r="G1193" i="4"/>
  <c r="H1193" i="4"/>
  <c r="C1193" i="5"/>
  <c r="D1193" i="5"/>
  <c r="E1193" i="5"/>
  <c r="F1193" i="5"/>
  <c r="G1194" i="4"/>
  <c r="H1194" i="4"/>
  <c r="C1194" i="5"/>
  <c r="D1194" i="5"/>
  <c r="E1194" i="5"/>
  <c r="F1194" i="5"/>
  <c r="G1195" i="4"/>
  <c r="H1195" i="4"/>
  <c r="C1195" i="5"/>
  <c r="D1195" i="5"/>
  <c r="E1195" i="5"/>
  <c r="F1195" i="5"/>
  <c r="G1196" i="4"/>
  <c r="H1196" i="4"/>
  <c r="C1196" i="5"/>
  <c r="D1196" i="5"/>
  <c r="E1196" i="5"/>
  <c r="F1196" i="5"/>
  <c r="G1197" i="4"/>
  <c r="H1197" i="4"/>
  <c r="C1197" i="5"/>
  <c r="D1197" i="5"/>
  <c r="E1197" i="5"/>
  <c r="F1197" i="5"/>
  <c r="G1198" i="4"/>
  <c r="H1198" i="4"/>
  <c r="C1198" i="5"/>
  <c r="D1198" i="5"/>
  <c r="E1198" i="5"/>
  <c r="F1198" i="5"/>
  <c r="G1199" i="4"/>
  <c r="H1199" i="4"/>
  <c r="C1199" i="5"/>
  <c r="D1199" i="5"/>
  <c r="E1199" i="5"/>
  <c r="F1199" i="5"/>
  <c r="G1200" i="4"/>
  <c r="H1200" i="4"/>
  <c r="C1200" i="5"/>
  <c r="D1200" i="5"/>
  <c r="E1200" i="5"/>
  <c r="F1200" i="5"/>
  <c r="G1201" i="4"/>
  <c r="H1201" i="4"/>
  <c r="C1201" i="5"/>
  <c r="D1201" i="5"/>
  <c r="E1201" i="5"/>
  <c r="F1201" i="5"/>
  <c r="G1202" i="4"/>
  <c r="H1202" i="4"/>
  <c r="C1202" i="5"/>
  <c r="D1202" i="5"/>
  <c r="E1202" i="5"/>
  <c r="F1202" i="5"/>
  <c r="G1203" i="4"/>
  <c r="H1203" i="4"/>
  <c r="C1203" i="5"/>
  <c r="D1203" i="5"/>
  <c r="E1203" i="5"/>
  <c r="F1203" i="5"/>
  <c r="G1204" i="4"/>
  <c r="H1204" i="4"/>
  <c r="C1204" i="5"/>
  <c r="D1204" i="5"/>
  <c r="E1204" i="5"/>
  <c r="F1204" i="5"/>
  <c r="G1205" i="4"/>
  <c r="H1205" i="4"/>
  <c r="C1205" i="5"/>
  <c r="D1205" i="5"/>
  <c r="E1205" i="5"/>
  <c r="F1205" i="5"/>
  <c r="G1206" i="4"/>
  <c r="H1206" i="4"/>
  <c r="C1206" i="5"/>
  <c r="D1206" i="5"/>
  <c r="E1206" i="5"/>
  <c r="F1206" i="5"/>
  <c r="G1207" i="4"/>
  <c r="H1207" i="4"/>
  <c r="C1207" i="5"/>
  <c r="D1207" i="5"/>
  <c r="E1207" i="5"/>
  <c r="F1207" i="5"/>
  <c r="G1208" i="4"/>
  <c r="H1208" i="4"/>
  <c r="C1208" i="5"/>
  <c r="D1208" i="5"/>
  <c r="E1208" i="5"/>
  <c r="F1208" i="5"/>
  <c r="G1209" i="4"/>
  <c r="H1209" i="4"/>
  <c r="C1209" i="5"/>
  <c r="D1209" i="5"/>
  <c r="E1209" i="5"/>
  <c r="F1209" i="5"/>
  <c r="G1210" i="4"/>
  <c r="H1210" i="4"/>
  <c r="C1210" i="5"/>
  <c r="D1210" i="5"/>
  <c r="E1210" i="5"/>
  <c r="F1210" i="5"/>
  <c r="G1211" i="4"/>
  <c r="H1211" i="4"/>
  <c r="C1211" i="5"/>
  <c r="D1211" i="5"/>
  <c r="E1211" i="5"/>
  <c r="F1211" i="5"/>
  <c r="G1212" i="4"/>
  <c r="H1212" i="4"/>
  <c r="C1212" i="5"/>
  <c r="D1212" i="5"/>
  <c r="E1212" i="5"/>
  <c r="F1212" i="5"/>
  <c r="G1213" i="4"/>
  <c r="H1213" i="4"/>
  <c r="C1213" i="5"/>
  <c r="D1213" i="5"/>
  <c r="E1213" i="5"/>
  <c r="F1213" i="5"/>
  <c r="G1214" i="4"/>
  <c r="H1214" i="4"/>
  <c r="C1214" i="5"/>
  <c r="D1214" i="5"/>
  <c r="E1214" i="5"/>
  <c r="F1214" i="5"/>
  <c r="G1215" i="4"/>
  <c r="H1215" i="4"/>
  <c r="C1215" i="5"/>
  <c r="D1215" i="5"/>
  <c r="E1215" i="5"/>
  <c r="F1215" i="5"/>
  <c r="G1216" i="4"/>
  <c r="H1216" i="4"/>
  <c r="C1216" i="5"/>
  <c r="D1216" i="5"/>
  <c r="E1216" i="5"/>
  <c r="F1216" i="5"/>
  <c r="G1217" i="4"/>
  <c r="H1217" i="4"/>
  <c r="C1217" i="5"/>
  <c r="D1217" i="5"/>
  <c r="E1217" i="5"/>
  <c r="F1217" i="5"/>
  <c r="C1218" i="4"/>
  <c r="D1218" i="4"/>
  <c r="E1218" i="4"/>
  <c r="F1218" i="4"/>
  <c r="G1218" i="4"/>
  <c r="H1218" i="4"/>
  <c r="C1218" i="5"/>
  <c r="D1218" i="5"/>
  <c r="E1218" i="5"/>
  <c r="F1218" i="5"/>
  <c r="C1219" i="4"/>
  <c r="D1219" i="4"/>
  <c r="E1219" i="4"/>
  <c r="F1219" i="4"/>
  <c r="G1219" i="4"/>
  <c r="H1219" i="4"/>
  <c r="C1219" i="5"/>
  <c r="D1219" i="5"/>
  <c r="E1219" i="5"/>
  <c r="F1219" i="5"/>
  <c r="C1220" i="4"/>
  <c r="D1220" i="4"/>
  <c r="E1220" i="4"/>
  <c r="F1220" i="4"/>
  <c r="G1220" i="4"/>
  <c r="H1220" i="4"/>
  <c r="C1220" i="5"/>
  <c r="D1220" i="5"/>
  <c r="E1220" i="5"/>
  <c r="F1220" i="5"/>
  <c r="C1221" i="4"/>
  <c r="D1221" i="4"/>
  <c r="E1221" i="4"/>
  <c r="F1221" i="4"/>
  <c r="G1221" i="4"/>
  <c r="H1221" i="4"/>
  <c r="C1221" i="5"/>
  <c r="D1221" i="5"/>
  <c r="E1221" i="5"/>
  <c r="F1221" i="5"/>
  <c r="C1222" i="4"/>
  <c r="D1222" i="4"/>
  <c r="E1222" i="4"/>
  <c r="F1222" i="4"/>
  <c r="G1222" i="4"/>
  <c r="H1222" i="4"/>
  <c r="C1222" i="5"/>
  <c r="D1222" i="5"/>
  <c r="E1222" i="5"/>
  <c r="F1222" i="5"/>
  <c r="C1223" i="4"/>
  <c r="D1223" i="4"/>
  <c r="E1223" i="4"/>
  <c r="F1223" i="4"/>
  <c r="G1223" i="4"/>
  <c r="H1223" i="4"/>
  <c r="C1223" i="5"/>
  <c r="D1223" i="5"/>
  <c r="E1223" i="5"/>
  <c r="F1223" i="5"/>
  <c r="C1224" i="4"/>
  <c r="D1224" i="4"/>
  <c r="E1224" i="4"/>
  <c r="F1224" i="4"/>
  <c r="G1224" i="4"/>
  <c r="H1224" i="4"/>
  <c r="C1224" i="5"/>
  <c r="D1224" i="5"/>
  <c r="E1224" i="5"/>
  <c r="F1224" i="5"/>
  <c r="C1225" i="4"/>
  <c r="D1225" i="4"/>
  <c r="E1225" i="4"/>
  <c r="F1225" i="4"/>
  <c r="G1225" i="4"/>
  <c r="H1225" i="4"/>
  <c r="C1225" i="5"/>
  <c r="D1225" i="5"/>
  <c r="E1225" i="5"/>
  <c r="F1225" i="5"/>
  <c r="C1226" i="4"/>
  <c r="D1226" i="4"/>
  <c r="E1226" i="4"/>
  <c r="F1226" i="4"/>
  <c r="G1226" i="4"/>
  <c r="H1226" i="4"/>
  <c r="C1226" i="5"/>
  <c r="D1226" i="5"/>
  <c r="E1226" i="5"/>
  <c r="F1226" i="5"/>
  <c r="C1227" i="4"/>
  <c r="D1227" i="4"/>
  <c r="E1227" i="4"/>
  <c r="F1227" i="4"/>
  <c r="G1227" i="4"/>
  <c r="H1227" i="4"/>
  <c r="C1227" i="5"/>
  <c r="D1227" i="5"/>
  <c r="E1227" i="5"/>
  <c r="F1227" i="5"/>
  <c r="C1228" i="4"/>
  <c r="D1228" i="4"/>
  <c r="E1228" i="4"/>
  <c r="F1228" i="4"/>
  <c r="G1228" i="4"/>
  <c r="H1228" i="4"/>
  <c r="C1228" i="5"/>
  <c r="D1228" i="5"/>
  <c r="E1228" i="5"/>
  <c r="F1228" i="5"/>
  <c r="C1229" i="4"/>
  <c r="D1229" i="4"/>
  <c r="E1229" i="4"/>
  <c r="F1229" i="4"/>
  <c r="G1229" i="4"/>
  <c r="H1229" i="4"/>
  <c r="C1229" i="5"/>
  <c r="D1229" i="5"/>
  <c r="E1229" i="5"/>
  <c r="F1229" i="5"/>
  <c r="C1230" i="4"/>
  <c r="D1230" i="4"/>
  <c r="E1230" i="4"/>
  <c r="F1230" i="4"/>
  <c r="G1230" i="4"/>
  <c r="H1230" i="4"/>
  <c r="C1230" i="5"/>
  <c r="D1230" i="5"/>
  <c r="E1230" i="5"/>
  <c r="F1230" i="5"/>
  <c r="C1231" i="4"/>
  <c r="D1231" i="4"/>
  <c r="E1231" i="4"/>
  <c r="F1231" i="4"/>
  <c r="G1231" i="4"/>
  <c r="H1231" i="4"/>
  <c r="C1231" i="5"/>
  <c r="D1231" i="5"/>
  <c r="E1231" i="5"/>
  <c r="F1231" i="5"/>
  <c r="C1232" i="4"/>
  <c r="D1232" i="4"/>
  <c r="E1232" i="4"/>
  <c r="F1232" i="4"/>
  <c r="G1232" i="4"/>
  <c r="H1232" i="4"/>
  <c r="C1232" i="5"/>
  <c r="D1232" i="5"/>
  <c r="E1232" i="5"/>
  <c r="F1232" i="5"/>
  <c r="C1233" i="4"/>
  <c r="D1233" i="4"/>
  <c r="E1233" i="4"/>
  <c r="F1233" i="4"/>
  <c r="G1233" i="4"/>
  <c r="H1233" i="4"/>
  <c r="C1233" i="5"/>
  <c r="D1233" i="5"/>
  <c r="E1233" i="5"/>
  <c r="F1233" i="5"/>
  <c r="C1234" i="4"/>
  <c r="D1234" i="4"/>
  <c r="E1234" i="4"/>
  <c r="F1234" i="4"/>
  <c r="G1234" i="4"/>
  <c r="H1234" i="4"/>
  <c r="C1234" i="5"/>
  <c r="D1234" i="5"/>
  <c r="E1234" i="5"/>
  <c r="F1234" i="5"/>
  <c r="C1235" i="4"/>
  <c r="D1235" i="4"/>
  <c r="E1235" i="4"/>
  <c r="F1235" i="4"/>
  <c r="G1235" i="4"/>
  <c r="H1235" i="4"/>
  <c r="C1235" i="5"/>
  <c r="D1235" i="5"/>
  <c r="E1235" i="5"/>
  <c r="F1235" i="5"/>
  <c r="C1236" i="4"/>
  <c r="D1236" i="4"/>
  <c r="E1236" i="4"/>
  <c r="F1236" i="4"/>
  <c r="G1236" i="4"/>
  <c r="H1236" i="4"/>
  <c r="C1236" i="5"/>
  <c r="D1236" i="5"/>
  <c r="E1236" i="5"/>
  <c r="F1236" i="5"/>
  <c r="C1237" i="4"/>
  <c r="D1237" i="4"/>
  <c r="E1237" i="4"/>
  <c r="F1237" i="4"/>
  <c r="G1237" i="4"/>
  <c r="H1237" i="4"/>
  <c r="C1237" i="5"/>
  <c r="D1237" i="5"/>
  <c r="E1237" i="5"/>
  <c r="F1237" i="5"/>
  <c r="C1238" i="4"/>
  <c r="D1238" i="4"/>
  <c r="E1238" i="4"/>
  <c r="F1238" i="4"/>
  <c r="G1238" i="4"/>
  <c r="H1238" i="4"/>
  <c r="C1238" i="5"/>
  <c r="D1238" i="5"/>
  <c r="E1238" i="5"/>
  <c r="F1238" i="5"/>
  <c r="C1239" i="4"/>
  <c r="D1239" i="4"/>
  <c r="E1239" i="4"/>
  <c r="F1239" i="4"/>
  <c r="G1239" i="4"/>
  <c r="H1239" i="4"/>
  <c r="C1239" i="5"/>
  <c r="D1239" i="5"/>
  <c r="E1239" i="5"/>
  <c r="F1239" i="5"/>
  <c r="C1240" i="4"/>
  <c r="D1240" i="4"/>
  <c r="E1240" i="4"/>
  <c r="F1240" i="4"/>
  <c r="G1240" i="4"/>
  <c r="H1240" i="4"/>
  <c r="C1240" i="5"/>
  <c r="D1240" i="5"/>
  <c r="E1240" i="5"/>
  <c r="F1240" i="5"/>
  <c r="C1241" i="4"/>
  <c r="D1241" i="4"/>
  <c r="E1241" i="4"/>
  <c r="F1241" i="4"/>
  <c r="G1241" i="4"/>
  <c r="H1241" i="4"/>
  <c r="C1241" i="5"/>
  <c r="D1241" i="5"/>
  <c r="E1241" i="5"/>
  <c r="F1241" i="5"/>
  <c r="C1242" i="4"/>
  <c r="D1242" i="4"/>
  <c r="E1242" i="4"/>
  <c r="F1242" i="4"/>
  <c r="G1242" i="4"/>
  <c r="H1242" i="4"/>
  <c r="C1242" i="5"/>
  <c r="D1242" i="5"/>
  <c r="E1242" i="5"/>
  <c r="F1242" i="5"/>
  <c r="C1243" i="4"/>
  <c r="D1243" i="4"/>
  <c r="E1243" i="4"/>
  <c r="F1243" i="4"/>
  <c r="G1243" i="4"/>
  <c r="H1243" i="4"/>
  <c r="C1243" i="5"/>
  <c r="D1243" i="5"/>
  <c r="E1243" i="5"/>
  <c r="F1243" i="5"/>
  <c r="C1244" i="4"/>
  <c r="D1244" i="4"/>
  <c r="E1244" i="4"/>
  <c r="F1244" i="4"/>
  <c r="G1244" i="4"/>
  <c r="H1244" i="4"/>
  <c r="C1244" i="5"/>
  <c r="D1244" i="5"/>
  <c r="E1244" i="5"/>
  <c r="F1244" i="5"/>
  <c r="C1245" i="4"/>
  <c r="D1245" i="4"/>
  <c r="E1245" i="4"/>
  <c r="F1245" i="4"/>
  <c r="G1245" i="4"/>
  <c r="H1245" i="4"/>
  <c r="C1245" i="5"/>
  <c r="D1245" i="5"/>
  <c r="E1245" i="5"/>
  <c r="F1245" i="5"/>
  <c r="C1246" i="4"/>
  <c r="D1246" i="4"/>
  <c r="E1246" i="4"/>
  <c r="F1246" i="4"/>
  <c r="G1246" i="4"/>
  <c r="H1246" i="4"/>
  <c r="C1246" i="5"/>
  <c r="D1246" i="5"/>
  <c r="E1246" i="5"/>
  <c r="F1246" i="5"/>
  <c r="C1247" i="4"/>
  <c r="D1247" i="4"/>
  <c r="E1247" i="4"/>
  <c r="F1247" i="4"/>
  <c r="G1247" i="4"/>
  <c r="H1247" i="4"/>
  <c r="C1247" i="5"/>
  <c r="D1247" i="5"/>
  <c r="E1247" i="5"/>
  <c r="F1247" i="5"/>
  <c r="C1248" i="4"/>
  <c r="D1248" i="4"/>
  <c r="E1248" i="4"/>
  <c r="F1248" i="4"/>
  <c r="G1248" i="4"/>
  <c r="H1248" i="4"/>
  <c r="C1248" i="5"/>
  <c r="D1248" i="5"/>
  <c r="E1248" i="5"/>
  <c r="F1248" i="5"/>
  <c r="C1249" i="4"/>
  <c r="D1249" i="4"/>
  <c r="E1249" i="4"/>
  <c r="F1249" i="4"/>
  <c r="G1249" i="4"/>
  <c r="H1249" i="4"/>
  <c r="C1249" i="5"/>
  <c r="D1249" i="5"/>
  <c r="E1249" i="5"/>
  <c r="F1249" i="5"/>
  <c r="C1250" i="4"/>
  <c r="D1250" i="4"/>
  <c r="E1250" i="4"/>
  <c r="F1250" i="4"/>
  <c r="G1250" i="4"/>
  <c r="H1250" i="4"/>
  <c r="C1250" i="5"/>
  <c r="D1250" i="5"/>
  <c r="E1250" i="5"/>
  <c r="F1250" i="5"/>
  <c r="C1251" i="4"/>
  <c r="D1251" i="4"/>
  <c r="E1251" i="4"/>
  <c r="F1251" i="4"/>
  <c r="G1251" i="4"/>
  <c r="H1251" i="4"/>
  <c r="C1251" i="5"/>
  <c r="D1251" i="5"/>
  <c r="E1251" i="5"/>
  <c r="F1251" i="5"/>
  <c r="C1252" i="4"/>
  <c r="D1252" i="4"/>
  <c r="E1252" i="4"/>
  <c r="F1252" i="4"/>
  <c r="G1252" i="4"/>
  <c r="H1252" i="4"/>
  <c r="C1252" i="5"/>
  <c r="D1252" i="5"/>
  <c r="E1252" i="5"/>
  <c r="F1252" i="5"/>
  <c r="C1253" i="4"/>
  <c r="D1253" i="4"/>
  <c r="E1253" i="4"/>
  <c r="F1253" i="4"/>
  <c r="G1253" i="4"/>
  <c r="H1253" i="4"/>
  <c r="C1253" i="5"/>
  <c r="D1253" i="5"/>
  <c r="E1253" i="5"/>
  <c r="F1253" i="5"/>
  <c r="C1254" i="4"/>
  <c r="D1254" i="4"/>
  <c r="E1254" i="4"/>
  <c r="F1254" i="4"/>
  <c r="G1254" i="4"/>
  <c r="H1254" i="4"/>
  <c r="C1254" i="5"/>
  <c r="D1254" i="5"/>
  <c r="E1254" i="5"/>
  <c r="F1254" i="5"/>
  <c r="C1255" i="4"/>
  <c r="D1255" i="4"/>
  <c r="E1255" i="4"/>
  <c r="F1255" i="4"/>
  <c r="G1255" i="4"/>
  <c r="H1255" i="4"/>
  <c r="C1255" i="5"/>
  <c r="D1255" i="5"/>
  <c r="E1255" i="5"/>
  <c r="F1255" i="5"/>
  <c r="C1256" i="4"/>
  <c r="D1256" i="4"/>
  <c r="E1256" i="4"/>
  <c r="F1256" i="4"/>
  <c r="G1256" i="4"/>
  <c r="H1256" i="4"/>
  <c r="C1256" i="5"/>
  <c r="D1256" i="5"/>
  <c r="E1256" i="5"/>
  <c r="F1256" i="5"/>
  <c r="C1257" i="4"/>
  <c r="D1257" i="4"/>
  <c r="E1257" i="4"/>
  <c r="F1257" i="4"/>
  <c r="G1257" i="4"/>
  <c r="H1257" i="4"/>
  <c r="C1257" i="5"/>
  <c r="D1257" i="5"/>
  <c r="E1257" i="5"/>
  <c r="F1257" i="5"/>
  <c r="C1258" i="4"/>
  <c r="D1258" i="4"/>
  <c r="E1258" i="4"/>
  <c r="F1258" i="4"/>
  <c r="G1258" i="4"/>
  <c r="H1258" i="4"/>
  <c r="C1258" i="5"/>
  <c r="D1258" i="5"/>
  <c r="E1258" i="5"/>
  <c r="F1258" i="5"/>
  <c r="C1259" i="4"/>
  <c r="D1259" i="4"/>
  <c r="E1259" i="4"/>
  <c r="F1259" i="4"/>
  <c r="G1259" i="4"/>
  <c r="H1259" i="4"/>
  <c r="C1259" i="5"/>
  <c r="D1259" i="5"/>
  <c r="E1259" i="5"/>
  <c r="F1259" i="5"/>
  <c r="C1260" i="4"/>
  <c r="D1260" i="4"/>
  <c r="E1260" i="4"/>
  <c r="F1260" i="4"/>
  <c r="G1260" i="4"/>
  <c r="H1260" i="4"/>
  <c r="C1260" i="5"/>
  <c r="D1260" i="5"/>
  <c r="E1260" i="5"/>
  <c r="F1260" i="5"/>
  <c r="C1261" i="4"/>
  <c r="D1261" i="4"/>
  <c r="E1261" i="4"/>
  <c r="F1261" i="4"/>
  <c r="G1261" i="4"/>
  <c r="H1261" i="4"/>
  <c r="C1261" i="5"/>
  <c r="D1261" i="5"/>
  <c r="E1261" i="5"/>
  <c r="F1261" i="5"/>
  <c r="C1262" i="4"/>
  <c r="D1262" i="4"/>
  <c r="E1262" i="4"/>
  <c r="F1262" i="4"/>
  <c r="G1262" i="4"/>
  <c r="H1262" i="4"/>
  <c r="C1262" i="5"/>
  <c r="D1262" i="5"/>
  <c r="E1262" i="5"/>
  <c r="F1262" i="5"/>
  <c r="C1263" i="4"/>
  <c r="D1263" i="4"/>
  <c r="E1263" i="4"/>
  <c r="F1263" i="4"/>
  <c r="G1263" i="4"/>
  <c r="H1263" i="4"/>
  <c r="C1263" i="5"/>
  <c r="D1263" i="5"/>
  <c r="E1263" i="5"/>
  <c r="F1263" i="5"/>
  <c r="C1264" i="4"/>
  <c r="D1264" i="4"/>
  <c r="E1264" i="4"/>
  <c r="F1264" i="4"/>
  <c r="G1264" i="4"/>
  <c r="H1264" i="4"/>
  <c r="C1264" i="5"/>
  <c r="D1264" i="5"/>
  <c r="E1264" i="5"/>
  <c r="F1264" i="5"/>
  <c r="C1265" i="4"/>
  <c r="D1265" i="4"/>
  <c r="E1265" i="4"/>
  <c r="F1265" i="4"/>
  <c r="G1265" i="4"/>
  <c r="H1265" i="4"/>
  <c r="C1265" i="5"/>
  <c r="D1265" i="5"/>
  <c r="E1265" i="5"/>
  <c r="F1265" i="5"/>
  <c r="C1266" i="4"/>
  <c r="D1266" i="4"/>
  <c r="E1266" i="4"/>
  <c r="F1266" i="4"/>
  <c r="G1266" i="4"/>
  <c r="H1266" i="4"/>
  <c r="C1266" i="5"/>
  <c r="D1266" i="5"/>
  <c r="E1266" i="5"/>
  <c r="F1266" i="5"/>
  <c r="C1267" i="4"/>
  <c r="D1267" i="4"/>
  <c r="E1267" i="4"/>
  <c r="F1267" i="4"/>
  <c r="G1267" i="4"/>
  <c r="H1267" i="4"/>
  <c r="C1267" i="5"/>
  <c r="D1267" i="5"/>
  <c r="E1267" i="5"/>
  <c r="F1267" i="5"/>
  <c r="C1268" i="4"/>
  <c r="D1268" i="4"/>
  <c r="E1268" i="4"/>
  <c r="F1268" i="4"/>
  <c r="G1268" i="4"/>
  <c r="H1268" i="4"/>
  <c r="C1268" i="5"/>
  <c r="D1268" i="5"/>
  <c r="E1268" i="5"/>
  <c r="F1268" i="5"/>
  <c r="C1269" i="4"/>
  <c r="D1269" i="4"/>
  <c r="E1269" i="4"/>
  <c r="F1269" i="4"/>
  <c r="G1269" i="4"/>
  <c r="H1269" i="4"/>
  <c r="C1269" i="5"/>
  <c r="D1269" i="5"/>
  <c r="E1269" i="5"/>
  <c r="F1269" i="5"/>
  <c r="C1270" i="4"/>
  <c r="D1270" i="4"/>
  <c r="E1270" i="4"/>
  <c r="F1270" i="4"/>
  <c r="G1270" i="4"/>
  <c r="H1270" i="4"/>
  <c r="C1270" i="5"/>
  <c r="D1270" i="5"/>
  <c r="E1270" i="5"/>
  <c r="F1270" i="5"/>
  <c r="C1271" i="4"/>
  <c r="D1271" i="4"/>
  <c r="E1271" i="4"/>
  <c r="F1271" i="4"/>
  <c r="G1271" i="4"/>
  <c r="H1271" i="4"/>
  <c r="C1271" i="5"/>
  <c r="D1271" i="5"/>
  <c r="E1271" i="5"/>
  <c r="F1271" i="5"/>
  <c r="C1272" i="4"/>
  <c r="D1272" i="4"/>
  <c r="E1272" i="4"/>
  <c r="F1272" i="4"/>
  <c r="G1272" i="4"/>
  <c r="H1272" i="4"/>
  <c r="C1272" i="5"/>
  <c r="D1272" i="5"/>
  <c r="E1272" i="5"/>
  <c r="F1272" i="5"/>
  <c r="C1273" i="4"/>
  <c r="D1273" i="4"/>
  <c r="E1273" i="4"/>
  <c r="F1273" i="4"/>
  <c r="G1273" i="4"/>
  <c r="H1273" i="4"/>
  <c r="C1273" i="5"/>
  <c r="D1273" i="5"/>
  <c r="E1273" i="5"/>
  <c r="F1273" i="5"/>
  <c r="C1274" i="4"/>
  <c r="D1274" i="4"/>
  <c r="E1274" i="4"/>
  <c r="F1274" i="4"/>
  <c r="G1274" i="4"/>
  <c r="H1274" i="4"/>
  <c r="C1274" i="5"/>
  <c r="D1274" i="5"/>
  <c r="E1274" i="5"/>
  <c r="F1274" i="5"/>
  <c r="C1275" i="4"/>
  <c r="D1275" i="4"/>
  <c r="E1275" i="4"/>
  <c r="F1275" i="4"/>
  <c r="G1275" i="4"/>
  <c r="H1275" i="4"/>
  <c r="C1275" i="5"/>
  <c r="D1275" i="5"/>
  <c r="E1275" i="5"/>
  <c r="F1275" i="5"/>
  <c r="C1276" i="4"/>
  <c r="D1276" i="4"/>
  <c r="E1276" i="4"/>
  <c r="F1276" i="4"/>
  <c r="G1276" i="4"/>
  <c r="H1276" i="4"/>
  <c r="C1276" i="5"/>
  <c r="D1276" i="5"/>
  <c r="E1276" i="5"/>
  <c r="F1276" i="5"/>
  <c r="C1277" i="4"/>
  <c r="D1277" i="4"/>
  <c r="E1277" i="4"/>
  <c r="F1277" i="4"/>
  <c r="G1277" i="4"/>
  <c r="H1277" i="4"/>
  <c r="C1277" i="5"/>
  <c r="D1277" i="5"/>
  <c r="E1277" i="5"/>
  <c r="F1277" i="5"/>
  <c r="C1278" i="4"/>
  <c r="D1278" i="4"/>
  <c r="E1278" i="4"/>
  <c r="F1278" i="4"/>
  <c r="G1278" i="4"/>
  <c r="H1278" i="4"/>
  <c r="C1278" i="5"/>
  <c r="D1278" i="5"/>
  <c r="E1278" i="5"/>
  <c r="F1278" i="5"/>
  <c r="C1279" i="4"/>
  <c r="D1279" i="4"/>
  <c r="E1279" i="4"/>
  <c r="F1279" i="4"/>
  <c r="G1279" i="4"/>
  <c r="H1279" i="4"/>
  <c r="C1279" i="5"/>
  <c r="D1279" i="5"/>
  <c r="E1279" i="5"/>
  <c r="F1279" i="5"/>
  <c r="C1280" i="4"/>
  <c r="D1280" i="4"/>
  <c r="E1280" i="4"/>
  <c r="F1280" i="4"/>
  <c r="G1280" i="4"/>
  <c r="H1280" i="4"/>
  <c r="C1280" i="5"/>
  <c r="D1280" i="5"/>
  <c r="E1280" i="5"/>
  <c r="F1280" i="5"/>
  <c r="C1281" i="4"/>
  <c r="D1281" i="4"/>
  <c r="E1281" i="4"/>
  <c r="F1281" i="4"/>
  <c r="G1281" i="4"/>
  <c r="H1281" i="4"/>
  <c r="C1281" i="5"/>
  <c r="D1281" i="5"/>
  <c r="E1281" i="5"/>
  <c r="F1281" i="5"/>
  <c r="C1282" i="4"/>
  <c r="D1282" i="4"/>
  <c r="E1282" i="4"/>
  <c r="F1282" i="4"/>
  <c r="G1282" i="4"/>
  <c r="H1282" i="4"/>
  <c r="C1282" i="5"/>
  <c r="D1282" i="5"/>
  <c r="E1282" i="5"/>
  <c r="F1282" i="5"/>
  <c r="C1283" i="4"/>
  <c r="D1283" i="4"/>
  <c r="E1283" i="4"/>
  <c r="F1283" i="4"/>
  <c r="G1283" i="4"/>
  <c r="H1283" i="4"/>
  <c r="C1283" i="5"/>
  <c r="D1283" i="5"/>
  <c r="E1283" i="5"/>
  <c r="F1283" i="5"/>
  <c r="C1284" i="4"/>
  <c r="D1284" i="4"/>
  <c r="E1284" i="4"/>
  <c r="F1284" i="4"/>
  <c r="G1284" i="4"/>
  <c r="H1284" i="4"/>
  <c r="C1284" i="5"/>
  <c r="D1284" i="5"/>
  <c r="E1284" i="5"/>
  <c r="F1284" i="5"/>
  <c r="C1285" i="4"/>
  <c r="D1285" i="4"/>
  <c r="E1285" i="4"/>
  <c r="F1285" i="4"/>
  <c r="G1285" i="4"/>
  <c r="H1285" i="4"/>
  <c r="C1285" i="5"/>
  <c r="D1285" i="5"/>
  <c r="E1285" i="5"/>
  <c r="F1285" i="5"/>
  <c r="C1286" i="4"/>
  <c r="D1286" i="4"/>
  <c r="E1286" i="4"/>
  <c r="F1286" i="4"/>
  <c r="G1286" i="4"/>
  <c r="H1286" i="4"/>
  <c r="C1286" i="5"/>
  <c r="D1286" i="5"/>
  <c r="E1286" i="5"/>
  <c r="F1286" i="5"/>
  <c r="C1287" i="4"/>
  <c r="D1287" i="4"/>
  <c r="E1287" i="4"/>
  <c r="F1287" i="4"/>
  <c r="G1287" i="4"/>
  <c r="H1287" i="4"/>
  <c r="C1287" i="5"/>
  <c r="D1287" i="5"/>
  <c r="E1287" i="5"/>
  <c r="F1287" i="5"/>
  <c r="C1288" i="4"/>
  <c r="D1288" i="4"/>
  <c r="E1288" i="4"/>
  <c r="F1288" i="4"/>
  <c r="G1288" i="4"/>
  <c r="H1288" i="4"/>
  <c r="C1288" i="5"/>
  <c r="D1288" i="5"/>
  <c r="E1288" i="5"/>
  <c r="F1288" i="5"/>
  <c r="C1289" i="4"/>
  <c r="D1289" i="4"/>
  <c r="E1289" i="4"/>
  <c r="F1289" i="4"/>
  <c r="G1289" i="4"/>
  <c r="H1289" i="4"/>
  <c r="C1289" i="5"/>
  <c r="D1289" i="5"/>
  <c r="E1289" i="5"/>
  <c r="F1289" i="5"/>
  <c r="C1290" i="4"/>
  <c r="D1290" i="4"/>
  <c r="E1290" i="4"/>
  <c r="F1290" i="4"/>
  <c r="G1290" i="4"/>
  <c r="H1290" i="4"/>
  <c r="C1290" i="5"/>
  <c r="D1290" i="5"/>
  <c r="E1290" i="5"/>
  <c r="F1290" i="5"/>
  <c r="C1291" i="4"/>
  <c r="D1291" i="4"/>
  <c r="E1291" i="4"/>
  <c r="F1291" i="4"/>
  <c r="G1291" i="4"/>
  <c r="H1291" i="4"/>
  <c r="C1291" i="5"/>
  <c r="D1291" i="5"/>
  <c r="E1291" i="5"/>
  <c r="F1291" i="5"/>
  <c r="C1292" i="4"/>
  <c r="D1292" i="4"/>
  <c r="E1292" i="4"/>
  <c r="F1292" i="4"/>
  <c r="G1292" i="4"/>
  <c r="H1292" i="4"/>
  <c r="C1292" i="5"/>
  <c r="D1292" i="5"/>
  <c r="E1292" i="5"/>
  <c r="F1292" i="5"/>
  <c r="C1293" i="4"/>
  <c r="D1293" i="4"/>
  <c r="E1293" i="4"/>
  <c r="F1293" i="4"/>
  <c r="G1293" i="4"/>
  <c r="H1293" i="4"/>
  <c r="C1293" i="5"/>
  <c r="D1293" i="5"/>
  <c r="E1293" i="5"/>
  <c r="F1293" i="5"/>
  <c r="C1294" i="4"/>
  <c r="D1294" i="4"/>
  <c r="E1294" i="4"/>
  <c r="F1294" i="4"/>
  <c r="G1294" i="4"/>
  <c r="H1294" i="4"/>
  <c r="C1294" i="5"/>
  <c r="D1294" i="5"/>
  <c r="E1294" i="5"/>
  <c r="F1294" i="5"/>
  <c r="C1295" i="4"/>
  <c r="D1295" i="4"/>
  <c r="E1295" i="4"/>
  <c r="F1295" i="4"/>
  <c r="G1295" i="4"/>
  <c r="H1295" i="4"/>
  <c r="C1295" i="5"/>
  <c r="D1295" i="5"/>
  <c r="E1295" i="5"/>
  <c r="F1295" i="5"/>
  <c r="C1296" i="4"/>
  <c r="D1296" i="4"/>
  <c r="E1296" i="4"/>
  <c r="F1296" i="4"/>
  <c r="G1296" i="4"/>
  <c r="H1296" i="4"/>
  <c r="C1296" i="5"/>
  <c r="D1296" i="5"/>
  <c r="E1296" i="5"/>
  <c r="F1296" i="5"/>
  <c r="C1297" i="4"/>
  <c r="D1297" i="4"/>
  <c r="E1297" i="4"/>
  <c r="F1297" i="4"/>
  <c r="G1297" i="4"/>
  <c r="H1297" i="4"/>
  <c r="C1297" i="5"/>
  <c r="D1297" i="5"/>
  <c r="E1297" i="5"/>
  <c r="F1297" i="5"/>
  <c r="C1298" i="4"/>
  <c r="D1298" i="4"/>
  <c r="E1298" i="4"/>
  <c r="F1298" i="4"/>
  <c r="G1298" i="4"/>
  <c r="H1298" i="4"/>
  <c r="C1298" i="5"/>
  <c r="D1298" i="5"/>
  <c r="E1298" i="5"/>
  <c r="F1298" i="5"/>
  <c r="C1299" i="4"/>
  <c r="D1299" i="4"/>
  <c r="E1299" i="4"/>
  <c r="F1299" i="4"/>
  <c r="G1299" i="4"/>
  <c r="H1299" i="4"/>
  <c r="C1299" i="5"/>
  <c r="D1299" i="5"/>
  <c r="E1299" i="5"/>
  <c r="F1299" i="5"/>
  <c r="C1300" i="4"/>
  <c r="D1300" i="4"/>
  <c r="E1300" i="4"/>
  <c r="F1300" i="4"/>
  <c r="G1300" i="4"/>
  <c r="H1300" i="4"/>
  <c r="C1300" i="5"/>
  <c r="D1300" i="5"/>
  <c r="E1300" i="5"/>
  <c r="F1300" i="5"/>
  <c r="C1301" i="4"/>
  <c r="D1301" i="4"/>
  <c r="E1301" i="4"/>
  <c r="F1301" i="4"/>
  <c r="G1301" i="4"/>
  <c r="H1301" i="4"/>
  <c r="C1301" i="5"/>
  <c r="D1301" i="5"/>
  <c r="E1301" i="5"/>
  <c r="F1301" i="5"/>
  <c r="C1302" i="4"/>
  <c r="D1302" i="4"/>
  <c r="E1302" i="4"/>
  <c r="F1302" i="4"/>
  <c r="G1302" i="4"/>
  <c r="H1302" i="4"/>
  <c r="C1302" i="5"/>
  <c r="D1302" i="5"/>
  <c r="E1302" i="5"/>
  <c r="F1302" i="5"/>
  <c r="C1303" i="4"/>
  <c r="D1303" i="4"/>
  <c r="E1303" i="4"/>
  <c r="F1303" i="4"/>
  <c r="G1303" i="4"/>
  <c r="H1303" i="4"/>
  <c r="C1303" i="5"/>
  <c r="D1303" i="5"/>
  <c r="E1303" i="5"/>
  <c r="F1303" i="5"/>
  <c r="C1304" i="4"/>
  <c r="D1304" i="4"/>
  <c r="E1304" i="4"/>
  <c r="F1304" i="4"/>
  <c r="G1304" i="4"/>
  <c r="H1304" i="4"/>
  <c r="C1304" i="5"/>
  <c r="D1304" i="5"/>
  <c r="E1304" i="5"/>
  <c r="F1304" i="5"/>
  <c r="C1305" i="4"/>
  <c r="D1305" i="4"/>
  <c r="E1305" i="4"/>
  <c r="F1305" i="4"/>
  <c r="G1305" i="4"/>
  <c r="H1305" i="4"/>
  <c r="C1305" i="5"/>
  <c r="D1305" i="5"/>
  <c r="E1305" i="5"/>
  <c r="F1305" i="5"/>
  <c r="C1306" i="4"/>
  <c r="D1306" i="4"/>
  <c r="E1306" i="4"/>
  <c r="F1306" i="4"/>
  <c r="G1306" i="4"/>
  <c r="H1306" i="4"/>
  <c r="C1306" i="5"/>
  <c r="D1306" i="5"/>
  <c r="E1306" i="5"/>
  <c r="F1306" i="5"/>
  <c r="C1307" i="4"/>
  <c r="D1307" i="4"/>
  <c r="E1307" i="4"/>
  <c r="F1307" i="4"/>
  <c r="G1307" i="4"/>
  <c r="H1307" i="4"/>
  <c r="C1307" i="5"/>
  <c r="D1307" i="5"/>
  <c r="E1307" i="5"/>
  <c r="F1307" i="5"/>
  <c r="C1308" i="4"/>
  <c r="D1308" i="4"/>
  <c r="E1308" i="4"/>
  <c r="F1308" i="4"/>
  <c r="G1308" i="4"/>
  <c r="H1308" i="4"/>
  <c r="C1308" i="5"/>
  <c r="D1308" i="5"/>
  <c r="E1308" i="5"/>
  <c r="F1308" i="5"/>
  <c r="C1309" i="4"/>
  <c r="D1309" i="4"/>
  <c r="E1309" i="4"/>
  <c r="F1309" i="4"/>
  <c r="G1309" i="4"/>
  <c r="H1309" i="4"/>
  <c r="C1309" i="5"/>
  <c r="D1309" i="5"/>
  <c r="E1309" i="5"/>
  <c r="F1309" i="5"/>
  <c r="C1310" i="4"/>
  <c r="D1310" i="4"/>
  <c r="E1310" i="4"/>
  <c r="F1310" i="4"/>
  <c r="G1310" i="4"/>
  <c r="H1310" i="4"/>
  <c r="C1310" i="5"/>
  <c r="D1310" i="5"/>
  <c r="E1310" i="5"/>
  <c r="F1310" i="5"/>
  <c r="C1311" i="4"/>
  <c r="D1311" i="4"/>
  <c r="E1311" i="4"/>
  <c r="F1311" i="4"/>
  <c r="G1311" i="4"/>
  <c r="H1311" i="4"/>
  <c r="C1311" i="5"/>
  <c r="D1311" i="5"/>
  <c r="E1311" i="5"/>
  <c r="F1311" i="5"/>
  <c r="C1312" i="4"/>
  <c r="D1312" i="4"/>
  <c r="E1312" i="4"/>
  <c r="F1312" i="4"/>
  <c r="G1312" i="4"/>
  <c r="H1312" i="4"/>
  <c r="C1312" i="5"/>
  <c r="D1312" i="5"/>
  <c r="E1312" i="5"/>
  <c r="F1312" i="5"/>
  <c r="C1313" i="4"/>
  <c r="D1313" i="4"/>
  <c r="E1313" i="4"/>
  <c r="F1313" i="4"/>
  <c r="G1313" i="4"/>
  <c r="H1313" i="4"/>
  <c r="C1313" i="5"/>
  <c r="D1313" i="5"/>
  <c r="E1313" i="5"/>
  <c r="F1313" i="5"/>
  <c r="C1314" i="4"/>
  <c r="D1314" i="4"/>
  <c r="E1314" i="4"/>
  <c r="F1314" i="4"/>
  <c r="G1314" i="4"/>
  <c r="H1314" i="4"/>
  <c r="C1314" i="5"/>
  <c r="D1314" i="5"/>
  <c r="E1314" i="5"/>
  <c r="F1314" i="5"/>
  <c r="C1315" i="4"/>
  <c r="D1315" i="4"/>
  <c r="E1315" i="4"/>
  <c r="F1315" i="4"/>
  <c r="G1315" i="4"/>
  <c r="H1315" i="4"/>
  <c r="C1315" i="5"/>
  <c r="D1315" i="5"/>
  <c r="E1315" i="5"/>
  <c r="F1315" i="5"/>
  <c r="C1316" i="4"/>
  <c r="D1316" i="4"/>
  <c r="E1316" i="4"/>
  <c r="F1316" i="4"/>
  <c r="G1316" i="4"/>
  <c r="H1316" i="4"/>
  <c r="C1316" i="5"/>
  <c r="D1316" i="5"/>
  <c r="E1316" i="5"/>
  <c r="F1316" i="5"/>
  <c r="C1317" i="4"/>
  <c r="D1317" i="4"/>
  <c r="E1317" i="4"/>
  <c r="F1317" i="4"/>
  <c r="G1317" i="4"/>
  <c r="H1317" i="4"/>
  <c r="C1317" i="5"/>
  <c r="D1317" i="5"/>
  <c r="E1317" i="5"/>
  <c r="F1317" i="5"/>
  <c r="C1318" i="4"/>
  <c r="D1318" i="4"/>
  <c r="E1318" i="4"/>
  <c r="F1318" i="4"/>
  <c r="G1318" i="4"/>
  <c r="H1318" i="4"/>
  <c r="C1318" i="5"/>
  <c r="D1318" i="5"/>
  <c r="E1318" i="5"/>
  <c r="F1318" i="5"/>
  <c r="C1319" i="4"/>
  <c r="D1319" i="4"/>
  <c r="E1319" i="4"/>
  <c r="F1319" i="4"/>
  <c r="G1319" i="4"/>
  <c r="H1319" i="4"/>
  <c r="C1319" i="5"/>
  <c r="D1319" i="5"/>
  <c r="E1319" i="5"/>
  <c r="F1319" i="5"/>
  <c r="C1320" i="4"/>
  <c r="D1320" i="4"/>
  <c r="E1320" i="4"/>
  <c r="F1320" i="4"/>
  <c r="G1320" i="4"/>
  <c r="H1320" i="4"/>
  <c r="C1320" i="5"/>
  <c r="D1320" i="5"/>
  <c r="E1320" i="5"/>
  <c r="F1320" i="5"/>
  <c r="C1321" i="4"/>
  <c r="D1321" i="4"/>
  <c r="E1321" i="4"/>
  <c r="F1321" i="4"/>
  <c r="G1321" i="4"/>
  <c r="H1321" i="4"/>
  <c r="C1321" i="5"/>
  <c r="D1321" i="5"/>
  <c r="E1321" i="5"/>
  <c r="F1321" i="5"/>
  <c r="C1322" i="4"/>
  <c r="D1322" i="4"/>
  <c r="E1322" i="4"/>
  <c r="F1322" i="4"/>
  <c r="G1322" i="4"/>
  <c r="H1322" i="4"/>
  <c r="C1322" i="5"/>
  <c r="D1322" i="5"/>
  <c r="E1322" i="5"/>
  <c r="F1322" i="5"/>
  <c r="C1323" i="4"/>
  <c r="D1323" i="4"/>
  <c r="E1323" i="4"/>
  <c r="F1323" i="4"/>
  <c r="G1323" i="4"/>
  <c r="H1323" i="4"/>
  <c r="C1323" i="5"/>
  <c r="D1323" i="5"/>
  <c r="E1323" i="5"/>
  <c r="F1323" i="5"/>
  <c r="C1324" i="4"/>
  <c r="D1324" i="4"/>
  <c r="E1324" i="4"/>
  <c r="F1324" i="4"/>
  <c r="G1324" i="4"/>
  <c r="H1324" i="4"/>
  <c r="C1324" i="5"/>
  <c r="D1324" i="5"/>
  <c r="F1324" i="5"/>
  <c r="E1324" i="5"/>
  <c r="C1325" i="4"/>
  <c r="D1325" i="4"/>
  <c r="E1325" i="4"/>
  <c r="F1325" i="4"/>
  <c r="G1325" i="4"/>
  <c r="H1325" i="4"/>
  <c r="C1325" i="5"/>
  <c r="D1325" i="5"/>
  <c r="F1325" i="5"/>
  <c r="E1325" i="5"/>
  <c r="C1326" i="4"/>
  <c r="D1326" i="4"/>
  <c r="E1326" i="4"/>
  <c r="F1326" i="4"/>
  <c r="G1326" i="4"/>
  <c r="H1326" i="4"/>
  <c r="C1326" i="5"/>
  <c r="D1326" i="5"/>
  <c r="F1326" i="5"/>
  <c r="E1326" i="5"/>
  <c r="C1327" i="4"/>
  <c r="D1327" i="4"/>
  <c r="E1327" i="4"/>
  <c r="F1327" i="4"/>
  <c r="G1327" i="4"/>
  <c r="H1327" i="4"/>
  <c r="C1327" i="5"/>
  <c r="D1327" i="5"/>
  <c r="F1327" i="5"/>
  <c r="E1327" i="5"/>
  <c r="C1328" i="4"/>
  <c r="D1328" i="4"/>
  <c r="E1328" i="4"/>
  <c r="F1328" i="4"/>
  <c r="G1328" i="4"/>
  <c r="H1328" i="4"/>
  <c r="C1328" i="5"/>
  <c r="D1328" i="5"/>
  <c r="F1328" i="5"/>
  <c r="E1328" i="5"/>
  <c r="C1329" i="4"/>
  <c r="D1329" i="4"/>
  <c r="E1329" i="4"/>
  <c r="F1329" i="4"/>
  <c r="G1329" i="4"/>
  <c r="H1329" i="4"/>
  <c r="C1329" i="5"/>
  <c r="D1329" i="5"/>
  <c r="F1329" i="5"/>
  <c r="E1329" i="5"/>
  <c r="C1330" i="4"/>
  <c r="D1330" i="4"/>
  <c r="E1330" i="4"/>
  <c r="F1330" i="4"/>
  <c r="G1330" i="4"/>
  <c r="H1330" i="4"/>
  <c r="C1330" i="5"/>
  <c r="D1330" i="5"/>
  <c r="F1330" i="5"/>
  <c r="E1330" i="5"/>
  <c r="C1331" i="4"/>
  <c r="D1331" i="4"/>
  <c r="E1331" i="4"/>
  <c r="F1331" i="4"/>
  <c r="G1331" i="4"/>
  <c r="H1331" i="4"/>
  <c r="C1331" i="5"/>
  <c r="D1331" i="5"/>
  <c r="F1331" i="5"/>
  <c r="E1331" i="5"/>
  <c r="C1332" i="4"/>
  <c r="D1332" i="4"/>
  <c r="E1332" i="4"/>
  <c r="F1332" i="4"/>
  <c r="G1332" i="4"/>
  <c r="H1332" i="4"/>
  <c r="C1332" i="5"/>
  <c r="D1332" i="5"/>
  <c r="F1332" i="5"/>
  <c r="E1332" i="5"/>
  <c r="C1333" i="4"/>
  <c r="D1333" i="4"/>
  <c r="E1333" i="4"/>
  <c r="F1333" i="4"/>
  <c r="G1333" i="4"/>
  <c r="H1333" i="4"/>
  <c r="C1333" i="5"/>
  <c r="D1333" i="5"/>
  <c r="F1333" i="5"/>
  <c r="E1333" i="5"/>
  <c r="C1334" i="4"/>
  <c r="D1334" i="4"/>
  <c r="E1334" i="4"/>
  <c r="F1334" i="4"/>
  <c r="G1334" i="4"/>
  <c r="H1334" i="4"/>
  <c r="C1334" i="5"/>
  <c r="D1334" i="5"/>
  <c r="F1334" i="5"/>
  <c r="E1334" i="5"/>
  <c r="C1335" i="4"/>
  <c r="D1335" i="4"/>
  <c r="E1335" i="4"/>
  <c r="F1335" i="4"/>
  <c r="G1335" i="4"/>
  <c r="H1335" i="4"/>
  <c r="C1335" i="5"/>
  <c r="D1335" i="5"/>
  <c r="F1335" i="5"/>
  <c r="E1335" i="5"/>
  <c r="C1336" i="4"/>
  <c r="D1336" i="4"/>
  <c r="E1336" i="4"/>
  <c r="F1336" i="4"/>
  <c r="G1336" i="4"/>
  <c r="H1336" i="4"/>
  <c r="C1336" i="5"/>
  <c r="D1336" i="5"/>
  <c r="F1336" i="5"/>
  <c r="E1336" i="5"/>
  <c r="C1337" i="4"/>
  <c r="D1337" i="4"/>
  <c r="E1337" i="4"/>
  <c r="F1337" i="4"/>
  <c r="G1337" i="4"/>
  <c r="H1337" i="4"/>
  <c r="C1337" i="5"/>
  <c r="D1337" i="5"/>
  <c r="F1337" i="5"/>
  <c r="E1337" i="5"/>
  <c r="C1338" i="4"/>
  <c r="D1338" i="4"/>
  <c r="E1338" i="4"/>
  <c r="F1338" i="4"/>
  <c r="G1338" i="4"/>
  <c r="H1338" i="4"/>
  <c r="C1338" i="5"/>
  <c r="D1338" i="5"/>
  <c r="F1338" i="5"/>
  <c r="E1338" i="5"/>
  <c r="C1339" i="4"/>
  <c r="D1339" i="4"/>
  <c r="E1339" i="4"/>
  <c r="F1339" i="4"/>
  <c r="G1339" i="4"/>
  <c r="H1339" i="4"/>
  <c r="C1339" i="5"/>
  <c r="D1339" i="5"/>
  <c r="F1339" i="5"/>
  <c r="E1339" i="5"/>
  <c r="C1340" i="4"/>
  <c r="D1340" i="4"/>
  <c r="E1340" i="4"/>
  <c r="F1340" i="4"/>
  <c r="G1340" i="4"/>
  <c r="H1340" i="4"/>
  <c r="C1340" i="5"/>
  <c r="D1340" i="5"/>
  <c r="F1340" i="5"/>
  <c r="E1340" i="5"/>
  <c r="C1341" i="4"/>
  <c r="D1341" i="4"/>
  <c r="E1341" i="4"/>
  <c r="F1341" i="4"/>
  <c r="G1341" i="4"/>
  <c r="H1341" i="4"/>
  <c r="C1341" i="5"/>
  <c r="D1341" i="5"/>
  <c r="F1341" i="5"/>
  <c r="E1341" i="5"/>
  <c r="C1342" i="4"/>
  <c r="D1342" i="4"/>
  <c r="E1342" i="4"/>
  <c r="F1342" i="4"/>
  <c r="G1342" i="4"/>
  <c r="H1342" i="4"/>
  <c r="C1342" i="5"/>
  <c r="D1342" i="5"/>
  <c r="F1342" i="5"/>
  <c r="E1342" i="5"/>
  <c r="C1343" i="4"/>
  <c r="D1343" i="4"/>
  <c r="E1343" i="4"/>
  <c r="F1343" i="4"/>
  <c r="G1343" i="4"/>
  <c r="H1343" i="4"/>
  <c r="C1343" i="5"/>
  <c r="D1343" i="5"/>
  <c r="F1343" i="5"/>
  <c r="E1343" i="5"/>
  <c r="C1344" i="4"/>
  <c r="D1344" i="4"/>
  <c r="E1344" i="4"/>
  <c r="F1344" i="4"/>
  <c r="G1344" i="4"/>
  <c r="H1344" i="4"/>
  <c r="C1344" i="5"/>
  <c r="D1344" i="5"/>
  <c r="F1344" i="5"/>
  <c r="E1344" i="5"/>
  <c r="C1345" i="4"/>
  <c r="D1345" i="4"/>
  <c r="E1345" i="4"/>
  <c r="F1345" i="4"/>
  <c r="G1345" i="4"/>
  <c r="H1345" i="4"/>
  <c r="C1345" i="5"/>
  <c r="D1345" i="5"/>
  <c r="F1345" i="5"/>
  <c r="E1345" i="5"/>
  <c r="C1346" i="4"/>
  <c r="D1346" i="4"/>
  <c r="E1346" i="4"/>
  <c r="F1346" i="4"/>
  <c r="G1346" i="4"/>
  <c r="H1346" i="4"/>
  <c r="C1346" i="5"/>
  <c r="D1346" i="5"/>
  <c r="F1346" i="5"/>
  <c r="E1346" i="5"/>
  <c r="C1347" i="4"/>
  <c r="D1347" i="4"/>
  <c r="E1347" i="4"/>
  <c r="F1347" i="4"/>
  <c r="G1347" i="4"/>
  <c r="H1347" i="4"/>
  <c r="C1347" i="5"/>
  <c r="D1347" i="5"/>
  <c r="F1347" i="5"/>
  <c r="E1347" i="5"/>
  <c r="C1348" i="4"/>
  <c r="D1348" i="4"/>
  <c r="E1348" i="4"/>
  <c r="F1348" i="4"/>
  <c r="G1348" i="4"/>
  <c r="H1348" i="4"/>
  <c r="C1348" i="5"/>
  <c r="D1348" i="5"/>
  <c r="F1348" i="5"/>
  <c r="E1348" i="5"/>
  <c r="C1349" i="4"/>
  <c r="D1349" i="4"/>
  <c r="E1349" i="4"/>
  <c r="F1349" i="4"/>
  <c r="G1349" i="4"/>
  <c r="H1349" i="4"/>
  <c r="C1349" i="5"/>
  <c r="D1349" i="5"/>
  <c r="F1349" i="5"/>
  <c r="E1349" i="5"/>
  <c r="C1350" i="4"/>
  <c r="D1350" i="4"/>
  <c r="E1350" i="4"/>
  <c r="F1350" i="4"/>
  <c r="G1350" i="4"/>
  <c r="H1350" i="4"/>
  <c r="C1350" i="5"/>
  <c r="D1350" i="5"/>
  <c r="F1350" i="5"/>
  <c r="E1350" i="5"/>
  <c r="C1351" i="4"/>
  <c r="D1351" i="4"/>
  <c r="E1351" i="4"/>
  <c r="F1351" i="4"/>
  <c r="G1351" i="4"/>
  <c r="H1351" i="4"/>
  <c r="C1351" i="5"/>
  <c r="D1351" i="5"/>
  <c r="F1351" i="5"/>
  <c r="E1351" i="5"/>
  <c r="C1352" i="4"/>
  <c r="D1352" i="4"/>
  <c r="E1352" i="4"/>
  <c r="F1352" i="4"/>
  <c r="G1352" i="4"/>
  <c r="H1352" i="4"/>
  <c r="C1352" i="5"/>
  <c r="D1352" i="5"/>
  <c r="F1352" i="5"/>
  <c r="E1352" i="5"/>
  <c r="C1353" i="4"/>
  <c r="D1353" i="4"/>
  <c r="E1353" i="4"/>
  <c r="F1353" i="4"/>
  <c r="G1353" i="4"/>
  <c r="H1353" i="4"/>
  <c r="C1353" i="5"/>
  <c r="D1353" i="5"/>
  <c r="F1353" i="5"/>
  <c r="E1353" i="5"/>
  <c r="C1354" i="4"/>
  <c r="D1354" i="4"/>
  <c r="E1354" i="4"/>
  <c r="F1354" i="4"/>
  <c r="G1354" i="4"/>
  <c r="H1354" i="4"/>
  <c r="C1354" i="5"/>
  <c r="D1354" i="5"/>
  <c r="F1354" i="5"/>
  <c r="E1354" i="5"/>
  <c r="C1355" i="4"/>
  <c r="D1355" i="4"/>
  <c r="E1355" i="4"/>
  <c r="F1355" i="4"/>
  <c r="G1355" i="4"/>
  <c r="H1355" i="4"/>
  <c r="C1355" i="5"/>
  <c r="D1355" i="5"/>
  <c r="F1355" i="5"/>
  <c r="E1355" i="5"/>
  <c r="C1356" i="4"/>
  <c r="D1356" i="4"/>
  <c r="E1356" i="4"/>
  <c r="F1356" i="4"/>
  <c r="G1356" i="4"/>
  <c r="H1356" i="4"/>
  <c r="C1356" i="5"/>
  <c r="D1356" i="5"/>
  <c r="F1356" i="5"/>
  <c r="E1356" i="5"/>
  <c r="C1357" i="4"/>
  <c r="D1357" i="4"/>
  <c r="E1357" i="4"/>
  <c r="F1357" i="4"/>
  <c r="G1357" i="4"/>
  <c r="H1357" i="4"/>
  <c r="C1357" i="5"/>
  <c r="D1357" i="5"/>
  <c r="F1357" i="5"/>
  <c r="E1357" i="5"/>
  <c r="C1358" i="4"/>
  <c r="D1358" i="4"/>
  <c r="E1358" i="4"/>
  <c r="F1358" i="4"/>
  <c r="G1358" i="4"/>
  <c r="H1358" i="4"/>
  <c r="C1358" i="5"/>
  <c r="D1358" i="5"/>
  <c r="F1358" i="5"/>
  <c r="E1358" i="5"/>
  <c r="C1359" i="4"/>
  <c r="D1359" i="4"/>
  <c r="E1359" i="4"/>
  <c r="F1359" i="4"/>
  <c r="G1359" i="4"/>
  <c r="H1359" i="4"/>
  <c r="C1359" i="5"/>
  <c r="D1359" i="5"/>
  <c r="F1359" i="5"/>
  <c r="E1359" i="5"/>
  <c r="C1360" i="4"/>
  <c r="D1360" i="4"/>
  <c r="E1360" i="4"/>
  <c r="F1360" i="4"/>
  <c r="G1360" i="4"/>
  <c r="H1360" i="4"/>
  <c r="C1360" i="5"/>
  <c r="D1360" i="5"/>
  <c r="F1360" i="5"/>
  <c r="E1360" i="5"/>
  <c r="C1361" i="4"/>
  <c r="D1361" i="4"/>
  <c r="E1361" i="4"/>
  <c r="F1361" i="4"/>
  <c r="G1361" i="4"/>
  <c r="H1361" i="4"/>
  <c r="C1361" i="5"/>
  <c r="D1361" i="5"/>
  <c r="F1361" i="5"/>
  <c r="E1361" i="5"/>
  <c r="C1362" i="4"/>
  <c r="D1362" i="4"/>
  <c r="E1362" i="4"/>
  <c r="F1362" i="4"/>
  <c r="G1362" i="4"/>
  <c r="H1362" i="4"/>
  <c r="C1362" i="5"/>
  <c r="D1362" i="5"/>
  <c r="F1362" i="5"/>
  <c r="E1362" i="5"/>
  <c r="C1363" i="4"/>
  <c r="D1363" i="4"/>
  <c r="E1363" i="4"/>
  <c r="F1363" i="4"/>
  <c r="G1363" i="4"/>
  <c r="H1363" i="4"/>
  <c r="C1363" i="5"/>
  <c r="D1363" i="5"/>
  <c r="F1363" i="5"/>
  <c r="E1363" i="5"/>
  <c r="C1364" i="4"/>
  <c r="D1364" i="4"/>
  <c r="E1364" i="4"/>
  <c r="F1364" i="4"/>
  <c r="G1364" i="4"/>
  <c r="H1364" i="4"/>
  <c r="C1364" i="5"/>
  <c r="D1364" i="5"/>
  <c r="F1364" i="5"/>
  <c r="E1364" i="5"/>
  <c r="C1365" i="4"/>
  <c r="D1365" i="4"/>
  <c r="E1365" i="4"/>
  <c r="F1365" i="4"/>
  <c r="G1365" i="4"/>
  <c r="H1365" i="4"/>
  <c r="C1365" i="5"/>
  <c r="D1365" i="5"/>
  <c r="F1365" i="5"/>
  <c r="E1365" i="5"/>
  <c r="C1366" i="4"/>
  <c r="D1366" i="4"/>
  <c r="E1366" i="4"/>
  <c r="F1366" i="4"/>
  <c r="G1366" i="4"/>
  <c r="H1366" i="4"/>
  <c r="C1366" i="5"/>
  <c r="D1366" i="5"/>
  <c r="F1366" i="5"/>
  <c r="E1366" i="5"/>
  <c r="C1367" i="4"/>
  <c r="D1367" i="4"/>
  <c r="E1367" i="4"/>
  <c r="F1367" i="4"/>
  <c r="G1367" i="4"/>
  <c r="H1367" i="4"/>
  <c r="C1367" i="5"/>
  <c r="D1367" i="5"/>
  <c r="F1367" i="5"/>
  <c r="E1367" i="5"/>
  <c r="C1368" i="4"/>
  <c r="D1368" i="4"/>
  <c r="E1368" i="4"/>
  <c r="F1368" i="4"/>
  <c r="G1368" i="4"/>
  <c r="H1368" i="4"/>
  <c r="C1368" i="5"/>
  <c r="D1368" i="5"/>
  <c r="F1368" i="5"/>
  <c r="E1368" i="5"/>
  <c r="C1369" i="4"/>
  <c r="D1369" i="4"/>
  <c r="E1369" i="4"/>
  <c r="F1369" i="4"/>
  <c r="G1369" i="4"/>
  <c r="H1369" i="4"/>
  <c r="C1369" i="5"/>
  <c r="D1369" i="5"/>
  <c r="F1369" i="5"/>
  <c r="E1369" i="5"/>
  <c r="C1370" i="4"/>
  <c r="D1370" i="4"/>
  <c r="E1370" i="4"/>
  <c r="F1370" i="4"/>
  <c r="G1370" i="4"/>
  <c r="H1370" i="4"/>
  <c r="C1370" i="5"/>
  <c r="D1370" i="5"/>
  <c r="F1370" i="5"/>
  <c r="E1370" i="5"/>
  <c r="C1371" i="4"/>
  <c r="D1371" i="4"/>
  <c r="E1371" i="4"/>
  <c r="F1371" i="4"/>
  <c r="G1371" i="4"/>
  <c r="H1371" i="4"/>
  <c r="C1371" i="5"/>
  <c r="D1371" i="5"/>
  <c r="F1371" i="5"/>
  <c r="E1371" i="5"/>
  <c r="C1372" i="4"/>
  <c r="D1372" i="4"/>
  <c r="E1372" i="4"/>
  <c r="F1372" i="4"/>
  <c r="G1372" i="4"/>
  <c r="H1372" i="4"/>
  <c r="C1372" i="5"/>
  <c r="D1372" i="5"/>
  <c r="F1372" i="5"/>
  <c r="E1372" i="5"/>
  <c r="C1373" i="4"/>
  <c r="D1373" i="4"/>
  <c r="E1373" i="4"/>
  <c r="F1373" i="4"/>
  <c r="G1373" i="4"/>
  <c r="H1373" i="4"/>
  <c r="C1373" i="5"/>
  <c r="D1373" i="5"/>
  <c r="F1373" i="5"/>
  <c r="E1373" i="5"/>
  <c r="C1374" i="4"/>
  <c r="D1374" i="4"/>
  <c r="E1374" i="4"/>
  <c r="F1374" i="4"/>
  <c r="G1374" i="4"/>
  <c r="H1374" i="4"/>
  <c r="C1374" i="5"/>
  <c r="D1374" i="5"/>
  <c r="F1374" i="5"/>
  <c r="E1374" i="5"/>
  <c r="C1375" i="4"/>
  <c r="D1375" i="4"/>
  <c r="E1375" i="4"/>
  <c r="F1375" i="4"/>
  <c r="G1375" i="4"/>
  <c r="H1375" i="4"/>
  <c r="C1375" i="5"/>
  <c r="D1375" i="5"/>
  <c r="F1375" i="5"/>
  <c r="E1375" i="5"/>
  <c r="C1376" i="4"/>
  <c r="D1376" i="4"/>
  <c r="E1376" i="4"/>
  <c r="F1376" i="4"/>
  <c r="G1376" i="4"/>
  <c r="H1376" i="4"/>
  <c r="C1376" i="5"/>
  <c r="D1376" i="5"/>
  <c r="F1376" i="5"/>
  <c r="E1376" i="5"/>
  <c r="C1377" i="4"/>
  <c r="D1377" i="4"/>
  <c r="E1377" i="4"/>
  <c r="F1377" i="4"/>
  <c r="G1377" i="4"/>
  <c r="H1377" i="4"/>
  <c r="C1377" i="5"/>
  <c r="D1377" i="5"/>
  <c r="F1377" i="5"/>
  <c r="E1377" i="5"/>
  <c r="C1378" i="4"/>
  <c r="D1378" i="4"/>
  <c r="E1378" i="4"/>
  <c r="F1378" i="4"/>
  <c r="G1378" i="4"/>
  <c r="H1378" i="4"/>
  <c r="C1378" i="5"/>
  <c r="D1378" i="5"/>
  <c r="F1378" i="5"/>
  <c r="E1378" i="5"/>
  <c r="C1379" i="4"/>
  <c r="D1379" i="4"/>
  <c r="E1379" i="4"/>
  <c r="F1379" i="4"/>
  <c r="G1379" i="4"/>
  <c r="H1379" i="4"/>
  <c r="C1379" i="5"/>
  <c r="D1379" i="5"/>
  <c r="F1379" i="5"/>
  <c r="E1379" i="5"/>
  <c r="C1380" i="4"/>
  <c r="D1380" i="4"/>
  <c r="E1380" i="4"/>
  <c r="F1380" i="4"/>
  <c r="G1380" i="4"/>
  <c r="H1380" i="4"/>
  <c r="C1380" i="5"/>
  <c r="D1380" i="5"/>
  <c r="F1380" i="5"/>
  <c r="E1380" i="5"/>
  <c r="C1381" i="4"/>
  <c r="D1381" i="4"/>
  <c r="E1381" i="4"/>
  <c r="F1381" i="4"/>
  <c r="G1381" i="4"/>
  <c r="H1381" i="4"/>
  <c r="C1381" i="5"/>
  <c r="D1381" i="5"/>
  <c r="F1381" i="5"/>
  <c r="E1381" i="5"/>
  <c r="C1382" i="4"/>
  <c r="D1382" i="4"/>
  <c r="E1382" i="4"/>
  <c r="F1382" i="4"/>
  <c r="G1382" i="4"/>
  <c r="H1382" i="4"/>
  <c r="C1382" i="5"/>
  <c r="D1382" i="5"/>
  <c r="F1382" i="5"/>
  <c r="E1382" i="5"/>
  <c r="C1383" i="4"/>
  <c r="D1383" i="4"/>
  <c r="E1383" i="4"/>
  <c r="F1383" i="4"/>
  <c r="G1383" i="4"/>
  <c r="H1383" i="4"/>
  <c r="C1383" i="5"/>
  <c r="D1383" i="5"/>
  <c r="F1383" i="5"/>
  <c r="E1383" i="5"/>
  <c r="C1384" i="4"/>
  <c r="D1384" i="4"/>
  <c r="E1384" i="4"/>
  <c r="F1384" i="4"/>
  <c r="G1384" i="4"/>
  <c r="H1384" i="4"/>
  <c r="C1384" i="5"/>
  <c r="D1384" i="5"/>
  <c r="F1384" i="5"/>
  <c r="E1384" i="5"/>
  <c r="C1385" i="4"/>
  <c r="D1385" i="4"/>
  <c r="E1385" i="4"/>
  <c r="F1385" i="4"/>
  <c r="G1385" i="4"/>
  <c r="H1385" i="4"/>
  <c r="C1385" i="5"/>
  <c r="D1385" i="5"/>
  <c r="F1385" i="5"/>
  <c r="E1385" i="5"/>
  <c r="C1386" i="4"/>
  <c r="D1386" i="4"/>
  <c r="E1386" i="4"/>
  <c r="F1386" i="4"/>
  <c r="G1386" i="4"/>
  <c r="H1386" i="4"/>
  <c r="C1386" i="5"/>
  <c r="D1386" i="5"/>
  <c r="F1386" i="5"/>
  <c r="E1386" i="5"/>
  <c r="C1387" i="4"/>
  <c r="D1387" i="4"/>
  <c r="E1387" i="4"/>
  <c r="F1387" i="4"/>
  <c r="G1387" i="4"/>
  <c r="H1387" i="4"/>
  <c r="C1387" i="5"/>
  <c r="D1387" i="5"/>
  <c r="F1387" i="5"/>
  <c r="E1387" i="5"/>
  <c r="C1388" i="4"/>
  <c r="D1388" i="4"/>
  <c r="E1388" i="4"/>
  <c r="F1388" i="4"/>
  <c r="G1388" i="4"/>
  <c r="H1388" i="4"/>
  <c r="C1388" i="5"/>
  <c r="D1388" i="5"/>
  <c r="F1388" i="5"/>
  <c r="E1388" i="5"/>
  <c r="C1389" i="4"/>
  <c r="D1389" i="4"/>
  <c r="E1389" i="4"/>
  <c r="F1389" i="4"/>
  <c r="G1389" i="4"/>
  <c r="H1389" i="4"/>
  <c r="C1389" i="5"/>
  <c r="D1389" i="5"/>
  <c r="F1389" i="5"/>
  <c r="E1389" i="5"/>
  <c r="C1390" i="4"/>
  <c r="D1390" i="4"/>
  <c r="E1390" i="4"/>
  <c r="F1390" i="4"/>
  <c r="G1390" i="4"/>
  <c r="H1390" i="4"/>
  <c r="C1390" i="5"/>
  <c r="D1390" i="5"/>
  <c r="F1390" i="5"/>
  <c r="E1390" i="5"/>
  <c r="C1391" i="4"/>
  <c r="D1391" i="4"/>
  <c r="E1391" i="4"/>
  <c r="F1391" i="4"/>
  <c r="G1391" i="4"/>
  <c r="H1391" i="4"/>
  <c r="C1391" i="5"/>
  <c r="D1391" i="5"/>
  <c r="F1391" i="5"/>
  <c r="E1391" i="5"/>
  <c r="C1392" i="4"/>
  <c r="D1392" i="4"/>
  <c r="E1392" i="4"/>
  <c r="F1392" i="4"/>
  <c r="G1392" i="4"/>
  <c r="H1392" i="4"/>
  <c r="C1392" i="5"/>
  <c r="D1392" i="5"/>
  <c r="F1392" i="5"/>
  <c r="E1392" i="5"/>
  <c r="C1393" i="4"/>
  <c r="D1393" i="4"/>
  <c r="E1393" i="4"/>
  <c r="F1393" i="4"/>
  <c r="G1393" i="4"/>
  <c r="H1393" i="4"/>
  <c r="C1393" i="5"/>
  <c r="D1393" i="5"/>
  <c r="F1393" i="5"/>
  <c r="E1393" i="5"/>
  <c r="C1394" i="4"/>
  <c r="D1394" i="4"/>
  <c r="E1394" i="4"/>
  <c r="F1394" i="4"/>
  <c r="G1394" i="4"/>
  <c r="H1394" i="4"/>
  <c r="C1394" i="5"/>
  <c r="D1394" i="5"/>
  <c r="F1394" i="5"/>
  <c r="E1394" i="5"/>
  <c r="C1395" i="4"/>
  <c r="D1395" i="4"/>
  <c r="E1395" i="4"/>
  <c r="F1395" i="4"/>
  <c r="G1395" i="4"/>
  <c r="H1395" i="4"/>
  <c r="C1395" i="5"/>
  <c r="D1395" i="5"/>
  <c r="F1395" i="5"/>
  <c r="E1395" i="5"/>
  <c r="C1396" i="4"/>
  <c r="D1396" i="4"/>
  <c r="E1396" i="4"/>
  <c r="F1396" i="4"/>
  <c r="G1396" i="4"/>
  <c r="H1396" i="4"/>
  <c r="C1396" i="5"/>
  <c r="D1396" i="5"/>
  <c r="F1396" i="5"/>
  <c r="E1396" i="5"/>
  <c r="C1397" i="4"/>
  <c r="D1397" i="4"/>
  <c r="E1397" i="4"/>
  <c r="F1397" i="4"/>
  <c r="G1397" i="4"/>
  <c r="H1397" i="4"/>
  <c r="C1397" i="5"/>
  <c r="D1397" i="5"/>
  <c r="F1397" i="5"/>
  <c r="E1397" i="5"/>
  <c r="C1398" i="4"/>
  <c r="D1398" i="4"/>
  <c r="E1398" i="4"/>
  <c r="F1398" i="4"/>
  <c r="G1398" i="4"/>
  <c r="H1398" i="4"/>
  <c r="C1398" i="5"/>
  <c r="D1398" i="5"/>
  <c r="F1398" i="5"/>
  <c r="E1398" i="5"/>
  <c r="C1399" i="4"/>
  <c r="D1399" i="4"/>
  <c r="E1399" i="4"/>
  <c r="F1399" i="4"/>
  <c r="G1399" i="4"/>
  <c r="H1399" i="4"/>
  <c r="C1399" i="5"/>
  <c r="D1399" i="5"/>
  <c r="F1399" i="5"/>
  <c r="E1399" i="5"/>
  <c r="C1400" i="4"/>
  <c r="D1400" i="4"/>
  <c r="E1400" i="4"/>
  <c r="F1400" i="4"/>
  <c r="G1400" i="4"/>
  <c r="H1400" i="4"/>
  <c r="C1400" i="5"/>
  <c r="D1400" i="5"/>
  <c r="F1400" i="5"/>
  <c r="E1400" i="5"/>
  <c r="C1401" i="4"/>
  <c r="D1401" i="4"/>
  <c r="E1401" i="4"/>
  <c r="F1401" i="4"/>
  <c r="G1401" i="4"/>
  <c r="H1401" i="4"/>
  <c r="C1401" i="5"/>
  <c r="D1401" i="5"/>
  <c r="F1401" i="5"/>
  <c r="E1401" i="5"/>
  <c r="C1402" i="4"/>
  <c r="D1402" i="4"/>
  <c r="E1402" i="4"/>
  <c r="F1402" i="4"/>
  <c r="G1402" i="4"/>
  <c r="H1402" i="4"/>
  <c r="C1402" i="5"/>
  <c r="D1402" i="5"/>
  <c r="F1402" i="5"/>
  <c r="E1402" i="5"/>
  <c r="C1403" i="4"/>
  <c r="D1403" i="4"/>
  <c r="E1403" i="4"/>
  <c r="F1403" i="4"/>
  <c r="G1403" i="4"/>
  <c r="H1403" i="4"/>
  <c r="C1403" i="5"/>
  <c r="D1403" i="5"/>
  <c r="F1403" i="5"/>
  <c r="E1403" i="5"/>
  <c r="C1404" i="4"/>
  <c r="D1404" i="4"/>
  <c r="E1404" i="4"/>
  <c r="F1404" i="4"/>
  <c r="G1404" i="4"/>
  <c r="H1404" i="4"/>
  <c r="C1404" i="5"/>
  <c r="D1404" i="5"/>
  <c r="F1404" i="5"/>
  <c r="E1404" i="5"/>
  <c r="C1405" i="4"/>
  <c r="D1405" i="4"/>
  <c r="E1405" i="4"/>
  <c r="F1405" i="4"/>
  <c r="G1405" i="4"/>
  <c r="H1405" i="4"/>
  <c r="C1405" i="5"/>
  <c r="D1405" i="5"/>
  <c r="F1405" i="5"/>
  <c r="E1405" i="5"/>
  <c r="C1406" i="4"/>
  <c r="D1406" i="4"/>
  <c r="E1406" i="4"/>
  <c r="F1406" i="4"/>
  <c r="G1406" i="4"/>
  <c r="H1406" i="4"/>
  <c r="C1406" i="5"/>
  <c r="D1406" i="5"/>
  <c r="F1406" i="5"/>
  <c r="E1406" i="5"/>
  <c r="C1407" i="4"/>
  <c r="D1407" i="4"/>
  <c r="E1407" i="4"/>
  <c r="F1407" i="4"/>
  <c r="G1407" i="4"/>
  <c r="H1407" i="4"/>
  <c r="C1407" i="5"/>
  <c r="D1407" i="5"/>
  <c r="F1407" i="5"/>
  <c r="E1407" i="5"/>
  <c r="C1408" i="4"/>
  <c r="D1408" i="4"/>
  <c r="E1408" i="4"/>
  <c r="F1408" i="4"/>
  <c r="G1408" i="4"/>
  <c r="H1408" i="4"/>
  <c r="C1408" i="5"/>
  <c r="D1408" i="5"/>
  <c r="F1408" i="5"/>
  <c r="E1408" i="5"/>
  <c r="C1409" i="4"/>
  <c r="D1409" i="4"/>
  <c r="E1409" i="4"/>
  <c r="F1409" i="4"/>
  <c r="G1409" i="4"/>
  <c r="H1409" i="4"/>
  <c r="C1409" i="5"/>
  <c r="D1409" i="5"/>
  <c r="F1409" i="5"/>
  <c r="E1409" i="5"/>
  <c r="C1410" i="4"/>
  <c r="D1410" i="4"/>
  <c r="E1410" i="4"/>
  <c r="F1410" i="4"/>
  <c r="G1410" i="4"/>
  <c r="H1410" i="4"/>
  <c r="C1410" i="5"/>
  <c r="D1410" i="5"/>
  <c r="F1410" i="5"/>
  <c r="E1410" i="5"/>
  <c r="C1411" i="4"/>
  <c r="D1411" i="4"/>
  <c r="E1411" i="4"/>
  <c r="F1411" i="4"/>
  <c r="G1411" i="4"/>
  <c r="H1411" i="4"/>
  <c r="C1411" i="5"/>
  <c r="D1411" i="5"/>
  <c r="F1411" i="5"/>
  <c r="E1411" i="5"/>
  <c r="C1412" i="4"/>
  <c r="D1412" i="4"/>
  <c r="E1412" i="4"/>
  <c r="F1412" i="4"/>
  <c r="G1412" i="4"/>
  <c r="H1412" i="4"/>
  <c r="C1412" i="5"/>
  <c r="D1412" i="5"/>
  <c r="F1412" i="5"/>
  <c r="E1412" i="5"/>
  <c r="C1413" i="4"/>
  <c r="D1413" i="4"/>
  <c r="E1413" i="4"/>
  <c r="F1413" i="4"/>
  <c r="G1413" i="4"/>
  <c r="H1413" i="4"/>
  <c r="C1413" i="5"/>
  <c r="D1413" i="5"/>
  <c r="F1413" i="5"/>
  <c r="E1413" i="5"/>
  <c r="C1414" i="4"/>
  <c r="D1414" i="4"/>
  <c r="E1414" i="4"/>
  <c r="F1414" i="4"/>
  <c r="G1414" i="4"/>
  <c r="H1414" i="4"/>
  <c r="C1414" i="5"/>
  <c r="D1414" i="5"/>
  <c r="F1414" i="5"/>
  <c r="E1414" i="5"/>
  <c r="C1415" i="4"/>
  <c r="D1415" i="4"/>
  <c r="E1415" i="4"/>
  <c r="F1415" i="4"/>
  <c r="G1415" i="4"/>
  <c r="H1415" i="4"/>
  <c r="C1415" i="5"/>
  <c r="D1415" i="5"/>
  <c r="F1415" i="5"/>
  <c r="E1415" i="5"/>
  <c r="C1416" i="4"/>
  <c r="D1416" i="4"/>
  <c r="E1416" i="4"/>
  <c r="F1416" i="4"/>
  <c r="G1416" i="4"/>
  <c r="H1416" i="4"/>
  <c r="C1416" i="5"/>
  <c r="D1416" i="5"/>
  <c r="F1416" i="5"/>
  <c r="E1416" i="5"/>
  <c r="C1417" i="5"/>
  <c r="D1417" i="5"/>
  <c r="E1417" i="5"/>
  <c r="F1417" i="5"/>
  <c r="C1418" i="5"/>
  <c r="D1418" i="5"/>
  <c r="E1418" i="5"/>
  <c r="F1418" i="5"/>
  <c r="C1419" i="5"/>
  <c r="D1419" i="5"/>
  <c r="E1419" i="5"/>
  <c r="F1419" i="5"/>
  <c r="C1420" i="5"/>
  <c r="D1420" i="5"/>
  <c r="E1420" i="5"/>
  <c r="F1420" i="5"/>
  <c r="C1421" i="5"/>
  <c r="D1421" i="5"/>
  <c r="E1421" i="5"/>
  <c r="F1421" i="5"/>
  <c r="C1422" i="5"/>
  <c r="D1422" i="5"/>
  <c r="E1422" i="5"/>
  <c r="F1422" i="5"/>
  <c r="C1423" i="5"/>
  <c r="D1423" i="5"/>
  <c r="E1423" i="5"/>
  <c r="F1423" i="5"/>
  <c r="C1424" i="5"/>
  <c r="D1424" i="5"/>
  <c r="E1424" i="5"/>
  <c r="F1424" i="5"/>
  <c r="C1425" i="5"/>
  <c r="D1425" i="5"/>
  <c r="E1425" i="5"/>
  <c r="F1425" i="5"/>
  <c r="C1426" i="5"/>
  <c r="D1426" i="5"/>
  <c r="E1426" i="5"/>
  <c r="F1426" i="5"/>
  <c r="C1427" i="5"/>
  <c r="D1427" i="5"/>
  <c r="E1427" i="5"/>
  <c r="F1427" i="5"/>
  <c r="C1428" i="5"/>
  <c r="D1428" i="5"/>
  <c r="E1428" i="5"/>
  <c r="F1428" i="5"/>
  <c r="C1429" i="5"/>
  <c r="D1429" i="5"/>
  <c r="E1429" i="5"/>
  <c r="F1429" i="5"/>
  <c r="C1430" i="5"/>
  <c r="D1430" i="5"/>
  <c r="E1430" i="5"/>
  <c r="F1430" i="5"/>
  <c r="C1431" i="5"/>
  <c r="D1431" i="5"/>
  <c r="E1431" i="5"/>
  <c r="F1431" i="5"/>
  <c r="C1432" i="5"/>
  <c r="D1432" i="5"/>
  <c r="E1432" i="5"/>
  <c r="F1432" i="5"/>
  <c r="C1433" i="5"/>
  <c r="D1433" i="5"/>
  <c r="E1433" i="5"/>
  <c r="F1433" i="5"/>
  <c r="C1434" i="5"/>
  <c r="D1434" i="5"/>
  <c r="E1434" i="5"/>
  <c r="F1434" i="5"/>
  <c r="C1435" i="5"/>
  <c r="D1435" i="5"/>
  <c r="E1435" i="5"/>
  <c r="F1435" i="5"/>
  <c r="C1436" i="5"/>
  <c r="D1436" i="5"/>
  <c r="E1436" i="5"/>
  <c r="F1436" i="5"/>
  <c r="C1437" i="5"/>
  <c r="D1437" i="5"/>
  <c r="E1437" i="5"/>
  <c r="F1437" i="5"/>
  <c r="C1438" i="5"/>
  <c r="D1438" i="5"/>
  <c r="E1438" i="5"/>
  <c r="F1438" i="5"/>
  <c r="C1439" i="5"/>
  <c r="D1439" i="5"/>
  <c r="E1439" i="5"/>
  <c r="F1439" i="5"/>
  <c r="C1440" i="5"/>
  <c r="D1440" i="5"/>
  <c r="E1440" i="5"/>
  <c r="F1440" i="5"/>
  <c r="C1441" i="5"/>
  <c r="D1441" i="5"/>
  <c r="E1441" i="5"/>
  <c r="F1441" i="5"/>
  <c r="C1442" i="5"/>
  <c r="D1442" i="5"/>
  <c r="E1442" i="5"/>
  <c r="F1442" i="5"/>
  <c r="C1443" i="5"/>
  <c r="D1443" i="5"/>
  <c r="E1443" i="5"/>
  <c r="F1443" i="5"/>
  <c r="C1444" i="5"/>
  <c r="D1444" i="5"/>
  <c r="E1444" i="5"/>
  <c r="F1444" i="5"/>
  <c r="C1445" i="5"/>
  <c r="D1445" i="5"/>
  <c r="E1445" i="5"/>
  <c r="F1445" i="5"/>
  <c r="C1446" i="5"/>
  <c r="D1446" i="5"/>
  <c r="E1446" i="5"/>
  <c r="F1446" i="5"/>
  <c r="C1447" i="5"/>
  <c r="D1447" i="5"/>
  <c r="E1447" i="5"/>
  <c r="F1447" i="5"/>
  <c r="C1448" i="5"/>
  <c r="D1448" i="5"/>
  <c r="E1448" i="5"/>
  <c r="F1448" i="5"/>
  <c r="C1449" i="5"/>
  <c r="D1449" i="5"/>
  <c r="E1449" i="5"/>
  <c r="F1449" i="5"/>
  <c r="C1450" i="5"/>
  <c r="D1450" i="5"/>
  <c r="E1450" i="5"/>
  <c r="F1450" i="5"/>
  <c r="C1451" i="5"/>
  <c r="D1451" i="5"/>
  <c r="E1451" i="5"/>
  <c r="F1451" i="5"/>
  <c r="C1452" i="5"/>
  <c r="D1452" i="5"/>
  <c r="E1452" i="5"/>
  <c r="F1452" i="5"/>
  <c r="C1453" i="5"/>
  <c r="D1453" i="5"/>
  <c r="E1453" i="5"/>
  <c r="F1453" i="5"/>
  <c r="C1454" i="5"/>
  <c r="D1454" i="5"/>
  <c r="E1454" i="5"/>
  <c r="F1454" i="5"/>
  <c r="C1455" i="5"/>
  <c r="D1455" i="5"/>
  <c r="E1455" i="5"/>
  <c r="F1455" i="5"/>
  <c r="C1456" i="5"/>
  <c r="D1456" i="5"/>
  <c r="E1456" i="5"/>
  <c r="F1456" i="5"/>
  <c r="C1457" i="5"/>
  <c r="D1457" i="5"/>
  <c r="E1457" i="5"/>
  <c r="F1457" i="5"/>
  <c r="C1458" i="5"/>
  <c r="D1458" i="5"/>
  <c r="E1458" i="5"/>
  <c r="F1458" i="5"/>
  <c r="C1459" i="5"/>
  <c r="D1459" i="5"/>
  <c r="E1459" i="5"/>
  <c r="F1459" i="5"/>
  <c r="C1460" i="5"/>
  <c r="D1460" i="5"/>
  <c r="E1460" i="5"/>
  <c r="F1460" i="5"/>
  <c r="C1461" i="5"/>
  <c r="D1461" i="5"/>
  <c r="E1461" i="5"/>
  <c r="F1461" i="5"/>
  <c r="C1462" i="5"/>
  <c r="D1462" i="5"/>
  <c r="E1462" i="5"/>
  <c r="F1462" i="5"/>
  <c r="G1463" i="4"/>
  <c r="H1463" i="4"/>
  <c r="C1463" i="5"/>
  <c r="D1463" i="5"/>
  <c r="E1463" i="5"/>
  <c r="F1463" i="5"/>
  <c r="G1464" i="4"/>
  <c r="H1464" i="4"/>
  <c r="C1464" i="5"/>
  <c r="D1464" i="5"/>
  <c r="E1464" i="5"/>
  <c r="F1464" i="5"/>
  <c r="G1465" i="4"/>
  <c r="H1465" i="4"/>
  <c r="C1465" i="5"/>
  <c r="D1465" i="5"/>
  <c r="E1465" i="5"/>
  <c r="F1465" i="5"/>
  <c r="G1466" i="4"/>
  <c r="H1466" i="4"/>
  <c r="C1466" i="5"/>
  <c r="D1466" i="5"/>
  <c r="E1466" i="5"/>
  <c r="F1466" i="5"/>
  <c r="G1467" i="4"/>
  <c r="H1467" i="4"/>
  <c r="C1467" i="5"/>
  <c r="D1467" i="5"/>
  <c r="E1467" i="5"/>
  <c r="F1467" i="5"/>
  <c r="G1468" i="4"/>
  <c r="H1468" i="4"/>
  <c r="C1468" i="5"/>
  <c r="D1468" i="5"/>
  <c r="E1468" i="5"/>
  <c r="F1468" i="5"/>
  <c r="G1469" i="4"/>
  <c r="H1469" i="4"/>
  <c r="C1469" i="5"/>
  <c r="D1469" i="5"/>
  <c r="E1469" i="5"/>
  <c r="F1469" i="5"/>
  <c r="G1470" i="4"/>
  <c r="H1470" i="4"/>
  <c r="C1470" i="5"/>
  <c r="D1470" i="5"/>
  <c r="E1470" i="5"/>
  <c r="F1470" i="5"/>
  <c r="G1471" i="4"/>
  <c r="H1471" i="4"/>
  <c r="C1471" i="5"/>
  <c r="D1471" i="5"/>
  <c r="E1471" i="5"/>
  <c r="F1471" i="5"/>
  <c r="G1472" i="4"/>
  <c r="H1472" i="4"/>
  <c r="C1472" i="5"/>
  <c r="D1472" i="5"/>
  <c r="E1472" i="5"/>
  <c r="F1472" i="5"/>
  <c r="G1473" i="4"/>
  <c r="H1473" i="4"/>
  <c r="C1473" i="5"/>
  <c r="D1473" i="5"/>
  <c r="E1473" i="5"/>
  <c r="F1473" i="5"/>
  <c r="G1474" i="4"/>
  <c r="H1474" i="4"/>
  <c r="C1474" i="5"/>
  <c r="D1474" i="5"/>
  <c r="E1474" i="5"/>
  <c r="F1474" i="5"/>
  <c r="G1475" i="4"/>
  <c r="H1475" i="4"/>
  <c r="C1475" i="5"/>
  <c r="D1475" i="5"/>
  <c r="E1475" i="5"/>
  <c r="F1475" i="5"/>
  <c r="G1476" i="4"/>
  <c r="H1476" i="4"/>
  <c r="C1476" i="5"/>
  <c r="D1476" i="5"/>
  <c r="E1476" i="5"/>
  <c r="F1476" i="5"/>
  <c r="G1477" i="4"/>
  <c r="H1477" i="4"/>
  <c r="C1477" i="5"/>
  <c r="D1477" i="5"/>
  <c r="E1477" i="5"/>
  <c r="F1477" i="5"/>
  <c r="G1478" i="4"/>
  <c r="H1478" i="4"/>
  <c r="C1478" i="5"/>
  <c r="D1478" i="5"/>
  <c r="E1478" i="5"/>
  <c r="F1478" i="5"/>
  <c r="G1479" i="4"/>
  <c r="H1479" i="4"/>
  <c r="C1479" i="5"/>
  <c r="D1479" i="5"/>
  <c r="E1479" i="5"/>
  <c r="F1479" i="5"/>
  <c r="G1480" i="4"/>
  <c r="H1480" i="4"/>
  <c r="C1480" i="5"/>
  <c r="D1480" i="5"/>
  <c r="E1480" i="5"/>
  <c r="F1480" i="5"/>
  <c r="G1481" i="4"/>
  <c r="H1481" i="4"/>
  <c r="C1481" i="5"/>
  <c r="D1481" i="5"/>
  <c r="E1481" i="5"/>
  <c r="F1481" i="5"/>
  <c r="G1482" i="4"/>
  <c r="H1482" i="4"/>
  <c r="C1482" i="5"/>
  <c r="D1482" i="5"/>
  <c r="E1482" i="5"/>
  <c r="F1482" i="5"/>
  <c r="G1483" i="4"/>
  <c r="H1483" i="4"/>
  <c r="C1483" i="5"/>
  <c r="D1483" i="5"/>
  <c r="E1483" i="5"/>
  <c r="F1483" i="5"/>
  <c r="G1484" i="4"/>
  <c r="H1484" i="4"/>
  <c r="C1484" i="5"/>
  <c r="D1484" i="5"/>
  <c r="E1484" i="5"/>
  <c r="F1484" i="5"/>
  <c r="G1485" i="4"/>
  <c r="H1485" i="4"/>
  <c r="C1485" i="5"/>
  <c r="D1485" i="5"/>
  <c r="E1485" i="5"/>
  <c r="F1485" i="5"/>
  <c r="G1486" i="4"/>
  <c r="H1486" i="4"/>
  <c r="C1486" i="5"/>
  <c r="D1486" i="5"/>
  <c r="E1486" i="5"/>
  <c r="F1486" i="5"/>
  <c r="G1487" i="4"/>
  <c r="H1487" i="4"/>
  <c r="C1487" i="5"/>
  <c r="D1487" i="5"/>
  <c r="E1487" i="5"/>
  <c r="F1487" i="5"/>
  <c r="G1488" i="4"/>
  <c r="H1488" i="4"/>
  <c r="C1488" i="5"/>
  <c r="D1488" i="5"/>
  <c r="E1488" i="5"/>
  <c r="F1488" i="5"/>
  <c r="G1489" i="4"/>
  <c r="H1489" i="4"/>
  <c r="C1489" i="5"/>
  <c r="D1489" i="5"/>
  <c r="E1489" i="5"/>
  <c r="F1489" i="5"/>
  <c r="G1490" i="4"/>
  <c r="H1490" i="4"/>
  <c r="C1490" i="5"/>
  <c r="D1490" i="5"/>
  <c r="E1490" i="5"/>
  <c r="F1490" i="5"/>
  <c r="G1491" i="4"/>
  <c r="H1491" i="4"/>
  <c r="C1491" i="5"/>
  <c r="D1491" i="5"/>
  <c r="E1491" i="5"/>
  <c r="F1491" i="5"/>
  <c r="G1492" i="4"/>
  <c r="H1492" i="4"/>
  <c r="C1492" i="5"/>
  <c r="D1492" i="5"/>
  <c r="E1492" i="5"/>
  <c r="F1492" i="5"/>
  <c r="G1493" i="4"/>
  <c r="H1493" i="4"/>
  <c r="C1493" i="5"/>
  <c r="D1493" i="5"/>
  <c r="E1493" i="5"/>
  <c r="F1493" i="5"/>
  <c r="G1494" i="4"/>
  <c r="H1494" i="4"/>
  <c r="C1494" i="5"/>
  <c r="D1494" i="5"/>
  <c r="E1494" i="5"/>
  <c r="F1494" i="5"/>
  <c r="G1495" i="4"/>
  <c r="H1495" i="4"/>
  <c r="C1495" i="5"/>
  <c r="D1495" i="5"/>
  <c r="E1495" i="5"/>
  <c r="F1495" i="5"/>
  <c r="G1496" i="4"/>
  <c r="H1496" i="4"/>
  <c r="C1496" i="5"/>
  <c r="D1496" i="5"/>
  <c r="E1496" i="5"/>
  <c r="F1496" i="5"/>
  <c r="G1497" i="4"/>
  <c r="H1497" i="4"/>
  <c r="C1497" i="5"/>
  <c r="D1497" i="5"/>
  <c r="E1497" i="5"/>
  <c r="F1497" i="5"/>
  <c r="G1498" i="4"/>
  <c r="H1498" i="4"/>
  <c r="C1498" i="5"/>
  <c r="D1498" i="5"/>
  <c r="E1498" i="5"/>
  <c r="F1498" i="5"/>
  <c r="G1499" i="4"/>
  <c r="H1499" i="4"/>
  <c r="C1499" i="5"/>
  <c r="D1499" i="5"/>
  <c r="E1499" i="5"/>
  <c r="F1499" i="5"/>
  <c r="G1500" i="4"/>
  <c r="H1500" i="4"/>
  <c r="C1500" i="5"/>
  <c r="D1500" i="5"/>
  <c r="E1500" i="5"/>
  <c r="F1500" i="5"/>
  <c r="G1501" i="4"/>
  <c r="H1501" i="4"/>
  <c r="C1501" i="5"/>
  <c r="D1501" i="5"/>
  <c r="E1501" i="5"/>
  <c r="F1501" i="5"/>
  <c r="G1502" i="4"/>
  <c r="H1502" i="4"/>
  <c r="C1502" i="5"/>
  <c r="D1502" i="5"/>
  <c r="E1502" i="5"/>
  <c r="F1502" i="5"/>
  <c r="G1503" i="4"/>
  <c r="H1503" i="4"/>
  <c r="C1503" i="5"/>
  <c r="D1503" i="5"/>
  <c r="E1503" i="5"/>
  <c r="F1503" i="5"/>
  <c r="G1504" i="4"/>
  <c r="H1504" i="4"/>
  <c r="C1504" i="5"/>
  <c r="D1504" i="5"/>
  <c r="E1504" i="5"/>
  <c r="F1504" i="5"/>
  <c r="G1505" i="4"/>
  <c r="H1505" i="4"/>
  <c r="C1505" i="5"/>
  <c r="D1505" i="5"/>
  <c r="E1505" i="5"/>
  <c r="F1505" i="5"/>
  <c r="G1506" i="4"/>
  <c r="H1506" i="4"/>
  <c r="C1506" i="5"/>
  <c r="D1506" i="5"/>
  <c r="E1506" i="5"/>
  <c r="F1506" i="5"/>
  <c r="G1507" i="4"/>
  <c r="H1507" i="4"/>
  <c r="C1507" i="5"/>
  <c r="D1507" i="5"/>
  <c r="E1507" i="5"/>
  <c r="F1507" i="5"/>
  <c r="G1508" i="4"/>
  <c r="H1508" i="4"/>
  <c r="C1508" i="5"/>
  <c r="D1508" i="5"/>
  <c r="E1508" i="5"/>
  <c r="F1508" i="5"/>
  <c r="G1509" i="4"/>
  <c r="H1509" i="4"/>
  <c r="C1509" i="5"/>
  <c r="D1509" i="5"/>
  <c r="E1509" i="5"/>
  <c r="F1509" i="5"/>
  <c r="G1510" i="4"/>
  <c r="H1510" i="4"/>
  <c r="C1510" i="5"/>
  <c r="D1510" i="5"/>
  <c r="E1510" i="5"/>
  <c r="F1510" i="5"/>
  <c r="G1511" i="4"/>
  <c r="H1511" i="4"/>
  <c r="C1511" i="5"/>
  <c r="D1511" i="5"/>
  <c r="E1511" i="5"/>
  <c r="F1511" i="5"/>
  <c r="G1512" i="4"/>
  <c r="H1512" i="4"/>
  <c r="C1512" i="5"/>
  <c r="D1512" i="5"/>
  <c r="E1512" i="5"/>
  <c r="F1512" i="5"/>
  <c r="G1513" i="4"/>
  <c r="H1513" i="4"/>
  <c r="C1513" i="5"/>
  <c r="D1513" i="5"/>
  <c r="E1513" i="5"/>
  <c r="F1513" i="5"/>
  <c r="G1514" i="4"/>
  <c r="H1514" i="4"/>
  <c r="C1514" i="5"/>
  <c r="D1514" i="5"/>
  <c r="E1514" i="5"/>
  <c r="F1514" i="5"/>
  <c r="G1515" i="4"/>
  <c r="H1515" i="4"/>
  <c r="C1515" i="5"/>
  <c r="D1515" i="5"/>
  <c r="E1515" i="5"/>
  <c r="F1515" i="5"/>
  <c r="G1516" i="4"/>
  <c r="H1516" i="4"/>
  <c r="C1516" i="5"/>
  <c r="D1516" i="5"/>
  <c r="E1516" i="5"/>
  <c r="F1516" i="5"/>
  <c r="G1517" i="4"/>
  <c r="H1517" i="4"/>
  <c r="C1517" i="5"/>
  <c r="D1517" i="5"/>
  <c r="E1517" i="5"/>
  <c r="F1517" i="5"/>
  <c r="G1518" i="4"/>
  <c r="H1518" i="4"/>
  <c r="C1518" i="5"/>
  <c r="D1518" i="5"/>
  <c r="E1518" i="5"/>
  <c r="F1518" i="5"/>
  <c r="G1519" i="4"/>
  <c r="H1519" i="4"/>
  <c r="C1519" i="5"/>
  <c r="D1519" i="5"/>
  <c r="E1519" i="5"/>
  <c r="F1519" i="5"/>
  <c r="G1520" i="4"/>
  <c r="H1520" i="4"/>
  <c r="C1520" i="5"/>
  <c r="D1520" i="5"/>
  <c r="E1520" i="5"/>
  <c r="F1520" i="5"/>
  <c r="G1521" i="4"/>
  <c r="H1521" i="4"/>
  <c r="C1521" i="5"/>
  <c r="D1521" i="5"/>
  <c r="E1521" i="5"/>
  <c r="F1521" i="5"/>
  <c r="G1522" i="4"/>
  <c r="H1522" i="4"/>
  <c r="C1522" i="5"/>
  <c r="D1522" i="5"/>
  <c r="E1522" i="5"/>
  <c r="F1522" i="5"/>
  <c r="G1523" i="4"/>
  <c r="H1523" i="4"/>
  <c r="C1523" i="5"/>
  <c r="D1523" i="5"/>
  <c r="E1523" i="5"/>
  <c r="F1523" i="5"/>
  <c r="G1524" i="4"/>
  <c r="H1524" i="4"/>
  <c r="C1524" i="5"/>
  <c r="D1524" i="5"/>
  <c r="E1524" i="5"/>
  <c r="F1524" i="5"/>
  <c r="G1525" i="4"/>
  <c r="H1525" i="4"/>
  <c r="C1525" i="5"/>
  <c r="D1525" i="5"/>
  <c r="E1525" i="5"/>
  <c r="F1525" i="5"/>
  <c r="G1526" i="4"/>
  <c r="H1526" i="4"/>
  <c r="C1526" i="5"/>
  <c r="D1526" i="5"/>
  <c r="E1526" i="5"/>
  <c r="F1526" i="5"/>
  <c r="G1527" i="4"/>
  <c r="H1527" i="4"/>
  <c r="C1527" i="5"/>
  <c r="D1527" i="5"/>
  <c r="E1527" i="5"/>
  <c r="F1527" i="5"/>
  <c r="G1528" i="4"/>
  <c r="H1528" i="4"/>
  <c r="C1528" i="5"/>
  <c r="D1528" i="5"/>
  <c r="E1528" i="5"/>
  <c r="F1528" i="5"/>
  <c r="G1529" i="4"/>
  <c r="H1529" i="4"/>
  <c r="C1529" i="5"/>
  <c r="D1529" i="5"/>
  <c r="E1529" i="5"/>
  <c r="F1529" i="5"/>
  <c r="G1530" i="4"/>
  <c r="H1530" i="4"/>
  <c r="C1530" i="5"/>
  <c r="D1530" i="5"/>
  <c r="E1530" i="5"/>
  <c r="F1530" i="5"/>
  <c r="G1531" i="4"/>
  <c r="H1531" i="4"/>
  <c r="C1531" i="5"/>
  <c r="D1531" i="5"/>
  <c r="E1531" i="5"/>
  <c r="F1531" i="5"/>
  <c r="G1532" i="4"/>
  <c r="H1532" i="4"/>
  <c r="C1532" i="5"/>
  <c r="D1532" i="5"/>
  <c r="E1532" i="5"/>
  <c r="F1532" i="5"/>
  <c r="G1533" i="4"/>
  <c r="H1533" i="4"/>
  <c r="C1533" i="5"/>
  <c r="D1533" i="5"/>
  <c r="E1533" i="5"/>
  <c r="F1533" i="5"/>
  <c r="G1534" i="4"/>
  <c r="H1534" i="4"/>
  <c r="C1534" i="5"/>
  <c r="D1534" i="5"/>
  <c r="E1534" i="5"/>
  <c r="F1534" i="5"/>
  <c r="G1535" i="4"/>
  <c r="H1535" i="4"/>
  <c r="C1535" i="5"/>
  <c r="D1535" i="5"/>
  <c r="E1535" i="5"/>
  <c r="F1535" i="5"/>
  <c r="G1536" i="4"/>
  <c r="H1536" i="4"/>
  <c r="C1536" i="5"/>
  <c r="D1536" i="5"/>
  <c r="E1536" i="5"/>
  <c r="F1536" i="5"/>
  <c r="G1537" i="4"/>
  <c r="H1537" i="4"/>
  <c r="C1537" i="5"/>
  <c r="D1537" i="5"/>
  <c r="E1537" i="5"/>
  <c r="F1537" i="5"/>
  <c r="G1538" i="4"/>
  <c r="H1538" i="4"/>
  <c r="C1538" i="5"/>
  <c r="D1538" i="5"/>
  <c r="E1538" i="5"/>
  <c r="F1538" i="5"/>
  <c r="G1539" i="4"/>
  <c r="H1539" i="4"/>
  <c r="C1539" i="5"/>
  <c r="D1539" i="5"/>
  <c r="E1539" i="5"/>
  <c r="F1539" i="5"/>
  <c r="G1540" i="4"/>
  <c r="H1540" i="4"/>
  <c r="C1540" i="5"/>
  <c r="D1540" i="5"/>
  <c r="E1540" i="5"/>
  <c r="F1540" i="5"/>
  <c r="G1541" i="4"/>
  <c r="H1541" i="4"/>
  <c r="C1541" i="5"/>
  <c r="D1541" i="5"/>
  <c r="E1541" i="5"/>
  <c r="F1541" i="5"/>
  <c r="G1542" i="4"/>
  <c r="H1542" i="4"/>
  <c r="C1542" i="5"/>
  <c r="D1542" i="5"/>
  <c r="E1542" i="5"/>
  <c r="F1542" i="5"/>
  <c r="G1543" i="4"/>
  <c r="H1543" i="4"/>
  <c r="C1543" i="5"/>
  <c r="D1543" i="5"/>
  <c r="E1543" i="5"/>
  <c r="F1543" i="5"/>
  <c r="G1544" i="4"/>
  <c r="H1544" i="4"/>
  <c r="C1544" i="5"/>
  <c r="D1544" i="5"/>
  <c r="E1544" i="5"/>
  <c r="F1544" i="5"/>
  <c r="G1545" i="4"/>
  <c r="H1545" i="4"/>
  <c r="C1545" i="5"/>
  <c r="D1545" i="5"/>
  <c r="E1545" i="5"/>
  <c r="F1545" i="5"/>
  <c r="G1546" i="4"/>
  <c r="H1546" i="4"/>
  <c r="C1546" i="5"/>
  <c r="D1546" i="5"/>
  <c r="E1546" i="5"/>
  <c r="F1546" i="5"/>
  <c r="G1547" i="4"/>
  <c r="H1547" i="4"/>
  <c r="C1547" i="5"/>
  <c r="D1547" i="5"/>
  <c r="E1547" i="5"/>
  <c r="F1547" i="5"/>
  <c r="G1548" i="4"/>
  <c r="H1548" i="4"/>
  <c r="C1548" i="5"/>
  <c r="D1548" i="5"/>
  <c r="E1548" i="5"/>
  <c r="F1548" i="5"/>
  <c r="G1549" i="4"/>
  <c r="H1549" i="4"/>
  <c r="C1549" i="5"/>
  <c r="D1549" i="5"/>
  <c r="E1549" i="5"/>
  <c r="F1549" i="5"/>
  <c r="G1550" i="4"/>
  <c r="H1550" i="4"/>
  <c r="C1550" i="5"/>
  <c r="D1550" i="5"/>
  <c r="E1550" i="5"/>
  <c r="F1550" i="5"/>
  <c r="G1551" i="4"/>
  <c r="H1551" i="4"/>
  <c r="C1551" i="5"/>
  <c r="D1551" i="5"/>
  <c r="E1551" i="5"/>
  <c r="F1551" i="5"/>
  <c r="G1552" i="4"/>
  <c r="H1552" i="4"/>
  <c r="C1552" i="5"/>
  <c r="D1552" i="5"/>
  <c r="E1552" i="5"/>
  <c r="F1552" i="5"/>
  <c r="G1553" i="4"/>
  <c r="H1553" i="4"/>
  <c r="C1553" i="5"/>
  <c r="D1553" i="5"/>
  <c r="E1553" i="5"/>
  <c r="F1553" i="5"/>
  <c r="G1554" i="4"/>
  <c r="H1554" i="4"/>
  <c r="C1554" i="5"/>
  <c r="D1554" i="5"/>
  <c r="E1554" i="5"/>
  <c r="F1554" i="5"/>
  <c r="G1555" i="4"/>
  <c r="H1555" i="4"/>
  <c r="C1555" i="5"/>
  <c r="D1555" i="5"/>
  <c r="E1555" i="5"/>
  <c r="F1555" i="5"/>
  <c r="G1556" i="4"/>
  <c r="H1556" i="4"/>
  <c r="C1556" i="5"/>
  <c r="D1556" i="5"/>
  <c r="E1556" i="5"/>
  <c r="F1556" i="5"/>
  <c r="G1557" i="4"/>
  <c r="H1557" i="4"/>
  <c r="C1557" i="5"/>
  <c r="D1557" i="5"/>
  <c r="E1557" i="5"/>
  <c r="F1557" i="5"/>
  <c r="G1558" i="4"/>
  <c r="H1558" i="4"/>
  <c r="C1558" i="5"/>
  <c r="D1558" i="5"/>
  <c r="E1558" i="5"/>
  <c r="F1558" i="5"/>
  <c r="G1559" i="4"/>
  <c r="H1559" i="4"/>
  <c r="C1559" i="5"/>
  <c r="D1559" i="5"/>
  <c r="E1559" i="5"/>
  <c r="F1559" i="5"/>
  <c r="G1560" i="4"/>
  <c r="H1560" i="4"/>
  <c r="C1560" i="5"/>
  <c r="D1560" i="5"/>
  <c r="E1560" i="5"/>
  <c r="F1560" i="5"/>
  <c r="G1561" i="4"/>
  <c r="H1561" i="4"/>
  <c r="C1561" i="5"/>
  <c r="D1561" i="5"/>
  <c r="E1561" i="5"/>
  <c r="F1561" i="5"/>
  <c r="G1562" i="4"/>
  <c r="H1562" i="4"/>
  <c r="C1562" i="5"/>
  <c r="D1562" i="5"/>
  <c r="E1562" i="5"/>
  <c r="F1562" i="5"/>
  <c r="G1563" i="4"/>
  <c r="H1563" i="4"/>
  <c r="C1563" i="5"/>
  <c r="D1563" i="5"/>
  <c r="E1563" i="5"/>
  <c r="F1563" i="5"/>
  <c r="G1564" i="4"/>
  <c r="H1564" i="4"/>
  <c r="C1564" i="5"/>
  <c r="D1564" i="5"/>
  <c r="E1564" i="5"/>
  <c r="F1564" i="5"/>
  <c r="G1565" i="4"/>
  <c r="H1565" i="4"/>
  <c r="C1565" i="5"/>
  <c r="D1565" i="5"/>
  <c r="E1565" i="5"/>
  <c r="F1565" i="5"/>
  <c r="G1566" i="4"/>
  <c r="H1566" i="4"/>
  <c r="C1566" i="5"/>
  <c r="D1566" i="5"/>
  <c r="E1566" i="5"/>
  <c r="F1566" i="5"/>
  <c r="G1567" i="4"/>
  <c r="H1567" i="4"/>
  <c r="C1567" i="5"/>
  <c r="D1567" i="5"/>
  <c r="E1567" i="5"/>
  <c r="F1567" i="5"/>
  <c r="G1568" i="4"/>
  <c r="H1568" i="4"/>
  <c r="C1568" i="5"/>
  <c r="D1568" i="5"/>
  <c r="E1568" i="5"/>
  <c r="F1568" i="5"/>
  <c r="G1569" i="4"/>
  <c r="H1569" i="4"/>
  <c r="C1569" i="5"/>
  <c r="D1569" i="5"/>
  <c r="E1569" i="5"/>
  <c r="F1569" i="5"/>
  <c r="G1570" i="4"/>
  <c r="H1570" i="4"/>
  <c r="C1570" i="5"/>
  <c r="D1570" i="5"/>
  <c r="E1570" i="5"/>
  <c r="F1570" i="5"/>
  <c r="G1571" i="4"/>
  <c r="H1571" i="4"/>
  <c r="C1571" i="5"/>
  <c r="D1571" i="5"/>
  <c r="E1571" i="5"/>
  <c r="F1571" i="5"/>
  <c r="G1572" i="4"/>
  <c r="H1572" i="4"/>
  <c r="C1572" i="5"/>
  <c r="D1572" i="5"/>
  <c r="E1572" i="5"/>
  <c r="F1572" i="5"/>
  <c r="G1573" i="4"/>
  <c r="H1573" i="4"/>
  <c r="C1573" i="5"/>
  <c r="D1573" i="5"/>
  <c r="E1573" i="5"/>
  <c r="F1573" i="5"/>
  <c r="G1574" i="4"/>
  <c r="H1574" i="4"/>
  <c r="C1574" i="5"/>
  <c r="D1574" i="5"/>
  <c r="E1574" i="5"/>
  <c r="F1574" i="5"/>
  <c r="G1575" i="4"/>
  <c r="H1575" i="4"/>
  <c r="C1575" i="5"/>
  <c r="D1575" i="5"/>
  <c r="E1575" i="5"/>
  <c r="F1575" i="5"/>
  <c r="G1576" i="4"/>
  <c r="H1576" i="4"/>
  <c r="C1576" i="5"/>
  <c r="D1576" i="5"/>
  <c r="E1576" i="5"/>
  <c r="F1576" i="5"/>
  <c r="G1577" i="4"/>
  <c r="H1577" i="4"/>
  <c r="C1577" i="5"/>
  <c r="D1577" i="5"/>
  <c r="E1577" i="5"/>
  <c r="F1577" i="5"/>
  <c r="G1578" i="4"/>
  <c r="H1578" i="4"/>
  <c r="C1578" i="5"/>
  <c r="D1578" i="5"/>
  <c r="E1578" i="5"/>
  <c r="F1578" i="5"/>
  <c r="G1579" i="4"/>
  <c r="H1579" i="4"/>
  <c r="C1579" i="5"/>
  <c r="D1579" i="5"/>
  <c r="E1579" i="5"/>
  <c r="F1579" i="5"/>
  <c r="G1580" i="4"/>
  <c r="H1580" i="4"/>
  <c r="C1580" i="5"/>
  <c r="D1580" i="5"/>
  <c r="E1580" i="5"/>
  <c r="F1580" i="5"/>
  <c r="G1581" i="4"/>
  <c r="H1581" i="4"/>
  <c r="C1581" i="5"/>
  <c r="D1581" i="5"/>
  <c r="E1581" i="5"/>
  <c r="F1581" i="5"/>
  <c r="G1582" i="4"/>
  <c r="H1582" i="4"/>
  <c r="C1582" i="5"/>
  <c r="D1582" i="5"/>
  <c r="E1582" i="5"/>
  <c r="F1582" i="5"/>
  <c r="C1583" i="4"/>
  <c r="D1583" i="4"/>
  <c r="E1583" i="4"/>
  <c r="F1583" i="4"/>
  <c r="G1583" i="4"/>
  <c r="H1583" i="4"/>
  <c r="C1583" i="5"/>
  <c r="D1583" i="5"/>
  <c r="E1583" i="5"/>
  <c r="F1583" i="5"/>
  <c r="C1584" i="4"/>
  <c r="D1584" i="4"/>
  <c r="E1584" i="4"/>
  <c r="F1584" i="4"/>
  <c r="G1584" i="4"/>
  <c r="H1584" i="4"/>
  <c r="C1584" i="5"/>
  <c r="D1584" i="5"/>
  <c r="E1584" i="5"/>
  <c r="F1584" i="5"/>
  <c r="C1585" i="4"/>
  <c r="D1585" i="4"/>
  <c r="E1585" i="4"/>
  <c r="F1585" i="4"/>
  <c r="G1585" i="4"/>
  <c r="H1585" i="4"/>
  <c r="C1585" i="5"/>
  <c r="D1585" i="5"/>
  <c r="E1585" i="5"/>
  <c r="F1585" i="5"/>
  <c r="C1586" i="4"/>
  <c r="D1586" i="4"/>
  <c r="E1586" i="4"/>
  <c r="F1586" i="4"/>
  <c r="G1586" i="4"/>
  <c r="H1586" i="4"/>
  <c r="C1586" i="5"/>
  <c r="D1586" i="5"/>
  <c r="E1586" i="5"/>
  <c r="F1586" i="5"/>
  <c r="C1587" i="4"/>
  <c r="D1587" i="4"/>
  <c r="E1587" i="4"/>
  <c r="F1587" i="4"/>
  <c r="G1587" i="4"/>
  <c r="H1587" i="4"/>
  <c r="C1587" i="5"/>
  <c r="D1587" i="5"/>
  <c r="E1587" i="5"/>
  <c r="F1587" i="5"/>
  <c r="C1588" i="4"/>
  <c r="D1588" i="4"/>
  <c r="E1588" i="4"/>
  <c r="F1588" i="4"/>
  <c r="G1588" i="4"/>
  <c r="H1588" i="4"/>
  <c r="C1588" i="5"/>
  <c r="D1588" i="5"/>
  <c r="E1588" i="5"/>
  <c r="F1588" i="5"/>
  <c r="C1589" i="4"/>
  <c r="D1589" i="4"/>
  <c r="E1589" i="4"/>
  <c r="F1589" i="4"/>
  <c r="G1589" i="4"/>
  <c r="H1589" i="4"/>
  <c r="C1589" i="5"/>
  <c r="D1589" i="5"/>
  <c r="E1589" i="5"/>
  <c r="F1589" i="5"/>
  <c r="C1590" i="4"/>
  <c r="D1590" i="4"/>
  <c r="E1590" i="4"/>
  <c r="F1590" i="4"/>
  <c r="G1590" i="4"/>
  <c r="H1590" i="4"/>
  <c r="C1590" i="5"/>
  <c r="D1590" i="5"/>
  <c r="E1590" i="5"/>
  <c r="F1590" i="5"/>
  <c r="C1591" i="4"/>
  <c r="D1591" i="4"/>
  <c r="E1591" i="4"/>
  <c r="F1591" i="4"/>
  <c r="G1591" i="4"/>
  <c r="H1591" i="4"/>
  <c r="C1591" i="5"/>
  <c r="D1591" i="5"/>
  <c r="E1591" i="5"/>
  <c r="F1591" i="5"/>
  <c r="C1592" i="4"/>
  <c r="D1592" i="4"/>
  <c r="E1592" i="4"/>
  <c r="F1592" i="4"/>
  <c r="G1592" i="4"/>
  <c r="H1592" i="4"/>
  <c r="C1592" i="5"/>
  <c r="D1592" i="5"/>
  <c r="E1592" i="5"/>
  <c r="F1592" i="5"/>
  <c r="C1593" i="4"/>
  <c r="D1593" i="4"/>
  <c r="E1593" i="4"/>
  <c r="F1593" i="4"/>
  <c r="G1593" i="4"/>
  <c r="H1593" i="4"/>
  <c r="C1593" i="5"/>
  <c r="D1593" i="5"/>
  <c r="E1593" i="5"/>
  <c r="F1593" i="5"/>
  <c r="C1594" i="4"/>
  <c r="D1594" i="4"/>
  <c r="E1594" i="4"/>
  <c r="F1594" i="4"/>
  <c r="G1594" i="4"/>
  <c r="H1594" i="4"/>
  <c r="C1594" i="5"/>
  <c r="D1594" i="5"/>
  <c r="E1594" i="5"/>
  <c r="F1594" i="5"/>
  <c r="C1595" i="4"/>
  <c r="D1595" i="4"/>
  <c r="E1595" i="4"/>
  <c r="F1595" i="4"/>
  <c r="G1595" i="4"/>
  <c r="H1595" i="4"/>
  <c r="C1595" i="5"/>
  <c r="D1595" i="5"/>
  <c r="E1595" i="5"/>
  <c r="F1595" i="5"/>
  <c r="C1596" i="4"/>
  <c r="D1596" i="4"/>
  <c r="E1596" i="4"/>
  <c r="F1596" i="4"/>
  <c r="G1596" i="4"/>
  <c r="H1596" i="4"/>
  <c r="C1596" i="5"/>
  <c r="D1596" i="5"/>
  <c r="E1596" i="5"/>
  <c r="F1596" i="5"/>
  <c r="C1597" i="4"/>
  <c r="D1597" i="4"/>
  <c r="E1597" i="4"/>
  <c r="F1597" i="4"/>
  <c r="G1597" i="4"/>
  <c r="H1597" i="4"/>
  <c r="C1597" i="5"/>
  <c r="D1597" i="5"/>
  <c r="E1597" i="5"/>
  <c r="F1597" i="5"/>
  <c r="C1598" i="4"/>
  <c r="D1598" i="4"/>
  <c r="E1598" i="4"/>
  <c r="F1598" i="4"/>
  <c r="G1598" i="4"/>
  <c r="H1598" i="4"/>
  <c r="C1598" i="5"/>
  <c r="D1598" i="5"/>
  <c r="E1598" i="5"/>
  <c r="F1598" i="5"/>
  <c r="C1599" i="4"/>
  <c r="D1599" i="4"/>
  <c r="E1599" i="4"/>
  <c r="F1599" i="4"/>
  <c r="G1599" i="4"/>
  <c r="H1599" i="4"/>
  <c r="C1599" i="5"/>
  <c r="D1599" i="5"/>
  <c r="E1599" i="5"/>
  <c r="F1599" i="5"/>
  <c r="C1600" i="4"/>
  <c r="D1600" i="4"/>
  <c r="E1600" i="4"/>
  <c r="F1600" i="4"/>
  <c r="G1600" i="4"/>
  <c r="H1600" i="4"/>
  <c r="C1600" i="5"/>
  <c r="D1600" i="5"/>
  <c r="E1600" i="5"/>
  <c r="F1600" i="5"/>
  <c r="C1601" i="4"/>
  <c r="D1601" i="4"/>
  <c r="E1601" i="4"/>
  <c r="F1601" i="4"/>
  <c r="G1601" i="4"/>
  <c r="H1601" i="4"/>
  <c r="C1601" i="5"/>
  <c r="D1601" i="5"/>
  <c r="E1601" i="5"/>
  <c r="F1601" i="5"/>
  <c r="C1602" i="4"/>
  <c r="D1602" i="4"/>
  <c r="E1602" i="4"/>
  <c r="F1602" i="4"/>
  <c r="G1602" i="4"/>
  <c r="H1602" i="4"/>
  <c r="C1602" i="5"/>
  <c r="D1602" i="5"/>
  <c r="E1602" i="5"/>
  <c r="F1602" i="5"/>
  <c r="C1603" i="4"/>
  <c r="D1603" i="4"/>
  <c r="E1603" i="4"/>
  <c r="F1603" i="4"/>
  <c r="G1603" i="4"/>
  <c r="H1603" i="4"/>
  <c r="C1603" i="5"/>
  <c r="D1603" i="5"/>
  <c r="E1603" i="5"/>
  <c r="F1603" i="5"/>
  <c r="C1604" i="4"/>
  <c r="D1604" i="4"/>
  <c r="E1604" i="4"/>
  <c r="F1604" i="4"/>
  <c r="G1604" i="4"/>
  <c r="H1604" i="4"/>
  <c r="C1604" i="5"/>
  <c r="D1604" i="5"/>
  <c r="E1604" i="5"/>
  <c r="F1604" i="5"/>
  <c r="C1605" i="4"/>
  <c r="D1605" i="4"/>
  <c r="E1605" i="4"/>
  <c r="F1605" i="4"/>
  <c r="G1605" i="4"/>
  <c r="H1605" i="4"/>
  <c r="C1605" i="5"/>
  <c r="D1605" i="5"/>
  <c r="E1605" i="5"/>
  <c r="F1605" i="5"/>
  <c r="C1606" i="4"/>
  <c r="D1606" i="4"/>
  <c r="E1606" i="4"/>
  <c r="F1606" i="4"/>
  <c r="G1606" i="4"/>
  <c r="H1606" i="4"/>
  <c r="C1606" i="5"/>
  <c r="D1606" i="5"/>
  <c r="E1606" i="5"/>
  <c r="F1606" i="5"/>
  <c r="C1607" i="4"/>
  <c r="D1607" i="4"/>
  <c r="E1607" i="4"/>
  <c r="F1607" i="4"/>
  <c r="G1607" i="4"/>
  <c r="H1607" i="4"/>
  <c r="C1607" i="5"/>
  <c r="D1607" i="5"/>
  <c r="E1607" i="5"/>
  <c r="F1607" i="5"/>
  <c r="C1608" i="4"/>
  <c r="D1608" i="4"/>
  <c r="E1608" i="4"/>
  <c r="F1608" i="4"/>
  <c r="G1608" i="4"/>
  <c r="H1608" i="4"/>
  <c r="C1608" i="5"/>
  <c r="D1608" i="5"/>
  <c r="E1608" i="5"/>
  <c r="F1608" i="5"/>
  <c r="C1609" i="4"/>
  <c r="D1609" i="4"/>
  <c r="E1609" i="4"/>
  <c r="F1609" i="4"/>
  <c r="G1609" i="4"/>
  <c r="H1609" i="4"/>
  <c r="C1609" i="5"/>
  <c r="D1609" i="5"/>
  <c r="E1609" i="5"/>
  <c r="F1609" i="5"/>
  <c r="C1610" i="4"/>
  <c r="D1610" i="4"/>
  <c r="E1610" i="4"/>
  <c r="F1610" i="4"/>
  <c r="G1610" i="4"/>
  <c r="H1610" i="4"/>
  <c r="C1610" i="5"/>
  <c r="D1610" i="5"/>
  <c r="E1610" i="5"/>
  <c r="F1610" i="5"/>
  <c r="C1611" i="4"/>
  <c r="D1611" i="4"/>
  <c r="E1611" i="4"/>
  <c r="F1611" i="4"/>
  <c r="G1611" i="4"/>
  <c r="H1611" i="4"/>
  <c r="C1611" i="5"/>
  <c r="D1611" i="5"/>
  <c r="E1611" i="5"/>
  <c r="F1611" i="5"/>
  <c r="C1612" i="4"/>
  <c r="D1612" i="4"/>
  <c r="E1612" i="4"/>
  <c r="F1612" i="4"/>
  <c r="G1612" i="4"/>
  <c r="H1612" i="4"/>
  <c r="C1612" i="5"/>
  <c r="D1612" i="5"/>
  <c r="E1612" i="5"/>
  <c r="F1612" i="5"/>
  <c r="C1613" i="4"/>
  <c r="D1613" i="4"/>
  <c r="E1613" i="4"/>
  <c r="F1613" i="4"/>
  <c r="G1613" i="4"/>
  <c r="H1613" i="4"/>
  <c r="C1613" i="5"/>
  <c r="D1613" i="5"/>
  <c r="E1613" i="5"/>
  <c r="F1613" i="5"/>
  <c r="C1614" i="4"/>
  <c r="D1614" i="4"/>
  <c r="E1614" i="4"/>
  <c r="F1614" i="4"/>
  <c r="G1614" i="4"/>
  <c r="H1614" i="4"/>
  <c r="C1614" i="5"/>
  <c r="D1614" i="5"/>
  <c r="E1614" i="5"/>
  <c r="F1614" i="5"/>
  <c r="C1615" i="4"/>
  <c r="D1615" i="4"/>
  <c r="E1615" i="4"/>
  <c r="F1615" i="4"/>
  <c r="G1615" i="4"/>
  <c r="H1615" i="4"/>
  <c r="C1615" i="5"/>
  <c r="D1615" i="5"/>
  <c r="E1615" i="5"/>
  <c r="F1615" i="5"/>
  <c r="C1616" i="4"/>
  <c r="D1616" i="4"/>
  <c r="E1616" i="4"/>
  <c r="F1616" i="4"/>
  <c r="G1616" i="4"/>
  <c r="H1616" i="4"/>
  <c r="C1616" i="5"/>
  <c r="D1616" i="5"/>
  <c r="E1616" i="5"/>
  <c r="F1616" i="5"/>
  <c r="C1617" i="4"/>
  <c r="D1617" i="4"/>
  <c r="E1617" i="4"/>
  <c r="F1617" i="4"/>
  <c r="G1617" i="4"/>
  <c r="H1617" i="4"/>
  <c r="C1617" i="5"/>
  <c r="D1617" i="5"/>
  <c r="E1617" i="5"/>
  <c r="F1617" i="5"/>
  <c r="C1618" i="4"/>
  <c r="D1618" i="4"/>
  <c r="E1618" i="4"/>
  <c r="F1618" i="4"/>
  <c r="G1618" i="4"/>
  <c r="H1618" i="4"/>
  <c r="C1618" i="5"/>
  <c r="D1618" i="5"/>
  <c r="E1618" i="5"/>
  <c r="F1618" i="5"/>
  <c r="C1619" i="4"/>
  <c r="D1619" i="4"/>
  <c r="E1619" i="4"/>
  <c r="F1619" i="4"/>
  <c r="G1619" i="4"/>
  <c r="H1619" i="4"/>
  <c r="C1619" i="5"/>
  <c r="D1619" i="5"/>
  <c r="E1619" i="5"/>
  <c r="F1619" i="5"/>
  <c r="C1620" i="4"/>
  <c r="D1620" i="4"/>
  <c r="E1620" i="4"/>
  <c r="F1620" i="4"/>
  <c r="G1620" i="4"/>
  <c r="H1620" i="4"/>
  <c r="C1620" i="5"/>
  <c r="D1620" i="5"/>
  <c r="E1620" i="5"/>
  <c r="F1620" i="5"/>
  <c r="C1621" i="4"/>
  <c r="D1621" i="4"/>
  <c r="E1621" i="4"/>
  <c r="F1621" i="4"/>
  <c r="G1621" i="4"/>
  <c r="H1621" i="4"/>
  <c r="C1621" i="5"/>
  <c r="D1621" i="5"/>
  <c r="E1621" i="5"/>
  <c r="F1621" i="5"/>
  <c r="C1622" i="4"/>
  <c r="D1622" i="4"/>
  <c r="E1622" i="4"/>
  <c r="F1622" i="4"/>
  <c r="G1622" i="4"/>
  <c r="H1622" i="4"/>
  <c r="C1622" i="5"/>
  <c r="D1622" i="5"/>
  <c r="E1622" i="5"/>
  <c r="F1622" i="5"/>
  <c r="C1623" i="4"/>
  <c r="D1623" i="4"/>
  <c r="E1623" i="4"/>
  <c r="F1623" i="4"/>
  <c r="G1623" i="4"/>
  <c r="H1623" i="4"/>
  <c r="C1623" i="5"/>
  <c r="D1623" i="5"/>
  <c r="E1623" i="5"/>
  <c r="F1623" i="5"/>
  <c r="C1624" i="4"/>
  <c r="D1624" i="4"/>
  <c r="E1624" i="4"/>
  <c r="F1624" i="4"/>
  <c r="G1624" i="4"/>
  <c r="H1624" i="4"/>
  <c r="C1624" i="5"/>
  <c r="D1624" i="5"/>
  <c r="E1624" i="5"/>
  <c r="F1624" i="5"/>
  <c r="C1625" i="4"/>
  <c r="D1625" i="4"/>
  <c r="E1625" i="4"/>
  <c r="F1625" i="4"/>
  <c r="G1625" i="4"/>
  <c r="H1625" i="4"/>
  <c r="C1625" i="5"/>
  <c r="D1625" i="5"/>
  <c r="E1625" i="5"/>
  <c r="F1625" i="5"/>
  <c r="C1626" i="4"/>
  <c r="D1626" i="4"/>
  <c r="E1626" i="4"/>
  <c r="F1626" i="4"/>
  <c r="G1626" i="4"/>
  <c r="H1626" i="4"/>
  <c r="C1626" i="5"/>
  <c r="D1626" i="5"/>
  <c r="E1626" i="5"/>
  <c r="F1626" i="5"/>
  <c r="C1627" i="4"/>
  <c r="D1627" i="4"/>
  <c r="E1627" i="4"/>
  <c r="F1627" i="4"/>
  <c r="G1627" i="4"/>
  <c r="H1627" i="4"/>
  <c r="C1627" i="5"/>
  <c r="D1627" i="5"/>
  <c r="E1627" i="5"/>
  <c r="F1627" i="5"/>
  <c r="C1628" i="4"/>
  <c r="D1628" i="4"/>
  <c r="E1628" i="4"/>
  <c r="F1628" i="4"/>
  <c r="G1628" i="4"/>
  <c r="H1628" i="4"/>
  <c r="C1628" i="5"/>
  <c r="D1628" i="5"/>
  <c r="E1628" i="5"/>
  <c r="F1628" i="5"/>
  <c r="C1629" i="4"/>
  <c r="D1629" i="4"/>
  <c r="E1629" i="4"/>
  <c r="F1629" i="4"/>
  <c r="G1629" i="4"/>
  <c r="H1629" i="4"/>
  <c r="C1629" i="5"/>
  <c r="D1629" i="5"/>
  <c r="E1629" i="5"/>
  <c r="F1629" i="5"/>
  <c r="C1630" i="4"/>
  <c r="D1630" i="4"/>
  <c r="E1630" i="4"/>
  <c r="F1630" i="4"/>
  <c r="G1630" i="4"/>
  <c r="H1630" i="4"/>
  <c r="C1630" i="5"/>
  <c r="D1630" i="5"/>
  <c r="E1630" i="5"/>
  <c r="F1630" i="5"/>
  <c r="C1631" i="4"/>
  <c r="D1631" i="4"/>
  <c r="E1631" i="4"/>
  <c r="F1631" i="4"/>
  <c r="G1631" i="4"/>
  <c r="H1631" i="4"/>
  <c r="C1631" i="5"/>
  <c r="D1631" i="5"/>
  <c r="E1631" i="5"/>
  <c r="F1631" i="5"/>
  <c r="C1632" i="4"/>
  <c r="D1632" i="4"/>
  <c r="E1632" i="4"/>
  <c r="F1632" i="4"/>
  <c r="G1632" i="4"/>
  <c r="H1632" i="4"/>
  <c r="C1632" i="5"/>
  <c r="D1632" i="5"/>
  <c r="E1632" i="5"/>
  <c r="F1632" i="5"/>
  <c r="C1633" i="4"/>
  <c r="D1633" i="4"/>
  <c r="E1633" i="4"/>
  <c r="F1633" i="4"/>
  <c r="G1633" i="4"/>
  <c r="H1633" i="4"/>
  <c r="C1633" i="5"/>
  <c r="D1633" i="5"/>
  <c r="E1633" i="5"/>
  <c r="F1633" i="5"/>
  <c r="C1634" i="4"/>
  <c r="D1634" i="4"/>
  <c r="E1634" i="4"/>
  <c r="F1634" i="4"/>
  <c r="G1634" i="4"/>
  <c r="H1634" i="4"/>
  <c r="C1634" i="5"/>
  <c r="D1634" i="5"/>
  <c r="E1634" i="5"/>
  <c r="F1634" i="5"/>
  <c r="C1635" i="4"/>
  <c r="D1635" i="4"/>
  <c r="E1635" i="4"/>
  <c r="F1635" i="4"/>
  <c r="G1635" i="4"/>
  <c r="H1635" i="4"/>
  <c r="C1635" i="5"/>
  <c r="D1635" i="5"/>
  <c r="E1635" i="5"/>
  <c r="F1635" i="5"/>
  <c r="C1636" i="4"/>
  <c r="D1636" i="4"/>
  <c r="E1636" i="4"/>
  <c r="F1636" i="4"/>
  <c r="G1636" i="4"/>
  <c r="H1636" i="4"/>
  <c r="C1636" i="5"/>
  <c r="D1636" i="5"/>
  <c r="E1636" i="5"/>
  <c r="F1636" i="5"/>
  <c r="C1637" i="4"/>
  <c r="D1637" i="4"/>
  <c r="E1637" i="4"/>
  <c r="F1637" i="4"/>
  <c r="G1637" i="4"/>
  <c r="H1637" i="4"/>
  <c r="C1637" i="5"/>
  <c r="D1637" i="5"/>
  <c r="E1637" i="5"/>
  <c r="F1637" i="5"/>
  <c r="C1638" i="4"/>
  <c r="D1638" i="4"/>
  <c r="E1638" i="4"/>
  <c r="F1638" i="4"/>
  <c r="G1638" i="4"/>
  <c r="H1638" i="4"/>
  <c r="C1638" i="5"/>
  <c r="D1638" i="5"/>
  <c r="E1638" i="5"/>
  <c r="F1638" i="5"/>
  <c r="C1639" i="4"/>
  <c r="D1639" i="4"/>
  <c r="E1639" i="4"/>
  <c r="F1639" i="4"/>
  <c r="G1639" i="4"/>
  <c r="H1639" i="4"/>
  <c r="C1639" i="5"/>
  <c r="D1639" i="5"/>
  <c r="E1639" i="5"/>
  <c r="F1639" i="5"/>
  <c r="C1640" i="4"/>
  <c r="D1640" i="4"/>
  <c r="E1640" i="4"/>
  <c r="F1640" i="4"/>
  <c r="G1640" i="4"/>
  <c r="H1640" i="4"/>
  <c r="C1640" i="5"/>
  <c r="D1640" i="5"/>
  <c r="E1640" i="5"/>
  <c r="F1640" i="5"/>
  <c r="C1641" i="4"/>
  <c r="D1641" i="4"/>
  <c r="E1641" i="4"/>
  <c r="F1641" i="4"/>
  <c r="G1641" i="4"/>
  <c r="H1641" i="4"/>
  <c r="C1641" i="5"/>
  <c r="D1641" i="5"/>
  <c r="E1641" i="5"/>
  <c r="F1641" i="5"/>
  <c r="C1642" i="4"/>
  <c r="D1642" i="4"/>
  <c r="E1642" i="4"/>
  <c r="F1642" i="4"/>
  <c r="G1642" i="4"/>
  <c r="H1642" i="4"/>
  <c r="C1642" i="5"/>
  <c r="D1642" i="5"/>
  <c r="E1642" i="5"/>
  <c r="F1642" i="5"/>
  <c r="C1643" i="4"/>
  <c r="D1643" i="4"/>
  <c r="E1643" i="4"/>
  <c r="F1643" i="4"/>
  <c r="G1643" i="4"/>
  <c r="H1643" i="4"/>
  <c r="C1643" i="5"/>
  <c r="D1643" i="5"/>
  <c r="E1643" i="5"/>
  <c r="F1643" i="5"/>
  <c r="C1644" i="4"/>
  <c r="D1644" i="4"/>
  <c r="E1644" i="4"/>
  <c r="F1644" i="4"/>
  <c r="G1644" i="4"/>
  <c r="H1644" i="4"/>
  <c r="C1644" i="5"/>
  <c r="D1644" i="5"/>
  <c r="E1644" i="5"/>
  <c r="F1644" i="5"/>
  <c r="C1645" i="4"/>
  <c r="D1645" i="4"/>
  <c r="E1645" i="4"/>
  <c r="F1645" i="4"/>
  <c r="G1645" i="4"/>
  <c r="H1645" i="4"/>
  <c r="C1645" i="5"/>
  <c r="D1645" i="5"/>
  <c r="E1645" i="5"/>
  <c r="F1645" i="5"/>
  <c r="C1646" i="4"/>
  <c r="D1646" i="4"/>
  <c r="E1646" i="4"/>
  <c r="F1646" i="4"/>
  <c r="G1646" i="4"/>
  <c r="H1646" i="4"/>
  <c r="C1646" i="5"/>
  <c r="D1646" i="5"/>
  <c r="E1646" i="5"/>
  <c r="F1646" i="5"/>
  <c r="C1647" i="4"/>
  <c r="D1647" i="4"/>
  <c r="E1647" i="4"/>
  <c r="F1647" i="4"/>
  <c r="G1647" i="4"/>
  <c r="H1647" i="4"/>
  <c r="C1647" i="5"/>
  <c r="D1647" i="5"/>
  <c r="E1647" i="5"/>
  <c r="F1647" i="5"/>
  <c r="C1648" i="4"/>
  <c r="D1648" i="4"/>
  <c r="E1648" i="4"/>
  <c r="F1648" i="4"/>
  <c r="G1648" i="4"/>
  <c r="H1648" i="4"/>
  <c r="C1648" i="5"/>
  <c r="D1648" i="5"/>
  <c r="E1648" i="5"/>
  <c r="F1648" i="5"/>
  <c r="C1649" i="4"/>
  <c r="D1649" i="4"/>
  <c r="E1649" i="4"/>
  <c r="F1649" i="4"/>
  <c r="G1649" i="4"/>
  <c r="H1649" i="4"/>
  <c r="C1649" i="5"/>
  <c r="D1649" i="5"/>
  <c r="E1649" i="5"/>
  <c r="F1649" i="5"/>
  <c r="C1650" i="4"/>
  <c r="D1650" i="4"/>
  <c r="E1650" i="4"/>
  <c r="F1650" i="4"/>
  <c r="G1650" i="4"/>
  <c r="H1650" i="4"/>
  <c r="C1650" i="5"/>
  <c r="D1650" i="5"/>
  <c r="E1650" i="5"/>
  <c r="F1650" i="5"/>
  <c r="C1651" i="4"/>
  <c r="D1651" i="4"/>
  <c r="E1651" i="4"/>
  <c r="F1651" i="4"/>
  <c r="G1651" i="4"/>
  <c r="H1651" i="4"/>
  <c r="C1651" i="5"/>
  <c r="D1651" i="5"/>
  <c r="E1651" i="5"/>
  <c r="F1651" i="5"/>
  <c r="C1652" i="4"/>
  <c r="D1652" i="4"/>
  <c r="E1652" i="4"/>
  <c r="F1652" i="4"/>
  <c r="G1652" i="4"/>
  <c r="H1652" i="4"/>
  <c r="C1652" i="5"/>
  <c r="D1652" i="5"/>
  <c r="E1652" i="5"/>
  <c r="F1652" i="5"/>
  <c r="C1653" i="4"/>
  <c r="D1653" i="4"/>
  <c r="E1653" i="4"/>
  <c r="F1653" i="4"/>
  <c r="G1653" i="4"/>
  <c r="H1653" i="4"/>
  <c r="C1653" i="5"/>
  <c r="D1653" i="5"/>
  <c r="E1653" i="5"/>
  <c r="F1653" i="5"/>
  <c r="C1654" i="4"/>
  <c r="D1654" i="4"/>
  <c r="E1654" i="4"/>
  <c r="F1654" i="4"/>
  <c r="G1654" i="4"/>
  <c r="H1654" i="4"/>
  <c r="C1654" i="5"/>
  <c r="D1654" i="5"/>
  <c r="E1654" i="5"/>
  <c r="F1654" i="5"/>
  <c r="C1655" i="4"/>
  <c r="D1655" i="4"/>
  <c r="E1655" i="4"/>
  <c r="F1655" i="4"/>
  <c r="G1655" i="4"/>
  <c r="H1655" i="4"/>
  <c r="C1655" i="5"/>
  <c r="D1655" i="5"/>
  <c r="E1655" i="5"/>
  <c r="F1655" i="5"/>
  <c r="C1656" i="4"/>
  <c r="D1656" i="4"/>
  <c r="E1656" i="4"/>
  <c r="F1656" i="4"/>
  <c r="G1656" i="4"/>
  <c r="H1656" i="4"/>
  <c r="C1656" i="5"/>
  <c r="D1656" i="5"/>
  <c r="E1656" i="5"/>
  <c r="F1656" i="5"/>
  <c r="C1657" i="4"/>
  <c r="D1657" i="4"/>
  <c r="E1657" i="4"/>
  <c r="F1657" i="4"/>
  <c r="G1657" i="4"/>
  <c r="H1657" i="4"/>
  <c r="C1657" i="5"/>
  <c r="D1657" i="5"/>
  <c r="E1657" i="5"/>
  <c r="F1657" i="5"/>
  <c r="C1658" i="4"/>
  <c r="D1658" i="4"/>
  <c r="E1658" i="4"/>
  <c r="F1658" i="4"/>
  <c r="G1658" i="4"/>
  <c r="H1658" i="4"/>
  <c r="C1658" i="5"/>
  <c r="D1658" i="5"/>
  <c r="E1658" i="5"/>
  <c r="F1658" i="5"/>
  <c r="C1659" i="4"/>
  <c r="D1659" i="4"/>
  <c r="E1659" i="4"/>
  <c r="F1659" i="4"/>
  <c r="G1659" i="4"/>
  <c r="H1659" i="4"/>
  <c r="C1659" i="5"/>
  <c r="D1659" i="5"/>
  <c r="E1659" i="5"/>
  <c r="F1659" i="5"/>
  <c r="C1660" i="4"/>
  <c r="D1660" i="4"/>
  <c r="E1660" i="4"/>
  <c r="F1660" i="4"/>
  <c r="G1660" i="4"/>
  <c r="H1660" i="4"/>
  <c r="C1660" i="5"/>
  <c r="D1660" i="5"/>
  <c r="E1660" i="5"/>
  <c r="F1660" i="5"/>
  <c r="C1661" i="4"/>
  <c r="D1661" i="4"/>
  <c r="E1661" i="4"/>
  <c r="F1661" i="4"/>
  <c r="G1661" i="4"/>
  <c r="H1661" i="4"/>
  <c r="C1661" i="5"/>
  <c r="D1661" i="5"/>
  <c r="E1661" i="5"/>
  <c r="F1661" i="5"/>
  <c r="C1662" i="4"/>
  <c r="D1662" i="4"/>
  <c r="E1662" i="4"/>
  <c r="F1662" i="4"/>
  <c r="G1662" i="4"/>
  <c r="H1662" i="4"/>
  <c r="C1662" i="5"/>
  <c r="D1662" i="5"/>
  <c r="E1662" i="5"/>
  <c r="F1662" i="5"/>
  <c r="C1663" i="4"/>
  <c r="D1663" i="4"/>
  <c r="E1663" i="4"/>
  <c r="F1663" i="4"/>
  <c r="G1663" i="4"/>
  <c r="H1663" i="4"/>
  <c r="C1663" i="5"/>
  <c r="D1663" i="5"/>
  <c r="E1663" i="5"/>
  <c r="F1663" i="5"/>
  <c r="C1664" i="4"/>
  <c r="D1664" i="4"/>
  <c r="E1664" i="4"/>
  <c r="F1664" i="4"/>
  <c r="G1664" i="4"/>
  <c r="H1664" i="4"/>
  <c r="C1664" i="5"/>
  <c r="D1664" i="5"/>
  <c r="E1664" i="5"/>
  <c r="F1664" i="5"/>
  <c r="C1665" i="4"/>
  <c r="D1665" i="4"/>
  <c r="E1665" i="4"/>
  <c r="F1665" i="4"/>
  <c r="G1665" i="4"/>
  <c r="H1665" i="4"/>
  <c r="C1665" i="5"/>
  <c r="D1665" i="5"/>
  <c r="E1665" i="5"/>
  <c r="F1665" i="5"/>
  <c r="C1666" i="4"/>
  <c r="D1666" i="4"/>
  <c r="E1666" i="4"/>
  <c r="F1666" i="4"/>
  <c r="G1666" i="4"/>
  <c r="H1666" i="4"/>
  <c r="C1666" i="5"/>
  <c r="D1666" i="5"/>
  <c r="E1666" i="5"/>
  <c r="F1666" i="5"/>
  <c r="C1667" i="4"/>
  <c r="D1667" i="4"/>
  <c r="E1667" i="4"/>
  <c r="F1667" i="4"/>
  <c r="G1667" i="4"/>
  <c r="H1667" i="4"/>
  <c r="C1667" i="5"/>
  <c r="D1667" i="5"/>
  <c r="E1667" i="5"/>
  <c r="F1667" i="5"/>
  <c r="C1668" i="4"/>
  <c r="D1668" i="4"/>
  <c r="E1668" i="4"/>
  <c r="F1668" i="4"/>
  <c r="G1668" i="4"/>
  <c r="H1668" i="4"/>
  <c r="C1668" i="5"/>
  <c r="D1668" i="5"/>
  <c r="E1668" i="5"/>
  <c r="F1668" i="5"/>
  <c r="C1669" i="4"/>
  <c r="D1669" i="4"/>
  <c r="E1669" i="4"/>
  <c r="F1669" i="4"/>
  <c r="G1669" i="4"/>
  <c r="H1669" i="4"/>
  <c r="C1669" i="5"/>
  <c r="D1669" i="5"/>
  <c r="E1669" i="5"/>
  <c r="F1669" i="5"/>
  <c r="C1670" i="4"/>
  <c r="D1670" i="4"/>
  <c r="E1670" i="4"/>
  <c r="F1670" i="4"/>
  <c r="G1670" i="4"/>
  <c r="H1670" i="4"/>
  <c r="C1670" i="5"/>
  <c r="D1670" i="5"/>
  <c r="E1670" i="5"/>
  <c r="F1670" i="5"/>
  <c r="C1671" i="4"/>
  <c r="D1671" i="4"/>
  <c r="E1671" i="4"/>
  <c r="F1671" i="4"/>
  <c r="G1671" i="4"/>
  <c r="H1671" i="4"/>
  <c r="C1671" i="5"/>
  <c r="D1671" i="5"/>
  <c r="E1671" i="5"/>
  <c r="F1671" i="5"/>
  <c r="C1672" i="4"/>
  <c r="D1672" i="4"/>
  <c r="E1672" i="4"/>
  <c r="F1672" i="4"/>
  <c r="G1672" i="4"/>
  <c r="H1672" i="4"/>
  <c r="C1672" i="5"/>
  <c r="D1672" i="5"/>
  <c r="E1672" i="5"/>
  <c r="F1672" i="5"/>
  <c r="C1673" i="4"/>
  <c r="D1673" i="4"/>
  <c r="E1673" i="4"/>
  <c r="F1673" i="4"/>
  <c r="G1673" i="4"/>
  <c r="H1673" i="4"/>
  <c r="C1673" i="5"/>
  <c r="D1673" i="5"/>
  <c r="E1673" i="5"/>
  <c r="F1673" i="5"/>
  <c r="C1674" i="4"/>
  <c r="D1674" i="4"/>
  <c r="E1674" i="4"/>
  <c r="F1674" i="4"/>
  <c r="G1674" i="4"/>
  <c r="H1674" i="4"/>
  <c r="C1674" i="5"/>
  <c r="D1674" i="5"/>
  <c r="E1674" i="5"/>
  <c r="F1674" i="5"/>
  <c r="C1675" i="4"/>
  <c r="D1675" i="4"/>
  <c r="E1675" i="4"/>
  <c r="F1675" i="4"/>
  <c r="G1675" i="4"/>
  <c r="H1675" i="4"/>
  <c r="C1675" i="5"/>
  <c r="D1675" i="5"/>
  <c r="E1675" i="5"/>
  <c r="F1675" i="5"/>
  <c r="C1676" i="4"/>
  <c r="D1676" i="4"/>
  <c r="E1676" i="4"/>
  <c r="F1676" i="4"/>
  <c r="G1676" i="4"/>
  <c r="H1676" i="4"/>
  <c r="C1676" i="5"/>
  <c r="D1676" i="5"/>
  <c r="E1676" i="5"/>
  <c r="F1676" i="5"/>
  <c r="C1677" i="4"/>
  <c r="D1677" i="4"/>
  <c r="E1677" i="4"/>
  <c r="F1677" i="4"/>
  <c r="G1677" i="4"/>
  <c r="H1677" i="4"/>
  <c r="C1677" i="5"/>
  <c r="D1677" i="5"/>
  <c r="E1677" i="5"/>
  <c r="F1677" i="5"/>
  <c r="C1678" i="4"/>
  <c r="D1678" i="4"/>
  <c r="E1678" i="4"/>
  <c r="F1678" i="4"/>
  <c r="G1678" i="4"/>
  <c r="H1678" i="4"/>
  <c r="C1678" i="5"/>
  <c r="D1678" i="5"/>
  <c r="E1678" i="5"/>
  <c r="F1678" i="5"/>
  <c r="C1679" i="4"/>
  <c r="D1679" i="4"/>
  <c r="E1679" i="4"/>
  <c r="F1679" i="4"/>
  <c r="G1679" i="4"/>
  <c r="H1679" i="4"/>
  <c r="C1679" i="5"/>
  <c r="D1679" i="5"/>
  <c r="E1679" i="5"/>
  <c r="F1679" i="5"/>
  <c r="C1680" i="4"/>
  <c r="D1680" i="4"/>
  <c r="E1680" i="4"/>
  <c r="F1680" i="4"/>
  <c r="G1680" i="4"/>
  <c r="H1680" i="4"/>
  <c r="C1680" i="5"/>
  <c r="D1680" i="5"/>
  <c r="E1680" i="5"/>
  <c r="F1680" i="5"/>
  <c r="C1681" i="4"/>
  <c r="D1681" i="4"/>
  <c r="E1681" i="4"/>
  <c r="F1681" i="4"/>
  <c r="G1681" i="4"/>
  <c r="H1681" i="4"/>
  <c r="C1681" i="5"/>
  <c r="D1681" i="5"/>
  <c r="E1681" i="5"/>
  <c r="F1681" i="5"/>
  <c r="C1682" i="4"/>
  <c r="D1682" i="4"/>
  <c r="E1682" i="4"/>
  <c r="F1682" i="4"/>
  <c r="G1682" i="4"/>
  <c r="H1682" i="4"/>
  <c r="C1682" i="5"/>
  <c r="D1682" i="5"/>
  <c r="E1682" i="5"/>
  <c r="F1682" i="5"/>
  <c r="C1683" i="4"/>
  <c r="D1683" i="4"/>
  <c r="E1683" i="4"/>
  <c r="F1683" i="4"/>
  <c r="G1683" i="4"/>
  <c r="H1683" i="4"/>
  <c r="C1683" i="5"/>
  <c r="D1683" i="5"/>
  <c r="E1683" i="5"/>
  <c r="F1683" i="5"/>
  <c r="C1684" i="4"/>
  <c r="D1684" i="4"/>
  <c r="E1684" i="4"/>
  <c r="F1684" i="4"/>
  <c r="G1684" i="4"/>
  <c r="H1684" i="4"/>
  <c r="C1684" i="5"/>
  <c r="D1684" i="5"/>
  <c r="E1684" i="5"/>
  <c r="F1684" i="5"/>
  <c r="C1685" i="4"/>
  <c r="D1685" i="4"/>
  <c r="E1685" i="4"/>
  <c r="F1685" i="4"/>
  <c r="G1685" i="4"/>
  <c r="H1685" i="4"/>
  <c r="C1685" i="5"/>
  <c r="D1685" i="5"/>
  <c r="E1685" i="5"/>
  <c r="F1685" i="5"/>
  <c r="C1686" i="4"/>
  <c r="D1686" i="4"/>
  <c r="E1686" i="4"/>
  <c r="F1686" i="4"/>
  <c r="G1686" i="4"/>
  <c r="H1686" i="4"/>
  <c r="C1686" i="5"/>
  <c r="D1686" i="5"/>
  <c r="E1686" i="5"/>
  <c r="F1686" i="5"/>
  <c r="C1687" i="4"/>
  <c r="D1687" i="4"/>
  <c r="E1687" i="4"/>
  <c r="F1687" i="4"/>
  <c r="G1687" i="4"/>
  <c r="H1687" i="4"/>
  <c r="C1687" i="5"/>
  <c r="D1687" i="5"/>
  <c r="E1687" i="5"/>
  <c r="F1687" i="5"/>
  <c r="C1688" i="4"/>
  <c r="D1688" i="4"/>
  <c r="E1688" i="4"/>
  <c r="F1688" i="4"/>
  <c r="G1688" i="4"/>
  <c r="H1688" i="4"/>
  <c r="C1688" i="5"/>
  <c r="D1688" i="5"/>
  <c r="E1688" i="5"/>
  <c r="F1688" i="5"/>
  <c r="C1689" i="4"/>
  <c r="D1689" i="4"/>
  <c r="E1689" i="4"/>
  <c r="F1689" i="4"/>
  <c r="G1689" i="4"/>
  <c r="H1689" i="4"/>
  <c r="C1689" i="5"/>
  <c r="D1689" i="5"/>
  <c r="E1689" i="5"/>
  <c r="F1689" i="5"/>
  <c r="C1690" i="4"/>
  <c r="D1690" i="4"/>
  <c r="E1690" i="4"/>
  <c r="F1690" i="4"/>
  <c r="G1690" i="4"/>
  <c r="H1690" i="4"/>
  <c r="C1690" i="5"/>
  <c r="D1690" i="5"/>
  <c r="E1690" i="5"/>
  <c r="F1690" i="5"/>
  <c r="C1691" i="4"/>
  <c r="D1691" i="4"/>
  <c r="E1691" i="4"/>
  <c r="F1691" i="4"/>
  <c r="G1691" i="4"/>
  <c r="H1691" i="4"/>
  <c r="C1691" i="5"/>
  <c r="D1691" i="5"/>
  <c r="E1691" i="5"/>
  <c r="F1691" i="5"/>
  <c r="C1692" i="4"/>
  <c r="D1692" i="4"/>
  <c r="E1692" i="4"/>
  <c r="F1692" i="4"/>
  <c r="G1692" i="4"/>
  <c r="H1692" i="4"/>
  <c r="C1692" i="5"/>
  <c r="D1692" i="5"/>
  <c r="E1692" i="5"/>
  <c r="F1692" i="5"/>
  <c r="C1693" i="4"/>
  <c r="D1693" i="4"/>
  <c r="E1693" i="4"/>
  <c r="F1693" i="4"/>
  <c r="G1693" i="4"/>
  <c r="H1693" i="4"/>
  <c r="C1693" i="5"/>
  <c r="D1693" i="5"/>
  <c r="E1693" i="5"/>
  <c r="F1693" i="5"/>
  <c r="C1694" i="4"/>
  <c r="D1694" i="4"/>
  <c r="E1694" i="4"/>
  <c r="F1694" i="4"/>
  <c r="G1694" i="4"/>
  <c r="H1694" i="4"/>
  <c r="C1694" i="5"/>
  <c r="D1694" i="5"/>
  <c r="E1694" i="5"/>
  <c r="F1694" i="5"/>
  <c r="C1695" i="4"/>
  <c r="D1695" i="4"/>
  <c r="E1695" i="4"/>
  <c r="F1695" i="4"/>
  <c r="G1695" i="4"/>
  <c r="H1695" i="4"/>
  <c r="C1695" i="5"/>
  <c r="D1695" i="5"/>
  <c r="E1695" i="5"/>
  <c r="F1695" i="5"/>
  <c r="C1696" i="4"/>
  <c r="D1696" i="4"/>
  <c r="E1696" i="4"/>
  <c r="F1696" i="4"/>
  <c r="G1696" i="4"/>
  <c r="H1696" i="4"/>
  <c r="C1696" i="5"/>
  <c r="D1696" i="5"/>
  <c r="E1696" i="5"/>
  <c r="F1696" i="5"/>
  <c r="C1697" i="4"/>
  <c r="D1697" i="4"/>
  <c r="E1697" i="4"/>
  <c r="F1697" i="4"/>
  <c r="G1697" i="4"/>
  <c r="H1697" i="4"/>
  <c r="C1697" i="5"/>
  <c r="D1697" i="5"/>
  <c r="E1697" i="5"/>
  <c r="F1697" i="5"/>
  <c r="C1698" i="4"/>
  <c r="D1698" i="4"/>
  <c r="E1698" i="4"/>
  <c r="F1698" i="4"/>
  <c r="G1698" i="4"/>
  <c r="H1698" i="4"/>
  <c r="C1698" i="5"/>
  <c r="D1698" i="5"/>
  <c r="E1698" i="5"/>
  <c r="F1698" i="5"/>
  <c r="C1699" i="4"/>
  <c r="D1699" i="4"/>
  <c r="E1699" i="4"/>
  <c r="F1699" i="4"/>
  <c r="G1699" i="4"/>
  <c r="H1699" i="4"/>
  <c r="C1699" i="5"/>
  <c r="D1699" i="5"/>
  <c r="F1699" i="5"/>
  <c r="E1699" i="5"/>
  <c r="C1700" i="4"/>
  <c r="D1700" i="4"/>
  <c r="E1700" i="4"/>
  <c r="F1700" i="4"/>
  <c r="G1700" i="4"/>
  <c r="H1700" i="4"/>
  <c r="C1700" i="5"/>
  <c r="D1700" i="5"/>
  <c r="F1700" i="5"/>
  <c r="E1700" i="5"/>
  <c r="C1701" i="4"/>
  <c r="D1701" i="4"/>
  <c r="E1701" i="4"/>
  <c r="F1701" i="4"/>
  <c r="G1701" i="4"/>
  <c r="H1701" i="4"/>
  <c r="C1701" i="5"/>
  <c r="D1701" i="5"/>
  <c r="F1701" i="5"/>
  <c r="E1701" i="5"/>
  <c r="C1702" i="4"/>
  <c r="D1702" i="4"/>
  <c r="E1702" i="4"/>
  <c r="F1702" i="4"/>
  <c r="G1702" i="4"/>
  <c r="H1702" i="4"/>
  <c r="C1702" i="5"/>
  <c r="D1702" i="5"/>
  <c r="F1702" i="5"/>
  <c r="E1702" i="5"/>
  <c r="C1703" i="4"/>
  <c r="D1703" i="4"/>
  <c r="E1703" i="4"/>
  <c r="F1703" i="4"/>
  <c r="G1703" i="4"/>
  <c r="H1703" i="4"/>
  <c r="C1703" i="5"/>
  <c r="D1703" i="5"/>
  <c r="F1703" i="5"/>
  <c r="E1703" i="5"/>
  <c r="C1704" i="4"/>
  <c r="D1704" i="4"/>
  <c r="E1704" i="4"/>
  <c r="F1704" i="4"/>
  <c r="G1704" i="4"/>
  <c r="H1704" i="4"/>
  <c r="C1704" i="5"/>
  <c r="D1704" i="5"/>
  <c r="F1704" i="5"/>
  <c r="E1704" i="5"/>
  <c r="C1705" i="4"/>
  <c r="D1705" i="4"/>
  <c r="E1705" i="4"/>
  <c r="F1705" i="4"/>
  <c r="G1705" i="4"/>
  <c r="H1705" i="4"/>
  <c r="C1705" i="5"/>
  <c r="D1705" i="5"/>
  <c r="F1705" i="5"/>
  <c r="E1705" i="5"/>
  <c r="C1706" i="4"/>
  <c r="D1706" i="4"/>
  <c r="E1706" i="4"/>
  <c r="F1706" i="4"/>
  <c r="G1706" i="4"/>
  <c r="H1706" i="4"/>
  <c r="C1706" i="5"/>
  <c r="D1706" i="5"/>
  <c r="F1706" i="5"/>
  <c r="E1706" i="5"/>
  <c r="C1707" i="4"/>
  <c r="D1707" i="4"/>
  <c r="E1707" i="4"/>
  <c r="F1707" i="4"/>
  <c r="G1707" i="4"/>
  <c r="H1707" i="4"/>
  <c r="C1707" i="5"/>
  <c r="D1707" i="5"/>
  <c r="F1707" i="5"/>
  <c r="E1707" i="5"/>
  <c r="C1708" i="4"/>
  <c r="D1708" i="4"/>
  <c r="E1708" i="4"/>
  <c r="F1708" i="4"/>
  <c r="G1708" i="4"/>
  <c r="H1708" i="4"/>
  <c r="C1708" i="5"/>
  <c r="D1708" i="5"/>
  <c r="F1708" i="5"/>
  <c r="E1708" i="5"/>
  <c r="C1709" i="4"/>
  <c r="D1709" i="4"/>
  <c r="E1709" i="4"/>
  <c r="F1709" i="4"/>
  <c r="G1709" i="4"/>
  <c r="H1709" i="4"/>
  <c r="C1709" i="5"/>
  <c r="D1709" i="5"/>
  <c r="F1709" i="5"/>
  <c r="E1709" i="5"/>
  <c r="C1710" i="4"/>
  <c r="D1710" i="4"/>
  <c r="E1710" i="4"/>
  <c r="F1710" i="4"/>
  <c r="G1710" i="4"/>
  <c r="H1710" i="4"/>
  <c r="C1710" i="5"/>
  <c r="D1710" i="5"/>
  <c r="F1710" i="5"/>
  <c r="E1710" i="5"/>
  <c r="C1711" i="4"/>
  <c r="D1711" i="4"/>
  <c r="E1711" i="4"/>
  <c r="F1711" i="4"/>
  <c r="G1711" i="4"/>
  <c r="H1711" i="4"/>
  <c r="C1711" i="5"/>
  <c r="D1711" i="5"/>
  <c r="F1711" i="5"/>
  <c r="E1711" i="5"/>
  <c r="C1712" i="4"/>
  <c r="D1712" i="4"/>
  <c r="E1712" i="4"/>
  <c r="F1712" i="4"/>
  <c r="G1712" i="4"/>
  <c r="H1712" i="4"/>
  <c r="C1712" i="5"/>
  <c r="D1712" i="5"/>
  <c r="F1712" i="5"/>
  <c r="E1712" i="5"/>
  <c r="C1713" i="4"/>
  <c r="D1713" i="4"/>
  <c r="E1713" i="4"/>
  <c r="F1713" i="4"/>
  <c r="G1713" i="4"/>
  <c r="H1713" i="4"/>
  <c r="C1713" i="5"/>
  <c r="D1713" i="5"/>
  <c r="F1713" i="5"/>
  <c r="E1713" i="5"/>
  <c r="C1714" i="4"/>
  <c r="D1714" i="4"/>
  <c r="E1714" i="4"/>
  <c r="F1714" i="4"/>
  <c r="G1714" i="4"/>
  <c r="H1714" i="4"/>
  <c r="C1714" i="5"/>
  <c r="D1714" i="5"/>
  <c r="F1714" i="5"/>
  <c r="E1714" i="5"/>
  <c r="C1715" i="4"/>
  <c r="D1715" i="4"/>
  <c r="E1715" i="4"/>
  <c r="F1715" i="4"/>
  <c r="G1715" i="4"/>
  <c r="H1715" i="4"/>
  <c r="C1715" i="5"/>
  <c r="D1715" i="5"/>
  <c r="F1715" i="5"/>
  <c r="E1715" i="5"/>
  <c r="C1716" i="4"/>
  <c r="D1716" i="4"/>
  <c r="E1716" i="4"/>
  <c r="F1716" i="4"/>
  <c r="G1716" i="4"/>
  <c r="H1716" i="4"/>
  <c r="C1716" i="5"/>
  <c r="D1716" i="5"/>
  <c r="F1716" i="5"/>
  <c r="E1716" i="5"/>
  <c r="C1717" i="4"/>
  <c r="D1717" i="4"/>
  <c r="E1717" i="4"/>
  <c r="F1717" i="4"/>
  <c r="G1717" i="4"/>
  <c r="H1717" i="4"/>
  <c r="C1717" i="5"/>
  <c r="D1717" i="5"/>
  <c r="F1717" i="5"/>
  <c r="E1717" i="5"/>
  <c r="C1718" i="4"/>
  <c r="D1718" i="4"/>
  <c r="E1718" i="4"/>
  <c r="F1718" i="4"/>
  <c r="G1718" i="4"/>
  <c r="H1718" i="4"/>
  <c r="C1718" i="5"/>
  <c r="D1718" i="5"/>
  <c r="F1718" i="5"/>
  <c r="E1718" i="5"/>
  <c r="C1719" i="4"/>
  <c r="D1719" i="4"/>
  <c r="E1719" i="4"/>
  <c r="F1719" i="4"/>
  <c r="G1719" i="4"/>
  <c r="H1719" i="4"/>
  <c r="C1719" i="5"/>
  <c r="D1719" i="5"/>
  <c r="F1719" i="5"/>
  <c r="E1719" i="5"/>
  <c r="C1720" i="4"/>
  <c r="D1720" i="4"/>
  <c r="E1720" i="4"/>
  <c r="F1720" i="4"/>
  <c r="G1720" i="4"/>
  <c r="H1720" i="4"/>
  <c r="C1720" i="5"/>
  <c r="D1720" i="5"/>
  <c r="F1720" i="5"/>
  <c r="E1720" i="5"/>
  <c r="C1721" i="4"/>
  <c r="D1721" i="4"/>
  <c r="E1721" i="4"/>
  <c r="F1721" i="4"/>
  <c r="G1721" i="4"/>
  <c r="H1721" i="4"/>
  <c r="C1721" i="5"/>
  <c r="D1721" i="5"/>
  <c r="F1721" i="5"/>
  <c r="E1721" i="5"/>
  <c r="C1722" i="4"/>
  <c r="D1722" i="4"/>
  <c r="E1722" i="4"/>
  <c r="F1722" i="4"/>
  <c r="G1722" i="4"/>
  <c r="H1722" i="4"/>
  <c r="C1722" i="5"/>
  <c r="D1722" i="5"/>
  <c r="F1722" i="5"/>
  <c r="E1722" i="5"/>
  <c r="C1723" i="4"/>
  <c r="D1723" i="4"/>
  <c r="E1723" i="4"/>
  <c r="F1723" i="4"/>
  <c r="G1723" i="4"/>
  <c r="H1723" i="4"/>
  <c r="C1723" i="5"/>
  <c r="D1723" i="5"/>
  <c r="F1723" i="5"/>
  <c r="E1723" i="5"/>
  <c r="C1724" i="4"/>
  <c r="D1724" i="4"/>
  <c r="E1724" i="4"/>
  <c r="F1724" i="4"/>
  <c r="G1724" i="4"/>
  <c r="H1724" i="4"/>
  <c r="C1724" i="5"/>
  <c r="D1724" i="5"/>
  <c r="F1724" i="5"/>
  <c r="E1724" i="5"/>
  <c r="C1725" i="4"/>
  <c r="D1725" i="4"/>
  <c r="E1725" i="4"/>
  <c r="F1725" i="4"/>
  <c r="G1725" i="4"/>
  <c r="H1725" i="4"/>
  <c r="C1725" i="5"/>
  <c r="D1725" i="5"/>
  <c r="F1725" i="5"/>
  <c r="E1725" i="5"/>
  <c r="C1726" i="4"/>
  <c r="D1726" i="4"/>
  <c r="E1726" i="4"/>
  <c r="F1726" i="4"/>
  <c r="G1726" i="4"/>
  <c r="H1726" i="4"/>
  <c r="C1726" i="5"/>
  <c r="D1726" i="5"/>
  <c r="F1726" i="5"/>
  <c r="E1726" i="5"/>
  <c r="C1727" i="4"/>
  <c r="D1727" i="4"/>
  <c r="E1727" i="4"/>
  <c r="F1727" i="4"/>
  <c r="G1727" i="4"/>
  <c r="H1727" i="4"/>
  <c r="C1727" i="5"/>
  <c r="D1727" i="5"/>
  <c r="F1727" i="5"/>
  <c r="E1727" i="5"/>
  <c r="C1728" i="4"/>
  <c r="D1728" i="4"/>
  <c r="E1728" i="4"/>
  <c r="F1728" i="4"/>
  <c r="G1728" i="4"/>
  <c r="H1728" i="4"/>
  <c r="C1728" i="5"/>
  <c r="D1728" i="5"/>
  <c r="F1728" i="5"/>
  <c r="E1728" i="5"/>
  <c r="C1729" i="4"/>
  <c r="D1729" i="4"/>
  <c r="E1729" i="4"/>
  <c r="F1729" i="4"/>
  <c r="G1729" i="4"/>
  <c r="H1729" i="4"/>
  <c r="C1729" i="5"/>
  <c r="D1729" i="5"/>
  <c r="F1729" i="5"/>
  <c r="E1729" i="5"/>
  <c r="C1730" i="4"/>
  <c r="D1730" i="4"/>
  <c r="E1730" i="4"/>
  <c r="F1730" i="4"/>
  <c r="G1730" i="4"/>
  <c r="H1730" i="4"/>
  <c r="C1730" i="5"/>
  <c r="D1730" i="5"/>
  <c r="F1730" i="5"/>
  <c r="E1730" i="5"/>
  <c r="C1731" i="4"/>
  <c r="D1731" i="4"/>
  <c r="E1731" i="4"/>
  <c r="F1731" i="4"/>
  <c r="G1731" i="4"/>
  <c r="H1731" i="4"/>
  <c r="C1731" i="5"/>
  <c r="D1731" i="5"/>
  <c r="F1731" i="5"/>
  <c r="E1731" i="5"/>
  <c r="C1732" i="4"/>
  <c r="D1732" i="4"/>
  <c r="E1732" i="4"/>
  <c r="F1732" i="4"/>
  <c r="G1732" i="4"/>
  <c r="H1732" i="4"/>
  <c r="C1732" i="5"/>
  <c r="D1732" i="5"/>
  <c r="F1732" i="5"/>
  <c r="E1732" i="5"/>
  <c r="C1733" i="4"/>
  <c r="D1733" i="4"/>
  <c r="E1733" i="4"/>
  <c r="F1733" i="4"/>
  <c r="G1733" i="4"/>
  <c r="H1733" i="4"/>
  <c r="C1733" i="5"/>
  <c r="D1733" i="5"/>
  <c r="F1733" i="5"/>
  <c r="E1733" i="5"/>
  <c r="C1734" i="4"/>
  <c r="D1734" i="4"/>
  <c r="E1734" i="4"/>
  <c r="F1734" i="4"/>
  <c r="G1734" i="4"/>
  <c r="H1734" i="4"/>
  <c r="C1734" i="5"/>
  <c r="D1734" i="5"/>
  <c r="F1734" i="5"/>
  <c r="E1734" i="5"/>
  <c r="C1735" i="4"/>
  <c r="D1735" i="4"/>
  <c r="E1735" i="4"/>
  <c r="F1735" i="4"/>
  <c r="G1735" i="4"/>
  <c r="H1735" i="4"/>
  <c r="C1735" i="5"/>
  <c r="D1735" i="5"/>
  <c r="F1735" i="5"/>
  <c r="E1735" i="5"/>
  <c r="C1736" i="4"/>
  <c r="D1736" i="4"/>
  <c r="E1736" i="4"/>
  <c r="F1736" i="4"/>
  <c r="G1736" i="4"/>
  <c r="H1736" i="4"/>
  <c r="C1736" i="5"/>
  <c r="D1736" i="5"/>
  <c r="F1736" i="5"/>
  <c r="E1736" i="5"/>
  <c r="C1737" i="4"/>
  <c r="D1737" i="4"/>
  <c r="E1737" i="4"/>
  <c r="F1737" i="4"/>
  <c r="G1737" i="4"/>
  <c r="H1737" i="4"/>
  <c r="C1737" i="5"/>
  <c r="D1737" i="5"/>
  <c r="F1737" i="5"/>
  <c r="E1737" i="5"/>
  <c r="C1738" i="4"/>
  <c r="D1738" i="4"/>
  <c r="E1738" i="4"/>
  <c r="F1738" i="4"/>
  <c r="G1738" i="4"/>
  <c r="H1738" i="4"/>
  <c r="C1738" i="5"/>
  <c r="D1738" i="5"/>
  <c r="F1738" i="5"/>
  <c r="E1738" i="5"/>
  <c r="C1739" i="4"/>
  <c r="D1739" i="4"/>
  <c r="E1739" i="4"/>
  <c r="F1739" i="4"/>
  <c r="G1739" i="4"/>
  <c r="H1739" i="4"/>
  <c r="C1739" i="5"/>
  <c r="D1739" i="5"/>
  <c r="F1739" i="5"/>
  <c r="E1739" i="5"/>
  <c r="C1740" i="4"/>
  <c r="D1740" i="4"/>
  <c r="E1740" i="4"/>
  <c r="F1740" i="4"/>
  <c r="G1740" i="4"/>
  <c r="H1740" i="4"/>
  <c r="C1740" i="5"/>
  <c r="D1740" i="5"/>
  <c r="F1740" i="5"/>
  <c r="E1740" i="5"/>
  <c r="C1741" i="4"/>
  <c r="D1741" i="4"/>
  <c r="E1741" i="4"/>
  <c r="F1741" i="4"/>
  <c r="G1741" i="4"/>
  <c r="H1741" i="4"/>
  <c r="C1741" i="5"/>
  <c r="D1741" i="5"/>
  <c r="F1741" i="5"/>
  <c r="E1741" i="5"/>
  <c r="C1742" i="4"/>
  <c r="D1742" i="4"/>
  <c r="E1742" i="4"/>
  <c r="F1742" i="4"/>
  <c r="G1742" i="4"/>
  <c r="H1742" i="4"/>
  <c r="C1742" i="5"/>
  <c r="D1742" i="5"/>
  <c r="F1742" i="5"/>
  <c r="E1742" i="5"/>
  <c r="C1743" i="4"/>
  <c r="D1743" i="4"/>
  <c r="E1743" i="4"/>
  <c r="F1743" i="4"/>
  <c r="G1743" i="4"/>
  <c r="H1743" i="4"/>
  <c r="C1743" i="5"/>
  <c r="D1743" i="5"/>
  <c r="F1743" i="5"/>
  <c r="E1743" i="5"/>
  <c r="C1744" i="4"/>
  <c r="D1744" i="4"/>
  <c r="E1744" i="4"/>
  <c r="F1744" i="4"/>
  <c r="G1744" i="4"/>
  <c r="H1744" i="4"/>
  <c r="C1744" i="5"/>
  <c r="D1744" i="5"/>
  <c r="F1744" i="5"/>
  <c r="E1744" i="5"/>
  <c r="C1745" i="4"/>
  <c r="D1745" i="4"/>
  <c r="E1745" i="4"/>
  <c r="F1745" i="4"/>
  <c r="G1745" i="4"/>
  <c r="H1745" i="4"/>
  <c r="C1745" i="5"/>
  <c r="D1745" i="5"/>
  <c r="F1745" i="5"/>
  <c r="E1745" i="5"/>
  <c r="C1746" i="4"/>
  <c r="D1746" i="4"/>
  <c r="E1746" i="4"/>
  <c r="F1746" i="4"/>
  <c r="G1746" i="4"/>
  <c r="H1746" i="4"/>
  <c r="C1746" i="5"/>
  <c r="D1746" i="5"/>
  <c r="F1746" i="5"/>
  <c r="E1746" i="5"/>
  <c r="C1747" i="4"/>
  <c r="D1747" i="4"/>
  <c r="E1747" i="4"/>
  <c r="F1747" i="4"/>
  <c r="G1747" i="4"/>
  <c r="H1747" i="4"/>
  <c r="C1747" i="5"/>
  <c r="D1747" i="5"/>
  <c r="F1747" i="5"/>
  <c r="E1747" i="5"/>
  <c r="C1748" i="4"/>
  <c r="D1748" i="4"/>
  <c r="E1748" i="4"/>
  <c r="F1748" i="4"/>
  <c r="G1748" i="4"/>
  <c r="H1748" i="4"/>
  <c r="C1748" i="5"/>
  <c r="D1748" i="5"/>
  <c r="F1748" i="5"/>
  <c r="E1748" i="5"/>
  <c r="C1749" i="4"/>
  <c r="D1749" i="4"/>
  <c r="E1749" i="4"/>
  <c r="F1749" i="4"/>
  <c r="G1749" i="4"/>
  <c r="H1749" i="4"/>
  <c r="C1749" i="5"/>
  <c r="D1749" i="5"/>
  <c r="F1749" i="5"/>
  <c r="E1749" i="5"/>
  <c r="C1750" i="4"/>
  <c r="D1750" i="4"/>
  <c r="E1750" i="4"/>
  <c r="F1750" i="4"/>
  <c r="G1750" i="4"/>
  <c r="H1750" i="4"/>
  <c r="C1750" i="5"/>
  <c r="D1750" i="5"/>
  <c r="F1750" i="5"/>
  <c r="E1750" i="5"/>
  <c r="C1751" i="4"/>
  <c r="D1751" i="4"/>
  <c r="E1751" i="4"/>
  <c r="F1751" i="4"/>
  <c r="G1751" i="4"/>
  <c r="H1751" i="4"/>
  <c r="C1751" i="5"/>
  <c r="D1751" i="5"/>
  <c r="F1751" i="5"/>
  <c r="E1751" i="5"/>
  <c r="C1752" i="4"/>
  <c r="D1752" i="4"/>
  <c r="E1752" i="4"/>
  <c r="F1752" i="4"/>
  <c r="G1752" i="4"/>
  <c r="H1752" i="4"/>
  <c r="C1752" i="5"/>
  <c r="D1752" i="5"/>
  <c r="F1752" i="5"/>
  <c r="E1752" i="5"/>
  <c r="C1753" i="4"/>
  <c r="D1753" i="4"/>
  <c r="E1753" i="4"/>
  <c r="F1753" i="4"/>
  <c r="G1753" i="4"/>
  <c r="H1753" i="4"/>
  <c r="C1753" i="5"/>
  <c r="D1753" i="5"/>
  <c r="F1753" i="5"/>
  <c r="E1753" i="5"/>
  <c r="C1754" i="4"/>
  <c r="D1754" i="4"/>
  <c r="E1754" i="4"/>
  <c r="F1754" i="4"/>
  <c r="G1754" i="4"/>
  <c r="H1754" i="4"/>
  <c r="C1754" i="5"/>
  <c r="D1754" i="5"/>
  <c r="F1754" i="5"/>
  <c r="E1754" i="5"/>
  <c r="C1755" i="4"/>
  <c r="D1755" i="4"/>
  <c r="E1755" i="4"/>
  <c r="F1755" i="4"/>
  <c r="G1755" i="4"/>
  <c r="H1755" i="4"/>
  <c r="C1755" i="5"/>
  <c r="D1755" i="5"/>
  <c r="F1755" i="5"/>
  <c r="E1755" i="5"/>
  <c r="C1756" i="4"/>
  <c r="D1756" i="4"/>
  <c r="E1756" i="4"/>
  <c r="F1756" i="4"/>
  <c r="G1756" i="4"/>
  <c r="H1756" i="4"/>
  <c r="C1756" i="5"/>
  <c r="D1756" i="5"/>
  <c r="F1756" i="5"/>
  <c r="E1756" i="5"/>
  <c r="C1757" i="4"/>
  <c r="D1757" i="4"/>
  <c r="E1757" i="4"/>
  <c r="F1757" i="4"/>
  <c r="G1757" i="4"/>
  <c r="H1757" i="4"/>
  <c r="C1757" i="5"/>
  <c r="D1757" i="5"/>
  <c r="F1757" i="5"/>
  <c r="E1757" i="5"/>
  <c r="C1758" i="4"/>
  <c r="D1758" i="4"/>
  <c r="E1758" i="4"/>
  <c r="F1758" i="4"/>
  <c r="G1758" i="4"/>
  <c r="H1758" i="4"/>
  <c r="C1758" i="5"/>
  <c r="D1758" i="5"/>
  <c r="F1758" i="5"/>
  <c r="E1758" i="5"/>
  <c r="C1759" i="4"/>
  <c r="D1759" i="4"/>
  <c r="E1759" i="4"/>
  <c r="F1759" i="4"/>
  <c r="G1759" i="4"/>
  <c r="H1759" i="4"/>
  <c r="C1759" i="5"/>
  <c r="D1759" i="5"/>
  <c r="F1759" i="5"/>
  <c r="E1759" i="5"/>
  <c r="C1760" i="4"/>
  <c r="D1760" i="4"/>
  <c r="E1760" i="4"/>
  <c r="F1760" i="4"/>
  <c r="G1760" i="4"/>
  <c r="H1760" i="4"/>
  <c r="C1760" i="5"/>
  <c r="D1760" i="5"/>
  <c r="F1760" i="5"/>
  <c r="E1760" i="5"/>
  <c r="C1761" i="4"/>
  <c r="D1761" i="4"/>
  <c r="E1761" i="4"/>
  <c r="F1761" i="4"/>
  <c r="G1761" i="4"/>
  <c r="H1761" i="4"/>
  <c r="C1761" i="5"/>
  <c r="D1761" i="5"/>
  <c r="F1761" i="5"/>
  <c r="E1761" i="5"/>
  <c r="C1762" i="4"/>
  <c r="D1762" i="4"/>
  <c r="E1762" i="4"/>
  <c r="F1762" i="4"/>
  <c r="G1762" i="4"/>
  <c r="H1762" i="4"/>
  <c r="C1762" i="5"/>
  <c r="D1762" i="5"/>
  <c r="F1762" i="5"/>
  <c r="E1762" i="5"/>
  <c r="C1763" i="4"/>
  <c r="D1763" i="4"/>
  <c r="E1763" i="4"/>
  <c r="F1763" i="4"/>
  <c r="G1763" i="4"/>
  <c r="H1763" i="4"/>
  <c r="C1763" i="5"/>
  <c r="D1763" i="5"/>
  <c r="F1763" i="5"/>
  <c r="E1763" i="5"/>
  <c r="C1764" i="4"/>
  <c r="D1764" i="4"/>
  <c r="E1764" i="4"/>
  <c r="F1764" i="4"/>
  <c r="G1764" i="4"/>
  <c r="H1764" i="4"/>
  <c r="C1764" i="5"/>
  <c r="D1764" i="5"/>
  <c r="F1764" i="5"/>
  <c r="E1764" i="5"/>
  <c r="C1765" i="4"/>
  <c r="D1765" i="4"/>
  <c r="E1765" i="4"/>
  <c r="F1765" i="4"/>
  <c r="G1765" i="4"/>
  <c r="H1765" i="4"/>
  <c r="C1765" i="5"/>
  <c r="D1765" i="5"/>
  <c r="F1765" i="5"/>
  <c r="E1765" i="5"/>
  <c r="C1766" i="4"/>
  <c r="D1766" i="4"/>
  <c r="E1766" i="4"/>
  <c r="F1766" i="4"/>
  <c r="G1766" i="4"/>
  <c r="H1766" i="4"/>
  <c r="C1766" i="5"/>
  <c r="D1766" i="5"/>
  <c r="F1766" i="5"/>
  <c r="E1766" i="5"/>
  <c r="C1767" i="4"/>
  <c r="D1767" i="4"/>
  <c r="E1767" i="4"/>
  <c r="F1767" i="4"/>
  <c r="G1767" i="4"/>
  <c r="H1767" i="4"/>
  <c r="C1767" i="5"/>
  <c r="D1767" i="5"/>
  <c r="F1767" i="5"/>
  <c r="E1767" i="5"/>
  <c r="C1768" i="4"/>
  <c r="D1768" i="4"/>
  <c r="E1768" i="4"/>
  <c r="F1768" i="4"/>
  <c r="G1768" i="4"/>
  <c r="H1768" i="4"/>
  <c r="C1768" i="5"/>
  <c r="D1768" i="5"/>
  <c r="F1768" i="5"/>
  <c r="E1768" i="5"/>
  <c r="C1769" i="4"/>
  <c r="D1769" i="4"/>
  <c r="E1769" i="4"/>
  <c r="F1769" i="4"/>
  <c r="G1769" i="4"/>
  <c r="H1769" i="4"/>
  <c r="C1769" i="5"/>
  <c r="D1769" i="5"/>
  <c r="F1769" i="5"/>
  <c r="E1769" i="5"/>
  <c r="C1770" i="4"/>
  <c r="D1770" i="4"/>
  <c r="E1770" i="4"/>
  <c r="F1770" i="4"/>
  <c r="G1770" i="4"/>
  <c r="H1770" i="4"/>
  <c r="C1770" i="5"/>
  <c r="D1770" i="5"/>
  <c r="F1770" i="5"/>
  <c r="E1770" i="5"/>
  <c r="C1771" i="4"/>
  <c r="D1771" i="4"/>
  <c r="E1771" i="4"/>
  <c r="F1771" i="4"/>
  <c r="G1771" i="4"/>
  <c r="H1771" i="4"/>
  <c r="C1771" i="5"/>
  <c r="D1771" i="5"/>
  <c r="F1771" i="5"/>
  <c r="E1771" i="5"/>
  <c r="C1772" i="4"/>
  <c r="D1772" i="4"/>
  <c r="E1772" i="4"/>
  <c r="F1772" i="4"/>
  <c r="G1772" i="4"/>
  <c r="H1772" i="4"/>
  <c r="C1772" i="5"/>
  <c r="D1772" i="5"/>
  <c r="F1772" i="5"/>
  <c r="E1772" i="5"/>
  <c r="C1773" i="4"/>
  <c r="D1773" i="4"/>
  <c r="E1773" i="4"/>
  <c r="F1773" i="4"/>
  <c r="G1773" i="4"/>
  <c r="H1773" i="4"/>
  <c r="C1773" i="5"/>
  <c r="D1773" i="5"/>
  <c r="F1773" i="5"/>
  <c r="E1773" i="5"/>
  <c r="C1774" i="4"/>
  <c r="D1774" i="4"/>
  <c r="E1774" i="4"/>
  <c r="F1774" i="4"/>
  <c r="G1774" i="4"/>
  <c r="H1774" i="4"/>
  <c r="C1774" i="5"/>
  <c r="D1774" i="5"/>
  <c r="F1774" i="5"/>
  <c r="E1774" i="5"/>
  <c r="C1775" i="4"/>
  <c r="D1775" i="4"/>
  <c r="E1775" i="4"/>
  <c r="F1775" i="4"/>
  <c r="G1775" i="4"/>
  <c r="H1775" i="4"/>
  <c r="C1775" i="5"/>
  <c r="D1775" i="5"/>
  <c r="F1775" i="5"/>
  <c r="E1775" i="5"/>
  <c r="C1776" i="4"/>
  <c r="D1776" i="4"/>
  <c r="E1776" i="4"/>
  <c r="F1776" i="4"/>
  <c r="G1776" i="4"/>
  <c r="H1776" i="4"/>
  <c r="C1776" i="5"/>
  <c r="D1776" i="5"/>
  <c r="F1776" i="5"/>
  <c r="E1776" i="5"/>
  <c r="C1777" i="4"/>
  <c r="D1777" i="4"/>
  <c r="E1777" i="4"/>
  <c r="F1777" i="4"/>
  <c r="G1777" i="4"/>
  <c r="H1777" i="4"/>
  <c r="C1777" i="5"/>
  <c r="D1777" i="5"/>
  <c r="F1777" i="5"/>
  <c r="E1777" i="5"/>
  <c r="C1778" i="4"/>
  <c r="D1778" i="4"/>
  <c r="E1778" i="4"/>
  <c r="F1778" i="4"/>
  <c r="G1778" i="4"/>
  <c r="H1778" i="4"/>
  <c r="C1778" i="5"/>
  <c r="D1778" i="5"/>
  <c r="F1778" i="5"/>
  <c r="E1778" i="5"/>
  <c r="C1779" i="4"/>
  <c r="D1779" i="4"/>
  <c r="E1779" i="4"/>
  <c r="F1779" i="4"/>
  <c r="G1779" i="4"/>
  <c r="H1779" i="4"/>
  <c r="C1779" i="5"/>
  <c r="D1779" i="5"/>
  <c r="F1779" i="5"/>
  <c r="E1779" i="5"/>
  <c r="C1780" i="4"/>
  <c r="D1780" i="4"/>
  <c r="E1780" i="4"/>
  <c r="F1780" i="4"/>
  <c r="G1780" i="4"/>
  <c r="H1780" i="4"/>
  <c r="C1780" i="5"/>
  <c r="D1780" i="5"/>
  <c r="F1780" i="5"/>
  <c r="E1780" i="5"/>
  <c r="C1781" i="4"/>
  <c r="D1781" i="4"/>
  <c r="E1781" i="4"/>
  <c r="F1781" i="4"/>
  <c r="G1781" i="4"/>
  <c r="H1781" i="4"/>
  <c r="C1781" i="5"/>
  <c r="D1781" i="5"/>
  <c r="F1781" i="5"/>
  <c r="E1781" i="5"/>
  <c r="C1782" i="5"/>
  <c r="D1782" i="5"/>
  <c r="E1782" i="5"/>
  <c r="F1782" i="5"/>
  <c r="C1783" i="5"/>
  <c r="D1783" i="5"/>
  <c r="E1783" i="5"/>
  <c r="F1783" i="5"/>
  <c r="C1784" i="5"/>
  <c r="D1784" i="5"/>
  <c r="E1784" i="5"/>
  <c r="F1784" i="5"/>
  <c r="C1785" i="5"/>
  <c r="D1785" i="5"/>
  <c r="E1785" i="5"/>
  <c r="F1785" i="5"/>
  <c r="C1786" i="5"/>
  <c r="D1786" i="5"/>
  <c r="E1786" i="5"/>
  <c r="F1786" i="5"/>
  <c r="C1787" i="5"/>
  <c r="D1787" i="5"/>
  <c r="E1787" i="5"/>
  <c r="F1787" i="5"/>
  <c r="C1788" i="5"/>
  <c r="D1788" i="5"/>
  <c r="E1788" i="5"/>
  <c r="F1788" i="5"/>
  <c r="C1789" i="5"/>
  <c r="D1789" i="5"/>
  <c r="E1789" i="5"/>
  <c r="F1789" i="5"/>
  <c r="C1790" i="5"/>
  <c r="D1790" i="5"/>
  <c r="E1790" i="5"/>
  <c r="F1790" i="5"/>
  <c r="C1791" i="5"/>
  <c r="D1791" i="5"/>
  <c r="E1791" i="5"/>
  <c r="F1791" i="5"/>
  <c r="C1792" i="5"/>
  <c r="D1792" i="5"/>
  <c r="E1792" i="5"/>
  <c r="F1792" i="5"/>
  <c r="C1793" i="5"/>
  <c r="D1793" i="5"/>
  <c r="E1793" i="5"/>
  <c r="F1793" i="5"/>
  <c r="C1794" i="5"/>
  <c r="D1794" i="5"/>
  <c r="E1794" i="5"/>
  <c r="F1794" i="5"/>
  <c r="C1795" i="5"/>
  <c r="D1795" i="5"/>
  <c r="E1795" i="5"/>
  <c r="F1795" i="5"/>
  <c r="C1796" i="5"/>
  <c r="D1796" i="5"/>
  <c r="E1796" i="5"/>
  <c r="F1796" i="5"/>
  <c r="C1797" i="5"/>
  <c r="D1797" i="5"/>
  <c r="E1797" i="5"/>
  <c r="F1797" i="5"/>
  <c r="C1798" i="5"/>
  <c r="D1798" i="5"/>
  <c r="E1798" i="5"/>
  <c r="F1798" i="5"/>
  <c r="C1799" i="5"/>
  <c r="D1799" i="5"/>
  <c r="E1799" i="5"/>
  <c r="F1799" i="5"/>
  <c r="C1800" i="5"/>
  <c r="D1800" i="5"/>
  <c r="E1800" i="5"/>
  <c r="F1800" i="5"/>
  <c r="C1801" i="5"/>
  <c r="D1801" i="5"/>
  <c r="E1801" i="5"/>
  <c r="F1801" i="5"/>
  <c r="C1802" i="5"/>
  <c r="D1802" i="5"/>
  <c r="E1802" i="5"/>
  <c r="F1802" i="5"/>
  <c r="C1803" i="5"/>
  <c r="D1803" i="5"/>
  <c r="E1803" i="5"/>
  <c r="F1803" i="5"/>
  <c r="C1804" i="5"/>
  <c r="D1804" i="5"/>
  <c r="E1804" i="5"/>
  <c r="F1804" i="5"/>
  <c r="C1805" i="5"/>
  <c r="D1805" i="5"/>
  <c r="E1805" i="5"/>
  <c r="F1805" i="5"/>
  <c r="C1806" i="5"/>
  <c r="D1806" i="5"/>
  <c r="E1806" i="5"/>
  <c r="F1806" i="5"/>
  <c r="C1807" i="5"/>
  <c r="D1807" i="5"/>
  <c r="E1807" i="5"/>
  <c r="F1807" i="5"/>
  <c r="C1808" i="5"/>
  <c r="D1808" i="5"/>
  <c r="E1808" i="5"/>
  <c r="F1808" i="5"/>
  <c r="C1809" i="5"/>
  <c r="D1809" i="5"/>
  <c r="E1809" i="5"/>
  <c r="F1809" i="5"/>
  <c r="C1810" i="5"/>
  <c r="D1810" i="5"/>
  <c r="E1810" i="5"/>
  <c r="F1810" i="5"/>
  <c r="C1811" i="5"/>
  <c r="D1811" i="5"/>
  <c r="E1811" i="5"/>
  <c r="F1811" i="5"/>
  <c r="C1812" i="5"/>
  <c r="D1812" i="5"/>
  <c r="E1812" i="5"/>
  <c r="F1812" i="5"/>
  <c r="C1813" i="5"/>
  <c r="D1813" i="5"/>
  <c r="E1813" i="5"/>
  <c r="F1813" i="5"/>
  <c r="C1814" i="5"/>
  <c r="D1814" i="5"/>
  <c r="E1814" i="5"/>
  <c r="F1814" i="5"/>
  <c r="C1815" i="5"/>
  <c r="D1815" i="5"/>
  <c r="E1815" i="5"/>
  <c r="F1815" i="5"/>
  <c r="C1816" i="5"/>
  <c r="D1816" i="5"/>
  <c r="E1816" i="5"/>
  <c r="F1816" i="5"/>
  <c r="C1817" i="5"/>
  <c r="D1817" i="5"/>
  <c r="E1817" i="5"/>
  <c r="F1817" i="5"/>
  <c r="C1818" i="5"/>
  <c r="D1818" i="5"/>
  <c r="E1818" i="5"/>
  <c r="F1818" i="5"/>
  <c r="C1819" i="5"/>
  <c r="D1819" i="5"/>
  <c r="E1819" i="5"/>
  <c r="F1819" i="5"/>
  <c r="C1820" i="5"/>
  <c r="D1820" i="5"/>
  <c r="E1820" i="5"/>
  <c r="F1820" i="5"/>
  <c r="C1821" i="5"/>
  <c r="D1821" i="5"/>
  <c r="E1821" i="5"/>
  <c r="F1821" i="5"/>
  <c r="C1822" i="5"/>
  <c r="D1822" i="5"/>
  <c r="E1822" i="5"/>
  <c r="F1822" i="5"/>
  <c r="C1823" i="5"/>
  <c r="D1823" i="5"/>
  <c r="E1823" i="5"/>
  <c r="F1823" i="5"/>
  <c r="C1824" i="5"/>
  <c r="D1824" i="5"/>
  <c r="E1824" i="5"/>
  <c r="F1824" i="5"/>
  <c r="C1825" i="5"/>
  <c r="D1825" i="5"/>
  <c r="E1825" i="5"/>
  <c r="F1825" i="5"/>
  <c r="C1826" i="5"/>
  <c r="D1826" i="5"/>
  <c r="E1826" i="5"/>
  <c r="F1826" i="5"/>
  <c r="C1827" i="5"/>
  <c r="D1827" i="5"/>
  <c r="E1827" i="5"/>
  <c r="F1827" i="5"/>
  <c r="G1828" i="4"/>
  <c r="H1828" i="4"/>
  <c r="C1828" i="5"/>
  <c r="D1828" i="5"/>
  <c r="E1828" i="5"/>
  <c r="F1828" i="5"/>
  <c r="G1829" i="4"/>
  <c r="H1829" i="4"/>
  <c r="C1829" i="5"/>
  <c r="D1829" i="5"/>
  <c r="E1829" i="5"/>
  <c r="F1829" i="5"/>
  <c r="G1830" i="4"/>
  <c r="H1830" i="4"/>
  <c r="C1830" i="5"/>
  <c r="D1830" i="5"/>
  <c r="E1830" i="5"/>
  <c r="F1830" i="5"/>
  <c r="G1831" i="4"/>
  <c r="H1831" i="4"/>
  <c r="C1831" i="5"/>
  <c r="D1831" i="5"/>
  <c r="E1831" i="5"/>
  <c r="F1831" i="5"/>
  <c r="G1832" i="4"/>
  <c r="H1832" i="4"/>
  <c r="C1832" i="5"/>
  <c r="D1832" i="5"/>
  <c r="E1832" i="5"/>
  <c r="F1832" i="5"/>
  <c r="G1833" i="4"/>
  <c r="H1833" i="4"/>
  <c r="C1833" i="5"/>
  <c r="D1833" i="5"/>
  <c r="E1833" i="5"/>
  <c r="F1833" i="5"/>
  <c r="G1834" i="4"/>
  <c r="H1834" i="4"/>
  <c r="C1834" i="5"/>
  <c r="D1834" i="5"/>
  <c r="E1834" i="5"/>
  <c r="F1834" i="5"/>
  <c r="G1835" i="4"/>
  <c r="H1835" i="4"/>
  <c r="C1835" i="5"/>
  <c r="D1835" i="5"/>
  <c r="E1835" i="5"/>
  <c r="F1835" i="5"/>
  <c r="G1836" i="4"/>
  <c r="H1836" i="4"/>
  <c r="C1836" i="5"/>
  <c r="D1836" i="5"/>
  <c r="E1836" i="5"/>
  <c r="F1836" i="5"/>
  <c r="G1837" i="4"/>
  <c r="H1837" i="4"/>
  <c r="C1837" i="5"/>
  <c r="D1837" i="5"/>
  <c r="E1837" i="5"/>
  <c r="F1837" i="5"/>
  <c r="G1838" i="4"/>
  <c r="H1838" i="4"/>
  <c r="C1838" i="5"/>
  <c r="D1838" i="5"/>
  <c r="E1838" i="5"/>
  <c r="F1838" i="5"/>
  <c r="G1839" i="4"/>
  <c r="H1839" i="4"/>
  <c r="C1839" i="5"/>
  <c r="D1839" i="5"/>
  <c r="E1839" i="5"/>
  <c r="F1839" i="5"/>
  <c r="G1840" i="4"/>
  <c r="H1840" i="4"/>
  <c r="C1840" i="5"/>
  <c r="D1840" i="5"/>
  <c r="E1840" i="5"/>
  <c r="F1840" i="5"/>
  <c r="G1841" i="4"/>
  <c r="H1841" i="4"/>
  <c r="C1841" i="5"/>
  <c r="D1841" i="5"/>
  <c r="E1841" i="5"/>
  <c r="F1841" i="5"/>
  <c r="G1842" i="4"/>
  <c r="H1842" i="4"/>
  <c r="C1842" i="5"/>
  <c r="D1842" i="5"/>
  <c r="E1842" i="5"/>
  <c r="F1842" i="5"/>
  <c r="G1843" i="4"/>
  <c r="H1843" i="4"/>
  <c r="C1843" i="5"/>
  <c r="D1843" i="5"/>
  <c r="E1843" i="5"/>
  <c r="F1843" i="5"/>
  <c r="G1844" i="4"/>
  <c r="H1844" i="4"/>
  <c r="C1844" i="5"/>
  <c r="D1844" i="5"/>
  <c r="E1844" i="5"/>
  <c r="F1844" i="5"/>
  <c r="G1845" i="4"/>
  <c r="H1845" i="4"/>
  <c r="C1845" i="5"/>
  <c r="D1845" i="5"/>
  <c r="E1845" i="5"/>
  <c r="F1845" i="5"/>
  <c r="G1846" i="4"/>
  <c r="H1846" i="4"/>
  <c r="C1846" i="5"/>
  <c r="D1846" i="5"/>
  <c r="E1846" i="5"/>
  <c r="F1846" i="5"/>
  <c r="G1847" i="4"/>
  <c r="H1847" i="4"/>
  <c r="C1847" i="5"/>
  <c r="D1847" i="5"/>
  <c r="E1847" i="5"/>
  <c r="F1847" i="5"/>
  <c r="G1848" i="4"/>
  <c r="H1848" i="4"/>
  <c r="C1848" i="5"/>
  <c r="D1848" i="5"/>
  <c r="E1848" i="5"/>
  <c r="F1848" i="5"/>
  <c r="G1849" i="4"/>
  <c r="H1849" i="4"/>
  <c r="C1849" i="5"/>
  <c r="D1849" i="5"/>
  <c r="E1849" i="5"/>
  <c r="F1849" i="5"/>
  <c r="G1850" i="4"/>
  <c r="H1850" i="4"/>
  <c r="C1850" i="5"/>
  <c r="D1850" i="5"/>
  <c r="E1850" i="5"/>
  <c r="F1850" i="5"/>
  <c r="G1851" i="4"/>
  <c r="H1851" i="4"/>
  <c r="C1851" i="5"/>
  <c r="D1851" i="5"/>
  <c r="E1851" i="5"/>
  <c r="F1851" i="5"/>
  <c r="G1852" i="4"/>
  <c r="H1852" i="4"/>
  <c r="C1852" i="5"/>
  <c r="D1852" i="5"/>
  <c r="E1852" i="5"/>
  <c r="F1852" i="5"/>
  <c r="G1853" i="4"/>
  <c r="H1853" i="4"/>
  <c r="C1853" i="5"/>
  <c r="D1853" i="5"/>
  <c r="E1853" i="5"/>
  <c r="F1853" i="5"/>
  <c r="G1854" i="4"/>
  <c r="H1854" i="4"/>
  <c r="C1854" i="5"/>
  <c r="D1854" i="5"/>
  <c r="E1854" i="5"/>
  <c r="F1854" i="5"/>
  <c r="G1855" i="4"/>
  <c r="H1855" i="4"/>
  <c r="C1855" i="5"/>
  <c r="D1855" i="5"/>
  <c r="E1855" i="5"/>
  <c r="F1855" i="5"/>
  <c r="G1856" i="4"/>
  <c r="H1856" i="4"/>
  <c r="C1856" i="5"/>
  <c r="D1856" i="5"/>
  <c r="E1856" i="5"/>
  <c r="F1856" i="5"/>
  <c r="G1857" i="4"/>
  <c r="H1857" i="4"/>
  <c r="C1857" i="5"/>
  <c r="D1857" i="5"/>
  <c r="E1857" i="5"/>
  <c r="F1857" i="5"/>
  <c r="G1858" i="4"/>
  <c r="H1858" i="4"/>
  <c r="C1858" i="5"/>
  <c r="D1858" i="5"/>
  <c r="E1858" i="5"/>
  <c r="F1858" i="5"/>
  <c r="G1859" i="4"/>
  <c r="H1859" i="4"/>
  <c r="C1859" i="5"/>
  <c r="D1859" i="5"/>
  <c r="E1859" i="5"/>
  <c r="F1859" i="5"/>
  <c r="G1860" i="4"/>
  <c r="H1860" i="4"/>
  <c r="C1860" i="5"/>
  <c r="D1860" i="5"/>
  <c r="E1860" i="5"/>
  <c r="F1860" i="5"/>
  <c r="G1861" i="4"/>
  <c r="H1861" i="4"/>
  <c r="C1861" i="5"/>
  <c r="D1861" i="5"/>
  <c r="E1861" i="5"/>
  <c r="F1861" i="5"/>
  <c r="G1862" i="4"/>
  <c r="H1862" i="4"/>
  <c r="C1862" i="5"/>
  <c r="D1862" i="5"/>
  <c r="E1862" i="5"/>
  <c r="F1862" i="5"/>
  <c r="G1863" i="4"/>
  <c r="H1863" i="4"/>
  <c r="C1863" i="5"/>
  <c r="D1863" i="5"/>
  <c r="E1863" i="5"/>
  <c r="F1863" i="5"/>
  <c r="G1864" i="4"/>
  <c r="H1864" i="4"/>
  <c r="C1864" i="5"/>
  <c r="D1864" i="5"/>
  <c r="E1864" i="5"/>
  <c r="F1864" i="5"/>
  <c r="G1865" i="4"/>
  <c r="H1865" i="4"/>
  <c r="C1865" i="5"/>
  <c r="D1865" i="5"/>
  <c r="E1865" i="5"/>
  <c r="F1865" i="5"/>
  <c r="G1866" i="4"/>
  <c r="H1866" i="4"/>
  <c r="C1866" i="5"/>
  <c r="D1866" i="5"/>
  <c r="E1866" i="5"/>
  <c r="F1866" i="5"/>
  <c r="G1867" i="4"/>
  <c r="H1867" i="4"/>
  <c r="C1867" i="5"/>
  <c r="D1867" i="5"/>
  <c r="E1867" i="5"/>
  <c r="F1867" i="5"/>
  <c r="G1868" i="4"/>
  <c r="H1868" i="4"/>
  <c r="C1868" i="5"/>
  <c r="D1868" i="5"/>
  <c r="E1868" i="5"/>
  <c r="F1868" i="5"/>
  <c r="G1869" i="4"/>
  <c r="H1869" i="4"/>
  <c r="C1869" i="5"/>
  <c r="D1869" i="5"/>
  <c r="E1869" i="5"/>
  <c r="F1869" i="5"/>
  <c r="G1870" i="4"/>
  <c r="H1870" i="4"/>
  <c r="C1870" i="5"/>
  <c r="D1870" i="5"/>
  <c r="E1870" i="5"/>
  <c r="F1870" i="5"/>
  <c r="G1871" i="4"/>
  <c r="H1871" i="4"/>
  <c r="C1871" i="5"/>
  <c r="D1871" i="5"/>
  <c r="E1871" i="5"/>
  <c r="F1871" i="5"/>
  <c r="G1872" i="4"/>
  <c r="H1872" i="4"/>
  <c r="C1872" i="5"/>
  <c r="D1872" i="5"/>
  <c r="E1872" i="5"/>
  <c r="F1872" i="5"/>
  <c r="G1873" i="4"/>
  <c r="H1873" i="4"/>
  <c r="C1873" i="5"/>
  <c r="D1873" i="5"/>
  <c r="E1873" i="5"/>
  <c r="F1873" i="5"/>
  <c r="G1874" i="4"/>
  <c r="H1874" i="4"/>
  <c r="C1874" i="5"/>
  <c r="D1874" i="5"/>
  <c r="E1874" i="5"/>
  <c r="F1874" i="5"/>
  <c r="G1875" i="4"/>
  <c r="H1875" i="4"/>
  <c r="C1875" i="5"/>
  <c r="D1875" i="5"/>
  <c r="E1875" i="5"/>
  <c r="F1875" i="5"/>
  <c r="G1876" i="4"/>
  <c r="H1876" i="4"/>
  <c r="C1876" i="5"/>
  <c r="D1876" i="5"/>
  <c r="E1876" i="5"/>
  <c r="F1876" i="5"/>
  <c r="G1877" i="4"/>
  <c r="H1877" i="4"/>
  <c r="C1877" i="5"/>
  <c r="D1877" i="5"/>
  <c r="E1877" i="5"/>
  <c r="F1877" i="5"/>
  <c r="G1878" i="4"/>
  <c r="H1878" i="4"/>
  <c r="C1878" i="5"/>
  <c r="D1878" i="5"/>
  <c r="E1878" i="5"/>
  <c r="F1878" i="5"/>
  <c r="G1879" i="4"/>
  <c r="H1879" i="4"/>
  <c r="C1879" i="5"/>
  <c r="D1879" i="5"/>
  <c r="E1879" i="5"/>
  <c r="F1879" i="5"/>
  <c r="G1880" i="4"/>
  <c r="H1880" i="4"/>
  <c r="C1880" i="5"/>
  <c r="D1880" i="5"/>
  <c r="E1880" i="5"/>
  <c r="F1880" i="5"/>
  <c r="G1881" i="4"/>
  <c r="H1881" i="4"/>
  <c r="C1881" i="5"/>
  <c r="D1881" i="5"/>
  <c r="E1881" i="5"/>
  <c r="F1881" i="5"/>
  <c r="G1882" i="4"/>
  <c r="H1882" i="4"/>
  <c r="C1882" i="5"/>
  <c r="D1882" i="5"/>
  <c r="E1882" i="5"/>
  <c r="F1882" i="5"/>
  <c r="G1883" i="4"/>
  <c r="H1883" i="4"/>
  <c r="C1883" i="5"/>
  <c r="D1883" i="5"/>
  <c r="E1883" i="5"/>
  <c r="F1883" i="5"/>
  <c r="G1884" i="4"/>
  <c r="H1884" i="4"/>
  <c r="C1884" i="5"/>
  <c r="D1884" i="5"/>
  <c r="E1884" i="5"/>
  <c r="F1884" i="5"/>
  <c r="G1885" i="4"/>
  <c r="H1885" i="4"/>
  <c r="C1885" i="5"/>
  <c r="D1885" i="5"/>
  <c r="E1885" i="5"/>
  <c r="F1885" i="5"/>
  <c r="G1886" i="4"/>
  <c r="H1886" i="4"/>
  <c r="C1886" i="5"/>
  <c r="D1886" i="5"/>
  <c r="E1886" i="5"/>
  <c r="F1886" i="5"/>
  <c r="G1887" i="4"/>
  <c r="H1887" i="4"/>
  <c r="C1887" i="5"/>
  <c r="D1887" i="5"/>
  <c r="E1887" i="5"/>
  <c r="F1887" i="5"/>
  <c r="G1888" i="4"/>
  <c r="H1888" i="4"/>
  <c r="C1888" i="5"/>
  <c r="D1888" i="5"/>
  <c r="E1888" i="5"/>
  <c r="F1888" i="5"/>
  <c r="G1889" i="4"/>
  <c r="H1889" i="4"/>
  <c r="C1889" i="5"/>
  <c r="D1889" i="5"/>
  <c r="E1889" i="5"/>
  <c r="F1889" i="5"/>
  <c r="G1890" i="4"/>
  <c r="H1890" i="4"/>
  <c r="C1890" i="5"/>
  <c r="D1890" i="5"/>
  <c r="E1890" i="5"/>
  <c r="F1890" i="5"/>
  <c r="G1891" i="4"/>
  <c r="H1891" i="4"/>
  <c r="C1891" i="5"/>
  <c r="D1891" i="5"/>
  <c r="E1891" i="5"/>
  <c r="F1891" i="5"/>
  <c r="G1892" i="4"/>
  <c r="H1892" i="4"/>
  <c r="C1892" i="5"/>
  <c r="D1892" i="5"/>
  <c r="E1892" i="5"/>
  <c r="F1892" i="5"/>
  <c r="G1893" i="4"/>
  <c r="H1893" i="4"/>
  <c r="C1893" i="5"/>
  <c r="D1893" i="5"/>
  <c r="E1893" i="5"/>
  <c r="F1893" i="5"/>
  <c r="G1894" i="4"/>
  <c r="H1894" i="4"/>
  <c r="C1894" i="5"/>
  <c r="D1894" i="5"/>
  <c r="E1894" i="5"/>
  <c r="F1894" i="5"/>
  <c r="G1895" i="4"/>
  <c r="H1895" i="4"/>
  <c r="C1895" i="5"/>
  <c r="D1895" i="5"/>
  <c r="E1895" i="5"/>
  <c r="F1895" i="5"/>
  <c r="G1896" i="4"/>
  <c r="H1896" i="4"/>
  <c r="C1896" i="5"/>
  <c r="D1896" i="5"/>
  <c r="E1896" i="5"/>
  <c r="F1896" i="5"/>
  <c r="G1897" i="4"/>
  <c r="H1897" i="4"/>
  <c r="C1897" i="5"/>
  <c r="D1897" i="5"/>
  <c r="E1897" i="5"/>
  <c r="F1897" i="5"/>
  <c r="G1898" i="4"/>
  <c r="H1898" i="4"/>
  <c r="C1898" i="5"/>
  <c r="D1898" i="5"/>
  <c r="E1898" i="5"/>
  <c r="F1898" i="5"/>
  <c r="G1899" i="4"/>
  <c r="H1899" i="4"/>
  <c r="C1899" i="5"/>
  <c r="D1899" i="5"/>
  <c r="E1899" i="5"/>
  <c r="F1899" i="5"/>
  <c r="G1900" i="4"/>
  <c r="H1900" i="4"/>
  <c r="C1900" i="5"/>
  <c r="D1900" i="5"/>
  <c r="E1900" i="5"/>
  <c r="F1900" i="5"/>
  <c r="G1901" i="4"/>
  <c r="H1901" i="4"/>
  <c r="C1901" i="5"/>
  <c r="D1901" i="5"/>
  <c r="E1901" i="5"/>
  <c r="F1901" i="5"/>
  <c r="G1902" i="4"/>
  <c r="H1902" i="4"/>
  <c r="C1902" i="5"/>
  <c r="D1902" i="5"/>
  <c r="E1902" i="5"/>
  <c r="F1902" i="5"/>
  <c r="G1903" i="4"/>
  <c r="H1903" i="4"/>
  <c r="C1903" i="5"/>
  <c r="D1903" i="5"/>
  <c r="E1903" i="5"/>
  <c r="F1903" i="5"/>
  <c r="G1904" i="4"/>
  <c r="H1904" i="4"/>
  <c r="C1904" i="5"/>
  <c r="D1904" i="5"/>
  <c r="E1904" i="5"/>
  <c r="F1904" i="5"/>
  <c r="G1905" i="4"/>
  <c r="H1905" i="4"/>
  <c r="C1905" i="5"/>
  <c r="D1905" i="5"/>
  <c r="E1905" i="5"/>
  <c r="F1905" i="5"/>
  <c r="G1906" i="4"/>
  <c r="H1906" i="4"/>
  <c r="C1906" i="5"/>
  <c r="D1906" i="5"/>
  <c r="E1906" i="5"/>
  <c r="F1906" i="5"/>
  <c r="G1907" i="4"/>
  <c r="H1907" i="4"/>
  <c r="C1907" i="5"/>
  <c r="D1907" i="5"/>
  <c r="E1907" i="5"/>
  <c r="F1907" i="5"/>
  <c r="G1908" i="4"/>
  <c r="H1908" i="4"/>
  <c r="C1908" i="5"/>
  <c r="D1908" i="5"/>
  <c r="E1908" i="5"/>
  <c r="F1908" i="5"/>
  <c r="G1909" i="4"/>
  <c r="H1909" i="4"/>
  <c r="C1909" i="5"/>
  <c r="D1909" i="5"/>
  <c r="E1909" i="5"/>
  <c r="F1909" i="5"/>
  <c r="G1910" i="4"/>
  <c r="H1910" i="4"/>
  <c r="C1910" i="5"/>
  <c r="D1910" i="5"/>
  <c r="E1910" i="5"/>
  <c r="F1910" i="5"/>
  <c r="G1911" i="4"/>
  <c r="H1911" i="4"/>
  <c r="C1911" i="5"/>
  <c r="D1911" i="5"/>
  <c r="E1911" i="5"/>
  <c r="F1911" i="5"/>
  <c r="G1912" i="4"/>
  <c r="H1912" i="4"/>
  <c r="C1912" i="5"/>
  <c r="D1912" i="5"/>
  <c r="E1912" i="5"/>
  <c r="F1912" i="5"/>
  <c r="G1913" i="4"/>
  <c r="H1913" i="4"/>
  <c r="C1913" i="5"/>
  <c r="D1913" i="5"/>
  <c r="E1913" i="5"/>
  <c r="F1913" i="5"/>
  <c r="G1914" i="4"/>
  <c r="H1914" i="4"/>
  <c r="C1914" i="5"/>
  <c r="D1914" i="5"/>
  <c r="E1914" i="5"/>
  <c r="F1914" i="5"/>
  <c r="G1915" i="4"/>
  <c r="H1915" i="4"/>
  <c r="C1915" i="5"/>
  <c r="D1915" i="5"/>
  <c r="E1915" i="5"/>
  <c r="F1915" i="5"/>
  <c r="G1916" i="4"/>
  <c r="H1916" i="4"/>
  <c r="C1916" i="5"/>
  <c r="D1916" i="5"/>
  <c r="E1916" i="5"/>
  <c r="F1916" i="5"/>
  <c r="G1917" i="4"/>
  <c r="H1917" i="4"/>
  <c r="C1917" i="5"/>
  <c r="D1917" i="5"/>
  <c r="E1917" i="5"/>
  <c r="F1917" i="5"/>
  <c r="G1918" i="4"/>
  <c r="H1918" i="4"/>
  <c r="C1918" i="5"/>
  <c r="D1918" i="5"/>
  <c r="E1918" i="5"/>
  <c r="F1918" i="5"/>
  <c r="G1919" i="4"/>
  <c r="H1919" i="4"/>
  <c r="C1919" i="5"/>
  <c r="D1919" i="5"/>
  <c r="E1919" i="5"/>
  <c r="F1919" i="5"/>
  <c r="G1920" i="4"/>
  <c r="H1920" i="4"/>
  <c r="C1920" i="5"/>
  <c r="D1920" i="5"/>
  <c r="E1920" i="5"/>
  <c r="F1920" i="5"/>
  <c r="G1921" i="4"/>
  <c r="H1921" i="4"/>
  <c r="C1921" i="5"/>
  <c r="D1921" i="5"/>
  <c r="E1921" i="5"/>
  <c r="F1921" i="5"/>
  <c r="G1922" i="4"/>
  <c r="H1922" i="4"/>
  <c r="C1922" i="5"/>
  <c r="D1922" i="5"/>
  <c r="E1922" i="5"/>
  <c r="F1922" i="5"/>
  <c r="G1923" i="4"/>
  <c r="H1923" i="4"/>
  <c r="C1923" i="5"/>
  <c r="D1923" i="5"/>
  <c r="E1923" i="5"/>
  <c r="F1923" i="5"/>
  <c r="G1924" i="4"/>
  <c r="H1924" i="4"/>
  <c r="C1924" i="5"/>
  <c r="D1924" i="5"/>
  <c r="E1924" i="5"/>
  <c r="F1924" i="5"/>
  <c r="G1925" i="4"/>
  <c r="H1925" i="4"/>
  <c r="C1925" i="5"/>
  <c r="D1925" i="5"/>
  <c r="E1925" i="5"/>
  <c r="F1925" i="5"/>
  <c r="G1926" i="4"/>
  <c r="H1926" i="4"/>
  <c r="C1926" i="5"/>
  <c r="D1926" i="5"/>
  <c r="E1926" i="5"/>
  <c r="F1926" i="5"/>
  <c r="G1927" i="4"/>
  <c r="H1927" i="4"/>
  <c r="C1927" i="5"/>
  <c r="D1927" i="5"/>
  <c r="E1927" i="5"/>
  <c r="F1927" i="5"/>
  <c r="G1928" i="4"/>
  <c r="H1928" i="4"/>
  <c r="C1928" i="5"/>
  <c r="D1928" i="5"/>
  <c r="E1928" i="5"/>
  <c r="F1928" i="5"/>
  <c r="G1929" i="4"/>
  <c r="H1929" i="4"/>
  <c r="C1929" i="5"/>
  <c r="D1929" i="5"/>
  <c r="E1929" i="5"/>
  <c r="F1929" i="5"/>
  <c r="G1930" i="4"/>
  <c r="H1930" i="4"/>
  <c r="C1930" i="5"/>
  <c r="D1930" i="5"/>
  <c r="E1930" i="5"/>
  <c r="F1930" i="5"/>
  <c r="G1931" i="4"/>
  <c r="H1931" i="4"/>
  <c r="C1931" i="5"/>
  <c r="D1931" i="5"/>
  <c r="E1931" i="5"/>
  <c r="F1931" i="5"/>
  <c r="G1932" i="4"/>
  <c r="H1932" i="4"/>
  <c r="C1932" i="5"/>
  <c r="D1932" i="5"/>
  <c r="E1932" i="5"/>
  <c r="F1932" i="5"/>
  <c r="G1933" i="4"/>
  <c r="H1933" i="4"/>
  <c r="C1933" i="5"/>
  <c r="D1933" i="5"/>
  <c r="E1933" i="5"/>
  <c r="F1933" i="5"/>
  <c r="G1934" i="4"/>
  <c r="H1934" i="4"/>
  <c r="C1934" i="5"/>
  <c r="D1934" i="5"/>
  <c r="E1934" i="5"/>
  <c r="F1934" i="5"/>
  <c r="G1935" i="4"/>
  <c r="H1935" i="4"/>
  <c r="C1935" i="5"/>
  <c r="D1935" i="5"/>
  <c r="E1935" i="5"/>
  <c r="F1935" i="5"/>
  <c r="G1936" i="4"/>
  <c r="H1936" i="4"/>
  <c r="C1936" i="5"/>
  <c r="D1936" i="5"/>
  <c r="E1936" i="5"/>
  <c r="F1936" i="5"/>
  <c r="G1937" i="4"/>
  <c r="H1937" i="4"/>
  <c r="C1937" i="5"/>
  <c r="D1937" i="5"/>
  <c r="E1937" i="5"/>
  <c r="F1937" i="5"/>
  <c r="G1938" i="4"/>
  <c r="H1938" i="4"/>
  <c r="C1938" i="5"/>
  <c r="D1938" i="5"/>
  <c r="E1938" i="5"/>
  <c r="F1938" i="5"/>
  <c r="G1939" i="4"/>
  <c r="H1939" i="4"/>
  <c r="C1939" i="5"/>
  <c r="D1939" i="5"/>
  <c r="E1939" i="5"/>
  <c r="F1939" i="5"/>
  <c r="G1940" i="4"/>
  <c r="H1940" i="4"/>
  <c r="C1940" i="5"/>
  <c r="D1940" i="5"/>
  <c r="E1940" i="5"/>
  <c r="F1940" i="5"/>
  <c r="G1941" i="4"/>
  <c r="H1941" i="4"/>
  <c r="C1941" i="5"/>
  <c r="D1941" i="5"/>
  <c r="E1941" i="5"/>
  <c r="F1941" i="5"/>
  <c r="G1942" i="4"/>
  <c r="H1942" i="4"/>
  <c r="C1942" i="5"/>
  <c r="D1942" i="5"/>
  <c r="E1942" i="5"/>
  <c r="F1942" i="5"/>
  <c r="G1943" i="4"/>
  <c r="H1943" i="4"/>
  <c r="C1943" i="5"/>
  <c r="D1943" i="5"/>
  <c r="E1943" i="5"/>
  <c r="F1943" i="5"/>
  <c r="G1944" i="4"/>
  <c r="H1944" i="4"/>
  <c r="C1944" i="5"/>
  <c r="D1944" i="5"/>
  <c r="E1944" i="5"/>
  <c r="F1944" i="5"/>
  <c r="G1945" i="4"/>
  <c r="H1945" i="4"/>
  <c r="C1945" i="5"/>
  <c r="D1945" i="5"/>
  <c r="E1945" i="5"/>
  <c r="F1945" i="5"/>
  <c r="G1946" i="4"/>
  <c r="H1946" i="4"/>
  <c r="C1946" i="5"/>
  <c r="D1946" i="5"/>
  <c r="E1946" i="5"/>
  <c r="F1946" i="5"/>
  <c r="G1947" i="4"/>
  <c r="H1947" i="4"/>
  <c r="C1947" i="5"/>
  <c r="D1947" i="5"/>
  <c r="E1947" i="5"/>
  <c r="F1947" i="5"/>
  <c r="C1948" i="4"/>
  <c r="D1948" i="4"/>
  <c r="E1948" i="4"/>
  <c r="F1948" i="4"/>
  <c r="G1948" i="4"/>
  <c r="H1948" i="4"/>
  <c r="C1948" i="5"/>
  <c r="D1948" i="5"/>
  <c r="E1948" i="5"/>
  <c r="F1948" i="5"/>
  <c r="C1949" i="4"/>
  <c r="D1949" i="4"/>
  <c r="E1949" i="4"/>
  <c r="F1949" i="4"/>
  <c r="G1949" i="4"/>
  <c r="H1949" i="4"/>
  <c r="C1949" i="5"/>
  <c r="D1949" i="5"/>
  <c r="E1949" i="5"/>
  <c r="F1949" i="5"/>
  <c r="C1950" i="4"/>
  <c r="D1950" i="4"/>
  <c r="E1950" i="4"/>
  <c r="F1950" i="4"/>
  <c r="G1950" i="4"/>
  <c r="H1950" i="4"/>
  <c r="C1950" i="5"/>
  <c r="D1950" i="5"/>
  <c r="E1950" i="5"/>
  <c r="F1950" i="5"/>
  <c r="C1951" i="4"/>
  <c r="D1951" i="4"/>
  <c r="E1951" i="4"/>
  <c r="F1951" i="4"/>
  <c r="G1951" i="4"/>
  <c r="H1951" i="4"/>
  <c r="C1951" i="5"/>
  <c r="D1951" i="5"/>
  <c r="E1951" i="5"/>
  <c r="F1951" i="5"/>
  <c r="C1952" i="4"/>
  <c r="D1952" i="4"/>
  <c r="E1952" i="4"/>
  <c r="F1952" i="4"/>
  <c r="G1952" i="4"/>
  <c r="H1952" i="4"/>
  <c r="C1952" i="5"/>
  <c r="D1952" i="5"/>
  <c r="E1952" i="5"/>
  <c r="F1952" i="5"/>
  <c r="C1953" i="4"/>
  <c r="D1953" i="4"/>
  <c r="E1953" i="4"/>
  <c r="F1953" i="4"/>
  <c r="G1953" i="4"/>
  <c r="H1953" i="4"/>
  <c r="C1953" i="5"/>
  <c r="D1953" i="5"/>
  <c r="E1953" i="5"/>
  <c r="F1953" i="5"/>
  <c r="C1954" i="4"/>
  <c r="D1954" i="4"/>
  <c r="E1954" i="4"/>
  <c r="F1954" i="4"/>
  <c r="G1954" i="4"/>
  <c r="H1954" i="4"/>
  <c r="C1954" i="5"/>
  <c r="D1954" i="5"/>
  <c r="E1954" i="5"/>
  <c r="F1954" i="5"/>
  <c r="C1955" i="4"/>
  <c r="D1955" i="4"/>
  <c r="E1955" i="4"/>
  <c r="F1955" i="4"/>
  <c r="G1955" i="4"/>
  <c r="H1955" i="4"/>
  <c r="C1955" i="5"/>
  <c r="D1955" i="5"/>
  <c r="E1955" i="5"/>
  <c r="F1955" i="5"/>
  <c r="C1956" i="4"/>
  <c r="D1956" i="4"/>
  <c r="E1956" i="4"/>
  <c r="F1956" i="4"/>
  <c r="G1956" i="4"/>
  <c r="H1956" i="4"/>
  <c r="C1956" i="5"/>
  <c r="D1956" i="5"/>
  <c r="E1956" i="5"/>
  <c r="F1956" i="5"/>
  <c r="C1957" i="4"/>
  <c r="D1957" i="4"/>
  <c r="E1957" i="4"/>
  <c r="F1957" i="4"/>
  <c r="G1957" i="4"/>
  <c r="H1957" i="4"/>
  <c r="C1957" i="5"/>
  <c r="D1957" i="5"/>
  <c r="E1957" i="5"/>
  <c r="F1957" i="5"/>
  <c r="C1958" i="4"/>
  <c r="D1958" i="4"/>
  <c r="E1958" i="4"/>
  <c r="F1958" i="4"/>
  <c r="G1958" i="4"/>
  <c r="H1958" i="4"/>
  <c r="C1958" i="5"/>
  <c r="D1958" i="5"/>
  <c r="E1958" i="5"/>
  <c r="F1958" i="5"/>
  <c r="C1959" i="4"/>
  <c r="D1959" i="4"/>
  <c r="E1959" i="4"/>
  <c r="F1959" i="4"/>
  <c r="G1959" i="4"/>
  <c r="H1959" i="4"/>
  <c r="C1959" i="5"/>
  <c r="D1959" i="5"/>
  <c r="E1959" i="5"/>
  <c r="F1959" i="5"/>
  <c r="C1960" i="4"/>
  <c r="D1960" i="4"/>
  <c r="E1960" i="4"/>
  <c r="F1960" i="4"/>
  <c r="G1960" i="4"/>
  <c r="H1960" i="4"/>
  <c r="C1960" i="5"/>
  <c r="D1960" i="5"/>
  <c r="E1960" i="5"/>
  <c r="F1960" i="5"/>
  <c r="C1961" i="4"/>
  <c r="D1961" i="4"/>
  <c r="E1961" i="4"/>
  <c r="F1961" i="4"/>
  <c r="G1961" i="4"/>
  <c r="H1961" i="4"/>
  <c r="C1961" i="5"/>
  <c r="D1961" i="5"/>
  <c r="E1961" i="5"/>
  <c r="F1961" i="5"/>
  <c r="C1962" i="4"/>
  <c r="D1962" i="4"/>
  <c r="E1962" i="4"/>
  <c r="F1962" i="4"/>
  <c r="G1962" i="4"/>
  <c r="H1962" i="4"/>
  <c r="C1962" i="5"/>
  <c r="D1962" i="5"/>
  <c r="E1962" i="5"/>
  <c r="F1962" i="5"/>
  <c r="C1963" i="4"/>
  <c r="D1963" i="4"/>
  <c r="E1963" i="4"/>
  <c r="F1963" i="4"/>
  <c r="G1963" i="4"/>
  <c r="H1963" i="4"/>
  <c r="C1963" i="5"/>
  <c r="D1963" i="5"/>
  <c r="E1963" i="5"/>
  <c r="F1963" i="5"/>
  <c r="C1964" i="4"/>
  <c r="D1964" i="4"/>
  <c r="E1964" i="4"/>
  <c r="F1964" i="4"/>
  <c r="G1964" i="4"/>
  <c r="H1964" i="4"/>
  <c r="C1964" i="5"/>
  <c r="D1964" i="5"/>
  <c r="E1964" i="5"/>
  <c r="F1964" i="5"/>
  <c r="C1965" i="4"/>
  <c r="D1965" i="4"/>
  <c r="E1965" i="4"/>
  <c r="F1965" i="4"/>
  <c r="G1965" i="4"/>
  <c r="H1965" i="4"/>
  <c r="C1965" i="5"/>
  <c r="D1965" i="5"/>
  <c r="E1965" i="5"/>
  <c r="F1965" i="5"/>
  <c r="C1966" i="4"/>
  <c r="D1966" i="4"/>
  <c r="E1966" i="4"/>
  <c r="F1966" i="4"/>
  <c r="G1966" i="4"/>
  <c r="H1966" i="4"/>
  <c r="C1966" i="5"/>
  <c r="D1966" i="5"/>
  <c r="E1966" i="5"/>
  <c r="F1966" i="5"/>
  <c r="C1967" i="4"/>
  <c r="D1967" i="4"/>
  <c r="E1967" i="4"/>
  <c r="F1967" i="4"/>
  <c r="G1967" i="4"/>
  <c r="H1967" i="4"/>
  <c r="C1967" i="5"/>
  <c r="D1967" i="5"/>
  <c r="E1967" i="5"/>
  <c r="F1967" i="5"/>
  <c r="C1968" i="4"/>
  <c r="D1968" i="4"/>
  <c r="E1968" i="4"/>
  <c r="F1968" i="4"/>
  <c r="G1968" i="4"/>
  <c r="H1968" i="4"/>
  <c r="C1968" i="5"/>
  <c r="D1968" i="5"/>
  <c r="E1968" i="5"/>
  <c r="F1968" i="5"/>
  <c r="C1969" i="4"/>
  <c r="D1969" i="4"/>
  <c r="E1969" i="4"/>
  <c r="F1969" i="4"/>
  <c r="G1969" i="4"/>
  <c r="H1969" i="4"/>
  <c r="C1969" i="5"/>
  <c r="D1969" i="5"/>
  <c r="E1969" i="5"/>
  <c r="F1969" i="5"/>
  <c r="C1970" i="4"/>
  <c r="D1970" i="4"/>
  <c r="E1970" i="4"/>
  <c r="F1970" i="4"/>
  <c r="G1970" i="4"/>
  <c r="H1970" i="4"/>
  <c r="C1970" i="5"/>
  <c r="D1970" i="5"/>
  <c r="E1970" i="5"/>
  <c r="F1970" i="5"/>
  <c r="C1971" i="4"/>
  <c r="D1971" i="4"/>
  <c r="E1971" i="4"/>
  <c r="F1971" i="4"/>
  <c r="G1971" i="4"/>
  <c r="H1971" i="4"/>
  <c r="C1971" i="5"/>
  <c r="D1971" i="5"/>
  <c r="E1971" i="5"/>
  <c r="F1971" i="5"/>
  <c r="C1972" i="4"/>
  <c r="D1972" i="4"/>
  <c r="E1972" i="4"/>
  <c r="F1972" i="4"/>
  <c r="G1972" i="4"/>
  <c r="H1972" i="4"/>
  <c r="C1972" i="5"/>
  <c r="D1972" i="5"/>
  <c r="E1972" i="5"/>
  <c r="F1972" i="5"/>
  <c r="C1973" i="4"/>
  <c r="D1973" i="4"/>
  <c r="E1973" i="4"/>
  <c r="F1973" i="4"/>
  <c r="G1973" i="4"/>
  <c r="H1973" i="4"/>
  <c r="C1973" i="5"/>
  <c r="D1973" i="5"/>
  <c r="E1973" i="5"/>
  <c r="F1973" i="5"/>
  <c r="C1974" i="4"/>
  <c r="D1974" i="4"/>
  <c r="E1974" i="4"/>
  <c r="F1974" i="4"/>
  <c r="G1974" i="4"/>
  <c r="H1974" i="4"/>
  <c r="C1974" i="5"/>
  <c r="D1974" i="5"/>
  <c r="E1974" i="5"/>
  <c r="F1974" i="5"/>
  <c r="C1975" i="4"/>
  <c r="D1975" i="4"/>
  <c r="E1975" i="4"/>
  <c r="F1975" i="4"/>
  <c r="G1975" i="4"/>
  <c r="H1975" i="4"/>
  <c r="C1975" i="5"/>
  <c r="D1975" i="5"/>
  <c r="E1975" i="5"/>
  <c r="F1975" i="5"/>
  <c r="C1976" i="4"/>
  <c r="D1976" i="4"/>
  <c r="E1976" i="4"/>
  <c r="F1976" i="4"/>
  <c r="G1976" i="4"/>
  <c r="H1976" i="4"/>
  <c r="C1976" i="5"/>
  <c r="D1976" i="5"/>
  <c r="E1976" i="5"/>
  <c r="F1976" i="5"/>
  <c r="C1977" i="4"/>
  <c r="D1977" i="4"/>
  <c r="E1977" i="4"/>
  <c r="F1977" i="4"/>
  <c r="G1977" i="4"/>
  <c r="H1977" i="4"/>
  <c r="C1977" i="5"/>
  <c r="D1977" i="5"/>
  <c r="E1977" i="5"/>
  <c r="F1977" i="5"/>
  <c r="C1978" i="4"/>
  <c r="D1978" i="4"/>
  <c r="E1978" i="4"/>
  <c r="F1978" i="4"/>
  <c r="G1978" i="4"/>
  <c r="H1978" i="4"/>
  <c r="C1978" i="5"/>
  <c r="D1978" i="5"/>
  <c r="E1978" i="5"/>
  <c r="F1978" i="5"/>
  <c r="C1979" i="4"/>
  <c r="D1979" i="4"/>
  <c r="E1979" i="4"/>
  <c r="F1979" i="4"/>
  <c r="G1979" i="4"/>
  <c r="H1979" i="4"/>
  <c r="C1979" i="5"/>
  <c r="D1979" i="5"/>
  <c r="E1979" i="5"/>
  <c r="F1979" i="5"/>
  <c r="C1980" i="4"/>
  <c r="D1980" i="4"/>
  <c r="E1980" i="4"/>
  <c r="F1980" i="4"/>
  <c r="G1980" i="4"/>
  <c r="H1980" i="4"/>
  <c r="C1980" i="5"/>
  <c r="D1980" i="5"/>
  <c r="E1980" i="5"/>
  <c r="F1980" i="5"/>
  <c r="C1981" i="4"/>
  <c r="D1981" i="4"/>
  <c r="E1981" i="4"/>
  <c r="F1981" i="4"/>
  <c r="G1981" i="4"/>
  <c r="H1981" i="4"/>
  <c r="C1981" i="5"/>
  <c r="D1981" i="5"/>
  <c r="E1981" i="5"/>
  <c r="F1981" i="5"/>
  <c r="C1982" i="4"/>
  <c r="D1982" i="4"/>
  <c r="E1982" i="4"/>
  <c r="F1982" i="4"/>
  <c r="G1982" i="4"/>
  <c r="H1982" i="4"/>
  <c r="C1982" i="5"/>
  <c r="D1982" i="5"/>
  <c r="E1982" i="5"/>
  <c r="F1982" i="5"/>
  <c r="C1983" i="4"/>
  <c r="D1983" i="4"/>
  <c r="E1983" i="4"/>
  <c r="F1983" i="4"/>
  <c r="G1983" i="4"/>
  <c r="H1983" i="4"/>
  <c r="C1983" i="5"/>
  <c r="D1983" i="5"/>
  <c r="E1983" i="5"/>
  <c r="F1983" i="5"/>
  <c r="C1984" i="4"/>
  <c r="D1984" i="4"/>
  <c r="E1984" i="4"/>
  <c r="F1984" i="4"/>
  <c r="G1984" i="4"/>
  <c r="H1984" i="4"/>
  <c r="C1984" i="5"/>
  <c r="D1984" i="5"/>
  <c r="E1984" i="5"/>
  <c r="F1984" i="5"/>
  <c r="C1985" i="4"/>
  <c r="D1985" i="4"/>
  <c r="E1985" i="4"/>
  <c r="F1985" i="4"/>
  <c r="G1985" i="4"/>
  <c r="H1985" i="4"/>
  <c r="C1985" i="5"/>
  <c r="D1985" i="5"/>
  <c r="E1985" i="5"/>
  <c r="F1985" i="5"/>
  <c r="C1986" i="4"/>
  <c r="D1986" i="4"/>
  <c r="E1986" i="4"/>
  <c r="F1986" i="4"/>
  <c r="G1986" i="4"/>
  <c r="H1986" i="4"/>
  <c r="C1986" i="5"/>
  <c r="D1986" i="5"/>
  <c r="E1986" i="5"/>
  <c r="F1986" i="5"/>
  <c r="C1987" i="4"/>
  <c r="D1987" i="4"/>
  <c r="E1987" i="4"/>
  <c r="F1987" i="4"/>
  <c r="G1987" i="4"/>
  <c r="H1987" i="4"/>
  <c r="C1987" i="5"/>
  <c r="D1987" i="5"/>
  <c r="E1987" i="5"/>
  <c r="F1987" i="5"/>
  <c r="C1988" i="4"/>
  <c r="D1988" i="4"/>
  <c r="E1988" i="4"/>
  <c r="F1988" i="4"/>
  <c r="G1988" i="4"/>
  <c r="H1988" i="4"/>
  <c r="C1988" i="5"/>
  <c r="D1988" i="5"/>
  <c r="E1988" i="5"/>
  <c r="F1988" i="5"/>
  <c r="C1989" i="4"/>
  <c r="D1989" i="4"/>
  <c r="E1989" i="4"/>
  <c r="F1989" i="4"/>
  <c r="G1989" i="4"/>
  <c r="H1989" i="4"/>
  <c r="C1989" i="5"/>
  <c r="D1989" i="5"/>
  <c r="E1989" i="5"/>
  <c r="F1989" i="5"/>
  <c r="C1990" i="4"/>
  <c r="D1990" i="4"/>
  <c r="E1990" i="4"/>
  <c r="F1990" i="4"/>
  <c r="G1990" i="4"/>
  <c r="H1990" i="4"/>
  <c r="C1990" i="5"/>
  <c r="D1990" i="5"/>
  <c r="E1990" i="5"/>
  <c r="F1990" i="5"/>
  <c r="C1991" i="4"/>
  <c r="D1991" i="4"/>
  <c r="E1991" i="4"/>
  <c r="F1991" i="4"/>
  <c r="G1991" i="4"/>
  <c r="H1991" i="4"/>
  <c r="C1991" i="5"/>
  <c r="D1991" i="5"/>
  <c r="E1991" i="5"/>
  <c r="F1991" i="5"/>
  <c r="C1992" i="4"/>
  <c r="D1992" i="4"/>
  <c r="E1992" i="4"/>
  <c r="F1992" i="4"/>
  <c r="G1992" i="4"/>
  <c r="H1992" i="4"/>
  <c r="C1992" i="5"/>
  <c r="D1992" i="5"/>
  <c r="E1992" i="5"/>
  <c r="F1992" i="5"/>
  <c r="C1993" i="4"/>
  <c r="D1993" i="4"/>
  <c r="E1993" i="4"/>
  <c r="F1993" i="4"/>
  <c r="G1993" i="4"/>
  <c r="H1993" i="4"/>
  <c r="C1993" i="5"/>
  <c r="D1993" i="5"/>
  <c r="E1993" i="5"/>
  <c r="F1993" i="5"/>
  <c r="C1994" i="4"/>
  <c r="D1994" i="4"/>
  <c r="E1994" i="4"/>
  <c r="F1994" i="4"/>
  <c r="G1994" i="4"/>
  <c r="H1994" i="4"/>
  <c r="C1994" i="5"/>
  <c r="D1994" i="5"/>
  <c r="E1994" i="5"/>
  <c r="F1994" i="5"/>
  <c r="C1995" i="4"/>
  <c r="D1995" i="4"/>
  <c r="E1995" i="4"/>
  <c r="F1995" i="4"/>
  <c r="G1995" i="4"/>
  <c r="H1995" i="4"/>
  <c r="C1995" i="5"/>
  <c r="D1995" i="5"/>
  <c r="E1995" i="5"/>
  <c r="F1995" i="5"/>
  <c r="C1996" i="4"/>
  <c r="D1996" i="4"/>
  <c r="E1996" i="4"/>
  <c r="F1996" i="4"/>
  <c r="G1996" i="4"/>
  <c r="H1996" i="4"/>
  <c r="C1996" i="5"/>
  <c r="D1996" i="5"/>
  <c r="E1996" i="5"/>
  <c r="F1996" i="5"/>
  <c r="C1997" i="4"/>
  <c r="D1997" i="4"/>
  <c r="E1997" i="4"/>
  <c r="F1997" i="4"/>
  <c r="G1997" i="4"/>
  <c r="H1997" i="4"/>
  <c r="C1997" i="5"/>
  <c r="D1997" i="5"/>
  <c r="E1997" i="5"/>
  <c r="F1997" i="5"/>
  <c r="C1998" i="4"/>
  <c r="D1998" i="4"/>
  <c r="E1998" i="4"/>
  <c r="F1998" i="4"/>
  <c r="G1998" i="4"/>
  <c r="H1998" i="4"/>
  <c r="C1998" i="5"/>
  <c r="D1998" i="5"/>
  <c r="E1998" i="5"/>
  <c r="F1998" i="5"/>
  <c r="C1999" i="4"/>
  <c r="D1999" i="4"/>
  <c r="E1999" i="4"/>
  <c r="F1999" i="4"/>
  <c r="G1999" i="4"/>
  <c r="H1999" i="4"/>
  <c r="C1999" i="5"/>
  <c r="D1999" i="5"/>
  <c r="E1999" i="5"/>
  <c r="F1999" i="5"/>
  <c r="C2000" i="4"/>
  <c r="D2000" i="4"/>
  <c r="E2000" i="4"/>
  <c r="F2000" i="4"/>
  <c r="G2000" i="4"/>
  <c r="H2000" i="4"/>
  <c r="C2000" i="5"/>
  <c r="D2000" i="5"/>
  <c r="E2000" i="5"/>
  <c r="F2000" i="5"/>
  <c r="C2001" i="4"/>
  <c r="D2001" i="4"/>
  <c r="E2001" i="4"/>
  <c r="F2001" i="4"/>
  <c r="G2001" i="4"/>
  <c r="H2001" i="4"/>
  <c r="C2001" i="5"/>
  <c r="D2001" i="5"/>
  <c r="E2001" i="5"/>
  <c r="F2001" i="5"/>
  <c r="C2002" i="4"/>
  <c r="D2002" i="4"/>
  <c r="E2002" i="4"/>
  <c r="F2002" i="4"/>
  <c r="G2002" i="4"/>
  <c r="H2002" i="4"/>
  <c r="C2002" i="5"/>
  <c r="D2002" i="5"/>
  <c r="E2002" i="5"/>
  <c r="F2002" i="5"/>
  <c r="C2003" i="4"/>
  <c r="D2003" i="4"/>
  <c r="E2003" i="4"/>
  <c r="F2003" i="4"/>
  <c r="G2003" i="4"/>
  <c r="H2003" i="4"/>
  <c r="C2003" i="5"/>
  <c r="D2003" i="5"/>
  <c r="E2003" i="5"/>
  <c r="F2003" i="5"/>
  <c r="C2004" i="4"/>
  <c r="D2004" i="4"/>
  <c r="E2004" i="4"/>
  <c r="F2004" i="4"/>
  <c r="G2004" i="4"/>
  <c r="H2004" i="4"/>
  <c r="C2004" i="5"/>
  <c r="D2004" i="5"/>
  <c r="E2004" i="5"/>
  <c r="F2004" i="5"/>
  <c r="C2005" i="4"/>
  <c r="D2005" i="4"/>
  <c r="E2005" i="4"/>
  <c r="F2005" i="4"/>
  <c r="G2005" i="4"/>
  <c r="H2005" i="4"/>
  <c r="C2005" i="5"/>
  <c r="D2005" i="5"/>
  <c r="E2005" i="5"/>
  <c r="F2005" i="5"/>
  <c r="C2006" i="4"/>
  <c r="D2006" i="4"/>
  <c r="E2006" i="4"/>
  <c r="F2006" i="4"/>
  <c r="G2006" i="4"/>
  <c r="H2006" i="4"/>
  <c r="C2006" i="5"/>
  <c r="D2006" i="5"/>
  <c r="E2006" i="5"/>
  <c r="F2006" i="5"/>
  <c r="C2007" i="4"/>
  <c r="D2007" i="4"/>
  <c r="E2007" i="4"/>
  <c r="F2007" i="4"/>
  <c r="G2007" i="4"/>
  <c r="H2007" i="4"/>
  <c r="C2007" i="5"/>
  <c r="D2007" i="5"/>
  <c r="E2007" i="5"/>
  <c r="F2007" i="5"/>
  <c r="C2008" i="4"/>
  <c r="D2008" i="4"/>
  <c r="E2008" i="4"/>
  <c r="F2008" i="4"/>
  <c r="G2008" i="4"/>
  <c r="H2008" i="4"/>
  <c r="C2008" i="5"/>
  <c r="D2008" i="5"/>
  <c r="E2008" i="5"/>
  <c r="F2008" i="5"/>
  <c r="C2009" i="4"/>
  <c r="D2009" i="4"/>
  <c r="E2009" i="4"/>
  <c r="F2009" i="4"/>
  <c r="G2009" i="4"/>
  <c r="H2009" i="4"/>
  <c r="C2009" i="5"/>
  <c r="D2009" i="5"/>
  <c r="E2009" i="5"/>
  <c r="F2009" i="5"/>
  <c r="C2010" i="4"/>
  <c r="D2010" i="4"/>
  <c r="E2010" i="4"/>
  <c r="F2010" i="4"/>
  <c r="G2010" i="4"/>
  <c r="H2010" i="4"/>
  <c r="C2010" i="5"/>
  <c r="D2010" i="5"/>
  <c r="E2010" i="5"/>
  <c r="F2010" i="5"/>
  <c r="C2011" i="4"/>
  <c r="D2011" i="4"/>
  <c r="E2011" i="4"/>
  <c r="F2011" i="4"/>
  <c r="G2011" i="4"/>
  <c r="H2011" i="4"/>
  <c r="C2011" i="5"/>
  <c r="D2011" i="5"/>
  <c r="E2011" i="5"/>
  <c r="F2011" i="5"/>
  <c r="C2012" i="4"/>
  <c r="D2012" i="4"/>
  <c r="E2012" i="4"/>
  <c r="F2012" i="4"/>
  <c r="G2012" i="4"/>
  <c r="H2012" i="4"/>
  <c r="C2012" i="5"/>
  <c r="D2012" i="5"/>
  <c r="E2012" i="5"/>
  <c r="F2012" i="5"/>
  <c r="C2013" i="4"/>
  <c r="D2013" i="4"/>
  <c r="E2013" i="4"/>
  <c r="F2013" i="4"/>
  <c r="G2013" i="4"/>
  <c r="H2013" i="4"/>
  <c r="C2013" i="5"/>
  <c r="D2013" i="5"/>
  <c r="E2013" i="5"/>
  <c r="F2013" i="5"/>
  <c r="C2014" i="4"/>
  <c r="D2014" i="4"/>
  <c r="E2014" i="4"/>
  <c r="F2014" i="4"/>
  <c r="G2014" i="4"/>
  <c r="H2014" i="4"/>
  <c r="C2014" i="5"/>
  <c r="D2014" i="5"/>
  <c r="E2014" i="5"/>
  <c r="F2014" i="5"/>
  <c r="C2015" i="4"/>
  <c r="D2015" i="4"/>
  <c r="E2015" i="4"/>
  <c r="F2015" i="4"/>
  <c r="G2015" i="4"/>
  <c r="H2015" i="4"/>
  <c r="C2015" i="5"/>
  <c r="D2015" i="5"/>
  <c r="E2015" i="5"/>
  <c r="F2015" i="5"/>
  <c r="C2016" i="4"/>
  <c r="D2016" i="4"/>
  <c r="E2016" i="4"/>
  <c r="F2016" i="4"/>
  <c r="G2016" i="4"/>
  <c r="H2016" i="4"/>
  <c r="C2016" i="5"/>
  <c r="D2016" i="5"/>
  <c r="E2016" i="5"/>
  <c r="F2016" i="5"/>
  <c r="C2017" i="4"/>
  <c r="D2017" i="4"/>
  <c r="E2017" i="4"/>
  <c r="F2017" i="4"/>
  <c r="G2017" i="4"/>
  <c r="H2017" i="4"/>
  <c r="C2017" i="5"/>
  <c r="D2017" i="5"/>
  <c r="E2017" i="5"/>
  <c r="F2017" i="5"/>
  <c r="C2018" i="4"/>
  <c r="D2018" i="4"/>
  <c r="E2018" i="4"/>
  <c r="F2018" i="4"/>
  <c r="G2018" i="4"/>
  <c r="H2018" i="4"/>
  <c r="C2018" i="5"/>
  <c r="D2018" i="5"/>
  <c r="E2018" i="5"/>
  <c r="F2018" i="5"/>
  <c r="C2019" i="4"/>
  <c r="D2019" i="4"/>
  <c r="E2019" i="4"/>
  <c r="F2019" i="4"/>
  <c r="G2019" i="4"/>
  <c r="H2019" i="4"/>
  <c r="C2019" i="5"/>
  <c r="D2019" i="5"/>
  <c r="E2019" i="5"/>
  <c r="F2019" i="5"/>
  <c r="C2020" i="4"/>
  <c r="D2020" i="4"/>
  <c r="E2020" i="4"/>
  <c r="F2020" i="4"/>
  <c r="G2020" i="4"/>
  <c r="H2020" i="4"/>
  <c r="C2020" i="5"/>
  <c r="D2020" i="5"/>
  <c r="E2020" i="5"/>
  <c r="F2020" i="5"/>
  <c r="C2021" i="4"/>
  <c r="D2021" i="4"/>
  <c r="E2021" i="4"/>
  <c r="F2021" i="4"/>
  <c r="G2021" i="4"/>
  <c r="H2021" i="4"/>
  <c r="C2021" i="5"/>
  <c r="D2021" i="5"/>
  <c r="E2021" i="5"/>
  <c r="F2021" i="5"/>
  <c r="C2022" i="4"/>
  <c r="D2022" i="4"/>
  <c r="E2022" i="4"/>
  <c r="F2022" i="4"/>
  <c r="G2022" i="4"/>
  <c r="H2022" i="4"/>
  <c r="C2022" i="5"/>
  <c r="D2022" i="5"/>
  <c r="E2022" i="5"/>
  <c r="F2022" i="5"/>
  <c r="C2023" i="4"/>
  <c r="D2023" i="4"/>
  <c r="E2023" i="4"/>
  <c r="F2023" i="4"/>
  <c r="G2023" i="4"/>
  <c r="H2023" i="4"/>
  <c r="C2023" i="5"/>
  <c r="D2023" i="5"/>
  <c r="E2023" i="5"/>
  <c r="F2023" i="5"/>
  <c r="C2024" i="4"/>
  <c r="D2024" i="4"/>
  <c r="E2024" i="4"/>
  <c r="F2024" i="4"/>
  <c r="G2024" i="4"/>
  <c r="H2024" i="4"/>
  <c r="C2024" i="5"/>
  <c r="D2024" i="5"/>
  <c r="E2024" i="5"/>
  <c r="F2024" i="5"/>
  <c r="C2025" i="4"/>
  <c r="D2025" i="4"/>
  <c r="E2025" i="4"/>
  <c r="F2025" i="4"/>
  <c r="G2025" i="4"/>
  <c r="H2025" i="4"/>
  <c r="C2025" i="5"/>
  <c r="D2025" i="5"/>
  <c r="E2025" i="5"/>
  <c r="F2025" i="5"/>
  <c r="C2026" i="4"/>
  <c r="D2026" i="4"/>
  <c r="E2026" i="4"/>
  <c r="F2026" i="4"/>
  <c r="G2026" i="4"/>
  <c r="H2026" i="4"/>
  <c r="C2026" i="5"/>
  <c r="D2026" i="5"/>
  <c r="E2026" i="5"/>
  <c r="F2026" i="5"/>
  <c r="C2027" i="4"/>
  <c r="D2027" i="4"/>
  <c r="E2027" i="4"/>
  <c r="F2027" i="4"/>
  <c r="G2027" i="4"/>
  <c r="H2027" i="4"/>
  <c r="C2027" i="5"/>
  <c r="D2027" i="5"/>
  <c r="E2027" i="5"/>
  <c r="F2027" i="5"/>
  <c r="C2028" i="4"/>
  <c r="D2028" i="4"/>
  <c r="E2028" i="4"/>
  <c r="F2028" i="4"/>
  <c r="G2028" i="4"/>
  <c r="H2028" i="4"/>
  <c r="C2028" i="5"/>
  <c r="D2028" i="5"/>
  <c r="E2028" i="5"/>
  <c r="F2028" i="5"/>
  <c r="C2029" i="4"/>
  <c r="D2029" i="4"/>
  <c r="E2029" i="4"/>
  <c r="F2029" i="4"/>
  <c r="G2029" i="4"/>
  <c r="H2029" i="4"/>
  <c r="C2029" i="5"/>
  <c r="D2029" i="5"/>
  <c r="E2029" i="5"/>
  <c r="F2029" i="5"/>
  <c r="C2030" i="4"/>
  <c r="D2030" i="4"/>
  <c r="E2030" i="4"/>
  <c r="F2030" i="4"/>
  <c r="G2030" i="4"/>
  <c r="H2030" i="4"/>
  <c r="C2030" i="5"/>
  <c r="D2030" i="5"/>
  <c r="E2030" i="5"/>
  <c r="F2030" i="5"/>
  <c r="C2031" i="4"/>
  <c r="D2031" i="4"/>
  <c r="E2031" i="4"/>
  <c r="F2031" i="4"/>
  <c r="G2031" i="4"/>
  <c r="H2031" i="4"/>
  <c r="C2031" i="5"/>
  <c r="D2031" i="5"/>
  <c r="E2031" i="5"/>
  <c r="F2031" i="5"/>
  <c r="C2032" i="4"/>
  <c r="D2032" i="4"/>
  <c r="E2032" i="4"/>
  <c r="F2032" i="4"/>
  <c r="G2032" i="4"/>
  <c r="H2032" i="4"/>
  <c r="C2032" i="5"/>
  <c r="D2032" i="5"/>
  <c r="E2032" i="5"/>
  <c r="F2032" i="5"/>
  <c r="C2033" i="4"/>
  <c r="D2033" i="4"/>
  <c r="E2033" i="4"/>
  <c r="F2033" i="4"/>
  <c r="G2033" i="4"/>
  <c r="H2033" i="4"/>
  <c r="C2033" i="5"/>
  <c r="D2033" i="5"/>
  <c r="E2033" i="5"/>
  <c r="F2033" i="5"/>
  <c r="C2034" i="4"/>
  <c r="D2034" i="4"/>
  <c r="E2034" i="4"/>
  <c r="F2034" i="4"/>
  <c r="G2034" i="4"/>
  <c r="H2034" i="4"/>
  <c r="C2034" i="5"/>
  <c r="D2034" i="5"/>
  <c r="E2034" i="5"/>
  <c r="F2034" i="5"/>
  <c r="C2035" i="4"/>
  <c r="D2035" i="4"/>
  <c r="E2035" i="4"/>
  <c r="F2035" i="4"/>
  <c r="G2035" i="4"/>
  <c r="H2035" i="4"/>
  <c r="C2035" i="5"/>
  <c r="D2035" i="5"/>
  <c r="E2035" i="5"/>
  <c r="F2035" i="5"/>
  <c r="C2036" i="4"/>
  <c r="D2036" i="4"/>
  <c r="E2036" i="4"/>
  <c r="F2036" i="4"/>
  <c r="G2036" i="4"/>
  <c r="H2036" i="4"/>
  <c r="C2036" i="5"/>
  <c r="D2036" i="5"/>
  <c r="E2036" i="5"/>
  <c r="F2036" i="5"/>
  <c r="C2037" i="4"/>
  <c r="D2037" i="4"/>
  <c r="E2037" i="4"/>
  <c r="F2037" i="4"/>
  <c r="G2037" i="4"/>
  <c r="H2037" i="4"/>
  <c r="C2037" i="5"/>
  <c r="D2037" i="5"/>
  <c r="E2037" i="5"/>
  <c r="F2037" i="5"/>
  <c r="C2038" i="4"/>
  <c r="D2038" i="4"/>
  <c r="E2038" i="4"/>
  <c r="F2038" i="4"/>
  <c r="G2038" i="4"/>
  <c r="H2038" i="4"/>
  <c r="C2038" i="5"/>
  <c r="D2038" i="5"/>
  <c r="E2038" i="5"/>
  <c r="F2038" i="5"/>
  <c r="C2039" i="4"/>
  <c r="D2039" i="4"/>
  <c r="E2039" i="4"/>
  <c r="F2039" i="4"/>
  <c r="G2039" i="4"/>
  <c r="H2039" i="4"/>
  <c r="C2039" i="5"/>
  <c r="D2039" i="5"/>
  <c r="E2039" i="5"/>
  <c r="F2039" i="5"/>
  <c r="C2040" i="4"/>
  <c r="D2040" i="4"/>
  <c r="E2040" i="4"/>
  <c r="F2040" i="4"/>
  <c r="G2040" i="4"/>
  <c r="H2040" i="4"/>
  <c r="C2040" i="5"/>
  <c r="D2040" i="5"/>
  <c r="E2040" i="5"/>
  <c r="F2040" i="5"/>
  <c r="C2041" i="4"/>
  <c r="D2041" i="4"/>
  <c r="E2041" i="4"/>
  <c r="F2041" i="4"/>
  <c r="G2041" i="4"/>
  <c r="H2041" i="4"/>
  <c r="C2041" i="5"/>
  <c r="D2041" i="5"/>
  <c r="E2041" i="5"/>
  <c r="F2041" i="5"/>
  <c r="C2042" i="4"/>
  <c r="D2042" i="4"/>
  <c r="E2042" i="4"/>
  <c r="F2042" i="4"/>
  <c r="G2042" i="4"/>
  <c r="H2042" i="4"/>
  <c r="C2042" i="5"/>
  <c r="D2042" i="5"/>
  <c r="E2042" i="5"/>
  <c r="F2042" i="5"/>
  <c r="C2043" i="4"/>
  <c r="D2043" i="4"/>
  <c r="E2043" i="4"/>
  <c r="F2043" i="4"/>
  <c r="G2043" i="4"/>
  <c r="H2043" i="4"/>
  <c r="C2043" i="5"/>
  <c r="D2043" i="5"/>
  <c r="E2043" i="5"/>
  <c r="F2043" i="5"/>
  <c r="C2044" i="4"/>
  <c r="D2044" i="4"/>
  <c r="E2044" i="4"/>
  <c r="F2044" i="4"/>
  <c r="G2044" i="4"/>
  <c r="H2044" i="4"/>
  <c r="C2044" i="5"/>
  <c r="D2044" i="5"/>
  <c r="E2044" i="5"/>
  <c r="F2044" i="5"/>
  <c r="C2045" i="4"/>
  <c r="D2045" i="4"/>
  <c r="E2045" i="4"/>
  <c r="F2045" i="4"/>
  <c r="G2045" i="4"/>
  <c r="H2045" i="4"/>
  <c r="C2045" i="5"/>
  <c r="D2045" i="5"/>
  <c r="E2045" i="5"/>
  <c r="F2045" i="5"/>
  <c r="C2046" i="4"/>
  <c r="D2046" i="4"/>
  <c r="E2046" i="4"/>
  <c r="F2046" i="4"/>
  <c r="G2046" i="4"/>
  <c r="H2046" i="4"/>
  <c r="C2046" i="5"/>
  <c r="D2046" i="5"/>
  <c r="E2046" i="5"/>
  <c r="F2046" i="5"/>
  <c r="C2047" i="4"/>
  <c r="D2047" i="4"/>
  <c r="E2047" i="4"/>
  <c r="F2047" i="4"/>
  <c r="G2047" i="4"/>
  <c r="H2047" i="4"/>
  <c r="C2047" i="5"/>
  <c r="D2047" i="5"/>
  <c r="E2047" i="5"/>
  <c r="F2047" i="5"/>
  <c r="C2048" i="4"/>
  <c r="D2048" i="4"/>
  <c r="E2048" i="4"/>
  <c r="F2048" i="4"/>
  <c r="G2048" i="4"/>
  <c r="H2048" i="4"/>
  <c r="C2048" i="5"/>
  <c r="D2048" i="5"/>
  <c r="E2048" i="5"/>
  <c r="F2048" i="5"/>
  <c r="C2049" i="4"/>
  <c r="D2049" i="4"/>
  <c r="E2049" i="4"/>
  <c r="F2049" i="4"/>
  <c r="G2049" i="4"/>
  <c r="H2049" i="4"/>
  <c r="C2049" i="5"/>
  <c r="D2049" i="5"/>
  <c r="E2049" i="5"/>
  <c r="F2049" i="5"/>
  <c r="C2050" i="4"/>
  <c r="D2050" i="4"/>
  <c r="E2050" i="4"/>
  <c r="F2050" i="4"/>
  <c r="G2050" i="4"/>
  <c r="H2050" i="4"/>
  <c r="C2050" i="5"/>
  <c r="D2050" i="5"/>
  <c r="E2050" i="5"/>
  <c r="F2050" i="5"/>
  <c r="C2051" i="4"/>
  <c r="D2051" i="4"/>
  <c r="E2051" i="4"/>
  <c r="F2051" i="4"/>
  <c r="G2051" i="4"/>
  <c r="H2051" i="4"/>
  <c r="C2051" i="5"/>
  <c r="D2051" i="5"/>
  <c r="E2051" i="5"/>
  <c r="F2051" i="5"/>
  <c r="C2052" i="4"/>
  <c r="D2052" i="4"/>
  <c r="E2052" i="4"/>
  <c r="F2052" i="4"/>
  <c r="G2052" i="4"/>
  <c r="H2052" i="4"/>
  <c r="C2052" i="5"/>
  <c r="D2052" i="5"/>
  <c r="E2052" i="5"/>
  <c r="F2052" i="5"/>
  <c r="C2053" i="4"/>
  <c r="D2053" i="4"/>
  <c r="E2053" i="4"/>
  <c r="F2053" i="4"/>
  <c r="G2053" i="4"/>
  <c r="H2053" i="4"/>
  <c r="C2053" i="5"/>
  <c r="D2053" i="5"/>
  <c r="E2053" i="5"/>
  <c r="F2053" i="5"/>
  <c r="C2054" i="4"/>
  <c r="D2054" i="4"/>
  <c r="E2054" i="4"/>
  <c r="F2054" i="4"/>
  <c r="G2054" i="4"/>
  <c r="H2054" i="4"/>
  <c r="C2054" i="5"/>
  <c r="D2054" i="5"/>
  <c r="E2054" i="5"/>
  <c r="F2054" i="5"/>
  <c r="C2055" i="4"/>
  <c r="D2055" i="4"/>
  <c r="E2055" i="4"/>
  <c r="F2055" i="4"/>
  <c r="G2055" i="4"/>
  <c r="H2055" i="4"/>
  <c r="C2055" i="5"/>
  <c r="D2055" i="5"/>
  <c r="E2055" i="5"/>
  <c r="F2055" i="5"/>
  <c r="C2056" i="4"/>
  <c r="D2056" i="4"/>
  <c r="E2056" i="4"/>
  <c r="F2056" i="4"/>
  <c r="G2056" i="4"/>
  <c r="H2056" i="4"/>
  <c r="C2056" i="5"/>
  <c r="D2056" i="5"/>
  <c r="E2056" i="5"/>
  <c r="F2056" i="5"/>
  <c r="C2057" i="4"/>
  <c r="D2057" i="4"/>
  <c r="E2057" i="4"/>
  <c r="F2057" i="4"/>
  <c r="G2057" i="4"/>
  <c r="H2057" i="4"/>
  <c r="C2057" i="5"/>
  <c r="D2057" i="5"/>
  <c r="E2057" i="5"/>
  <c r="F2057" i="5"/>
  <c r="C2058" i="4"/>
  <c r="D2058" i="4"/>
  <c r="E2058" i="4"/>
  <c r="F2058" i="4"/>
  <c r="G2058" i="4"/>
  <c r="H2058" i="4"/>
  <c r="C2058" i="5"/>
  <c r="D2058" i="5"/>
  <c r="E2058" i="5"/>
  <c r="F2058" i="5"/>
  <c r="C2059" i="4"/>
  <c r="D2059" i="4"/>
  <c r="E2059" i="4"/>
  <c r="F2059" i="4"/>
  <c r="G2059" i="4"/>
  <c r="H2059" i="4"/>
  <c r="C2059" i="5"/>
  <c r="D2059" i="5"/>
  <c r="E2059" i="5"/>
  <c r="F2059" i="5"/>
  <c r="C2060" i="4"/>
  <c r="D2060" i="4"/>
  <c r="E2060" i="4"/>
  <c r="F2060" i="4"/>
  <c r="G2060" i="4"/>
  <c r="H2060" i="4"/>
  <c r="C2060" i="5"/>
  <c r="D2060" i="5"/>
  <c r="E2060" i="5"/>
  <c r="F2060" i="5"/>
  <c r="C2061" i="4"/>
  <c r="D2061" i="4"/>
  <c r="E2061" i="4"/>
  <c r="F2061" i="4"/>
  <c r="G2061" i="4"/>
  <c r="H2061" i="4"/>
  <c r="C2061" i="5"/>
  <c r="D2061" i="5"/>
  <c r="E2061" i="5"/>
  <c r="F2061" i="5"/>
  <c r="C2062" i="4"/>
  <c r="D2062" i="4"/>
  <c r="E2062" i="4"/>
  <c r="F2062" i="4"/>
  <c r="G2062" i="4"/>
  <c r="H2062" i="4"/>
  <c r="C2062" i="5"/>
  <c r="D2062" i="5"/>
  <c r="E2062" i="5"/>
  <c r="F2062" i="5"/>
  <c r="C2063" i="4"/>
  <c r="D2063" i="4"/>
  <c r="E2063" i="4"/>
  <c r="F2063" i="4"/>
  <c r="G2063" i="4"/>
  <c r="H2063" i="4"/>
  <c r="C2063" i="5"/>
  <c r="D2063" i="5"/>
  <c r="E2063" i="5"/>
  <c r="F2063" i="5"/>
  <c r="C2064" i="4"/>
  <c r="D2064" i="4"/>
  <c r="E2064" i="4"/>
  <c r="F2064" i="4"/>
  <c r="G2064" i="4"/>
  <c r="H2064" i="4"/>
  <c r="C2064" i="5"/>
  <c r="D2064" i="5"/>
  <c r="E2064" i="5"/>
  <c r="F2064" i="5"/>
  <c r="C2065" i="4"/>
  <c r="D2065" i="4"/>
  <c r="E2065" i="4"/>
  <c r="F2065" i="4"/>
  <c r="G2065" i="4"/>
  <c r="H2065" i="4"/>
  <c r="C2065" i="5"/>
  <c r="D2065" i="5"/>
  <c r="E2065" i="5"/>
  <c r="F2065" i="5"/>
  <c r="C2066" i="4"/>
  <c r="D2066" i="4"/>
  <c r="E2066" i="4"/>
  <c r="F2066" i="4"/>
  <c r="G2066" i="4"/>
  <c r="H2066" i="4"/>
  <c r="C2066" i="5"/>
  <c r="D2066" i="5"/>
  <c r="E2066" i="5"/>
  <c r="F2066" i="5"/>
  <c r="C2067" i="4"/>
  <c r="D2067" i="4"/>
  <c r="E2067" i="4"/>
  <c r="F2067" i="4"/>
  <c r="G2067" i="4"/>
  <c r="H2067" i="4"/>
  <c r="C2067" i="5"/>
  <c r="D2067" i="5"/>
  <c r="E2067" i="5"/>
  <c r="F2067" i="5"/>
  <c r="C2068" i="4"/>
  <c r="D2068" i="4"/>
  <c r="E2068" i="4"/>
  <c r="F2068" i="4"/>
  <c r="G2068" i="4"/>
  <c r="H2068" i="4"/>
  <c r="C2068" i="5"/>
  <c r="D2068" i="5"/>
  <c r="F2068" i="5"/>
  <c r="E2068" i="5"/>
  <c r="C2069" i="4"/>
  <c r="D2069" i="4"/>
  <c r="E2069" i="4"/>
  <c r="F2069" i="4"/>
  <c r="G2069" i="4"/>
  <c r="H2069" i="4"/>
  <c r="C2069" i="5"/>
  <c r="D2069" i="5"/>
  <c r="F2069" i="5"/>
  <c r="E2069" i="5"/>
  <c r="C2070" i="4"/>
  <c r="D2070" i="4"/>
  <c r="E2070" i="4"/>
  <c r="F2070" i="4"/>
  <c r="G2070" i="4"/>
  <c r="H2070" i="4"/>
  <c r="C2070" i="5"/>
  <c r="D2070" i="5"/>
  <c r="F2070" i="5"/>
  <c r="E2070" i="5"/>
  <c r="C2071" i="4"/>
  <c r="D2071" i="4"/>
  <c r="E2071" i="4"/>
  <c r="F2071" i="4"/>
  <c r="G2071" i="4"/>
  <c r="H2071" i="4"/>
  <c r="C2071" i="5"/>
  <c r="D2071" i="5"/>
  <c r="F2071" i="5"/>
  <c r="E2071" i="5"/>
  <c r="C2072" i="4"/>
  <c r="D2072" i="4"/>
  <c r="E2072" i="4"/>
  <c r="F2072" i="4"/>
  <c r="G2072" i="4"/>
  <c r="H2072" i="4"/>
  <c r="C2072" i="5"/>
  <c r="D2072" i="5"/>
  <c r="F2072" i="5"/>
  <c r="E2072" i="5"/>
  <c r="C2073" i="4"/>
  <c r="D2073" i="4"/>
  <c r="E2073" i="4"/>
  <c r="F2073" i="4"/>
  <c r="G2073" i="4"/>
  <c r="H2073" i="4"/>
  <c r="C2073" i="5"/>
  <c r="D2073" i="5"/>
  <c r="F2073" i="5"/>
  <c r="E2073" i="5"/>
  <c r="C2074" i="4"/>
  <c r="D2074" i="4"/>
  <c r="E2074" i="4"/>
  <c r="F2074" i="4"/>
  <c r="G2074" i="4"/>
  <c r="H2074" i="4"/>
  <c r="C2074" i="5"/>
  <c r="D2074" i="5"/>
  <c r="F2074" i="5"/>
  <c r="E2074" i="5"/>
  <c r="C2075" i="4"/>
  <c r="D2075" i="4"/>
  <c r="E2075" i="4"/>
  <c r="F2075" i="4"/>
  <c r="G2075" i="4"/>
  <c r="H2075" i="4"/>
  <c r="C2075" i="5"/>
  <c r="D2075" i="5"/>
  <c r="F2075" i="5"/>
  <c r="E2075" i="5"/>
  <c r="C2076" i="4"/>
  <c r="D2076" i="4"/>
  <c r="E2076" i="4"/>
  <c r="F2076" i="4"/>
  <c r="G2076" i="4"/>
  <c r="H2076" i="4"/>
  <c r="C2076" i="5"/>
  <c r="D2076" i="5"/>
  <c r="F2076" i="5"/>
  <c r="E2076" i="5"/>
  <c r="C2077" i="4"/>
  <c r="D2077" i="4"/>
  <c r="E2077" i="4"/>
  <c r="F2077" i="4"/>
  <c r="G2077" i="4"/>
  <c r="H2077" i="4"/>
  <c r="C2077" i="5"/>
  <c r="D2077" i="5"/>
  <c r="F2077" i="5"/>
  <c r="E2077" i="5"/>
  <c r="C2078" i="4"/>
  <c r="D2078" i="4"/>
  <c r="E2078" i="4"/>
  <c r="F2078" i="4"/>
  <c r="G2078" i="4"/>
  <c r="H2078" i="4"/>
  <c r="C2078" i="5"/>
  <c r="D2078" i="5"/>
  <c r="F2078" i="5"/>
  <c r="E2078" i="5"/>
  <c r="C2079" i="4"/>
  <c r="D2079" i="4"/>
  <c r="E2079" i="4"/>
  <c r="F2079" i="4"/>
  <c r="G2079" i="4"/>
  <c r="H2079" i="4"/>
  <c r="C2079" i="5"/>
  <c r="D2079" i="5"/>
  <c r="F2079" i="5"/>
  <c r="E2079" i="5"/>
  <c r="C2080" i="4"/>
  <c r="D2080" i="4"/>
  <c r="E2080" i="4"/>
  <c r="F2080" i="4"/>
  <c r="G2080" i="4"/>
  <c r="H2080" i="4"/>
  <c r="C2080" i="5"/>
  <c r="D2080" i="5"/>
  <c r="F2080" i="5"/>
  <c r="E2080" i="5"/>
  <c r="C2081" i="4"/>
  <c r="D2081" i="4"/>
  <c r="E2081" i="4"/>
  <c r="F2081" i="4"/>
  <c r="G2081" i="4"/>
  <c r="H2081" i="4"/>
  <c r="C2081" i="5"/>
  <c r="D2081" i="5"/>
  <c r="F2081" i="5"/>
  <c r="E2081" i="5"/>
  <c r="C2082" i="4"/>
  <c r="D2082" i="4"/>
  <c r="E2082" i="4"/>
  <c r="F2082" i="4"/>
  <c r="G2082" i="4"/>
  <c r="H2082" i="4"/>
  <c r="C2082" i="5"/>
  <c r="D2082" i="5"/>
  <c r="F2082" i="5"/>
  <c r="E2082" i="5"/>
  <c r="C2083" i="4"/>
  <c r="D2083" i="4"/>
  <c r="E2083" i="4"/>
  <c r="F2083" i="4"/>
  <c r="G2083" i="4"/>
  <c r="H2083" i="4"/>
  <c r="C2083" i="5"/>
  <c r="D2083" i="5"/>
  <c r="F2083" i="5"/>
  <c r="E2083" i="5"/>
  <c r="C2084" i="4"/>
  <c r="D2084" i="4"/>
  <c r="E2084" i="4"/>
  <c r="F2084" i="4"/>
  <c r="G2084" i="4"/>
  <c r="H2084" i="4"/>
  <c r="C2084" i="5"/>
  <c r="D2084" i="5"/>
  <c r="F2084" i="5"/>
  <c r="E2084" i="5"/>
  <c r="C2085" i="4"/>
  <c r="D2085" i="4"/>
  <c r="E2085" i="4"/>
  <c r="F2085" i="4"/>
  <c r="G2085" i="4"/>
  <c r="H2085" i="4"/>
  <c r="C2085" i="5"/>
  <c r="D2085" i="5"/>
  <c r="F2085" i="5"/>
  <c r="E2085" i="5"/>
  <c r="C2086" i="4"/>
  <c r="D2086" i="4"/>
  <c r="E2086" i="4"/>
  <c r="F2086" i="4"/>
  <c r="G2086" i="4"/>
  <c r="H2086" i="4"/>
  <c r="C2086" i="5"/>
  <c r="D2086" i="5"/>
  <c r="F2086" i="5"/>
  <c r="E2086" i="5"/>
  <c r="C2087" i="4"/>
  <c r="D2087" i="4"/>
  <c r="E2087" i="4"/>
  <c r="F2087" i="4"/>
  <c r="G2087" i="4"/>
  <c r="H2087" i="4"/>
  <c r="C2087" i="5"/>
  <c r="D2087" i="5"/>
  <c r="F2087" i="5"/>
  <c r="E2087" i="5"/>
  <c r="C2088" i="4"/>
  <c r="D2088" i="4"/>
  <c r="E2088" i="4"/>
  <c r="F2088" i="4"/>
  <c r="G2088" i="4"/>
  <c r="H2088" i="4"/>
  <c r="C2088" i="5"/>
  <c r="D2088" i="5"/>
  <c r="F2088" i="5"/>
  <c r="E2088" i="5"/>
  <c r="C2089" i="4"/>
  <c r="D2089" i="4"/>
  <c r="E2089" i="4"/>
  <c r="F2089" i="4"/>
  <c r="G2089" i="4"/>
  <c r="H2089" i="4"/>
  <c r="C2089" i="5"/>
  <c r="D2089" i="5"/>
  <c r="F2089" i="5"/>
  <c r="E2089" i="5"/>
  <c r="C2090" i="4"/>
  <c r="D2090" i="4"/>
  <c r="E2090" i="4"/>
  <c r="F2090" i="4"/>
  <c r="G2090" i="4"/>
  <c r="H2090" i="4"/>
  <c r="C2090" i="5"/>
  <c r="D2090" i="5"/>
  <c r="F2090" i="5"/>
  <c r="E2090" i="5"/>
  <c r="C2091" i="4"/>
  <c r="D2091" i="4"/>
  <c r="E2091" i="4"/>
  <c r="F2091" i="4"/>
  <c r="G2091" i="4"/>
  <c r="H2091" i="4"/>
  <c r="C2091" i="5"/>
  <c r="D2091" i="5"/>
  <c r="F2091" i="5"/>
  <c r="E2091" i="5"/>
  <c r="C2092" i="4"/>
  <c r="D2092" i="4"/>
  <c r="E2092" i="4"/>
  <c r="F2092" i="4"/>
  <c r="G2092" i="4"/>
  <c r="H2092" i="4"/>
  <c r="C2092" i="5"/>
  <c r="D2092" i="5"/>
  <c r="F2092" i="5"/>
  <c r="E2092" i="5"/>
  <c r="C2093" i="4"/>
  <c r="D2093" i="4"/>
  <c r="E2093" i="4"/>
  <c r="F2093" i="4"/>
  <c r="G2093" i="4"/>
  <c r="H2093" i="4"/>
  <c r="C2093" i="5"/>
  <c r="D2093" i="5"/>
  <c r="F2093" i="5"/>
  <c r="E2093" i="5"/>
  <c r="C2094" i="4"/>
  <c r="D2094" i="4"/>
  <c r="E2094" i="4"/>
  <c r="F2094" i="4"/>
  <c r="G2094" i="4"/>
  <c r="H2094" i="4"/>
  <c r="C2094" i="5"/>
  <c r="D2094" i="5"/>
  <c r="F2094" i="5"/>
  <c r="E2094" i="5"/>
  <c r="C2095" i="4"/>
  <c r="D2095" i="4"/>
  <c r="E2095" i="4"/>
  <c r="F2095" i="4"/>
  <c r="G2095" i="4"/>
  <c r="H2095" i="4"/>
  <c r="C2095" i="5"/>
  <c r="D2095" i="5"/>
  <c r="F2095" i="5"/>
  <c r="E2095" i="5"/>
  <c r="C2096" i="4"/>
  <c r="D2096" i="4"/>
  <c r="E2096" i="4"/>
  <c r="F2096" i="4"/>
  <c r="G2096" i="4"/>
  <c r="H2096" i="4"/>
  <c r="C2096" i="5"/>
  <c r="D2096" i="5"/>
  <c r="F2096" i="5"/>
  <c r="E2096" i="5"/>
  <c r="C2097" i="4"/>
  <c r="D2097" i="4"/>
  <c r="E2097" i="4"/>
  <c r="F2097" i="4"/>
  <c r="G2097" i="4"/>
  <c r="H2097" i="4"/>
  <c r="C2097" i="5"/>
  <c r="D2097" i="5"/>
  <c r="F2097" i="5"/>
  <c r="E2097" i="5"/>
  <c r="C2098" i="4"/>
  <c r="D2098" i="4"/>
  <c r="E2098" i="4"/>
  <c r="F2098" i="4"/>
  <c r="G2098" i="4"/>
  <c r="H2098" i="4"/>
  <c r="C2098" i="5"/>
  <c r="D2098" i="5"/>
  <c r="F2098" i="5"/>
  <c r="E2098" i="5"/>
  <c r="C2099" i="4"/>
  <c r="D2099" i="4"/>
  <c r="E2099" i="4"/>
  <c r="F2099" i="4"/>
  <c r="G2099" i="4"/>
  <c r="H2099" i="4"/>
  <c r="C2099" i="5"/>
  <c r="D2099" i="5"/>
  <c r="F2099" i="5"/>
  <c r="E2099" i="5"/>
  <c r="C2100" i="4"/>
  <c r="D2100" i="4"/>
  <c r="E2100" i="4"/>
  <c r="F2100" i="4"/>
  <c r="G2100" i="4"/>
  <c r="H2100" i="4"/>
  <c r="C2100" i="5"/>
  <c r="D2100" i="5"/>
  <c r="F2100" i="5"/>
  <c r="E2100" i="5"/>
  <c r="C2101" i="4"/>
  <c r="D2101" i="4"/>
  <c r="E2101" i="4"/>
  <c r="F2101" i="4"/>
  <c r="G2101" i="4"/>
  <c r="H2101" i="4"/>
  <c r="C2101" i="5"/>
  <c r="D2101" i="5"/>
  <c r="F2101" i="5"/>
  <c r="E2101" i="5"/>
  <c r="C2102" i="4"/>
  <c r="D2102" i="4"/>
  <c r="E2102" i="4"/>
  <c r="F2102" i="4"/>
  <c r="G2102" i="4"/>
  <c r="H2102" i="4"/>
  <c r="C2102" i="5"/>
  <c r="D2102" i="5"/>
  <c r="F2102" i="5"/>
  <c r="E2102" i="5"/>
  <c r="C2103" i="4"/>
  <c r="D2103" i="4"/>
  <c r="E2103" i="4"/>
  <c r="F2103" i="4"/>
  <c r="G2103" i="4"/>
  <c r="H2103" i="4"/>
  <c r="C2103" i="5"/>
  <c r="D2103" i="5"/>
  <c r="F2103" i="5"/>
  <c r="E2103" i="5"/>
  <c r="C2104" i="4"/>
  <c r="D2104" i="4"/>
  <c r="E2104" i="4"/>
  <c r="F2104" i="4"/>
  <c r="G2104" i="4"/>
  <c r="H2104" i="4"/>
  <c r="C2104" i="5"/>
  <c r="D2104" i="5"/>
  <c r="F2104" i="5"/>
  <c r="E2104" i="5"/>
  <c r="C2105" i="4"/>
  <c r="D2105" i="4"/>
  <c r="E2105" i="4"/>
  <c r="F2105" i="4"/>
  <c r="G2105" i="4"/>
  <c r="H2105" i="4"/>
  <c r="C2105" i="5"/>
  <c r="D2105" i="5"/>
  <c r="F2105" i="5"/>
  <c r="E2105" i="5"/>
  <c r="C2106" i="4"/>
  <c r="D2106" i="4"/>
  <c r="E2106" i="4"/>
  <c r="F2106" i="4"/>
  <c r="G2106" i="4"/>
  <c r="H2106" i="4"/>
  <c r="C2106" i="5"/>
  <c r="D2106" i="5"/>
  <c r="F2106" i="5"/>
  <c r="E2106" i="5"/>
  <c r="C2107" i="4"/>
  <c r="D2107" i="4"/>
  <c r="E2107" i="4"/>
  <c r="F2107" i="4"/>
  <c r="G2107" i="4"/>
  <c r="H2107" i="4"/>
  <c r="C2107" i="5"/>
  <c r="D2107" i="5"/>
  <c r="F2107" i="5"/>
  <c r="E2107" i="5"/>
  <c r="C2108" i="4"/>
  <c r="D2108" i="4"/>
  <c r="E2108" i="4"/>
  <c r="F2108" i="4"/>
  <c r="G2108" i="4"/>
  <c r="H2108" i="4"/>
  <c r="C2108" i="5"/>
  <c r="D2108" i="5"/>
  <c r="F2108" i="5"/>
  <c r="E2108" i="5"/>
  <c r="C2109" i="4"/>
  <c r="D2109" i="4"/>
  <c r="E2109" i="4"/>
  <c r="F2109" i="4"/>
  <c r="G2109" i="4"/>
  <c r="H2109" i="4"/>
  <c r="C2109" i="5"/>
  <c r="D2109" i="5"/>
  <c r="F2109" i="5"/>
  <c r="E2109" i="5"/>
  <c r="C2110" i="4"/>
  <c r="D2110" i="4"/>
  <c r="E2110" i="4"/>
  <c r="F2110" i="4"/>
  <c r="G2110" i="4"/>
  <c r="H2110" i="4"/>
  <c r="C2110" i="5"/>
  <c r="D2110" i="5"/>
  <c r="F2110" i="5"/>
  <c r="E2110" i="5"/>
  <c r="C2111" i="4"/>
  <c r="D2111" i="4"/>
  <c r="E2111" i="4"/>
  <c r="F2111" i="4"/>
  <c r="G2111" i="4"/>
  <c r="H2111" i="4"/>
  <c r="C2111" i="5"/>
  <c r="D2111" i="5"/>
  <c r="F2111" i="5"/>
  <c r="E2111" i="5"/>
  <c r="C2112" i="4"/>
  <c r="D2112" i="4"/>
  <c r="E2112" i="4"/>
  <c r="F2112" i="4"/>
  <c r="G2112" i="4"/>
  <c r="H2112" i="4"/>
  <c r="C2112" i="5"/>
  <c r="D2112" i="5"/>
  <c r="F2112" i="5"/>
  <c r="E2112" i="5"/>
  <c r="C2113" i="4"/>
  <c r="D2113" i="4"/>
  <c r="E2113" i="4"/>
  <c r="F2113" i="4"/>
  <c r="G2113" i="4"/>
  <c r="H2113" i="4"/>
  <c r="C2113" i="5"/>
  <c r="D2113" i="5"/>
  <c r="F2113" i="5"/>
  <c r="E2113" i="5"/>
  <c r="C2114" i="4"/>
  <c r="D2114" i="4"/>
  <c r="E2114" i="4"/>
  <c r="F2114" i="4"/>
  <c r="G2114" i="4"/>
  <c r="H2114" i="4"/>
  <c r="C2114" i="5"/>
  <c r="D2114" i="5"/>
  <c r="F2114" i="5"/>
  <c r="E2114" i="5"/>
  <c r="C2115" i="4"/>
  <c r="D2115" i="4"/>
  <c r="E2115" i="4"/>
  <c r="F2115" i="4"/>
  <c r="G2115" i="4"/>
  <c r="H2115" i="4"/>
  <c r="C2115" i="5"/>
  <c r="D2115" i="5"/>
  <c r="F2115" i="5"/>
  <c r="E2115" i="5"/>
  <c r="C2116" i="4"/>
  <c r="D2116" i="4"/>
  <c r="E2116" i="4"/>
  <c r="F2116" i="4"/>
  <c r="G2116" i="4"/>
  <c r="H2116" i="4"/>
  <c r="C2116" i="5"/>
  <c r="D2116" i="5"/>
  <c r="F2116" i="5"/>
  <c r="E2116" i="5"/>
  <c r="C2117" i="4"/>
  <c r="D2117" i="4"/>
  <c r="E2117" i="4"/>
  <c r="F2117" i="4"/>
  <c r="G2117" i="4"/>
  <c r="H2117" i="4"/>
  <c r="C2117" i="5"/>
  <c r="D2117" i="5"/>
  <c r="F2117" i="5"/>
  <c r="E2117" i="5"/>
  <c r="C2118" i="4"/>
  <c r="D2118" i="4"/>
  <c r="E2118" i="4"/>
  <c r="F2118" i="4"/>
  <c r="G2118" i="4"/>
  <c r="H2118" i="4"/>
  <c r="C2118" i="5"/>
  <c r="D2118" i="5"/>
  <c r="F2118" i="5"/>
  <c r="E2118" i="5"/>
  <c r="C2119" i="4"/>
  <c r="D2119" i="4"/>
  <c r="E2119" i="4"/>
  <c r="F2119" i="4"/>
  <c r="G2119" i="4"/>
  <c r="H2119" i="4"/>
  <c r="C2119" i="5"/>
  <c r="D2119" i="5"/>
  <c r="F2119" i="5"/>
  <c r="E2119" i="5"/>
  <c r="C2120" i="4"/>
  <c r="D2120" i="4"/>
  <c r="E2120" i="4"/>
  <c r="F2120" i="4"/>
  <c r="G2120" i="4"/>
  <c r="H2120" i="4"/>
  <c r="C2120" i="5"/>
  <c r="D2120" i="5"/>
  <c r="F2120" i="5"/>
  <c r="E2120" i="5"/>
  <c r="C2121" i="4"/>
  <c r="D2121" i="4"/>
  <c r="E2121" i="4"/>
  <c r="F2121" i="4"/>
  <c r="G2121" i="4"/>
  <c r="H2121" i="4"/>
  <c r="C2121" i="5"/>
  <c r="D2121" i="5"/>
  <c r="F2121" i="5"/>
  <c r="E2121" i="5"/>
  <c r="C2122" i="4"/>
  <c r="D2122" i="4"/>
  <c r="E2122" i="4"/>
  <c r="F2122" i="4"/>
  <c r="G2122" i="4"/>
  <c r="H2122" i="4"/>
  <c r="C2122" i="5"/>
  <c r="D2122" i="5"/>
  <c r="F2122" i="5"/>
  <c r="E2122" i="5"/>
  <c r="C2123" i="4"/>
  <c r="D2123" i="4"/>
  <c r="E2123" i="4"/>
  <c r="F2123" i="4"/>
  <c r="G2123" i="4"/>
  <c r="H2123" i="4"/>
  <c r="C2123" i="5"/>
  <c r="D2123" i="5"/>
  <c r="F2123" i="5"/>
  <c r="E2123" i="5"/>
  <c r="C2124" i="4"/>
  <c r="D2124" i="4"/>
  <c r="E2124" i="4"/>
  <c r="F2124" i="4"/>
  <c r="G2124" i="4"/>
  <c r="H2124" i="4"/>
  <c r="C2124" i="5"/>
  <c r="D2124" i="5"/>
  <c r="F2124" i="5"/>
  <c r="E2124" i="5"/>
  <c r="C2125" i="4"/>
  <c r="D2125" i="4"/>
  <c r="E2125" i="4"/>
  <c r="F2125" i="4"/>
  <c r="G2125" i="4"/>
  <c r="H2125" i="4"/>
  <c r="C2125" i="5"/>
  <c r="D2125" i="5"/>
  <c r="F2125" i="5"/>
  <c r="E2125" i="5"/>
  <c r="C2126" i="4"/>
  <c r="D2126" i="4"/>
  <c r="E2126" i="4"/>
  <c r="F2126" i="4"/>
  <c r="G2126" i="4"/>
  <c r="H2126" i="4"/>
  <c r="C2126" i="5"/>
  <c r="D2126" i="5"/>
  <c r="F2126" i="5"/>
  <c r="E2126" i="5"/>
  <c r="C2127" i="4"/>
  <c r="D2127" i="4"/>
  <c r="E2127" i="4"/>
  <c r="F2127" i="4"/>
  <c r="G2127" i="4"/>
  <c r="H2127" i="4"/>
  <c r="C2127" i="5"/>
  <c r="D2127" i="5"/>
  <c r="F2127" i="5"/>
  <c r="E2127" i="5"/>
  <c r="C2128" i="4"/>
  <c r="D2128" i="4"/>
  <c r="E2128" i="4"/>
  <c r="F2128" i="4"/>
  <c r="G2128" i="4"/>
  <c r="H2128" i="4"/>
  <c r="C2128" i="5"/>
  <c r="D2128" i="5"/>
  <c r="F2128" i="5"/>
  <c r="E2128" i="5"/>
  <c r="C2129" i="4"/>
  <c r="D2129" i="4"/>
  <c r="E2129" i="4"/>
  <c r="F2129" i="4"/>
  <c r="G2129" i="4"/>
  <c r="H2129" i="4"/>
  <c r="C2129" i="5"/>
  <c r="D2129" i="5"/>
  <c r="F2129" i="5"/>
  <c r="E2129" i="5"/>
  <c r="C2130" i="4"/>
  <c r="D2130" i="4"/>
  <c r="E2130" i="4"/>
  <c r="F2130" i="4"/>
  <c r="G2130" i="4"/>
  <c r="H2130" i="4"/>
  <c r="C2130" i="5"/>
  <c r="D2130" i="5"/>
  <c r="F2130" i="5"/>
  <c r="E2130" i="5"/>
  <c r="C2131" i="4"/>
  <c r="D2131" i="4"/>
  <c r="E2131" i="4"/>
  <c r="F2131" i="4"/>
  <c r="G2131" i="4"/>
  <c r="H2131" i="4"/>
  <c r="C2131" i="5"/>
  <c r="D2131" i="5"/>
  <c r="F2131" i="5"/>
  <c r="E2131" i="5"/>
  <c r="C2132" i="4"/>
  <c r="D2132" i="4"/>
  <c r="E2132" i="4"/>
  <c r="F2132" i="4"/>
  <c r="G2132" i="4"/>
  <c r="H2132" i="4"/>
  <c r="C2132" i="5"/>
  <c r="D2132" i="5"/>
  <c r="F2132" i="5"/>
  <c r="E2132" i="5"/>
  <c r="C2133" i="4"/>
  <c r="D2133" i="4"/>
  <c r="E2133" i="4"/>
  <c r="F2133" i="4"/>
  <c r="G2133" i="4"/>
  <c r="H2133" i="4"/>
  <c r="C2133" i="5"/>
  <c r="D2133" i="5"/>
  <c r="F2133" i="5"/>
  <c r="E2133" i="5"/>
  <c r="C2134" i="4"/>
  <c r="D2134" i="4"/>
  <c r="E2134" i="4"/>
  <c r="F2134" i="4"/>
  <c r="G2134" i="4"/>
  <c r="H2134" i="4"/>
  <c r="C2134" i="5"/>
  <c r="D2134" i="5"/>
  <c r="F2134" i="5"/>
  <c r="E2134" i="5"/>
  <c r="C2135" i="4"/>
  <c r="D2135" i="4"/>
  <c r="E2135" i="4"/>
  <c r="F2135" i="4"/>
  <c r="G2135" i="4"/>
  <c r="H2135" i="4"/>
  <c r="C2135" i="5"/>
  <c r="D2135" i="5"/>
  <c r="F2135" i="5"/>
  <c r="E2135" i="5"/>
  <c r="C2136" i="4"/>
  <c r="D2136" i="4"/>
  <c r="E2136" i="4"/>
  <c r="F2136" i="4"/>
  <c r="G2136" i="4"/>
  <c r="H2136" i="4"/>
  <c r="C2136" i="5"/>
  <c r="D2136" i="5"/>
  <c r="F2136" i="5"/>
  <c r="E2136" i="5"/>
  <c r="C2137" i="4"/>
  <c r="D2137" i="4"/>
  <c r="E2137" i="4"/>
  <c r="F2137" i="4"/>
  <c r="G2137" i="4"/>
  <c r="H2137" i="4"/>
  <c r="C2137" i="5"/>
  <c r="D2137" i="5"/>
  <c r="F2137" i="5"/>
  <c r="E2137" i="5"/>
  <c r="C2138" i="4"/>
  <c r="D2138" i="4"/>
  <c r="E2138" i="4"/>
  <c r="F2138" i="4"/>
  <c r="G2138" i="4"/>
  <c r="H2138" i="4"/>
  <c r="C2138" i="5"/>
  <c r="D2138" i="5"/>
  <c r="F2138" i="5"/>
  <c r="E2138" i="5"/>
  <c r="C2139" i="4"/>
  <c r="D2139" i="4"/>
  <c r="E2139" i="4"/>
  <c r="F2139" i="4"/>
  <c r="G2139" i="4"/>
  <c r="H2139" i="4"/>
  <c r="C2139" i="5"/>
  <c r="D2139" i="5"/>
  <c r="F2139" i="5"/>
  <c r="E2139" i="5"/>
  <c r="C2140" i="4"/>
  <c r="D2140" i="4"/>
  <c r="E2140" i="4"/>
  <c r="F2140" i="4"/>
  <c r="G2140" i="4"/>
  <c r="H2140" i="4"/>
  <c r="C2140" i="5"/>
  <c r="D2140" i="5"/>
  <c r="F2140" i="5"/>
  <c r="E2140" i="5"/>
  <c r="C2141" i="4"/>
  <c r="D2141" i="4"/>
  <c r="E2141" i="4"/>
  <c r="F2141" i="4"/>
  <c r="G2141" i="4"/>
  <c r="H2141" i="4"/>
  <c r="C2141" i="5"/>
  <c r="D2141" i="5"/>
  <c r="F2141" i="5"/>
  <c r="E2141" i="5"/>
  <c r="C2142" i="4"/>
  <c r="D2142" i="4"/>
  <c r="E2142" i="4"/>
  <c r="F2142" i="4"/>
  <c r="G2142" i="4"/>
  <c r="H2142" i="4"/>
  <c r="C2142" i="5"/>
  <c r="D2142" i="5"/>
  <c r="F2142" i="5"/>
  <c r="E2142" i="5"/>
  <c r="C2143" i="4"/>
  <c r="D2143" i="4"/>
  <c r="E2143" i="4"/>
  <c r="F2143" i="4"/>
  <c r="G2143" i="4"/>
  <c r="H2143" i="4"/>
  <c r="C2143" i="5"/>
  <c r="D2143" i="5"/>
  <c r="F2143" i="5"/>
  <c r="E2143" i="5"/>
  <c r="C2144" i="4"/>
  <c r="D2144" i="4"/>
  <c r="E2144" i="4"/>
  <c r="F2144" i="4"/>
  <c r="G2144" i="4"/>
  <c r="H2144" i="4"/>
  <c r="C2144" i="5"/>
  <c r="D2144" i="5"/>
  <c r="F2144" i="5"/>
  <c r="E2144" i="5"/>
  <c r="C2145" i="4"/>
  <c r="D2145" i="4"/>
  <c r="E2145" i="4"/>
  <c r="F2145" i="4"/>
  <c r="G2145" i="4"/>
  <c r="H2145" i="4"/>
  <c r="C2145" i="5"/>
  <c r="D2145" i="5"/>
  <c r="F2145" i="5"/>
  <c r="E2145" i="5"/>
  <c r="C2146" i="4"/>
  <c r="D2146" i="4"/>
  <c r="E2146" i="4"/>
  <c r="F2146" i="4"/>
  <c r="G2146" i="4"/>
  <c r="H2146" i="4"/>
  <c r="C2146" i="5"/>
  <c r="D2146" i="5"/>
  <c r="F2146" i="5"/>
  <c r="E2146" i="5"/>
  <c r="C2147" i="5"/>
  <c r="D2147" i="5"/>
  <c r="E2147" i="5"/>
  <c r="F2147" i="5"/>
  <c r="C2148" i="5"/>
  <c r="D2148" i="5"/>
  <c r="E2148" i="5"/>
  <c r="F2148" i="5"/>
  <c r="C2149" i="5"/>
  <c r="D2149" i="5"/>
  <c r="E2149" i="5"/>
  <c r="F2149" i="5"/>
  <c r="C2150" i="5"/>
  <c r="D2150" i="5"/>
  <c r="E2150" i="5"/>
  <c r="F2150" i="5"/>
  <c r="C2151" i="5"/>
  <c r="D2151" i="5"/>
  <c r="E2151" i="5"/>
  <c r="F2151" i="5"/>
  <c r="C2152" i="5"/>
  <c r="D2152" i="5"/>
  <c r="E2152" i="5"/>
  <c r="F2152" i="5"/>
  <c r="C2153" i="5"/>
  <c r="D2153" i="5"/>
  <c r="E2153" i="5"/>
  <c r="F2153" i="5"/>
  <c r="C2154" i="5"/>
  <c r="D2154" i="5"/>
  <c r="E2154" i="5"/>
  <c r="F2154" i="5"/>
  <c r="C2155" i="5"/>
  <c r="D2155" i="5"/>
  <c r="E2155" i="5"/>
  <c r="F2155" i="5"/>
  <c r="C2156" i="5"/>
  <c r="D2156" i="5"/>
  <c r="E2156" i="5"/>
  <c r="F2156" i="5"/>
  <c r="C2157" i="5"/>
  <c r="D2157" i="5"/>
  <c r="E2157" i="5"/>
  <c r="F2157" i="5"/>
  <c r="C2158" i="5"/>
  <c r="D2158" i="5"/>
  <c r="E2158" i="5"/>
  <c r="F2158" i="5"/>
  <c r="C2159" i="5"/>
  <c r="D2159" i="5"/>
  <c r="E2159" i="5"/>
  <c r="F2159" i="5"/>
  <c r="C2160" i="5"/>
  <c r="D2160" i="5"/>
  <c r="E2160" i="5"/>
  <c r="F2160" i="5"/>
  <c r="C2161" i="5"/>
  <c r="D2161" i="5"/>
  <c r="E2161" i="5"/>
  <c r="F2161" i="5"/>
  <c r="C2162" i="5"/>
  <c r="D2162" i="5"/>
  <c r="E2162" i="5"/>
  <c r="F2162" i="5"/>
  <c r="C2163" i="5"/>
  <c r="D2163" i="5"/>
  <c r="E2163" i="5"/>
  <c r="F2163" i="5"/>
  <c r="C2164" i="5"/>
  <c r="D2164" i="5"/>
  <c r="E2164" i="5"/>
  <c r="F2164" i="5"/>
  <c r="C2165" i="5"/>
  <c r="D2165" i="5"/>
  <c r="E2165" i="5"/>
  <c r="F2165" i="5"/>
  <c r="C2166" i="5"/>
  <c r="D2166" i="5"/>
  <c r="E2166" i="5"/>
  <c r="F2166" i="5"/>
  <c r="C2167" i="5"/>
  <c r="D2167" i="5"/>
  <c r="E2167" i="5"/>
  <c r="F2167" i="5"/>
  <c r="C2168" i="5"/>
  <c r="D2168" i="5"/>
  <c r="E2168" i="5"/>
  <c r="F2168" i="5"/>
  <c r="C2169" i="5"/>
  <c r="D2169" i="5"/>
  <c r="E2169" i="5"/>
  <c r="F2169" i="5"/>
  <c r="C2170" i="5"/>
  <c r="D2170" i="5"/>
  <c r="E2170" i="5"/>
  <c r="F2170" i="5"/>
  <c r="C2171" i="5"/>
  <c r="D2171" i="5"/>
  <c r="E2171" i="5"/>
  <c r="F2171" i="5"/>
  <c r="C2172" i="5"/>
  <c r="D2172" i="5"/>
  <c r="E2172" i="5"/>
  <c r="F2172" i="5"/>
  <c r="C2173" i="5"/>
  <c r="D2173" i="5"/>
  <c r="E2173" i="5"/>
  <c r="F2173" i="5"/>
  <c r="C2174" i="5"/>
  <c r="D2174" i="5"/>
  <c r="E2174" i="5"/>
  <c r="F2174" i="5"/>
  <c r="C2175" i="5"/>
  <c r="D2175" i="5"/>
  <c r="E2175" i="5"/>
  <c r="F2175" i="5"/>
  <c r="C2176" i="5"/>
  <c r="D2176" i="5"/>
  <c r="E2176" i="5"/>
  <c r="F2176" i="5"/>
  <c r="C2177" i="5"/>
  <c r="D2177" i="5"/>
  <c r="E2177" i="5"/>
  <c r="F2177" i="5"/>
  <c r="C2178" i="5"/>
  <c r="D2178" i="5"/>
  <c r="E2178" i="5"/>
  <c r="F2178" i="5"/>
  <c r="C2179" i="5"/>
  <c r="D2179" i="5"/>
  <c r="E2179" i="5"/>
  <c r="F2179" i="5"/>
  <c r="C2180" i="5"/>
  <c r="D2180" i="5"/>
  <c r="E2180" i="5"/>
  <c r="F2180" i="5"/>
  <c r="C2181" i="5"/>
  <c r="D2181" i="5"/>
  <c r="E2181" i="5"/>
  <c r="F2181" i="5"/>
  <c r="C2182" i="5"/>
  <c r="D2182" i="5"/>
  <c r="E2182" i="5"/>
  <c r="F2182" i="5"/>
  <c r="C2183" i="5"/>
  <c r="D2183" i="5"/>
  <c r="E2183" i="5"/>
  <c r="F2183" i="5"/>
  <c r="C2184" i="5"/>
  <c r="D2184" i="5"/>
  <c r="E2184" i="5"/>
  <c r="F2184" i="5"/>
  <c r="C2185" i="5"/>
  <c r="D2185" i="5"/>
  <c r="E2185" i="5"/>
  <c r="F2185" i="5"/>
  <c r="C2186" i="5"/>
  <c r="D2186" i="5"/>
  <c r="E2186" i="5"/>
  <c r="F2186" i="5"/>
  <c r="C2187" i="5"/>
  <c r="D2187" i="5"/>
  <c r="E2187" i="5"/>
  <c r="F2187" i="5"/>
  <c r="C2188" i="5"/>
  <c r="D2188" i="5"/>
  <c r="E2188" i="5"/>
  <c r="F2188" i="5"/>
  <c r="C2189" i="5"/>
  <c r="D2189" i="5"/>
  <c r="E2189" i="5"/>
  <c r="F2189" i="5"/>
  <c r="C2190" i="5"/>
  <c r="D2190" i="5"/>
  <c r="E2190" i="5"/>
  <c r="F2190" i="5"/>
  <c r="C2191" i="5"/>
  <c r="D2191" i="5"/>
  <c r="E2191" i="5"/>
  <c r="F2191" i="5"/>
  <c r="C2192" i="5"/>
  <c r="D2192" i="5"/>
  <c r="E2192" i="5"/>
  <c r="F2192" i="5"/>
  <c r="G2193" i="4"/>
  <c r="H2193" i="4"/>
  <c r="C2193" i="5"/>
  <c r="D2193" i="5"/>
  <c r="E2193" i="5"/>
  <c r="F2193" i="5"/>
  <c r="G2194" i="4"/>
  <c r="H2194" i="4"/>
  <c r="C2194" i="5"/>
  <c r="D2194" i="5"/>
  <c r="E2194" i="5"/>
  <c r="F2194" i="5"/>
  <c r="G2195" i="4"/>
  <c r="H2195" i="4"/>
  <c r="C2195" i="5"/>
  <c r="D2195" i="5"/>
  <c r="E2195" i="5"/>
  <c r="F2195" i="5"/>
  <c r="G2196" i="4"/>
  <c r="H2196" i="4"/>
  <c r="C2196" i="5"/>
  <c r="D2196" i="5"/>
  <c r="E2196" i="5"/>
  <c r="F2196" i="5"/>
  <c r="G2197" i="4"/>
  <c r="H2197" i="4"/>
  <c r="C2197" i="5"/>
  <c r="D2197" i="5"/>
  <c r="E2197" i="5"/>
  <c r="F2197" i="5"/>
  <c r="G2198" i="4"/>
  <c r="H2198" i="4"/>
  <c r="C2198" i="5"/>
  <c r="D2198" i="5"/>
  <c r="E2198" i="5"/>
  <c r="F2198" i="5"/>
  <c r="G2199" i="4"/>
  <c r="H2199" i="4"/>
  <c r="C2199" i="5"/>
  <c r="D2199" i="5"/>
  <c r="E2199" i="5"/>
  <c r="F2199" i="5"/>
  <c r="G2200" i="4"/>
  <c r="H2200" i="4"/>
  <c r="C2200" i="5"/>
  <c r="D2200" i="5"/>
  <c r="E2200" i="5"/>
  <c r="F2200" i="5"/>
  <c r="G2201" i="4"/>
  <c r="H2201" i="4"/>
  <c r="C2201" i="5"/>
  <c r="D2201" i="5"/>
  <c r="E2201" i="5"/>
  <c r="F2201" i="5"/>
  <c r="G2202" i="4"/>
  <c r="H2202" i="4"/>
  <c r="C2202" i="5"/>
  <c r="D2202" i="5"/>
  <c r="E2202" i="5"/>
  <c r="F2202" i="5"/>
  <c r="G2203" i="4"/>
  <c r="H2203" i="4"/>
  <c r="C2203" i="5"/>
  <c r="D2203" i="5"/>
  <c r="E2203" i="5"/>
  <c r="F2203" i="5"/>
  <c r="G2204" i="4"/>
  <c r="H2204" i="4"/>
  <c r="C2204" i="5"/>
  <c r="D2204" i="5"/>
  <c r="E2204" i="5"/>
  <c r="F2204" i="5"/>
  <c r="G2205" i="4"/>
  <c r="H2205" i="4"/>
  <c r="C2205" i="5"/>
  <c r="D2205" i="5"/>
  <c r="E2205" i="5"/>
  <c r="F2205" i="5"/>
  <c r="G2206" i="4"/>
  <c r="H2206" i="4"/>
  <c r="C2206" i="5"/>
  <c r="D2206" i="5"/>
  <c r="E2206" i="5"/>
  <c r="F2206" i="5"/>
  <c r="G2207" i="4"/>
  <c r="H2207" i="4"/>
  <c r="C2207" i="5"/>
  <c r="D2207" i="5"/>
  <c r="E2207" i="5"/>
  <c r="F2207" i="5"/>
  <c r="G2208" i="4"/>
  <c r="H2208" i="4"/>
  <c r="C2208" i="5"/>
  <c r="D2208" i="5"/>
  <c r="E2208" i="5"/>
  <c r="F2208" i="5"/>
  <c r="G2209" i="4"/>
  <c r="H2209" i="4"/>
  <c r="C2209" i="5"/>
  <c r="D2209" i="5"/>
  <c r="E2209" i="5"/>
  <c r="F2209" i="5"/>
  <c r="G2210" i="4"/>
  <c r="H2210" i="4"/>
  <c r="C2210" i="5"/>
  <c r="D2210" i="5"/>
  <c r="E2210" i="5"/>
  <c r="F2210" i="5"/>
  <c r="G2211" i="4"/>
  <c r="H2211" i="4"/>
  <c r="C2211" i="5"/>
  <c r="D2211" i="5"/>
  <c r="E2211" i="5"/>
  <c r="F2211" i="5"/>
  <c r="G2212" i="4"/>
  <c r="H2212" i="4"/>
  <c r="C2212" i="5"/>
  <c r="D2212" i="5"/>
  <c r="E2212" i="5"/>
  <c r="F2212" i="5"/>
  <c r="G2213" i="4"/>
  <c r="H2213" i="4"/>
  <c r="C2213" i="5"/>
  <c r="D2213" i="5"/>
  <c r="E2213" i="5"/>
  <c r="F2213" i="5"/>
  <c r="G2214" i="4"/>
  <c r="H2214" i="4"/>
  <c r="C2214" i="5"/>
  <c r="D2214" i="5"/>
  <c r="E2214" i="5"/>
  <c r="F2214" i="5"/>
  <c r="G2215" i="4"/>
  <c r="H2215" i="4"/>
  <c r="C2215" i="5"/>
  <c r="D2215" i="5"/>
  <c r="E2215" i="5"/>
  <c r="F2215" i="5"/>
  <c r="G2216" i="4"/>
  <c r="H2216" i="4"/>
  <c r="C2216" i="5"/>
  <c r="D2216" i="5"/>
  <c r="E2216" i="5"/>
  <c r="F2216" i="5"/>
  <c r="G2217" i="4"/>
  <c r="H2217" i="4"/>
  <c r="C2217" i="5"/>
  <c r="D2217" i="5"/>
  <c r="E2217" i="5"/>
  <c r="F2217" i="5"/>
  <c r="G2218" i="4"/>
  <c r="H2218" i="4"/>
  <c r="C2218" i="5"/>
  <c r="D2218" i="5"/>
  <c r="E2218" i="5"/>
  <c r="F2218" i="5"/>
  <c r="G2219" i="4"/>
  <c r="H2219" i="4"/>
  <c r="C2219" i="5"/>
  <c r="D2219" i="5"/>
  <c r="E2219" i="5"/>
  <c r="F2219" i="5"/>
  <c r="G2220" i="4"/>
  <c r="H2220" i="4"/>
  <c r="C2220" i="5"/>
  <c r="D2220" i="5"/>
  <c r="E2220" i="5"/>
  <c r="F2220" i="5"/>
  <c r="G2221" i="4"/>
  <c r="H2221" i="4"/>
  <c r="C2221" i="5"/>
  <c r="D2221" i="5"/>
  <c r="E2221" i="5"/>
  <c r="F2221" i="5"/>
  <c r="G2222" i="4"/>
  <c r="H2222" i="4"/>
  <c r="C2222" i="5"/>
  <c r="D2222" i="5"/>
  <c r="E2222" i="5"/>
  <c r="F2222" i="5"/>
  <c r="G2223" i="4"/>
  <c r="H2223" i="4"/>
  <c r="C2223" i="5"/>
  <c r="D2223" i="5"/>
  <c r="E2223" i="5"/>
  <c r="F2223" i="5"/>
  <c r="G2224" i="4"/>
  <c r="H2224" i="4"/>
  <c r="C2224" i="5"/>
  <c r="D2224" i="5"/>
  <c r="E2224" i="5"/>
  <c r="F2224" i="5"/>
  <c r="G2225" i="4"/>
  <c r="H2225" i="4"/>
  <c r="C2225" i="5"/>
  <c r="D2225" i="5"/>
  <c r="E2225" i="5"/>
  <c r="F2225" i="5"/>
  <c r="G2226" i="4"/>
  <c r="H2226" i="4"/>
  <c r="C2226" i="5"/>
  <c r="D2226" i="5"/>
  <c r="E2226" i="5"/>
  <c r="F2226" i="5"/>
  <c r="G2227" i="4"/>
  <c r="H2227" i="4"/>
  <c r="C2227" i="5"/>
  <c r="D2227" i="5"/>
  <c r="E2227" i="5"/>
  <c r="F2227" i="5"/>
  <c r="G2228" i="4"/>
  <c r="H2228" i="4"/>
  <c r="C2228" i="5"/>
  <c r="D2228" i="5"/>
  <c r="E2228" i="5"/>
  <c r="F2228" i="5"/>
  <c r="G2229" i="4"/>
  <c r="H2229" i="4"/>
  <c r="C2229" i="5"/>
  <c r="D2229" i="5"/>
  <c r="E2229" i="5"/>
  <c r="F2229" i="5"/>
  <c r="G2230" i="4"/>
  <c r="H2230" i="4"/>
  <c r="C2230" i="5"/>
  <c r="D2230" i="5"/>
  <c r="E2230" i="5"/>
  <c r="F2230" i="5"/>
  <c r="G2231" i="4"/>
  <c r="H2231" i="4"/>
  <c r="C2231" i="5"/>
  <c r="D2231" i="5"/>
  <c r="E2231" i="5"/>
  <c r="F2231" i="5"/>
  <c r="G2232" i="4"/>
  <c r="H2232" i="4"/>
  <c r="C2232" i="5"/>
  <c r="D2232" i="5"/>
  <c r="E2232" i="5"/>
  <c r="F2232" i="5"/>
  <c r="G2233" i="4"/>
  <c r="H2233" i="4"/>
  <c r="C2233" i="5"/>
  <c r="D2233" i="5"/>
  <c r="E2233" i="5"/>
  <c r="F2233" i="5"/>
  <c r="G2234" i="4"/>
  <c r="H2234" i="4"/>
  <c r="C2234" i="5"/>
  <c r="D2234" i="5"/>
  <c r="E2234" i="5"/>
  <c r="F2234" i="5"/>
  <c r="G2235" i="4"/>
  <c r="H2235" i="4"/>
  <c r="C2235" i="5"/>
  <c r="D2235" i="5"/>
  <c r="E2235" i="5"/>
  <c r="F2235" i="5"/>
  <c r="G2236" i="4"/>
  <c r="H2236" i="4"/>
  <c r="C2236" i="5"/>
  <c r="D2236" i="5"/>
  <c r="E2236" i="5"/>
  <c r="F2236" i="5"/>
  <c r="G2237" i="4"/>
  <c r="H2237" i="4"/>
  <c r="C2237" i="5"/>
  <c r="D2237" i="5"/>
  <c r="E2237" i="5"/>
  <c r="F2237" i="5"/>
  <c r="G2238" i="4"/>
  <c r="H2238" i="4"/>
  <c r="C2238" i="5"/>
  <c r="D2238" i="5"/>
  <c r="E2238" i="5"/>
  <c r="F2238" i="5"/>
  <c r="G2239" i="4"/>
  <c r="H2239" i="4"/>
  <c r="C2239" i="5"/>
  <c r="D2239" i="5"/>
  <c r="E2239" i="5"/>
  <c r="F2239" i="5"/>
  <c r="G2240" i="4"/>
  <c r="H2240" i="4"/>
  <c r="C2240" i="5"/>
  <c r="D2240" i="5"/>
  <c r="E2240" i="5"/>
  <c r="F2240" i="5"/>
  <c r="G2241" i="4"/>
  <c r="H2241" i="4"/>
  <c r="C2241" i="5"/>
  <c r="D2241" i="5"/>
  <c r="E2241" i="5"/>
  <c r="F2241" i="5"/>
  <c r="G2242" i="4"/>
  <c r="H2242" i="4"/>
  <c r="C2242" i="5"/>
  <c r="D2242" i="5"/>
  <c r="E2242" i="5"/>
  <c r="F2242" i="5"/>
  <c r="G2243" i="4"/>
  <c r="H2243" i="4"/>
  <c r="C2243" i="5"/>
  <c r="D2243" i="5"/>
  <c r="E2243" i="5"/>
  <c r="F2243" i="5"/>
  <c r="G2244" i="4"/>
  <c r="H2244" i="4"/>
  <c r="C2244" i="5"/>
  <c r="D2244" i="5"/>
  <c r="E2244" i="5"/>
  <c r="F2244" i="5"/>
  <c r="G2245" i="4"/>
  <c r="H2245" i="4"/>
  <c r="C2245" i="5"/>
  <c r="D2245" i="5"/>
  <c r="E2245" i="5"/>
  <c r="F2245" i="5"/>
  <c r="G2246" i="4"/>
  <c r="H2246" i="4"/>
  <c r="C2246" i="5"/>
  <c r="D2246" i="5"/>
  <c r="E2246" i="5"/>
  <c r="F2246" i="5"/>
  <c r="G2247" i="4"/>
  <c r="H2247" i="4"/>
  <c r="C2247" i="5"/>
  <c r="D2247" i="5"/>
  <c r="E2247" i="5"/>
  <c r="F2247" i="5"/>
  <c r="G2248" i="4"/>
  <c r="H2248" i="4"/>
  <c r="C2248" i="5"/>
  <c r="D2248" i="5"/>
  <c r="E2248" i="5"/>
  <c r="F2248" i="5"/>
  <c r="G2249" i="4"/>
  <c r="H2249" i="4"/>
  <c r="C2249" i="5"/>
  <c r="D2249" i="5"/>
  <c r="E2249" i="5"/>
  <c r="F2249" i="5"/>
  <c r="G2250" i="4"/>
  <c r="H2250" i="4"/>
  <c r="C2250" i="5"/>
  <c r="D2250" i="5"/>
  <c r="E2250" i="5"/>
  <c r="F2250" i="5"/>
  <c r="G2251" i="4"/>
  <c r="H2251" i="4"/>
  <c r="C2251" i="5"/>
  <c r="D2251" i="5"/>
  <c r="E2251" i="5"/>
  <c r="F2251" i="5"/>
  <c r="G2252" i="4"/>
  <c r="H2252" i="4"/>
  <c r="C2252" i="5"/>
  <c r="D2252" i="5"/>
  <c r="E2252" i="5"/>
  <c r="F2252" i="5"/>
  <c r="G2253" i="4"/>
  <c r="H2253" i="4"/>
  <c r="C2253" i="5"/>
  <c r="D2253" i="5"/>
  <c r="E2253" i="5"/>
  <c r="F2253" i="5"/>
  <c r="G2254" i="4"/>
  <c r="H2254" i="4"/>
  <c r="C2254" i="5"/>
  <c r="D2254" i="5"/>
  <c r="E2254" i="5"/>
  <c r="F2254" i="5"/>
  <c r="G2255" i="4"/>
  <c r="H2255" i="4"/>
  <c r="C2255" i="5"/>
  <c r="D2255" i="5"/>
  <c r="E2255" i="5"/>
  <c r="F2255" i="5"/>
  <c r="G2256" i="4"/>
  <c r="H2256" i="4"/>
  <c r="C2256" i="5"/>
  <c r="D2256" i="5"/>
  <c r="E2256" i="5"/>
  <c r="F2256" i="5"/>
  <c r="G2257" i="4"/>
  <c r="H2257" i="4"/>
  <c r="C2257" i="5"/>
  <c r="D2257" i="5"/>
  <c r="E2257" i="5"/>
  <c r="F2257" i="5"/>
  <c r="G2258" i="4"/>
  <c r="H2258" i="4"/>
  <c r="C2258" i="5"/>
  <c r="D2258" i="5"/>
  <c r="E2258" i="5"/>
  <c r="F2258" i="5"/>
  <c r="G2259" i="4"/>
  <c r="H2259" i="4"/>
  <c r="C2259" i="5"/>
  <c r="D2259" i="5"/>
  <c r="E2259" i="5"/>
  <c r="F2259" i="5"/>
  <c r="G2260" i="4"/>
  <c r="H2260" i="4"/>
  <c r="C2260" i="5"/>
  <c r="D2260" i="5"/>
  <c r="E2260" i="5"/>
  <c r="F2260" i="5"/>
  <c r="G2261" i="4"/>
  <c r="H2261" i="4"/>
  <c r="C2261" i="5"/>
  <c r="D2261" i="5"/>
  <c r="E2261" i="5"/>
  <c r="F2261" i="5"/>
  <c r="G2262" i="4"/>
  <c r="H2262" i="4"/>
  <c r="C2262" i="5"/>
  <c r="D2262" i="5"/>
  <c r="E2262" i="5"/>
  <c r="F2262" i="5"/>
  <c r="G2263" i="4"/>
  <c r="H2263" i="4"/>
  <c r="C2263" i="5"/>
  <c r="D2263" i="5"/>
  <c r="E2263" i="5"/>
  <c r="F2263" i="5"/>
  <c r="G2264" i="4"/>
  <c r="H2264" i="4"/>
  <c r="C2264" i="5"/>
  <c r="D2264" i="5"/>
  <c r="E2264" i="5"/>
  <c r="F2264" i="5"/>
  <c r="G2265" i="4"/>
  <c r="H2265" i="4"/>
  <c r="C2265" i="5"/>
  <c r="D2265" i="5"/>
  <c r="E2265" i="5"/>
  <c r="F2265" i="5"/>
  <c r="G2266" i="4"/>
  <c r="H2266" i="4"/>
  <c r="C2266" i="5"/>
  <c r="D2266" i="5"/>
  <c r="E2266" i="5"/>
  <c r="F2266" i="5"/>
  <c r="G2267" i="4"/>
  <c r="H2267" i="4"/>
  <c r="C2267" i="5"/>
  <c r="D2267" i="5"/>
  <c r="E2267" i="5"/>
  <c r="F2267" i="5"/>
  <c r="G2268" i="4"/>
  <c r="H2268" i="4"/>
  <c r="C2268" i="5"/>
  <c r="D2268" i="5"/>
  <c r="E2268" i="5"/>
  <c r="F2268" i="5"/>
  <c r="G2269" i="4"/>
  <c r="H2269" i="4"/>
  <c r="C2269" i="5"/>
  <c r="D2269" i="5"/>
  <c r="E2269" i="5"/>
  <c r="F2269" i="5"/>
  <c r="G2270" i="4"/>
  <c r="H2270" i="4"/>
  <c r="C2270" i="5"/>
  <c r="D2270" i="5"/>
  <c r="E2270" i="5"/>
  <c r="F2270" i="5"/>
  <c r="G2271" i="4"/>
  <c r="H2271" i="4"/>
  <c r="C2271" i="5"/>
  <c r="D2271" i="5"/>
  <c r="E2271" i="5"/>
  <c r="F2271" i="5"/>
  <c r="G2272" i="4"/>
  <c r="H2272" i="4"/>
  <c r="C2272" i="5"/>
  <c r="D2272" i="5"/>
  <c r="E2272" i="5"/>
  <c r="F2272" i="5"/>
  <c r="G2273" i="4"/>
  <c r="H2273" i="4"/>
  <c r="C2273" i="5"/>
  <c r="D2273" i="5"/>
  <c r="E2273" i="5"/>
  <c r="F2273" i="5"/>
  <c r="G2274" i="4"/>
  <c r="H2274" i="4"/>
  <c r="C2274" i="5"/>
  <c r="D2274" i="5"/>
  <c r="E2274" i="5"/>
  <c r="F2274" i="5"/>
  <c r="G2275" i="4"/>
  <c r="H2275" i="4"/>
  <c r="C2275" i="5"/>
  <c r="D2275" i="5"/>
  <c r="E2275" i="5"/>
  <c r="F2275" i="5"/>
  <c r="G2276" i="4"/>
  <c r="H2276" i="4"/>
  <c r="C2276" i="5"/>
  <c r="D2276" i="5"/>
  <c r="E2276" i="5"/>
  <c r="F2276" i="5"/>
  <c r="G2277" i="4"/>
  <c r="H2277" i="4"/>
  <c r="C2277" i="5"/>
  <c r="D2277" i="5"/>
  <c r="E2277" i="5"/>
  <c r="F2277" i="5"/>
  <c r="G2278" i="4"/>
  <c r="H2278" i="4"/>
  <c r="C2278" i="5"/>
  <c r="D2278" i="5"/>
  <c r="E2278" i="5"/>
  <c r="F2278" i="5"/>
  <c r="G2279" i="4"/>
  <c r="H2279" i="4"/>
  <c r="C2279" i="5"/>
  <c r="D2279" i="5"/>
  <c r="E2279" i="5"/>
  <c r="F2279" i="5"/>
  <c r="G2280" i="4"/>
  <c r="H2280" i="4"/>
  <c r="C2280" i="5"/>
  <c r="D2280" i="5"/>
  <c r="E2280" i="5"/>
  <c r="F2280" i="5"/>
  <c r="G2281" i="4"/>
  <c r="H2281" i="4"/>
  <c r="C2281" i="5"/>
  <c r="D2281" i="5"/>
  <c r="E2281" i="5"/>
  <c r="F2281" i="5"/>
  <c r="G2282" i="4"/>
  <c r="H2282" i="4"/>
  <c r="C2282" i="5"/>
  <c r="D2282" i="5"/>
  <c r="E2282" i="5"/>
  <c r="F2282" i="5"/>
  <c r="G2283" i="4"/>
  <c r="H2283" i="4"/>
  <c r="C2283" i="5"/>
  <c r="D2283" i="5"/>
  <c r="E2283" i="5"/>
  <c r="F2283" i="5"/>
  <c r="G2284" i="4"/>
  <c r="H2284" i="4"/>
  <c r="C2284" i="5"/>
  <c r="D2284" i="5"/>
  <c r="E2284" i="5"/>
  <c r="F2284" i="5"/>
  <c r="G2285" i="4"/>
  <c r="H2285" i="4"/>
  <c r="C2285" i="5"/>
  <c r="D2285" i="5"/>
  <c r="E2285" i="5"/>
  <c r="F2285" i="5"/>
  <c r="G2286" i="4"/>
  <c r="H2286" i="4"/>
  <c r="C2286" i="5"/>
  <c r="D2286" i="5"/>
  <c r="E2286" i="5"/>
  <c r="F2286" i="5"/>
  <c r="G2287" i="4"/>
  <c r="H2287" i="4"/>
  <c r="C2287" i="5"/>
  <c r="D2287" i="5"/>
  <c r="E2287" i="5"/>
  <c r="F2287" i="5"/>
  <c r="G2288" i="4"/>
  <c r="H2288" i="4"/>
  <c r="C2288" i="5"/>
  <c r="D2288" i="5"/>
  <c r="E2288" i="5"/>
  <c r="F2288" i="5"/>
  <c r="G2289" i="4"/>
  <c r="H2289" i="4"/>
  <c r="C2289" i="5"/>
  <c r="D2289" i="5"/>
  <c r="E2289" i="5"/>
  <c r="F2289" i="5"/>
  <c r="G2290" i="4"/>
  <c r="H2290" i="4"/>
  <c r="C2290" i="5"/>
  <c r="D2290" i="5"/>
  <c r="E2290" i="5"/>
  <c r="F2290" i="5"/>
  <c r="G2291" i="4"/>
  <c r="H2291" i="4"/>
  <c r="C2291" i="5"/>
  <c r="D2291" i="5"/>
  <c r="E2291" i="5"/>
  <c r="F2291" i="5"/>
  <c r="G2292" i="4"/>
  <c r="H2292" i="4"/>
  <c r="C2292" i="5"/>
  <c r="D2292" i="5"/>
  <c r="E2292" i="5"/>
  <c r="F2292" i="5"/>
  <c r="G2293" i="4"/>
  <c r="H2293" i="4"/>
  <c r="C2293" i="5"/>
  <c r="D2293" i="5"/>
  <c r="E2293" i="5"/>
  <c r="F2293" i="5"/>
  <c r="G2294" i="4"/>
  <c r="H2294" i="4"/>
  <c r="C2294" i="5"/>
  <c r="D2294" i="5"/>
  <c r="E2294" i="5"/>
  <c r="F2294" i="5"/>
  <c r="G2295" i="4"/>
  <c r="H2295" i="4"/>
  <c r="C2295" i="5"/>
  <c r="D2295" i="5"/>
  <c r="E2295" i="5"/>
  <c r="F2295" i="5"/>
  <c r="G2296" i="4"/>
  <c r="H2296" i="4"/>
  <c r="C2296" i="5"/>
  <c r="D2296" i="5"/>
  <c r="E2296" i="5"/>
  <c r="F2296" i="5"/>
  <c r="G2297" i="4"/>
  <c r="H2297" i="4"/>
  <c r="C2297" i="5"/>
  <c r="D2297" i="5"/>
  <c r="E2297" i="5"/>
  <c r="F2297" i="5"/>
  <c r="G2298" i="4"/>
  <c r="H2298" i="4"/>
  <c r="C2298" i="5"/>
  <c r="D2298" i="5"/>
  <c r="E2298" i="5"/>
  <c r="F2298" i="5"/>
  <c r="G2299" i="4"/>
  <c r="H2299" i="4"/>
  <c r="C2299" i="5"/>
  <c r="D2299" i="5"/>
  <c r="E2299" i="5"/>
  <c r="F2299" i="5"/>
  <c r="G2300" i="4"/>
  <c r="H2300" i="4"/>
  <c r="C2300" i="5"/>
  <c r="D2300" i="5"/>
  <c r="E2300" i="5"/>
  <c r="F2300" i="5"/>
  <c r="G2301" i="4"/>
  <c r="H2301" i="4"/>
  <c r="C2301" i="5"/>
  <c r="D2301" i="5"/>
  <c r="E2301" i="5"/>
  <c r="F2301" i="5"/>
  <c r="G2302" i="4"/>
  <c r="H2302" i="4"/>
  <c r="C2302" i="5"/>
  <c r="D2302" i="5"/>
  <c r="E2302" i="5"/>
  <c r="F2302" i="5"/>
  <c r="G2303" i="4"/>
  <c r="H2303" i="4"/>
  <c r="C2303" i="5"/>
  <c r="D2303" i="5"/>
  <c r="E2303" i="5"/>
  <c r="F2303" i="5"/>
  <c r="G2304" i="4"/>
  <c r="H2304" i="4"/>
  <c r="C2304" i="5"/>
  <c r="D2304" i="5"/>
  <c r="E2304" i="5"/>
  <c r="F2304" i="5"/>
  <c r="G2305" i="4"/>
  <c r="H2305" i="4"/>
  <c r="C2305" i="5"/>
  <c r="D2305" i="5"/>
  <c r="E2305" i="5"/>
  <c r="F2305" i="5"/>
  <c r="G2306" i="4"/>
  <c r="H2306" i="4"/>
  <c r="C2306" i="5"/>
  <c r="D2306" i="5"/>
  <c r="E2306" i="5"/>
  <c r="F2306" i="5"/>
  <c r="G2307" i="4"/>
  <c r="H2307" i="4"/>
  <c r="C2307" i="5"/>
  <c r="D2307" i="5"/>
  <c r="E2307" i="5"/>
  <c r="F2307" i="5"/>
  <c r="G2308" i="4"/>
  <c r="H2308" i="4"/>
  <c r="C2308" i="5"/>
  <c r="D2308" i="5"/>
  <c r="E2308" i="5"/>
  <c r="F2308" i="5"/>
  <c r="G2309" i="4"/>
  <c r="H2309" i="4"/>
  <c r="C2309" i="5"/>
  <c r="D2309" i="5"/>
  <c r="E2309" i="5"/>
  <c r="F2309" i="5"/>
  <c r="G2310" i="4"/>
  <c r="H2310" i="4"/>
  <c r="C2310" i="5"/>
  <c r="D2310" i="5"/>
  <c r="E2310" i="5"/>
  <c r="F2310" i="5"/>
  <c r="G2311" i="4"/>
  <c r="H2311" i="4"/>
  <c r="C2311" i="5"/>
  <c r="D2311" i="5"/>
  <c r="E2311" i="5"/>
  <c r="F2311" i="5"/>
  <c r="G2312" i="4"/>
  <c r="H2312" i="4"/>
  <c r="C2312" i="5"/>
  <c r="D2312" i="5"/>
  <c r="E2312" i="5"/>
  <c r="F2312" i="5"/>
  <c r="C2313" i="4"/>
  <c r="D2313" i="4"/>
  <c r="E2313" i="4"/>
  <c r="F2313" i="4"/>
  <c r="G2313" i="4"/>
  <c r="H2313" i="4"/>
  <c r="C2313" i="5"/>
  <c r="D2313" i="5"/>
  <c r="E2313" i="5"/>
  <c r="F2313" i="5"/>
  <c r="C2314" i="4"/>
  <c r="D2314" i="4"/>
  <c r="E2314" i="4"/>
  <c r="F2314" i="4"/>
  <c r="G2314" i="4"/>
  <c r="H2314" i="4"/>
  <c r="C2314" i="5"/>
  <c r="D2314" i="5"/>
  <c r="E2314" i="5"/>
  <c r="F2314" i="5"/>
  <c r="C2315" i="4"/>
  <c r="D2315" i="4"/>
  <c r="E2315" i="4"/>
  <c r="F2315" i="4"/>
  <c r="G2315" i="4"/>
  <c r="H2315" i="4"/>
  <c r="C2315" i="5"/>
  <c r="D2315" i="5"/>
  <c r="E2315" i="5"/>
  <c r="F2315" i="5"/>
  <c r="C2316" i="4"/>
  <c r="D2316" i="4"/>
  <c r="E2316" i="4"/>
  <c r="F2316" i="4"/>
  <c r="G2316" i="4"/>
  <c r="H2316" i="4"/>
  <c r="C2316" i="5"/>
  <c r="D2316" i="5"/>
  <c r="E2316" i="5"/>
  <c r="F2316" i="5"/>
  <c r="C2317" i="4"/>
  <c r="D2317" i="4"/>
  <c r="E2317" i="4"/>
  <c r="F2317" i="4"/>
  <c r="G2317" i="4"/>
  <c r="H2317" i="4"/>
  <c r="C2317" i="5"/>
  <c r="D2317" i="5"/>
  <c r="E2317" i="5"/>
  <c r="F2317" i="5"/>
  <c r="C2318" i="4"/>
  <c r="D2318" i="4"/>
  <c r="E2318" i="4"/>
  <c r="F2318" i="4"/>
  <c r="G2318" i="4"/>
  <c r="H2318" i="4"/>
  <c r="C2318" i="5"/>
  <c r="D2318" i="5"/>
  <c r="E2318" i="5"/>
  <c r="F2318" i="5"/>
  <c r="C2319" i="4"/>
  <c r="D2319" i="4"/>
  <c r="E2319" i="4"/>
  <c r="F2319" i="4"/>
  <c r="G2319" i="4"/>
  <c r="H2319" i="4"/>
  <c r="C2319" i="5"/>
  <c r="D2319" i="5"/>
  <c r="E2319" i="5"/>
  <c r="F2319" i="5"/>
  <c r="C2320" i="4"/>
  <c r="D2320" i="4"/>
  <c r="E2320" i="4"/>
  <c r="F2320" i="4"/>
  <c r="G2320" i="4"/>
  <c r="H2320" i="4"/>
  <c r="C2320" i="5"/>
  <c r="D2320" i="5"/>
  <c r="E2320" i="5"/>
  <c r="F2320" i="5"/>
  <c r="C2321" i="4"/>
  <c r="D2321" i="4"/>
  <c r="E2321" i="4"/>
  <c r="F2321" i="4"/>
  <c r="G2321" i="4"/>
  <c r="H2321" i="4"/>
  <c r="C2321" i="5"/>
  <c r="D2321" i="5"/>
  <c r="E2321" i="5"/>
  <c r="F2321" i="5"/>
  <c r="C2322" i="4"/>
  <c r="D2322" i="4"/>
  <c r="E2322" i="4"/>
  <c r="F2322" i="4"/>
  <c r="G2322" i="4"/>
  <c r="H2322" i="4"/>
  <c r="C2322" i="5"/>
  <c r="D2322" i="5"/>
  <c r="E2322" i="5"/>
  <c r="F2322" i="5"/>
  <c r="C2323" i="4"/>
  <c r="D2323" i="4"/>
  <c r="E2323" i="4"/>
  <c r="F2323" i="4"/>
  <c r="G2323" i="4"/>
  <c r="H2323" i="4"/>
  <c r="C2323" i="5"/>
  <c r="D2323" i="5"/>
  <c r="E2323" i="5"/>
  <c r="F2323" i="5"/>
  <c r="C2324" i="4"/>
  <c r="D2324" i="4"/>
  <c r="E2324" i="4"/>
  <c r="F2324" i="4"/>
  <c r="G2324" i="4"/>
  <c r="H2324" i="4"/>
  <c r="C2324" i="5"/>
  <c r="D2324" i="5"/>
  <c r="E2324" i="5"/>
  <c r="F2324" i="5"/>
  <c r="C2325" i="4"/>
  <c r="D2325" i="4"/>
  <c r="E2325" i="4"/>
  <c r="F2325" i="4"/>
  <c r="G2325" i="4"/>
  <c r="H2325" i="4"/>
  <c r="C2325" i="5"/>
  <c r="D2325" i="5"/>
  <c r="E2325" i="5"/>
  <c r="F2325" i="5"/>
  <c r="C2326" i="4"/>
  <c r="D2326" i="4"/>
  <c r="E2326" i="4"/>
  <c r="F2326" i="4"/>
  <c r="G2326" i="4"/>
  <c r="H2326" i="4"/>
  <c r="C2326" i="5"/>
  <c r="D2326" i="5"/>
  <c r="E2326" i="5"/>
  <c r="F2326" i="5"/>
  <c r="C2327" i="4"/>
  <c r="D2327" i="4"/>
  <c r="E2327" i="4"/>
  <c r="F2327" i="4"/>
  <c r="G2327" i="4"/>
  <c r="H2327" i="4"/>
  <c r="C2327" i="5"/>
  <c r="D2327" i="5"/>
  <c r="E2327" i="5"/>
  <c r="F2327" i="5"/>
  <c r="C2328" i="4"/>
  <c r="D2328" i="4"/>
  <c r="E2328" i="4"/>
  <c r="F2328" i="4"/>
  <c r="G2328" i="4"/>
  <c r="H2328" i="4"/>
  <c r="C2328" i="5"/>
  <c r="D2328" i="5"/>
  <c r="E2328" i="5"/>
  <c r="F2328" i="5"/>
  <c r="C2329" i="4"/>
  <c r="D2329" i="4"/>
  <c r="E2329" i="4"/>
  <c r="F2329" i="4"/>
  <c r="G2329" i="4"/>
  <c r="H2329" i="4"/>
  <c r="C2329" i="5"/>
  <c r="D2329" i="5"/>
  <c r="E2329" i="5"/>
  <c r="F2329" i="5"/>
  <c r="C2330" i="4"/>
  <c r="D2330" i="4"/>
  <c r="E2330" i="4"/>
  <c r="F2330" i="4"/>
  <c r="G2330" i="4"/>
  <c r="H2330" i="4"/>
  <c r="C2330" i="5"/>
  <c r="D2330" i="5"/>
  <c r="E2330" i="5"/>
  <c r="F2330" i="5"/>
  <c r="C2331" i="4"/>
  <c r="D2331" i="4"/>
  <c r="E2331" i="4"/>
  <c r="F2331" i="4"/>
  <c r="G2331" i="4"/>
  <c r="H2331" i="4"/>
  <c r="C2331" i="5"/>
  <c r="D2331" i="5"/>
  <c r="E2331" i="5"/>
  <c r="F2331" i="5"/>
  <c r="C2332" i="4"/>
  <c r="D2332" i="4"/>
  <c r="E2332" i="4"/>
  <c r="F2332" i="4"/>
  <c r="G2332" i="4"/>
  <c r="H2332" i="4"/>
  <c r="C2332" i="5"/>
  <c r="D2332" i="5"/>
  <c r="E2332" i="5"/>
  <c r="F2332" i="5"/>
  <c r="C2333" i="4"/>
  <c r="D2333" i="4"/>
  <c r="E2333" i="4"/>
  <c r="F2333" i="4"/>
  <c r="G2333" i="4"/>
  <c r="H2333" i="4"/>
  <c r="C2333" i="5"/>
  <c r="D2333" i="5"/>
  <c r="E2333" i="5"/>
  <c r="F2333" i="5"/>
  <c r="C2334" i="4"/>
  <c r="D2334" i="4"/>
  <c r="E2334" i="4"/>
  <c r="F2334" i="4"/>
  <c r="G2334" i="4"/>
  <c r="H2334" i="4"/>
  <c r="C2334" i="5"/>
  <c r="D2334" i="5"/>
  <c r="E2334" i="5"/>
  <c r="F2334" i="5"/>
  <c r="C2335" i="4"/>
  <c r="D2335" i="4"/>
  <c r="E2335" i="4"/>
  <c r="F2335" i="4"/>
  <c r="G2335" i="4"/>
  <c r="H2335" i="4"/>
  <c r="C2335" i="5"/>
  <c r="D2335" i="5"/>
  <c r="E2335" i="5"/>
  <c r="F2335" i="5"/>
  <c r="C2336" i="4"/>
  <c r="D2336" i="4"/>
  <c r="E2336" i="4"/>
  <c r="F2336" i="4"/>
  <c r="G2336" i="4"/>
  <c r="H2336" i="4"/>
  <c r="C2336" i="5"/>
  <c r="D2336" i="5"/>
  <c r="E2336" i="5"/>
  <c r="F2336" i="5"/>
  <c r="C2337" i="4"/>
  <c r="D2337" i="4"/>
  <c r="E2337" i="4"/>
  <c r="F2337" i="4"/>
  <c r="G2337" i="4"/>
  <c r="H2337" i="4"/>
  <c r="C2337" i="5"/>
  <c r="D2337" i="5"/>
  <c r="E2337" i="5"/>
  <c r="F2337" i="5"/>
  <c r="C2338" i="4"/>
  <c r="D2338" i="4"/>
  <c r="E2338" i="4"/>
  <c r="F2338" i="4"/>
  <c r="G2338" i="4"/>
  <c r="H2338" i="4"/>
  <c r="C2338" i="5"/>
  <c r="D2338" i="5"/>
  <c r="E2338" i="5"/>
  <c r="F2338" i="5"/>
  <c r="C2339" i="4"/>
  <c r="D2339" i="4"/>
  <c r="E2339" i="4"/>
  <c r="F2339" i="4"/>
  <c r="G2339" i="4"/>
  <c r="H2339" i="4"/>
  <c r="C2339" i="5"/>
  <c r="D2339" i="5"/>
  <c r="E2339" i="5"/>
  <c r="F2339" i="5"/>
  <c r="C2340" i="4"/>
  <c r="D2340" i="4"/>
  <c r="E2340" i="4"/>
  <c r="F2340" i="4"/>
  <c r="G2340" i="4"/>
  <c r="H2340" i="4"/>
  <c r="C2340" i="5"/>
  <c r="D2340" i="5"/>
  <c r="E2340" i="5"/>
  <c r="F2340" i="5"/>
  <c r="C2341" i="4"/>
  <c r="D2341" i="4"/>
  <c r="E2341" i="4"/>
  <c r="F2341" i="4"/>
  <c r="G2341" i="4"/>
  <c r="H2341" i="4"/>
  <c r="C2341" i="5"/>
  <c r="D2341" i="5"/>
  <c r="E2341" i="5"/>
  <c r="F2341" i="5"/>
  <c r="C2342" i="4"/>
  <c r="D2342" i="4"/>
  <c r="E2342" i="4"/>
  <c r="F2342" i="4"/>
  <c r="G2342" i="4"/>
  <c r="H2342" i="4"/>
  <c r="C2342" i="5"/>
  <c r="D2342" i="5"/>
  <c r="E2342" i="5"/>
  <c r="F2342" i="5"/>
  <c r="C2343" i="4"/>
  <c r="D2343" i="4"/>
  <c r="E2343" i="4"/>
  <c r="F2343" i="4"/>
  <c r="G2343" i="4"/>
  <c r="H2343" i="4"/>
  <c r="C2343" i="5"/>
  <c r="D2343" i="5"/>
  <c r="E2343" i="5"/>
  <c r="F2343" i="5"/>
  <c r="C2344" i="4"/>
  <c r="D2344" i="4"/>
  <c r="E2344" i="4"/>
  <c r="F2344" i="4"/>
  <c r="G2344" i="4"/>
  <c r="H2344" i="4"/>
  <c r="C2344" i="5"/>
  <c r="D2344" i="5"/>
  <c r="E2344" i="5"/>
  <c r="F2344" i="5"/>
  <c r="C2345" i="4"/>
  <c r="D2345" i="4"/>
  <c r="E2345" i="4"/>
  <c r="F2345" i="4"/>
  <c r="G2345" i="4"/>
  <c r="H2345" i="4"/>
  <c r="C2345" i="5"/>
  <c r="D2345" i="5"/>
  <c r="E2345" i="5"/>
  <c r="F2345" i="5"/>
  <c r="C2346" i="4"/>
  <c r="D2346" i="4"/>
  <c r="E2346" i="4"/>
  <c r="F2346" i="4"/>
  <c r="G2346" i="4"/>
  <c r="H2346" i="4"/>
  <c r="C2346" i="5"/>
  <c r="D2346" i="5"/>
  <c r="E2346" i="5"/>
  <c r="F2346" i="5"/>
  <c r="C2347" i="4"/>
  <c r="D2347" i="4"/>
  <c r="E2347" i="4"/>
  <c r="F2347" i="4"/>
  <c r="G2347" i="4"/>
  <c r="H2347" i="4"/>
  <c r="C2347" i="5"/>
  <c r="D2347" i="5"/>
  <c r="E2347" i="5"/>
  <c r="F2347" i="5"/>
  <c r="C2348" i="4"/>
  <c r="D2348" i="4"/>
  <c r="E2348" i="4"/>
  <c r="F2348" i="4"/>
  <c r="G2348" i="4"/>
  <c r="H2348" i="4"/>
  <c r="C2348" i="5"/>
  <c r="D2348" i="5"/>
  <c r="E2348" i="5"/>
  <c r="F2348" i="5"/>
  <c r="C2349" i="4"/>
  <c r="D2349" i="4"/>
  <c r="E2349" i="4"/>
  <c r="F2349" i="4"/>
  <c r="G2349" i="4"/>
  <c r="H2349" i="4"/>
  <c r="C2349" i="5"/>
  <c r="D2349" i="5"/>
  <c r="E2349" i="5"/>
  <c r="F2349" i="5"/>
  <c r="C2350" i="4"/>
  <c r="D2350" i="4"/>
  <c r="E2350" i="4"/>
  <c r="F2350" i="4"/>
  <c r="G2350" i="4"/>
  <c r="H2350" i="4"/>
  <c r="C2350" i="5"/>
  <c r="D2350" i="5"/>
  <c r="E2350" i="5"/>
  <c r="F2350" i="5"/>
  <c r="C2351" i="4"/>
  <c r="D2351" i="4"/>
  <c r="E2351" i="4"/>
  <c r="F2351" i="4"/>
  <c r="G2351" i="4"/>
  <c r="H2351" i="4"/>
  <c r="C2351" i="5"/>
  <c r="D2351" i="5"/>
  <c r="E2351" i="5"/>
  <c r="F2351" i="5"/>
  <c r="C2352" i="4"/>
  <c r="D2352" i="4"/>
  <c r="E2352" i="4"/>
  <c r="F2352" i="4"/>
  <c r="G2352" i="4"/>
  <c r="H2352" i="4"/>
  <c r="C2352" i="5"/>
  <c r="D2352" i="5"/>
  <c r="E2352" i="5"/>
  <c r="F2352" i="5"/>
  <c r="C2353" i="4"/>
  <c r="D2353" i="4"/>
  <c r="E2353" i="4"/>
  <c r="F2353" i="4"/>
  <c r="G2353" i="4"/>
  <c r="H2353" i="4"/>
  <c r="C2353" i="5"/>
  <c r="D2353" i="5"/>
  <c r="E2353" i="5"/>
  <c r="F2353" i="5"/>
  <c r="C2354" i="4"/>
  <c r="D2354" i="4"/>
  <c r="E2354" i="4"/>
  <c r="F2354" i="4"/>
  <c r="G2354" i="4"/>
  <c r="H2354" i="4"/>
  <c r="C2354" i="5"/>
  <c r="D2354" i="5"/>
  <c r="E2354" i="5"/>
  <c r="F2354" i="5"/>
  <c r="C2355" i="4"/>
  <c r="D2355" i="4"/>
  <c r="E2355" i="4"/>
  <c r="F2355" i="4"/>
  <c r="G2355" i="4"/>
  <c r="H2355" i="4"/>
  <c r="C2355" i="5"/>
  <c r="D2355" i="5"/>
  <c r="E2355" i="5"/>
  <c r="F2355" i="5"/>
  <c r="C2356" i="4"/>
  <c r="D2356" i="4"/>
  <c r="E2356" i="4"/>
  <c r="F2356" i="4"/>
  <c r="G2356" i="4"/>
  <c r="H2356" i="4"/>
  <c r="C2356" i="5"/>
  <c r="D2356" i="5"/>
  <c r="E2356" i="5"/>
  <c r="F2356" i="5"/>
  <c r="C2357" i="4"/>
  <c r="D2357" i="4"/>
  <c r="E2357" i="4"/>
  <c r="F2357" i="4"/>
  <c r="G2357" i="4"/>
  <c r="H2357" i="4"/>
  <c r="C2357" i="5"/>
  <c r="D2357" i="5"/>
  <c r="E2357" i="5"/>
  <c r="F2357" i="5"/>
  <c r="C2358" i="4"/>
  <c r="D2358" i="4"/>
  <c r="E2358" i="4"/>
  <c r="F2358" i="4"/>
  <c r="G2358" i="4"/>
  <c r="H2358" i="4"/>
  <c r="C2358" i="5"/>
  <c r="D2358" i="5"/>
  <c r="E2358" i="5"/>
  <c r="F2358" i="5"/>
  <c r="C2359" i="4"/>
  <c r="D2359" i="4"/>
  <c r="E2359" i="4"/>
  <c r="F2359" i="4"/>
  <c r="G2359" i="4"/>
  <c r="H2359" i="4"/>
  <c r="C2359" i="5"/>
  <c r="D2359" i="5"/>
  <c r="E2359" i="5"/>
  <c r="F2359" i="5"/>
  <c r="C2360" i="4"/>
  <c r="D2360" i="4"/>
  <c r="E2360" i="4"/>
  <c r="F2360" i="4"/>
  <c r="G2360" i="4"/>
  <c r="H2360" i="4"/>
  <c r="C2360" i="5"/>
  <c r="D2360" i="5"/>
  <c r="E2360" i="5"/>
  <c r="F2360" i="5"/>
  <c r="C2361" i="4"/>
  <c r="D2361" i="4"/>
  <c r="E2361" i="4"/>
  <c r="F2361" i="4"/>
  <c r="G2361" i="4"/>
  <c r="H2361" i="4"/>
  <c r="C2361" i="5"/>
  <c r="D2361" i="5"/>
  <c r="E2361" i="5"/>
  <c r="F2361" i="5"/>
  <c r="C2362" i="4"/>
  <c r="D2362" i="4"/>
  <c r="E2362" i="4"/>
  <c r="F2362" i="4"/>
  <c r="G2362" i="4"/>
  <c r="H2362" i="4"/>
  <c r="C2362" i="5"/>
  <c r="D2362" i="5"/>
  <c r="E2362" i="5"/>
  <c r="F2362" i="5"/>
  <c r="C2363" i="4"/>
  <c r="D2363" i="4"/>
  <c r="E2363" i="4"/>
  <c r="F2363" i="4"/>
  <c r="G2363" i="4"/>
  <c r="H2363" i="4"/>
  <c r="C2363" i="5"/>
  <c r="D2363" i="5"/>
  <c r="E2363" i="5"/>
  <c r="F2363" i="5"/>
  <c r="C2364" i="4"/>
  <c r="D2364" i="4"/>
  <c r="E2364" i="4"/>
  <c r="F2364" i="4"/>
  <c r="G2364" i="4"/>
  <c r="H2364" i="4"/>
  <c r="C2364" i="5"/>
  <c r="D2364" i="5"/>
  <c r="E2364" i="5"/>
  <c r="F2364" i="5"/>
  <c r="C2365" i="4"/>
  <c r="D2365" i="4"/>
  <c r="E2365" i="4"/>
  <c r="F2365" i="4"/>
  <c r="G2365" i="4"/>
  <c r="H2365" i="4"/>
  <c r="C2365" i="5"/>
  <c r="D2365" i="5"/>
  <c r="E2365" i="5"/>
  <c r="F2365" i="5"/>
  <c r="C2366" i="4"/>
  <c r="D2366" i="4"/>
  <c r="E2366" i="4"/>
  <c r="F2366" i="4"/>
  <c r="G2366" i="4"/>
  <c r="H2366" i="4"/>
  <c r="C2366" i="5"/>
  <c r="D2366" i="5"/>
  <c r="E2366" i="5"/>
  <c r="F2366" i="5"/>
  <c r="C2367" i="4"/>
  <c r="D2367" i="4"/>
  <c r="E2367" i="4"/>
  <c r="F2367" i="4"/>
  <c r="G2367" i="4"/>
  <c r="H2367" i="4"/>
  <c r="C2367" i="5"/>
  <c r="D2367" i="5"/>
  <c r="E2367" i="5"/>
  <c r="F2367" i="5"/>
  <c r="C2368" i="4"/>
  <c r="D2368" i="4"/>
  <c r="E2368" i="4"/>
  <c r="F2368" i="4"/>
  <c r="G2368" i="4"/>
  <c r="H2368" i="4"/>
  <c r="C2368" i="5"/>
  <c r="D2368" i="5"/>
  <c r="E2368" i="5"/>
  <c r="F2368" i="5"/>
  <c r="C2369" i="4"/>
  <c r="D2369" i="4"/>
  <c r="E2369" i="4"/>
  <c r="F2369" i="4"/>
  <c r="G2369" i="4"/>
  <c r="H2369" i="4"/>
  <c r="C2369" i="5"/>
  <c r="D2369" i="5"/>
  <c r="E2369" i="5"/>
  <c r="F2369" i="5"/>
  <c r="C2370" i="4"/>
  <c r="D2370" i="4"/>
  <c r="E2370" i="4"/>
  <c r="F2370" i="4"/>
  <c r="G2370" i="4"/>
  <c r="H2370" i="4"/>
  <c r="C2370" i="5"/>
  <c r="D2370" i="5"/>
  <c r="E2370" i="5"/>
  <c r="F2370" i="5"/>
  <c r="C2371" i="4"/>
  <c r="D2371" i="4"/>
  <c r="E2371" i="4"/>
  <c r="F2371" i="4"/>
  <c r="G2371" i="4"/>
  <c r="H2371" i="4"/>
  <c r="C2371" i="5"/>
  <c r="D2371" i="5"/>
  <c r="E2371" i="5"/>
  <c r="F2371" i="5"/>
  <c r="C2372" i="4"/>
  <c r="D2372" i="4"/>
  <c r="E2372" i="4"/>
  <c r="F2372" i="4"/>
  <c r="G2372" i="4"/>
  <c r="H2372" i="4"/>
  <c r="C2372" i="5"/>
  <c r="D2372" i="5"/>
  <c r="E2372" i="5"/>
  <c r="F2372" i="5"/>
  <c r="C2373" i="4"/>
  <c r="D2373" i="4"/>
  <c r="E2373" i="4"/>
  <c r="F2373" i="4"/>
  <c r="G2373" i="4"/>
  <c r="H2373" i="4"/>
  <c r="C2373" i="5"/>
  <c r="D2373" i="5"/>
  <c r="E2373" i="5"/>
  <c r="F2373" i="5"/>
  <c r="C2374" i="4"/>
  <c r="D2374" i="4"/>
  <c r="E2374" i="4"/>
  <c r="F2374" i="4"/>
  <c r="G2374" i="4"/>
  <c r="H2374" i="4"/>
  <c r="C2374" i="5"/>
  <c r="D2374" i="5"/>
  <c r="E2374" i="5"/>
  <c r="F2374" i="5"/>
  <c r="C2375" i="4"/>
  <c r="D2375" i="4"/>
  <c r="E2375" i="4"/>
  <c r="F2375" i="4"/>
  <c r="G2375" i="4"/>
  <c r="H2375" i="4"/>
  <c r="C2375" i="5"/>
  <c r="D2375" i="5"/>
  <c r="E2375" i="5"/>
  <c r="F2375" i="5"/>
  <c r="C2376" i="4"/>
  <c r="D2376" i="4"/>
  <c r="E2376" i="4"/>
  <c r="F2376" i="4"/>
  <c r="G2376" i="4"/>
  <c r="H2376" i="4"/>
  <c r="C2376" i="5"/>
  <c r="D2376" i="5"/>
  <c r="E2376" i="5"/>
  <c r="F2376" i="5"/>
  <c r="C2377" i="4"/>
  <c r="D2377" i="4"/>
  <c r="E2377" i="4"/>
  <c r="F2377" i="4"/>
  <c r="G2377" i="4"/>
  <c r="H2377" i="4"/>
  <c r="C2377" i="5"/>
  <c r="D2377" i="5"/>
  <c r="E2377" i="5"/>
  <c r="F2377" i="5"/>
  <c r="C2378" i="4"/>
  <c r="D2378" i="4"/>
  <c r="E2378" i="4"/>
  <c r="F2378" i="4"/>
  <c r="G2378" i="4"/>
  <c r="H2378" i="4"/>
  <c r="C2378" i="5"/>
  <c r="D2378" i="5"/>
  <c r="E2378" i="5"/>
  <c r="F2378" i="5"/>
  <c r="C2379" i="4"/>
  <c r="D2379" i="4"/>
  <c r="E2379" i="4"/>
  <c r="F2379" i="4"/>
  <c r="G2379" i="4"/>
  <c r="H2379" i="4"/>
  <c r="C2379" i="5"/>
  <c r="D2379" i="5"/>
  <c r="E2379" i="5"/>
  <c r="F2379" i="5"/>
  <c r="C2380" i="4"/>
  <c r="D2380" i="4"/>
  <c r="E2380" i="4"/>
  <c r="F2380" i="4"/>
  <c r="G2380" i="4"/>
  <c r="H2380" i="4"/>
  <c r="C2380" i="5"/>
  <c r="D2380" i="5"/>
  <c r="E2380" i="5"/>
  <c r="F2380" i="5"/>
  <c r="C2381" i="4"/>
  <c r="D2381" i="4"/>
  <c r="E2381" i="4"/>
  <c r="F2381" i="4"/>
  <c r="G2381" i="4"/>
  <c r="H2381" i="4"/>
  <c r="C2381" i="5"/>
  <c r="D2381" i="5"/>
  <c r="E2381" i="5"/>
  <c r="F2381" i="5"/>
  <c r="C2382" i="4"/>
  <c r="D2382" i="4"/>
  <c r="E2382" i="4"/>
  <c r="F2382" i="4"/>
  <c r="G2382" i="4"/>
  <c r="H2382" i="4"/>
  <c r="C2382" i="5"/>
  <c r="D2382" i="5"/>
  <c r="E2382" i="5"/>
  <c r="F2382" i="5"/>
  <c r="C2383" i="4"/>
  <c r="D2383" i="4"/>
  <c r="E2383" i="4"/>
  <c r="F2383" i="4"/>
  <c r="G2383" i="4"/>
  <c r="H2383" i="4"/>
  <c r="C2383" i="5"/>
  <c r="D2383" i="5"/>
  <c r="E2383" i="5"/>
  <c r="F2383" i="5"/>
  <c r="C2384" i="4"/>
  <c r="D2384" i="4"/>
  <c r="E2384" i="4"/>
  <c r="F2384" i="4"/>
  <c r="G2384" i="4"/>
  <c r="H2384" i="4"/>
  <c r="C2384" i="5"/>
  <c r="D2384" i="5"/>
  <c r="E2384" i="5"/>
  <c r="F2384" i="5"/>
  <c r="C2385" i="4"/>
  <c r="D2385" i="4"/>
  <c r="E2385" i="4"/>
  <c r="F2385" i="4"/>
  <c r="G2385" i="4"/>
  <c r="H2385" i="4"/>
  <c r="C2385" i="5"/>
  <c r="D2385" i="5"/>
  <c r="E2385" i="5"/>
  <c r="F2385" i="5"/>
  <c r="C2386" i="4"/>
  <c r="D2386" i="4"/>
  <c r="E2386" i="4"/>
  <c r="F2386" i="4"/>
  <c r="G2386" i="4"/>
  <c r="H2386" i="4"/>
  <c r="C2386" i="5"/>
  <c r="D2386" i="5"/>
  <c r="E2386" i="5"/>
  <c r="F2386" i="5"/>
  <c r="C2387" i="4"/>
  <c r="D2387" i="4"/>
  <c r="E2387" i="4"/>
  <c r="F2387" i="4"/>
  <c r="G2387" i="4"/>
  <c r="H2387" i="4"/>
  <c r="C2387" i="5"/>
  <c r="D2387" i="5"/>
  <c r="E2387" i="5"/>
  <c r="F2387" i="5"/>
  <c r="C2388" i="4"/>
  <c r="D2388" i="4"/>
  <c r="E2388" i="4"/>
  <c r="F2388" i="4"/>
  <c r="G2388" i="4"/>
  <c r="H2388" i="4"/>
  <c r="C2388" i="5"/>
  <c r="D2388" i="5"/>
  <c r="E2388" i="5"/>
  <c r="F2388" i="5"/>
  <c r="C2389" i="4"/>
  <c r="D2389" i="4"/>
  <c r="E2389" i="4"/>
  <c r="F2389" i="4"/>
  <c r="G2389" i="4"/>
  <c r="H2389" i="4"/>
  <c r="C2389" i="5"/>
  <c r="D2389" i="5"/>
  <c r="E2389" i="5"/>
  <c r="F2389" i="5"/>
  <c r="C2390" i="4"/>
  <c r="D2390" i="4"/>
  <c r="E2390" i="4"/>
  <c r="F2390" i="4"/>
  <c r="G2390" i="4"/>
  <c r="H2390" i="4"/>
  <c r="C2390" i="5"/>
  <c r="D2390" i="5"/>
  <c r="E2390" i="5"/>
  <c r="F2390" i="5"/>
  <c r="C2391" i="4"/>
  <c r="D2391" i="4"/>
  <c r="E2391" i="4"/>
  <c r="F2391" i="4"/>
  <c r="G2391" i="4"/>
  <c r="H2391" i="4"/>
  <c r="C2391" i="5"/>
  <c r="D2391" i="5"/>
  <c r="E2391" i="5"/>
  <c r="F2391" i="5"/>
  <c r="C2392" i="4"/>
  <c r="D2392" i="4"/>
  <c r="E2392" i="4"/>
  <c r="F2392" i="4"/>
  <c r="G2392" i="4"/>
  <c r="H2392" i="4"/>
  <c r="C2392" i="5"/>
  <c r="D2392" i="5"/>
  <c r="E2392" i="5"/>
  <c r="F2392" i="5"/>
  <c r="C2393" i="4"/>
  <c r="D2393" i="4"/>
  <c r="E2393" i="4"/>
  <c r="F2393" i="4"/>
  <c r="G2393" i="4"/>
  <c r="H2393" i="4"/>
  <c r="C2393" i="5"/>
  <c r="D2393" i="5"/>
  <c r="E2393" i="5"/>
  <c r="F2393" i="5"/>
  <c r="C2394" i="4"/>
  <c r="D2394" i="4"/>
  <c r="E2394" i="4"/>
  <c r="F2394" i="4"/>
  <c r="G2394" i="4"/>
  <c r="H2394" i="4"/>
  <c r="C2394" i="5"/>
  <c r="D2394" i="5"/>
  <c r="E2394" i="5"/>
  <c r="F2394" i="5"/>
  <c r="C2395" i="4"/>
  <c r="D2395" i="4"/>
  <c r="E2395" i="4"/>
  <c r="F2395" i="4"/>
  <c r="G2395" i="4"/>
  <c r="H2395" i="4"/>
  <c r="C2395" i="5"/>
  <c r="D2395" i="5"/>
  <c r="E2395" i="5"/>
  <c r="F2395" i="5"/>
  <c r="C2396" i="4"/>
  <c r="D2396" i="4"/>
  <c r="E2396" i="4"/>
  <c r="F2396" i="4"/>
  <c r="G2396" i="4"/>
  <c r="H2396" i="4"/>
  <c r="C2396" i="5"/>
  <c r="D2396" i="5"/>
  <c r="E2396" i="5"/>
  <c r="F2396" i="5"/>
  <c r="C2397" i="4"/>
  <c r="D2397" i="4"/>
  <c r="E2397" i="4"/>
  <c r="F2397" i="4"/>
  <c r="G2397" i="4"/>
  <c r="H2397" i="4"/>
  <c r="C2397" i="5"/>
  <c r="D2397" i="5"/>
  <c r="E2397" i="5"/>
  <c r="F2397" i="5"/>
  <c r="C2398" i="4"/>
  <c r="D2398" i="4"/>
  <c r="E2398" i="4"/>
  <c r="F2398" i="4"/>
  <c r="G2398" i="4"/>
  <c r="H2398" i="4"/>
  <c r="C2398" i="5"/>
  <c r="D2398" i="5"/>
  <c r="E2398" i="5"/>
  <c r="F2398" i="5"/>
  <c r="C2399" i="4"/>
  <c r="D2399" i="4"/>
  <c r="E2399" i="4"/>
  <c r="F2399" i="4"/>
  <c r="G2399" i="4"/>
  <c r="H2399" i="4"/>
  <c r="C2399" i="5"/>
  <c r="D2399" i="5"/>
  <c r="E2399" i="5"/>
  <c r="F2399" i="5"/>
  <c r="C2400" i="4"/>
  <c r="D2400" i="4"/>
  <c r="E2400" i="4"/>
  <c r="F2400" i="4"/>
  <c r="G2400" i="4"/>
  <c r="H2400" i="4"/>
  <c r="C2400" i="5"/>
  <c r="D2400" i="5"/>
  <c r="E2400" i="5"/>
  <c r="F2400" i="5"/>
  <c r="C2401" i="4"/>
  <c r="D2401" i="4"/>
  <c r="E2401" i="4"/>
  <c r="F2401" i="4"/>
  <c r="G2401" i="4"/>
  <c r="H2401" i="4"/>
  <c r="C2401" i="5"/>
  <c r="D2401" i="5"/>
  <c r="E2401" i="5"/>
  <c r="F2401" i="5"/>
  <c r="C2402" i="4"/>
  <c r="D2402" i="4"/>
  <c r="E2402" i="4"/>
  <c r="F2402" i="4"/>
  <c r="G2402" i="4"/>
  <c r="H2402" i="4"/>
  <c r="C2402" i="5"/>
  <c r="D2402" i="5"/>
  <c r="E2402" i="5"/>
  <c r="F2402" i="5"/>
  <c r="C2403" i="4"/>
  <c r="D2403" i="4"/>
  <c r="E2403" i="4"/>
  <c r="F2403" i="4"/>
  <c r="G2403" i="4"/>
  <c r="H2403" i="4"/>
  <c r="C2403" i="5"/>
  <c r="D2403" i="5"/>
  <c r="E2403" i="5"/>
  <c r="F2403" i="5"/>
  <c r="C2404" i="4"/>
  <c r="D2404" i="4"/>
  <c r="E2404" i="4"/>
  <c r="F2404" i="4"/>
  <c r="G2404" i="4"/>
  <c r="H2404" i="4"/>
  <c r="C2404" i="5"/>
  <c r="D2404" i="5"/>
  <c r="E2404" i="5"/>
  <c r="F2404" i="5"/>
  <c r="C2405" i="4"/>
  <c r="D2405" i="4"/>
  <c r="E2405" i="4"/>
  <c r="F2405" i="4"/>
  <c r="G2405" i="4"/>
  <c r="H2405" i="4"/>
  <c r="C2405" i="5"/>
  <c r="D2405" i="5"/>
  <c r="E2405" i="5"/>
  <c r="F2405" i="5"/>
  <c r="C2406" i="4"/>
  <c r="D2406" i="4"/>
  <c r="E2406" i="4"/>
  <c r="F2406" i="4"/>
  <c r="G2406" i="4"/>
  <c r="H2406" i="4"/>
  <c r="C2406" i="5"/>
  <c r="D2406" i="5"/>
  <c r="E2406" i="5"/>
  <c r="F2406" i="5"/>
  <c r="C2407" i="4"/>
  <c r="D2407" i="4"/>
  <c r="E2407" i="4"/>
  <c r="F2407" i="4"/>
  <c r="G2407" i="4"/>
  <c r="H2407" i="4"/>
  <c r="C2407" i="5"/>
  <c r="D2407" i="5"/>
  <c r="E2407" i="5"/>
  <c r="F2407" i="5"/>
  <c r="C2408" i="4"/>
  <c r="D2408" i="4"/>
  <c r="E2408" i="4"/>
  <c r="F2408" i="4"/>
  <c r="G2408" i="4"/>
  <c r="H2408" i="4"/>
  <c r="C2408" i="5"/>
  <c r="D2408" i="5"/>
  <c r="E2408" i="5"/>
  <c r="F2408" i="5"/>
  <c r="C2409" i="4"/>
  <c r="D2409" i="4"/>
  <c r="E2409" i="4"/>
  <c r="F2409" i="4"/>
  <c r="G2409" i="4"/>
  <c r="H2409" i="4"/>
  <c r="C2409" i="5"/>
  <c r="D2409" i="5"/>
  <c r="E2409" i="5"/>
  <c r="F2409" i="5"/>
  <c r="C2410" i="4"/>
  <c r="D2410" i="4"/>
  <c r="E2410" i="4"/>
  <c r="F2410" i="4"/>
  <c r="G2410" i="4"/>
  <c r="H2410" i="4"/>
  <c r="C2410" i="5"/>
  <c r="D2410" i="5"/>
  <c r="E2410" i="5"/>
  <c r="F2410" i="5"/>
  <c r="C2411" i="4"/>
  <c r="D2411" i="4"/>
  <c r="E2411" i="4"/>
  <c r="F2411" i="4"/>
  <c r="G2411" i="4"/>
  <c r="H2411" i="4"/>
  <c r="C2411" i="5"/>
  <c r="D2411" i="5"/>
  <c r="E2411" i="5"/>
  <c r="F2411" i="5"/>
  <c r="C2412" i="4"/>
  <c r="D2412" i="4"/>
  <c r="E2412" i="4"/>
  <c r="F2412" i="4"/>
  <c r="G2412" i="4"/>
  <c r="H2412" i="4"/>
  <c r="C2412" i="5"/>
  <c r="D2412" i="5"/>
  <c r="E2412" i="5"/>
  <c r="F2412" i="5"/>
  <c r="C2413" i="4"/>
  <c r="D2413" i="4"/>
  <c r="E2413" i="4"/>
  <c r="F2413" i="4"/>
  <c r="G2413" i="4"/>
  <c r="H2413" i="4"/>
  <c r="C2413" i="5"/>
  <c r="D2413" i="5"/>
  <c r="E2413" i="5"/>
  <c r="F2413" i="5"/>
  <c r="C2414" i="4"/>
  <c r="D2414" i="4"/>
  <c r="E2414" i="4"/>
  <c r="F2414" i="4"/>
  <c r="G2414" i="4"/>
  <c r="H2414" i="4"/>
  <c r="C2414" i="5"/>
  <c r="D2414" i="5"/>
  <c r="E2414" i="5"/>
  <c r="F2414" i="5"/>
  <c r="C2415" i="4"/>
  <c r="D2415" i="4"/>
  <c r="E2415" i="4"/>
  <c r="F2415" i="4"/>
  <c r="G2415" i="4"/>
  <c r="H2415" i="4"/>
  <c r="C2415" i="5"/>
  <c r="D2415" i="5"/>
  <c r="E2415" i="5"/>
  <c r="F2415" i="5"/>
  <c r="C2416" i="4"/>
  <c r="D2416" i="4"/>
  <c r="E2416" i="4"/>
  <c r="F2416" i="4"/>
  <c r="G2416" i="4"/>
  <c r="H2416" i="4"/>
  <c r="C2416" i="5"/>
  <c r="D2416" i="5"/>
  <c r="E2416" i="5"/>
  <c r="F2416" i="5"/>
  <c r="C2417" i="4"/>
  <c r="D2417" i="4"/>
  <c r="E2417" i="4"/>
  <c r="F2417" i="4"/>
  <c r="G2417" i="4"/>
  <c r="H2417" i="4"/>
  <c r="C2417" i="5"/>
  <c r="D2417" i="5"/>
  <c r="E2417" i="5"/>
  <c r="F2417" i="5"/>
  <c r="C2418" i="4"/>
  <c r="D2418" i="4"/>
  <c r="E2418" i="4"/>
  <c r="F2418" i="4"/>
  <c r="G2418" i="4"/>
  <c r="H2418" i="4"/>
  <c r="C2418" i="5"/>
  <c r="D2418" i="5"/>
  <c r="E2418" i="5"/>
  <c r="F2418" i="5"/>
  <c r="C2419" i="4"/>
  <c r="D2419" i="4"/>
  <c r="E2419" i="4"/>
  <c r="F2419" i="4"/>
  <c r="G2419" i="4"/>
  <c r="H2419" i="4"/>
  <c r="C2419" i="5"/>
  <c r="D2419" i="5"/>
  <c r="E2419" i="5"/>
  <c r="F2419" i="5"/>
  <c r="C2420" i="4"/>
  <c r="D2420" i="4"/>
  <c r="E2420" i="4"/>
  <c r="F2420" i="4"/>
  <c r="G2420" i="4"/>
  <c r="H2420" i="4"/>
  <c r="C2420" i="5"/>
  <c r="D2420" i="5"/>
  <c r="E2420" i="5"/>
  <c r="F2420" i="5"/>
  <c r="C2421" i="4"/>
  <c r="D2421" i="4"/>
  <c r="E2421" i="4"/>
  <c r="F2421" i="4"/>
  <c r="G2421" i="4"/>
  <c r="H2421" i="4"/>
  <c r="C2421" i="5"/>
  <c r="D2421" i="5"/>
  <c r="E2421" i="5"/>
  <c r="F2421" i="5"/>
  <c r="C2422" i="4"/>
  <c r="D2422" i="4"/>
  <c r="E2422" i="4"/>
  <c r="F2422" i="4"/>
  <c r="G2422" i="4"/>
  <c r="H2422" i="4"/>
  <c r="C2422" i="5"/>
  <c r="D2422" i="5"/>
  <c r="E2422" i="5"/>
  <c r="F2422" i="5"/>
  <c r="C2423" i="4"/>
  <c r="D2423" i="4"/>
  <c r="E2423" i="4"/>
  <c r="F2423" i="4"/>
  <c r="G2423" i="4"/>
  <c r="H2423" i="4"/>
  <c r="C2423" i="5"/>
  <c r="D2423" i="5"/>
  <c r="E2423" i="5"/>
  <c r="F2423" i="5"/>
  <c r="C2424" i="4"/>
  <c r="D2424" i="4"/>
  <c r="E2424" i="4"/>
  <c r="F2424" i="4"/>
  <c r="G2424" i="4"/>
  <c r="H2424" i="4"/>
  <c r="C2424" i="5"/>
  <c r="D2424" i="5"/>
  <c r="F2424" i="5"/>
  <c r="E2424" i="5"/>
  <c r="C2425" i="4"/>
  <c r="D2425" i="4"/>
  <c r="E2425" i="4"/>
  <c r="F2425" i="4"/>
  <c r="G2425" i="4"/>
  <c r="H2425" i="4"/>
  <c r="C2425" i="5"/>
  <c r="D2425" i="5"/>
  <c r="F2425" i="5"/>
  <c r="E2425" i="5"/>
  <c r="C2426" i="4"/>
  <c r="D2426" i="4"/>
  <c r="E2426" i="4"/>
  <c r="F2426" i="4"/>
  <c r="G2426" i="4"/>
  <c r="H2426" i="4"/>
  <c r="C2426" i="5"/>
  <c r="D2426" i="5"/>
  <c r="F2426" i="5"/>
  <c r="E2426" i="5"/>
  <c r="C2427" i="4"/>
  <c r="D2427" i="4"/>
  <c r="E2427" i="4"/>
  <c r="F2427" i="4"/>
  <c r="G2427" i="4"/>
  <c r="H2427" i="4"/>
  <c r="C2427" i="5"/>
  <c r="D2427" i="5"/>
  <c r="F2427" i="5"/>
  <c r="E2427" i="5"/>
  <c r="C2428" i="4"/>
  <c r="D2428" i="4"/>
  <c r="E2428" i="4"/>
  <c r="F2428" i="4"/>
  <c r="G2428" i="4"/>
  <c r="H2428" i="4"/>
  <c r="C2428" i="5"/>
  <c r="D2428" i="5"/>
  <c r="F2428" i="5"/>
  <c r="E2428" i="5"/>
  <c r="C2429" i="4"/>
  <c r="D2429" i="4"/>
  <c r="E2429" i="4"/>
  <c r="F2429" i="4"/>
  <c r="G2429" i="4"/>
  <c r="H2429" i="4"/>
  <c r="C2429" i="5"/>
  <c r="D2429" i="5"/>
  <c r="F2429" i="5"/>
  <c r="E2429" i="5"/>
  <c r="C2430" i="4"/>
  <c r="D2430" i="4"/>
  <c r="E2430" i="4"/>
  <c r="F2430" i="4"/>
  <c r="G2430" i="4"/>
  <c r="H2430" i="4"/>
  <c r="C2430" i="5"/>
  <c r="D2430" i="5"/>
  <c r="F2430" i="5"/>
  <c r="E2430" i="5"/>
  <c r="C2431" i="4"/>
  <c r="D2431" i="4"/>
  <c r="E2431" i="4"/>
  <c r="F2431" i="4"/>
  <c r="G2431" i="4"/>
  <c r="H2431" i="4"/>
  <c r="C2431" i="5"/>
  <c r="D2431" i="5"/>
  <c r="F2431" i="5"/>
  <c r="E2431" i="5"/>
  <c r="C2432" i="4"/>
  <c r="D2432" i="4"/>
  <c r="E2432" i="4"/>
  <c r="F2432" i="4"/>
  <c r="G2432" i="4"/>
  <c r="H2432" i="4"/>
  <c r="C2432" i="5"/>
  <c r="D2432" i="5"/>
  <c r="F2432" i="5"/>
  <c r="E2432" i="5"/>
  <c r="C2433" i="4"/>
  <c r="D2433" i="4"/>
  <c r="E2433" i="4"/>
  <c r="F2433" i="4"/>
  <c r="G2433" i="4"/>
  <c r="H2433" i="4"/>
  <c r="C2433" i="5"/>
  <c r="D2433" i="5"/>
  <c r="F2433" i="5"/>
  <c r="E2433" i="5"/>
  <c r="C2434" i="4"/>
  <c r="D2434" i="4"/>
  <c r="E2434" i="4"/>
  <c r="F2434" i="4"/>
  <c r="G2434" i="4"/>
  <c r="H2434" i="4"/>
  <c r="C2434" i="5"/>
  <c r="D2434" i="5"/>
  <c r="F2434" i="5"/>
  <c r="E2434" i="5"/>
  <c r="C2435" i="4"/>
  <c r="D2435" i="4"/>
  <c r="E2435" i="4"/>
  <c r="F2435" i="4"/>
  <c r="G2435" i="4"/>
  <c r="H2435" i="4"/>
  <c r="C2435" i="5"/>
  <c r="D2435" i="5"/>
  <c r="F2435" i="5"/>
  <c r="E2435" i="5"/>
  <c r="C2436" i="4"/>
  <c r="D2436" i="4"/>
  <c r="E2436" i="4"/>
  <c r="F2436" i="4"/>
  <c r="G2436" i="4"/>
  <c r="H2436" i="4"/>
  <c r="C2436" i="5"/>
  <c r="D2436" i="5"/>
  <c r="F2436" i="5"/>
  <c r="E2436" i="5"/>
  <c r="D368" i="6"/>
  <c r="D4" i="6"/>
  <c r="C4" i="6"/>
  <c r="E4" i="6"/>
  <c r="F4" i="6"/>
  <c r="D5" i="6"/>
  <c r="C5" i="6"/>
  <c r="E5" i="6"/>
  <c r="F5" i="6"/>
  <c r="D6" i="6"/>
  <c r="C6" i="6"/>
  <c r="E6" i="6"/>
  <c r="F6" i="6"/>
  <c r="D7" i="6"/>
  <c r="C7" i="6"/>
  <c r="E7" i="6"/>
  <c r="F7" i="6"/>
  <c r="D8" i="6"/>
  <c r="C8" i="6"/>
  <c r="E8" i="6"/>
  <c r="F8" i="6"/>
  <c r="D9" i="6"/>
  <c r="C9" i="6"/>
  <c r="E9" i="6"/>
  <c r="F9" i="6"/>
  <c r="D10" i="6"/>
  <c r="C10" i="6"/>
  <c r="E10" i="6"/>
  <c r="F10" i="6"/>
  <c r="D11" i="6"/>
  <c r="C11" i="6"/>
  <c r="E11" i="6"/>
  <c r="F11" i="6"/>
  <c r="D12" i="6"/>
  <c r="C12" i="6"/>
  <c r="E12" i="6"/>
  <c r="F12" i="6"/>
  <c r="D13" i="6"/>
  <c r="C13" i="6"/>
  <c r="E13" i="6"/>
  <c r="F13" i="6"/>
  <c r="D14" i="6"/>
  <c r="C14" i="6"/>
  <c r="E14" i="6"/>
  <c r="F14" i="6"/>
  <c r="D15" i="6"/>
  <c r="C15" i="6"/>
  <c r="E15" i="6"/>
  <c r="F15" i="6"/>
  <c r="D16" i="6"/>
  <c r="C16" i="6"/>
  <c r="E16" i="6"/>
  <c r="F16" i="6"/>
  <c r="D17" i="6"/>
  <c r="C17" i="6"/>
  <c r="E17" i="6"/>
  <c r="F17" i="6"/>
  <c r="D18" i="6"/>
  <c r="C18" i="6"/>
  <c r="E18" i="6"/>
  <c r="F18" i="6"/>
  <c r="D19" i="6"/>
  <c r="C19" i="6"/>
  <c r="E19" i="6"/>
  <c r="F19" i="6"/>
  <c r="D20" i="6"/>
  <c r="C20" i="6"/>
  <c r="E20" i="6"/>
  <c r="F20" i="6"/>
  <c r="D21" i="6"/>
  <c r="C21" i="6"/>
  <c r="E21" i="6"/>
  <c r="F21" i="6"/>
  <c r="D22" i="6"/>
  <c r="C22" i="6"/>
  <c r="E22" i="6"/>
  <c r="F22" i="6"/>
  <c r="D23" i="6"/>
  <c r="C23" i="6"/>
  <c r="E23" i="6"/>
  <c r="F23" i="6"/>
  <c r="D24" i="6"/>
  <c r="C24" i="6"/>
  <c r="E24" i="6"/>
  <c r="F24" i="6"/>
  <c r="D25" i="6"/>
  <c r="C25" i="6"/>
  <c r="E25" i="6"/>
  <c r="F25" i="6"/>
  <c r="D26" i="6"/>
  <c r="C26" i="6"/>
  <c r="E26" i="6"/>
  <c r="F26" i="6"/>
  <c r="D27" i="6"/>
  <c r="C27" i="6"/>
  <c r="E27" i="6"/>
  <c r="F27" i="6"/>
  <c r="D28" i="6"/>
  <c r="C28" i="6"/>
  <c r="E28" i="6"/>
  <c r="F28" i="6"/>
  <c r="D29" i="6"/>
  <c r="C29" i="6"/>
  <c r="E29" i="6"/>
  <c r="F29" i="6"/>
  <c r="D30" i="6"/>
  <c r="C30" i="6"/>
  <c r="E30" i="6"/>
  <c r="F30" i="6"/>
  <c r="D31" i="6"/>
  <c r="C31" i="6"/>
  <c r="E31" i="6"/>
  <c r="F31" i="6"/>
  <c r="D32" i="6"/>
  <c r="C32" i="6"/>
  <c r="E32" i="6"/>
  <c r="F32" i="6"/>
  <c r="D33" i="6"/>
  <c r="C33" i="6"/>
  <c r="E33" i="6"/>
  <c r="F33" i="6"/>
  <c r="D34" i="6"/>
  <c r="C34" i="6"/>
  <c r="E34" i="6"/>
  <c r="F34" i="6"/>
  <c r="D35" i="6"/>
  <c r="C35" i="6"/>
  <c r="E35" i="6"/>
  <c r="F35" i="6"/>
  <c r="D36" i="6"/>
  <c r="C36" i="6"/>
  <c r="E36" i="6"/>
  <c r="F36" i="6"/>
  <c r="D37" i="6"/>
  <c r="C37" i="6"/>
  <c r="E37" i="6"/>
  <c r="F37" i="6"/>
  <c r="D38" i="6"/>
  <c r="C38" i="6"/>
  <c r="E38" i="6"/>
  <c r="F38" i="6"/>
  <c r="D39" i="6"/>
  <c r="C39" i="6"/>
  <c r="E39" i="6"/>
  <c r="F39" i="6"/>
  <c r="D40" i="6"/>
  <c r="C40" i="6"/>
  <c r="E40" i="6"/>
  <c r="F40" i="6"/>
  <c r="D41" i="6"/>
  <c r="C41" i="6"/>
  <c r="E41" i="6"/>
  <c r="F41" i="6"/>
  <c r="D42" i="6"/>
  <c r="C42" i="6"/>
  <c r="E42" i="6"/>
  <c r="F42" i="6"/>
  <c r="D43" i="6"/>
  <c r="C43" i="6"/>
  <c r="E43" i="6"/>
  <c r="F43" i="6"/>
  <c r="D44" i="6"/>
  <c r="C44" i="6"/>
  <c r="E44" i="6"/>
  <c r="F44" i="6"/>
  <c r="D45" i="6"/>
  <c r="C45" i="6"/>
  <c r="E45" i="6"/>
  <c r="F45" i="6"/>
  <c r="D46" i="6"/>
  <c r="C46" i="6"/>
  <c r="E46" i="6"/>
  <c r="F46" i="6"/>
  <c r="D47" i="6"/>
  <c r="C47" i="6"/>
  <c r="E47" i="6"/>
  <c r="F47" i="6"/>
  <c r="D48" i="6"/>
  <c r="C48" i="6"/>
  <c r="E48" i="6"/>
  <c r="F48" i="6"/>
  <c r="D49" i="6"/>
  <c r="C49" i="6"/>
  <c r="E49" i="6"/>
  <c r="F49" i="6"/>
  <c r="D50" i="6"/>
  <c r="C50" i="6"/>
  <c r="E50" i="6"/>
  <c r="F50" i="6"/>
  <c r="D51" i="6"/>
  <c r="C51" i="6"/>
  <c r="E51" i="6"/>
  <c r="F51" i="6"/>
  <c r="D52" i="6"/>
  <c r="C52" i="6"/>
  <c r="E52" i="6"/>
  <c r="F52" i="6"/>
  <c r="D53" i="6"/>
  <c r="C53" i="6"/>
  <c r="E53" i="6"/>
  <c r="F53" i="6"/>
  <c r="D54" i="6"/>
  <c r="C54" i="6"/>
  <c r="E54" i="6"/>
  <c r="F54" i="6"/>
  <c r="D55" i="6"/>
  <c r="C55" i="6"/>
  <c r="E55" i="6"/>
  <c r="F55" i="6"/>
  <c r="D56" i="6"/>
  <c r="C56" i="6"/>
  <c r="E56" i="6"/>
  <c r="F56" i="6"/>
  <c r="D57" i="6"/>
  <c r="C57" i="6"/>
  <c r="E57" i="6"/>
  <c r="F57" i="6"/>
  <c r="D58" i="6"/>
  <c r="C58" i="6"/>
  <c r="E58" i="6"/>
  <c r="F58" i="6"/>
  <c r="D59" i="6"/>
  <c r="C59" i="6"/>
  <c r="E59" i="6"/>
  <c r="F59" i="6"/>
  <c r="D60" i="6"/>
  <c r="C60" i="6"/>
  <c r="E60" i="6"/>
  <c r="F60" i="6"/>
  <c r="D61" i="6"/>
  <c r="C61" i="6"/>
  <c r="E61" i="6"/>
  <c r="F61" i="6"/>
  <c r="D62" i="6"/>
  <c r="C62" i="6"/>
  <c r="E62" i="6"/>
  <c r="F62" i="6"/>
  <c r="D63" i="6"/>
  <c r="C63" i="6"/>
  <c r="E63" i="6"/>
  <c r="F63" i="6"/>
  <c r="D64" i="6"/>
  <c r="C64" i="6"/>
  <c r="E64" i="6"/>
  <c r="F64" i="6"/>
  <c r="D65" i="6"/>
  <c r="C65" i="6"/>
  <c r="E65" i="6"/>
  <c r="F65" i="6"/>
  <c r="D66" i="6"/>
  <c r="C66" i="6"/>
  <c r="E66" i="6"/>
  <c r="F66" i="6"/>
  <c r="D67" i="6"/>
  <c r="C67" i="6"/>
  <c r="E67" i="6"/>
  <c r="F67" i="6"/>
  <c r="D68" i="6"/>
  <c r="C68" i="6"/>
  <c r="E68" i="6"/>
  <c r="F68" i="6"/>
  <c r="D69" i="6"/>
  <c r="C69" i="6"/>
  <c r="E69" i="6"/>
  <c r="F69" i="6"/>
  <c r="D70" i="6"/>
  <c r="C70" i="6"/>
  <c r="E70" i="6"/>
  <c r="F70" i="6"/>
  <c r="D71" i="6"/>
  <c r="C71" i="6"/>
  <c r="E71" i="6"/>
  <c r="F71" i="6"/>
  <c r="D72" i="6"/>
  <c r="C72" i="6"/>
  <c r="E72" i="6"/>
  <c r="F72" i="6"/>
  <c r="D73" i="6"/>
  <c r="C73" i="6"/>
  <c r="E73" i="6"/>
  <c r="F73" i="6"/>
  <c r="D74" i="6"/>
  <c r="C74" i="6"/>
  <c r="E74" i="6"/>
  <c r="F74" i="6"/>
  <c r="D75" i="6"/>
  <c r="C75" i="6"/>
  <c r="E75" i="6"/>
  <c r="F75" i="6"/>
  <c r="D76" i="6"/>
  <c r="C76" i="6"/>
  <c r="E76" i="6"/>
  <c r="F76" i="6"/>
  <c r="D77" i="6"/>
  <c r="C77" i="6"/>
  <c r="E77" i="6"/>
  <c r="F77" i="6"/>
  <c r="D78" i="6"/>
  <c r="C78" i="6"/>
  <c r="E78" i="6"/>
  <c r="F78" i="6"/>
  <c r="D79" i="6"/>
  <c r="C79" i="6"/>
  <c r="E79" i="6"/>
  <c r="F79" i="6"/>
  <c r="D80" i="6"/>
  <c r="C80" i="6"/>
  <c r="E80" i="6"/>
  <c r="F80" i="6"/>
  <c r="D81" i="6"/>
  <c r="C81" i="6"/>
  <c r="E81" i="6"/>
  <c r="F81" i="6"/>
  <c r="D82" i="6"/>
  <c r="C82" i="6"/>
  <c r="E82" i="6"/>
  <c r="F82" i="6"/>
  <c r="D83" i="6"/>
  <c r="C83" i="6"/>
  <c r="E83" i="6"/>
  <c r="F83" i="6"/>
  <c r="D84" i="6"/>
  <c r="C84" i="6"/>
  <c r="E84" i="6"/>
  <c r="F84" i="6"/>
  <c r="D85" i="6"/>
  <c r="C85" i="6"/>
  <c r="E85" i="6"/>
  <c r="F85" i="6"/>
  <c r="D86" i="6"/>
  <c r="C86" i="6"/>
  <c r="E86" i="6"/>
  <c r="F86" i="6"/>
  <c r="D87" i="6"/>
  <c r="C87" i="6"/>
  <c r="E87" i="6"/>
  <c r="F87" i="6"/>
  <c r="D88" i="6"/>
  <c r="C88" i="6"/>
  <c r="E88" i="6"/>
  <c r="F88" i="6"/>
  <c r="D89" i="6"/>
  <c r="C89" i="6"/>
  <c r="E89" i="6"/>
  <c r="F89" i="6"/>
  <c r="D90" i="6"/>
  <c r="C90" i="6"/>
  <c r="E90" i="6"/>
  <c r="F90" i="6"/>
  <c r="D91" i="6"/>
  <c r="C91" i="6"/>
  <c r="E91" i="6"/>
  <c r="F91" i="6"/>
  <c r="D92" i="6"/>
  <c r="C92" i="6"/>
  <c r="E92" i="6"/>
  <c r="F92" i="6"/>
  <c r="D93" i="6"/>
  <c r="C93" i="6"/>
  <c r="E93" i="6"/>
  <c r="F93" i="6"/>
  <c r="D94" i="6"/>
  <c r="C94" i="6"/>
  <c r="E94" i="6"/>
  <c r="F94" i="6"/>
  <c r="D95" i="6"/>
  <c r="C95" i="6"/>
  <c r="E95" i="6"/>
  <c r="F95" i="6"/>
  <c r="D96" i="6"/>
  <c r="C96" i="6"/>
  <c r="E96" i="6"/>
  <c r="F96" i="6"/>
  <c r="D97" i="6"/>
  <c r="C97" i="6"/>
  <c r="E97" i="6"/>
  <c r="F97" i="6"/>
  <c r="D98" i="6"/>
  <c r="C98" i="6"/>
  <c r="E98" i="6"/>
  <c r="F98" i="6"/>
  <c r="D99" i="6"/>
  <c r="C99" i="6"/>
  <c r="E99" i="6"/>
  <c r="F99" i="6"/>
  <c r="D100" i="6"/>
  <c r="C100" i="6"/>
  <c r="E100" i="6"/>
  <c r="F100" i="6"/>
  <c r="D101" i="6"/>
  <c r="C101" i="6"/>
  <c r="E101" i="6"/>
  <c r="F101" i="6"/>
  <c r="D102" i="6"/>
  <c r="C102" i="6"/>
  <c r="E102" i="6"/>
  <c r="F102" i="6"/>
  <c r="D103" i="6"/>
  <c r="C103" i="6"/>
  <c r="E103" i="6"/>
  <c r="F103" i="6"/>
  <c r="D104" i="6"/>
  <c r="C104" i="6"/>
  <c r="E104" i="6"/>
  <c r="F104" i="6"/>
  <c r="D105" i="6"/>
  <c r="C105" i="6"/>
  <c r="E105" i="6"/>
  <c r="F105" i="6"/>
  <c r="D106" i="6"/>
  <c r="C106" i="6"/>
  <c r="E106" i="6"/>
  <c r="F106" i="6"/>
  <c r="D107" i="6"/>
  <c r="C107" i="6"/>
  <c r="E107" i="6"/>
  <c r="F107" i="6"/>
  <c r="D108" i="6"/>
  <c r="C108" i="6"/>
  <c r="E108" i="6"/>
  <c r="F108" i="6"/>
  <c r="D109" i="6"/>
  <c r="C109" i="6"/>
  <c r="E109" i="6"/>
  <c r="F109" i="6"/>
  <c r="D110" i="6"/>
  <c r="C110" i="6"/>
  <c r="E110" i="6"/>
  <c r="F110" i="6"/>
  <c r="D111" i="6"/>
  <c r="C111" i="6"/>
  <c r="E111" i="6"/>
  <c r="F111" i="6"/>
  <c r="D112" i="6"/>
  <c r="C112" i="6"/>
  <c r="E112" i="6"/>
  <c r="F112" i="6"/>
  <c r="D113" i="6"/>
  <c r="C113" i="6"/>
  <c r="E113" i="6"/>
  <c r="F113" i="6"/>
  <c r="D114" i="6"/>
  <c r="C114" i="6"/>
  <c r="E114" i="6"/>
  <c r="F114" i="6"/>
  <c r="D115" i="6"/>
  <c r="C115" i="6"/>
  <c r="E115" i="6"/>
  <c r="F115" i="6"/>
  <c r="D116" i="6"/>
  <c r="C116" i="6"/>
  <c r="E116" i="6"/>
  <c r="F116" i="6"/>
  <c r="D117" i="6"/>
  <c r="C117" i="6"/>
  <c r="E117" i="6"/>
  <c r="F117" i="6"/>
  <c r="D118" i="6"/>
  <c r="C118" i="6"/>
  <c r="E118" i="6"/>
  <c r="F118" i="6"/>
  <c r="D119" i="6"/>
  <c r="C119" i="6"/>
  <c r="E119" i="6"/>
  <c r="F119" i="6"/>
  <c r="D120" i="6"/>
  <c r="C120" i="6"/>
  <c r="E120" i="6"/>
  <c r="F120" i="6"/>
  <c r="D121" i="6"/>
  <c r="C121" i="6"/>
  <c r="E121" i="6"/>
  <c r="F121" i="6"/>
  <c r="D122" i="6"/>
  <c r="C122" i="6"/>
  <c r="E122" i="6"/>
  <c r="F122" i="6"/>
  <c r="D123" i="6"/>
  <c r="C123" i="6"/>
  <c r="E123" i="6"/>
  <c r="F123" i="6"/>
  <c r="D124" i="6"/>
  <c r="C124" i="6"/>
  <c r="E124" i="6"/>
  <c r="F124" i="6"/>
  <c r="D125" i="6"/>
  <c r="C125" i="6"/>
  <c r="E125" i="6"/>
  <c r="F125" i="6"/>
  <c r="D126" i="6"/>
  <c r="C126" i="6"/>
  <c r="E126" i="6"/>
  <c r="F126" i="6"/>
  <c r="D127" i="6"/>
  <c r="C127" i="6"/>
  <c r="E127" i="6"/>
  <c r="F127" i="6"/>
  <c r="D128" i="6"/>
  <c r="C128" i="6"/>
  <c r="E128" i="6"/>
  <c r="F128" i="6"/>
  <c r="D129" i="6"/>
  <c r="C129" i="6"/>
  <c r="E129" i="6"/>
  <c r="F129" i="6"/>
  <c r="D130" i="6"/>
  <c r="C130" i="6"/>
  <c r="E130" i="6"/>
  <c r="F130" i="6"/>
  <c r="D131" i="6"/>
  <c r="C131" i="6"/>
  <c r="E131" i="6"/>
  <c r="F131" i="6"/>
  <c r="D132" i="6"/>
  <c r="C132" i="6"/>
  <c r="E132" i="6"/>
  <c r="F132" i="6"/>
  <c r="D133" i="6"/>
  <c r="C133" i="6"/>
  <c r="E133" i="6"/>
  <c r="F133" i="6"/>
  <c r="D134" i="6"/>
  <c r="C134" i="6"/>
  <c r="E134" i="6"/>
  <c r="F134" i="6"/>
  <c r="D135" i="6"/>
  <c r="C135" i="6"/>
  <c r="E135" i="6"/>
  <c r="F135" i="6"/>
  <c r="D136" i="6"/>
  <c r="C136" i="6"/>
  <c r="E136" i="6"/>
  <c r="F136" i="6"/>
  <c r="D137" i="6"/>
  <c r="C137" i="6"/>
  <c r="E137" i="6"/>
  <c r="F137" i="6"/>
  <c r="D138" i="6"/>
  <c r="C138" i="6"/>
  <c r="E138" i="6"/>
  <c r="F138" i="6"/>
  <c r="D139" i="6"/>
  <c r="C139" i="6"/>
  <c r="E139" i="6"/>
  <c r="F139" i="6"/>
  <c r="D140" i="6"/>
  <c r="C140" i="6"/>
  <c r="E140" i="6"/>
  <c r="F140" i="6"/>
  <c r="D141" i="6"/>
  <c r="C141" i="6"/>
  <c r="E141" i="6"/>
  <c r="F141" i="6"/>
  <c r="D142" i="6"/>
  <c r="C142" i="6"/>
  <c r="E142" i="6"/>
  <c r="F142" i="6"/>
  <c r="D143" i="6"/>
  <c r="C143" i="6"/>
  <c r="E143" i="6"/>
  <c r="F143" i="6"/>
  <c r="D144" i="6"/>
  <c r="C144" i="6"/>
  <c r="E144" i="6"/>
  <c r="F144" i="6"/>
  <c r="D145" i="6"/>
  <c r="C145" i="6"/>
  <c r="E145" i="6"/>
  <c r="F145" i="6"/>
  <c r="D146" i="6"/>
  <c r="C146" i="6"/>
  <c r="E146" i="6"/>
  <c r="F146" i="6"/>
  <c r="D147" i="6"/>
  <c r="C147" i="6"/>
  <c r="E147" i="6"/>
  <c r="F147" i="6"/>
  <c r="D148" i="6"/>
  <c r="C148" i="6"/>
  <c r="E148" i="6"/>
  <c r="F148" i="6"/>
  <c r="D149" i="6"/>
  <c r="C149" i="6"/>
  <c r="E149" i="6"/>
  <c r="F149" i="6"/>
  <c r="D150" i="6"/>
  <c r="C150" i="6"/>
  <c r="E150" i="6"/>
  <c r="F150" i="6"/>
  <c r="D151" i="6"/>
  <c r="C151" i="6"/>
  <c r="E151" i="6"/>
  <c r="F151" i="6"/>
  <c r="D152" i="6"/>
  <c r="C152" i="6"/>
  <c r="E152" i="6"/>
  <c r="F152" i="6"/>
  <c r="D153" i="6"/>
  <c r="C153" i="6"/>
  <c r="E153" i="6"/>
  <c r="F153" i="6"/>
  <c r="D154" i="6"/>
  <c r="C154" i="6"/>
  <c r="E154" i="6"/>
  <c r="F154" i="6"/>
  <c r="D155" i="6"/>
  <c r="C155" i="6"/>
  <c r="E155" i="6"/>
  <c r="F155" i="6"/>
  <c r="D156" i="6"/>
  <c r="C156" i="6"/>
  <c r="E156" i="6"/>
  <c r="F156" i="6"/>
  <c r="D157" i="6"/>
  <c r="C157" i="6"/>
  <c r="E157" i="6"/>
  <c r="F157" i="6"/>
  <c r="D158" i="6"/>
  <c r="C158" i="6"/>
  <c r="E158" i="6"/>
  <c r="F158" i="6"/>
  <c r="D159" i="6"/>
  <c r="C159" i="6"/>
  <c r="E159" i="6"/>
  <c r="F159" i="6"/>
  <c r="D160" i="6"/>
  <c r="C160" i="6"/>
  <c r="E160" i="6"/>
  <c r="F160" i="6"/>
  <c r="D161" i="6"/>
  <c r="C161" i="6"/>
  <c r="E161" i="6"/>
  <c r="F161" i="6"/>
  <c r="D162" i="6"/>
  <c r="C162" i="6"/>
  <c r="E162" i="6"/>
  <c r="F162" i="6"/>
  <c r="D163" i="6"/>
  <c r="C163" i="6"/>
  <c r="E163" i="6"/>
  <c r="F163" i="6"/>
  <c r="D164" i="6"/>
  <c r="C164" i="6"/>
  <c r="E164" i="6"/>
  <c r="F164" i="6"/>
  <c r="D165" i="6"/>
  <c r="C165" i="6"/>
  <c r="E165" i="6"/>
  <c r="F165" i="6"/>
  <c r="D166" i="6"/>
  <c r="C166" i="6"/>
  <c r="E166" i="6"/>
  <c r="F166" i="6"/>
  <c r="D167" i="6"/>
  <c r="C167" i="6"/>
  <c r="E167" i="6"/>
  <c r="F167" i="6"/>
  <c r="D168" i="6"/>
  <c r="C168" i="6"/>
  <c r="E168" i="6"/>
  <c r="F168" i="6"/>
  <c r="D169" i="6"/>
  <c r="C169" i="6"/>
  <c r="E169" i="6"/>
  <c r="F169" i="6"/>
  <c r="D170" i="6"/>
  <c r="C170" i="6"/>
  <c r="E170" i="6"/>
  <c r="F170" i="6"/>
  <c r="D171" i="6"/>
  <c r="C171" i="6"/>
  <c r="E171" i="6"/>
  <c r="F171" i="6"/>
  <c r="D172" i="6"/>
  <c r="C172" i="6"/>
  <c r="E172" i="6"/>
  <c r="F172" i="6"/>
  <c r="D173" i="6"/>
  <c r="C173" i="6"/>
  <c r="E173" i="6"/>
  <c r="F173" i="6"/>
  <c r="D174" i="6"/>
  <c r="C174" i="6"/>
  <c r="E174" i="6"/>
  <c r="F174" i="6"/>
  <c r="D175" i="6"/>
  <c r="C175" i="6"/>
  <c r="E175" i="6"/>
  <c r="F175" i="6"/>
  <c r="D176" i="6"/>
  <c r="C176" i="6"/>
  <c r="E176" i="6"/>
  <c r="F176" i="6"/>
  <c r="D177" i="6"/>
  <c r="C177" i="6"/>
  <c r="E177" i="6"/>
  <c r="F177" i="6"/>
  <c r="D178" i="6"/>
  <c r="C178" i="6"/>
  <c r="E178" i="6"/>
  <c r="F178" i="6"/>
  <c r="D179" i="6"/>
  <c r="C179" i="6"/>
  <c r="E179" i="6"/>
  <c r="F179" i="6"/>
  <c r="D180" i="6"/>
  <c r="C180" i="6"/>
  <c r="E180" i="6"/>
  <c r="F180" i="6"/>
  <c r="D181" i="6"/>
  <c r="C181" i="6"/>
  <c r="E181" i="6"/>
  <c r="F181" i="6"/>
  <c r="D182" i="6"/>
  <c r="C182" i="6"/>
  <c r="E182" i="6"/>
  <c r="F182" i="6"/>
  <c r="D183" i="6"/>
  <c r="C183" i="6"/>
  <c r="E183" i="6"/>
  <c r="F183" i="6"/>
  <c r="D184" i="6"/>
  <c r="C184" i="6"/>
  <c r="E184" i="6"/>
  <c r="F184" i="6"/>
  <c r="D185" i="6"/>
  <c r="C185" i="6"/>
  <c r="E185" i="6"/>
  <c r="F185" i="6"/>
  <c r="D186" i="6"/>
  <c r="C186" i="6"/>
  <c r="E186" i="6"/>
  <c r="F186" i="6"/>
  <c r="D187" i="6"/>
  <c r="C187" i="6"/>
  <c r="E187" i="6"/>
  <c r="F187" i="6"/>
  <c r="D188" i="6"/>
  <c r="C188" i="6"/>
  <c r="E188" i="6"/>
  <c r="F188" i="6"/>
  <c r="D189" i="6"/>
  <c r="C189" i="6"/>
  <c r="E189" i="6"/>
  <c r="F189" i="6"/>
  <c r="D190" i="6"/>
  <c r="C190" i="6"/>
  <c r="E190" i="6"/>
  <c r="F190" i="6"/>
  <c r="D191" i="6"/>
  <c r="C191" i="6"/>
  <c r="E191" i="6"/>
  <c r="F191" i="6"/>
  <c r="D192" i="6"/>
  <c r="C192" i="6"/>
  <c r="E192" i="6"/>
  <c r="F192" i="6"/>
  <c r="D193" i="6"/>
  <c r="C193" i="6"/>
  <c r="E193" i="6"/>
  <c r="F193" i="6"/>
  <c r="D194" i="6"/>
  <c r="C194" i="6"/>
  <c r="E194" i="6"/>
  <c r="F194" i="6"/>
  <c r="D195" i="6"/>
  <c r="C195" i="6"/>
  <c r="E195" i="6"/>
  <c r="F195" i="6"/>
  <c r="D196" i="6"/>
  <c r="C196" i="6"/>
  <c r="E196" i="6"/>
  <c r="F196" i="6"/>
  <c r="D197" i="6"/>
  <c r="C197" i="6"/>
  <c r="E197" i="6"/>
  <c r="F197" i="6"/>
  <c r="D198" i="6"/>
  <c r="C198" i="6"/>
  <c r="E198" i="6"/>
  <c r="F198" i="6"/>
  <c r="D199" i="6"/>
  <c r="C199" i="6"/>
  <c r="E199" i="6"/>
  <c r="F199" i="6"/>
  <c r="D200" i="6"/>
  <c r="C200" i="6"/>
  <c r="E200" i="6"/>
  <c r="F200" i="6"/>
  <c r="D201" i="6"/>
  <c r="C201" i="6"/>
  <c r="E201" i="6"/>
  <c r="F201" i="6"/>
  <c r="D202" i="6"/>
  <c r="C202" i="6"/>
  <c r="E202" i="6"/>
  <c r="F202" i="6"/>
  <c r="D203" i="6"/>
  <c r="C203" i="6"/>
  <c r="E203" i="6"/>
  <c r="F203" i="6"/>
  <c r="D204" i="6"/>
  <c r="C204" i="6"/>
  <c r="E204" i="6"/>
  <c r="F204" i="6"/>
  <c r="D205" i="6"/>
  <c r="C205" i="6"/>
  <c r="E205" i="6"/>
  <c r="F205" i="6"/>
  <c r="D206" i="6"/>
  <c r="C206" i="6"/>
  <c r="E206" i="6"/>
  <c r="F206" i="6"/>
  <c r="D207" i="6"/>
  <c r="C207" i="6"/>
  <c r="E207" i="6"/>
  <c r="F207" i="6"/>
  <c r="D208" i="6"/>
  <c r="C208" i="6"/>
  <c r="E208" i="6"/>
  <c r="F208" i="6"/>
  <c r="D209" i="6"/>
  <c r="C209" i="6"/>
  <c r="E209" i="6"/>
  <c r="F209" i="6"/>
  <c r="D210" i="6"/>
  <c r="C210" i="6"/>
  <c r="E210" i="6"/>
  <c r="F210" i="6"/>
  <c r="D211" i="6"/>
  <c r="C211" i="6"/>
  <c r="E211" i="6"/>
  <c r="F211" i="6"/>
  <c r="D212" i="6"/>
  <c r="C212" i="6"/>
  <c r="E212" i="6"/>
  <c r="F212" i="6"/>
  <c r="D213" i="6"/>
  <c r="C213" i="6"/>
  <c r="E213" i="6"/>
  <c r="F213" i="6"/>
  <c r="D214" i="6"/>
  <c r="C214" i="6"/>
  <c r="E214" i="6"/>
  <c r="F214" i="6"/>
  <c r="D215" i="6"/>
  <c r="C215" i="6"/>
  <c r="E215" i="6"/>
  <c r="F215" i="6"/>
  <c r="D216" i="6"/>
  <c r="C216" i="6"/>
  <c r="E216" i="6"/>
  <c r="F216" i="6"/>
  <c r="D217" i="6"/>
  <c r="C217" i="6"/>
  <c r="E217" i="6"/>
  <c r="F217" i="6"/>
  <c r="D218" i="6"/>
  <c r="C218" i="6"/>
  <c r="E218" i="6"/>
  <c r="F218" i="6"/>
  <c r="D219" i="6"/>
  <c r="C219" i="6"/>
  <c r="E219" i="6"/>
  <c r="F219" i="6"/>
  <c r="D220" i="6"/>
  <c r="C220" i="6"/>
  <c r="E220" i="6"/>
  <c r="F220" i="6"/>
  <c r="D221" i="6"/>
  <c r="C221" i="6"/>
  <c r="E221" i="6"/>
  <c r="F221" i="6"/>
  <c r="D222" i="6"/>
  <c r="C222" i="6"/>
  <c r="E222" i="6"/>
  <c r="F222" i="6"/>
  <c r="D223" i="6"/>
  <c r="C223" i="6"/>
  <c r="E223" i="6"/>
  <c r="F223" i="6"/>
  <c r="D224" i="6"/>
  <c r="C224" i="6"/>
  <c r="E224" i="6"/>
  <c r="F224" i="6"/>
  <c r="D225" i="6"/>
  <c r="C225" i="6"/>
  <c r="E225" i="6"/>
  <c r="F225" i="6"/>
  <c r="D226" i="6"/>
  <c r="C226" i="6"/>
  <c r="E226" i="6"/>
  <c r="F226" i="6"/>
  <c r="D227" i="6"/>
  <c r="C227" i="6"/>
  <c r="E227" i="6"/>
  <c r="F227" i="6"/>
  <c r="D228" i="6"/>
  <c r="C228" i="6"/>
  <c r="E228" i="6"/>
  <c r="F228" i="6"/>
  <c r="D229" i="6"/>
  <c r="C229" i="6"/>
  <c r="E229" i="6"/>
  <c r="F229" i="6"/>
  <c r="D230" i="6"/>
  <c r="C230" i="6"/>
  <c r="E230" i="6"/>
  <c r="F230" i="6"/>
  <c r="D231" i="6"/>
  <c r="C231" i="6"/>
  <c r="E231" i="6"/>
  <c r="F231" i="6"/>
  <c r="D232" i="6"/>
  <c r="C232" i="6"/>
  <c r="E232" i="6"/>
  <c r="F232" i="6"/>
  <c r="D233" i="6"/>
  <c r="C233" i="6"/>
  <c r="E233" i="6"/>
  <c r="F233" i="6"/>
  <c r="D234" i="6"/>
  <c r="C234" i="6"/>
  <c r="E234" i="6"/>
  <c r="F234" i="6"/>
  <c r="D235" i="6"/>
  <c r="C235" i="6"/>
  <c r="E235" i="6"/>
  <c r="F235" i="6"/>
  <c r="D236" i="6"/>
  <c r="C236" i="6"/>
  <c r="E236" i="6"/>
  <c r="F236" i="6"/>
  <c r="D237" i="6"/>
  <c r="C237" i="6"/>
  <c r="E237" i="6"/>
  <c r="F237" i="6"/>
  <c r="D238" i="6"/>
  <c r="C238" i="6"/>
  <c r="E238" i="6"/>
  <c r="F238" i="6"/>
  <c r="D239" i="6"/>
  <c r="C239" i="6"/>
  <c r="E239" i="6"/>
  <c r="F239" i="6"/>
  <c r="D240" i="6"/>
  <c r="C240" i="6"/>
  <c r="E240" i="6"/>
  <c r="F240" i="6"/>
  <c r="D241" i="6"/>
  <c r="C241" i="6"/>
  <c r="E241" i="6"/>
  <c r="F241" i="6"/>
  <c r="D242" i="6"/>
  <c r="C242" i="6"/>
  <c r="E242" i="6"/>
  <c r="F242" i="6"/>
  <c r="D243" i="6"/>
  <c r="C243" i="6"/>
  <c r="E243" i="6"/>
  <c r="F243" i="6"/>
  <c r="D244" i="6"/>
  <c r="C244" i="6"/>
  <c r="E244" i="6"/>
  <c r="F244" i="6"/>
  <c r="D245" i="6"/>
  <c r="C245" i="6"/>
  <c r="E245" i="6"/>
  <c r="F245" i="6"/>
  <c r="D246" i="6"/>
  <c r="C246" i="6"/>
  <c r="E246" i="6"/>
  <c r="F246" i="6"/>
  <c r="D247" i="6"/>
  <c r="C247" i="6"/>
  <c r="E247" i="6"/>
  <c r="F247" i="6"/>
  <c r="D248" i="6"/>
  <c r="C248" i="6"/>
  <c r="E248" i="6"/>
  <c r="F248" i="6"/>
  <c r="D249" i="6"/>
  <c r="C249" i="6"/>
  <c r="E249" i="6"/>
  <c r="F249" i="6"/>
  <c r="D250" i="6"/>
  <c r="C250" i="6"/>
  <c r="E250" i="6"/>
  <c r="F250" i="6"/>
  <c r="D251" i="6"/>
  <c r="C251" i="6"/>
  <c r="E251" i="6"/>
  <c r="F251" i="6"/>
  <c r="D252" i="6"/>
  <c r="C252" i="6"/>
  <c r="E252" i="6"/>
  <c r="F252" i="6"/>
  <c r="D253" i="6"/>
  <c r="C253" i="6"/>
  <c r="E253" i="6"/>
  <c r="F253" i="6"/>
  <c r="D254" i="6"/>
  <c r="C254" i="6"/>
  <c r="E254" i="6"/>
  <c r="F254" i="6"/>
  <c r="D255" i="6"/>
  <c r="C255" i="6"/>
  <c r="E255" i="6"/>
  <c r="F255" i="6"/>
  <c r="D256" i="6"/>
  <c r="C256" i="6"/>
  <c r="E256" i="6"/>
  <c r="F256" i="6"/>
  <c r="D257" i="6"/>
  <c r="C257" i="6"/>
  <c r="E257" i="6"/>
  <c r="F257" i="6"/>
  <c r="D258" i="6"/>
  <c r="C258" i="6"/>
  <c r="E258" i="6"/>
  <c r="F258" i="6"/>
  <c r="D259" i="6"/>
  <c r="C259" i="6"/>
  <c r="E259" i="6"/>
  <c r="F259" i="6"/>
  <c r="D260" i="6"/>
  <c r="C260" i="6"/>
  <c r="E260" i="6"/>
  <c r="F260" i="6"/>
  <c r="D261" i="6"/>
  <c r="C261" i="6"/>
  <c r="E261" i="6"/>
  <c r="F261" i="6"/>
  <c r="D262" i="6"/>
  <c r="C262" i="6"/>
  <c r="E262" i="6"/>
  <c r="F262" i="6"/>
  <c r="D263" i="6"/>
  <c r="C263" i="6"/>
  <c r="E263" i="6"/>
  <c r="F263" i="6"/>
  <c r="D264" i="6"/>
  <c r="C264" i="6"/>
  <c r="E264" i="6"/>
  <c r="F264" i="6"/>
  <c r="D265" i="6"/>
  <c r="C265" i="6"/>
  <c r="E265" i="6"/>
  <c r="F265" i="6"/>
  <c r="D266" i="6"/>
  <c r="C266" i="6"/>
  <c r="E266" i="6"/>
  <c r="F266" i="6"/>
  <c r="D267" i="6"/>
  <c r="C267" i="6"/>
  <c r="E267" i="6"/>
  <c r="F267" i="6"/>
  <c r="D268" i="6"/>
  <c r="C268" i="6"/>
  <c r="E268" i="6"/>
  <c r="F268" i="6"/>
  <c r="D269" i="6"/>
  <c r="C269" i="6"/>
  <c r="E269" i="6"/>
  <c r="F269" i="6"/>
  <c r="D270" i="6"/>
  <c r="C270" i="6"/>
  <c r="E270" i="6"/>
  <c r="F270" i="6"/>
  <c r="D271" i="6"/>
  <c r="C271" i="6"/>
  <c r="E271" i="6"/>
  <c r="F271" i="6"/>
  <c r="D272" i="6"/>
  <c r="C272" i="6"/>
  <c r="E272" i="6"/>
  <c r="F272" i="6"/>
  <c r="D273" i="6"/>
  <c r="C273" i="6"/>
  <c r="E273" i="6"/>
  <c r="F273" i="6"/>
  <c r="D274" i="6"/>
  <c r="C274" i="6"/>
  <c r="E274" i="6"/>
  <c r="F274" i="6"/>
  <c r="D275" i="6"/>
  <c r="C275" i="6"/>
  <c r="E275" i="6"/>
  <c r="F275" i="6"/>
  <c r="D276" i="6"/>
  <c r="C276" i="6"/>
  <c r="E276" i="6"/>
  <c r="F276" i="6"/>
  <c r="D277" i="6"/>
  <c r="C277" i="6"/>
  <c r="E277" i="6"/>
  <c r="F277" i="6"/>
  <c r="D278" i="6"/>
  <c r="C278" i="6"/>
  <c r="E278" i="6"/>
  <c r="F278" i="6"/>
  <c r="D279" i="6"/>
  <c r="C279" i="6"/>
  <c r="E279" i="6"/>
  <c r="F279" i="6"/>
  <c r="D280" i="6"/>
  <c r="C280" i="6"/>
  <c r="E280" i="6"/>
  <c r="F280" i="6"/>
  <c r="D281" i="6"/>
  <c r="C281" i="6"/>
  <c r="E281" i="6"/>
  <c r="F281" i="6"/>
  <c r="D282" i="6"/>
  <c r="C282" i="6"/>
  <c r="E282" i="6"/>
  <c r="F282" i="6"/>
  <c r="D283" i="6"/>
  <c r="C283" i="6"/>
  <c r="E283" i="6"/>
  <c r="F283" i="6"/>
  <c r="D284" i="6"/>
  <c r="C284" i="6"/>
  <c r="E284" i="6"/>
  <c r="F284" i="6"/>
  <c r="D285" i="6"/>
  <c r="C285" i="6"/>
  <c r="E285" i="6"/>
  <c r="F285" i="6"/>
  <c r="D286" i="6"/>
  <c r="C286" i="6"/>
  <c r="E286" i="6"/>
  <c r="F286" i="6"/>
  <c r="D287" i="6"/>
  <c r="C287" i="6"/>
  <c r="E287" i="6"/>
  <c r="F287" i="6"/>
  <c r="D288" i="6"/>
  <c r="C288" i="6"/>
  <c r="E288" i="6"/>
  <c r="F288" i="6"/>
  <c r="D289" i="6"/>
  <c r="C289" i="6"/>
  <c r="E289" i="6"/>
  <c r="F289" i="6"/>
  <c r="D290" i="6"/>
  <c r="C290" i="6"/>
  <c r="E290" i="6"/>
  <c r="F290" i="6"/>
  <c r="D291" i="6"/>
  <c r="C291" i="6"/>
  <c r="E291" i="6"/>
  <c r="F291" i="6"/>
  <c r="D292" i="6"/>
  <c r="C292" i="6"/>
  <c r="E292" i="6"/>
  <c r="F292" i="6"/>
  <c r="D293" i="6"/>
  <c r="C293" i="6"/>
  <c r="E293" i="6"/>
  <c r="F293" i="6"/>
  <c r="D294" i="6"/>
  <c r="C294" i="6"/>
  <c r="E294" i="6"/>
  <c r="F294" i="6"/>
  <c r="D295" i="6"/>
  <c r="C295" i="6"/>
  <c r="E295" i="6"/>
  <c r="F295" i="6"/>
  <c r="D296" i="6"/>
  <c r="C296" i="6"/>
  <c r="E296" i="6"/>
  <c r="F296" i="6"/>
  <c r="D297" i="6"/>
  <c r="C297" i="6"/>
  <c r="E297" i="6"/>
  <c r="F297" i="6"/>
  <c r="D298" i="6"/>
  <c r="C298" i="6"/>
  <c r="E298" i="6"/>
  <c r="F298" i="6"/>
  <c r="D299" i="6"/>
  <c r="C299" i="6"/>
  <c r="E299" i="6"/>
  <c r="F299" i="6"/>
  <c r="D300" i="6"/>
  <c r="C300" i="6"/>
  <c r="E300" i="6"/>
  <c r="F300" i="6"/>
  <c r="D301" i="6"/>
  <c r="C301" i="6"/>
  <c r="E301" i="6"/>
  <c r="F301" i="6"/>
  <c r="D302" i="6"/>
  <c r="C302" i="6"/>
  <c r="E302" i="6"/>
  <c r="F302" i="6"/>
  <c r="D303" i="6"/>
  <c r="C303" i="6"/>
  <c r="E303" i="6"/>
  <c r="F303" i="6"/>
  <c r="D304" i="6"/>
  <c r="C304" i="6"/>
  <c r="E304" i="6"/>
  <c r="F304" i="6"/>
  <c r="D305" i="6"/>
  <c r="C305" i="6"/>
  <c r="E305" i="6"/>
  <c r="F305" i="6"/>
  <c r="D306" i="6"/>
  <c r="C306" i="6"/>
  <c r="E306" i="6"/>
  <c r="F306" i="6"/>
  <c r="D307" i="6"/>
  <c r="C307" i="6"/>
  <c r="E307" i="6"/>
  <c r="F307" i="6"/>
  <c r="D308" i="6"/>
  <c r="C308" i="6"/>
  <c r="E308" i="6"/>
  <c r="F308" i="6"/>
  <c r="D309" i="6"/>
  <c r="C309" i="6"/>
  <c r="E309" i="6"/>
  <c r="F309" i="6"/>
  <c r="D310" i="6"/>
  <c r="C310" i="6"/>
  <c r="E310" i="6"/>
  <c r="F310" i="6"/>
  <c r="D311" i="6"/>
  <c r="C311" i="6"/>
  <c r="E311" i="6"/>
  <c r="F311" i="6"/>
  <c r="D312" i="6"/>
  <c r="C312" i="6"/>
  <c r="E312" i="6"/>
  <c r="F312" i="6"/>
  <c r="D313" i="6"/>
  <c r="C313" i="6"/>
  <c r="E313" i="6"/>
  <c r="F313" i="6"/>
  <c r="D314" i="6"/>
  <c r="C314" i="6"/>
  <c r="E314" i="6"/>
  <c r="F314" i="6"/>
  <c r="D315" i="6"/>
  <c r="C315" i="6"/>
  <c r="E315" i="6"/>
  <c r="F315" i="6"/>
  <c r="D316" i="6"/>
  <c r="C316" i="6"/>
  <c r="E316" i="6"/>
  <c r="F316" i="6"/>
  <c r="D317" i="6"/>
  <c r="C317" i="6"/>
  <c r="E317" i="6"/>
  <c r="F317" i="6"/>
  <c r="D318" i="6"/>
  <c r="C318" i="6"/>
  <c r="E318" i="6"/>
  <c r="F318" i="6"/>
  <c r="D319" i="6"/>
  <c r="C319" i="6"/>
  <c r="E319" i="6"/>
  <c r="F319" i="6"/>
  <c r="D320" i="6"/>
  <c r="C320" i="6"/>
  <c r="E320" i="6"/>
  <c r="F320" i="6"/>
  <c r="D321" i="6"/>
  <c r="C321" i="6"/>
  <c r="E321" i="6"/>
  <c r="F321" i="6"/>
  <c r="D322" i="6"/>
  <c r="C322" i="6"/>
  <c r="E322" i="6"/>
  <c r="F322" i="6"/>
  <c r="D323" i="6"/>
  <c r="C323" i="6"/>
  <c r="E323" i="6"/>
  <c r="F323" i="6"/>
  <c r="D324" i="6"/>
  <c r="C324" i="6"/>
  <c r="E324" i="6"/>
  <c r="F324" i="6"/>
  <c r="D325" i="6"/>
  <c r="C325" i="6"/>
  <c r="E325" i="6"/>
  <c r="F325" i="6"/>
  <c r="D326" i="6"/>
  <c r="C326" i="6"/>
  <c r="E326" i="6"/>
  <c r="F326" i="6"/>
  <c r="D327" i="6"/>
  <c r="C327" i="6"/>
  <c r="E327" i="6"/>
  <c r="F327" i="6"/>
  <c r="D328" i="6"/>
  <c r="C328" i="6"/>
  <c r="E328" i="6"/>
  <c r="F328" i="6"/>
  <c r="D329" i="6"/>
  <c r="C329" i="6"/>
  <c r="E329" i="6"/>
  <c r="F329" i="6"/>
  <c r="D330" i="6"/>
  <c r="C330" i="6"/>
  <c r="E330" i="6"/>
  <c r="F330" i="6"/>
  <c r="D331" i="6"/>
  <c r="C331" i="6"/>
  <c r="E331" i="6"/>
  <c r="F331" i="6"/>
  <c r="D332" i="6"/>
  <c r="C332" i="6"/>
  <c r="E332" i="6"/>
  <c r="F332" i="6"/>
  <c r="D333" i="6"/>
  <c r="C333" i="6"/>
  <c r="E333" i="6"/>
  <c r="F333" i="6"/>
  <c r="D334" i="6"/>
  <c r="C334" i="6"/>
  <c r="E334" i="6"/>
  <c r="F334" i="6"/>
  <c r="D335" i="6"/>
  <c r="C335" i="6"/>
  <c r="E335" i="6"/>
  <c r="F335" i="6"/>
  <c r="D336" i="6"/>
  <c r="C336" i="6"/>
  <c r="E336" i="6"/>
  <c r="F336" i="6"/>
  <c r="D337" i="6"/>
  <c r="C337" i="6"/>
  <c r="E337" i="6"/>
  <c r="F337" i="6"/>
  <c r="D338" i="6"/>
  <c r="C338" i="6"/>
  <c r="E338" i="6"/>
  <c r="F338" i="6"/>
  <c r="D339" i="6"/>
  <c r="C339" i="6"/>
  <c r="E339" i="6"/>
  <c r="F339" i="6"/>
  <c r="D340" i="6"/>
  <c r="C340" i="6"/>
  <c r="E340" i="6"/>
  <c r="F340" i="6"/>
  <c r="D341" i="6"/>
  <c r="C341" i="6"/>
  <c r="E341" i="6"/>
  <c r="F341" i="6"/>
  <c r="D342" i="6"/>
  <c r="C342" i="6"/>
  <c r="E342" i="6"/>
  <c r="F342" i="6"/>
  <c r="D343" i="6"/>
  <c r="C343" i="6"/>
  <c r="E343" i="6"/>
  <c r="F343" i="6"/>
  <c r="D344" i="6"/>
  <c r="C344" i="6"/>
  <c r="E344" i="6"/>
  <c r="F344" i="6"/>
  <c r="D345" i="6"/>
  <c r="C345" i="6"/>
  <c r="E345" i="6"/>
  <c r="F345" i="6"/>
  <c r="D346" i="6"/>
  <c r="C346" i="6"/>
  <c r="E346" i="6"/>
  <c r="F346" i="6"/>
  <c r="D347" i="6"/>
  <c r="C347" i="6"/>
  <c r="E347" i="6"/>
  <c r="F347" i="6"/>
  <c r="D348" i="6"/>
  <c r="C348" i="6"/>
  <c r="E348" i="6"/>
  <c r="F348" i="6"/>
  <c r="D349" i="6"/>
  <c r="C349" i="6"/>
  <c r="E349" i="6"/>
  <c r="F349" i="6"/>
  <c r="D350" i="6"/>
  <c r="C350" i="6"/>
  <c r="E350" i="6"/>
  <c r="F350" i="6"/>
  <c r="D351" i="6"/>
  <c r="C351" i="6"/>
  <c r="E351" i="6"/>
  <c r="F351" i="6"/>
  <c r="D352" i="6"/>
  <c r="C352" i="6"/>
  <c r="E352" i="6"/>
  <c r="F352" i="6"/>
  <c r="D353" i="6"/>
  <c r="C353" i="6"/>
  <c r="E353" i="6"/>
  <c r="F353" i="6"/>
  <c r="D354" i="6"/>
  <c r="C354" i="6"/>
  <c r="E354" i="6"/>
  <c r="F354" i="6"/>
  <c r="D355" i="6"/>
  <c r="C355" i="6"/>
  <c r="E355" i="6"/>
  <c r="F355" i="6"/>
  <c r="D356" i="6"/>
  <c r="C356" i="6"/>
  <c r="E356" i="6"/>
  <c r="F356" i="6"/>
  <c r="D357" i="6"/>
  <c r="C357" i="6"/>
  <c r="E357" i="6"/>
  <c r="F357" i="6"/>
  <c r="D358" i="6"/>
  <c r="C358" i="6"/>
  <c r="E358" i="6"/>
  <c r="F358" i="6"/>
  <c r="D359" i="6"/>
  <c r="C359" i="6"/>
  <c r="E359" i="6"/>
  <c r="F359" i="6"/>
  <c r="D360" i="6"/>
  <c r="C360" i="6"/>
  <c r="E360" i="6"/>
  <c r="F360" i="6"/>
  <c r="D361" i="6"/>
  <c r="C361" i="6"/>
  <c r="E361" i="6"/>
  <c r="F361" i="6"/>
  <c r="D362" i="6"/>
  <c r="C362" i="6"/>
  <c r="E362" i="6"/>
  <c r="F362" i="6"/>
  <c r="D363" i="6"/>
  <c r="C363" i="6"/>
  <c r="E363" i="6"/>
  <c r="F363" i="6"/>
  <c r="D364" i="6"/>
  <c r="C364" i="6"/>
  <c r="E364" i="6"/>
  <c r="F364" i="6"/>
  <c r="D365" i="6"/>
  <c r="C365" i="6"/>
  <c r="E365" i="6"/>
  <c r="F365" i="6"/>
  <c r="D366" i="6"/>
  <c r="C366" i="6"/>
  <c r="E366" i="6"/>
  <c r="F366" i="6"/>
  <c r="D367" i="6"/>
  <c r="C367" i="6"/>
  <c r="E367" i="6"/>
  <c r="F367" i="6"/>
  <c r="C368" i="6"/>
  <c r="E368" i="6"/>
  <c r="F368" i="6"/>
  <c r="D369" i="6"/>
  <c r="C369" i="6"/>
  <c r="E369" i="6"/>
  <c r="F369" i="6"/>
  <c r="D370" i="6"/>
  <c r="C370" i="6"/>
  <c r="E370" i="6"/>
  <c r="F370" i="6"/>
  <c r="D371" i="6"/>
  <c r="C371" i="6"/>
  <c r="E371" i="6"/>
  <c r="F371" i="6"/>
  <c r="D372" i="6"/>
  <c r="C372" i="6"/>
  <c r="E372" i="6"/>
  <c r="F372" i="6"/>
  <c r="D373" i="6"/>
  <c r="C373" i="6"/>
  <c r="E373" i="6"/>
  <c r="F373" i="6"/>
  <c r="D374" i="6"/>
  <c r="C374" i="6"/>
  <c r="E374" i="6"/>
  <c r="F374" i="6"/>
  <c r="D375" i="6"/>
  <c r="C375" i="6"/>
  <c r="E375" i="6"/>
  <c r="F375" i="6"/>
  <c r="D376" i="6"/>
  <c r="C376" i="6"/>
  <c r="E376" i="6"/>
  <c r="F376" i="6"/>
  <c r="D377" i="6"/>
  <c r="C377" i="6"/>
  <c r="E377" i="6"/>
  <c r="F377" i="6"/>
  <c r="D378" i="6"/>
  <c r="C378" i="6"/>
  <c r="E378" i="6"/>
  <c r="F378" i="6"/>
  <c r="D379" i="6"/>
  <c r="C379" i="6"/>
  <c r="E379" i="6"/>
  <c r="F379" i="6"/>
  <c r="D380" i="6"/>
  <c r="C380" i="6"/>
  <c r="E380" i="6"/>
  <c r="F380" i="6"/>
  <c r="D381" i="6"/>
  <c r="C381" i="6"/>
  <c r="E381" i="6"/>
  <c r="F381" i="6"/>
  <c r="D382" i="6"/>
  <c r="C382" i="6"/>
  <c r="E382" i="6"/>
  <c r="F382" i="6"/>
  <c r="D383" i="6"/>
  <c r="C383" i="6"/>
  <c r="E383" i="6"/>
  <c r="F383" i="6"/>
  <c r="D384" i="6"/>
  <c r="C384" i="6"/>
  <c r="E384" i="6"/>
  <c r="F384" i="6"/>
  <c r="D385" i="6"/>
  <c r="C385" i="6"/>
  <c r="E385" i="6"/>
  <c r="F385" i="6"/>
  <c r="D386" i="6"/>
  <c r="C386" i="6"/>
  <c r="E386" i="6"/>
  <c r="F386" i="6"/>
  <c r="D387" i="6"/>
  <c r="C387" i="6"/>
  <c r="E387" i="6"/>
  <c r="F387" i="6"/>
  <c r="D388" i="6"/>
  <c r="C388" i="6"/>
  <c r="E388" i="6"/>
  <c r="F388" i="6"/>
  <c r="D389" i="6"/>
  <c r="C389" i="6"/>
  <c r="E389" i="6"/>
  <c r="F389" i="6"/>
  <c r="D390" i="6"/>
  <c r="C390" i="6"/>
  <c r="E390" i="6"/>
  <c r="F390" i="6"/>
  <c r="D391" i="6"/>
  <c r="C391" i="6"/>
  <c r="E391" i="6"/>
  <c r="F391" i="6"/>
  <c r="D392" i="6"/>
  <c r="C392" i="6"/>
  <c r="E392" i="6"/>
  <c r="F392" i="6"/>
  <c r="D393" i="6"/>
  <c r="C393" i="6"/>
  <c r="E393" i="6"/>
  <c r="F393" i="6"/>
  <c r="D394" i="6"/>
  <c r="C394" i="6"/>
  <c r="E394" i="6"/>
  <c r="F394" i="6"/>
  <c r="D395" i="6"/>
  <c r="C395" i="6"/>
  <c r="E395" i="6"/>
  <c r="F395" i="6"/>
  <c r="D396" i="6"/>
  <c r="C396" i="6"/>
  <c r="E396" i="6"/>
  <c r="F396" i="6"/>
  <c r="D397" i="6"/>
  <c r="C397" i="6"/>
  <c r="E397" i="6"/>
  <c r="F397" i="6"/>
  <c r="D398" i="6"/>
  <c r="C398" i="6"/>
  <c r="E398" i="6"/>
  <c r="F398" i="6"/>
  <c r="D399" i="6"/>
  <c r="C399" i="6"/>
  <c r="E399" i="6"/>
  <c r="F399" i="6"/>
  <c r="D400" i="6"/>
  <c r="C400" i="6"/>
  <c r="E400" i="6"/>
  <c r="F400" i="6"/>
  <c r="D401" i="6"/>
  <c r="C401" i="6"/>
  <c r="E401" i="6"/>
  <c r="F401" i="6"/>
  <c r="D402" i="6"/>
  <c r="C402" i="6"/>
  <c r="E402" i="6"/>
  <c r="F402" i="6"/>
  <c r="D403" i="6"/>
  <c r="C403" i="6"/>
  <c r="E403" i="6"/>
  <c r="F403" i="6"/>
  <c r="D404" i="6"/>
  <c r="C404" i="6"/>
  <c r="E404" i="6"/>
  <c r="F404" i="6"/>
  <c r="D405" i="6"/>
  <c r="C405" i="6"/>
  <c r="E405" i="6"/>
  <c r="F405" i="6"/>
  <c r="D406" i="6"/>
  <c r="C406" i="6"/>
  <c r="E406" i="6"/>
  <c r="F406" i="6"/>
  <c r="D407" i="6"/>
  <c r="C407" i="6"/>
  <c r="E407" i="6"/>
  <c r="F407" i="6"/>
  <c r="D408" i="6"/>
  <c r="C408" i="6"/>
  <c r="E408" i="6"/>
  <c r="F408" i="6"/>
  <c r="D409" i="6"/>
  <c r="C409" i="6"/>
  <c r="E409" i="6"/>
  <c r="F409" i="6"/>
  <c r="D410" i="6"/>
  <c r="C410" i="6"/>
  <c r="E410" i="6"/>
  <c r="F410" i="6"/>
  <c r="D411" i="6"/>
  <c r="C411" i="6"/>
  <c r="E411" i="6"/>
  <c r="F411" i="6"/>
  <c r="D412" i="6"/>
  <c r="C412" i="6"/>
  <c r="E412" i="6"/>
  <c r="F412" i="6"/>
  <c r="D413" i="6"/>
  <c r="C413" i="6"/>
  <c r="E413" i="6"/>
  <c r="F413" i="6"/>
  <c r="D414" i="6"/>
  <c r="C414" i="6"/>
  <c r="E414" i="6"/>
  <c r="F414" i="6"/>
  <c r="D415" i="6"/>
  <c r="C415" i="6"/>
  <c r="E415" i="6"/>
  <c r="F415" i="6"/>
  <c r="D416" i="6"/>
  <c r="C416" i="6"/>
  <c r="E416" i="6"/>
  <c r="F416" i="6"/>
  <c r="D417" i="6"/>
  <c r="C417" i="6"/>
  <c r="E417" i="6"/>
  <c r="F417" i="6"/>
  <c r="D418" i="6"/>
  <c r="C418" i="6"/>
  <c r="E418" i="6"/>
  <c r="F418" i="6"/>
  <c r="D419" i="6"/>
  <c r="C419" i="6"/>
  <c r="E419" i="6"/>
  <c r="F419" i="6"/>
  <c r="D420" i="6"/>
  <c r="C420" i="6"/>
  <c r="E420" i="6"/>
  <c r="F420" i="6"/>
  <c r="D421" i="6"/>
  <c r="C421" i="6"/>
  <c r="E421" i="6"/>
  <c r="F421" i="6"/>
  <c r="D422" i="6"/>
  <c r="C422" i="6"/>
  <c r="E422" i="6"/>
  <c r="F422" i="6"/>
  <c r="D423" i="6"/>
  <c r="C423" i="6"/>
  <c r="E423" i="6"/>
  <c r="F423" i="6"/>
  <c r="D424" i="6"/>
  <c r="C424" i="6"/>
  <c r="E424" i="6"/>
  <c r="F424" i="6"/>
  <c r="D425" i="6"/>
  <c r="C425" i="6"/>
  <c r="E425" i="6"/>
  <c r="F425" i="6"/>
  <c r="D426" i="6"/>
  <c r="C426" i="6"/>
  <c r="E426" i="6"/>
  <c r="F426" i="6"/>
  <c r="D427" i="6"/>
  <c r="C427" i="6"/>
  <c r="E427" i="6"/>
  <c r="F427" i="6"/>
  <c r="D428" i="6"/>
  <c r="C428" i="6"/>
  <c r="E428" i="6"/>
  <c r="F428" i="6"/>
  <c r="D429" i="6"/>
  <c r="C429" i="6"/>
  <c r="E429" i="6"/>
  <c r="F429" i="6"/>
  <c r="D430" i="6"/>
  <c r="C430" i="6"/>
  <c r="E430" i="6"/>
  <c r="F430" i="6"/>
  <c r="D431" i="6"/>
  <c r="C431" i="6"/>
  <c r="E431" i="6"/>
  <c r="F431" i="6"/>
  <c r="D432" i="6"/>
  <c r="C432" i="6"/>
  <c r="E432" i="6"/>
  <c r="F432" i="6"/>
  <c r="D433" i="6"/>
  <c r="C433" i="6"/>
  <c r="E433" i="6"/>
  <c r="F433" i="6"/>
  <c r="D434" i="6"/>
  <c r="C434" i="6"/>
  <c r="E434" i="6"/>
  <c r="F434" i="6"/>
  <c r="D435" i="6"/>
  <c r="C435" i="6"/>
  <c r="E435" i="6"/>
  <c r="F435" i="6"/>
  <c r="D436" i="6"/>
  <c r="C436" i="6"/>
  <c r="E436" i="6"/>
  <c r="F436" i="6"/>
  <c r="D437" i="6"/>
  <c r="C437" i="6"/>
  <c r="E437" i="6"/>
  <c r="F437" i="6"/>
  <c r="D438" i="6"/>
  <c r="C438" i="6"/>
  <c r="E438" i="6"/>
  <c r="F438" i="6"/>
  <c r="D439" i="6"/>
  <c r="C439" i="6"/>
  <c r="E439" i="6"/>
  <c r="F439" i="6"/>
  <c r="D440" i="6"/>
  <c r="C440" i="6"/>
  <c r="E440" i="6"/>
  <c r="F440" i="6"/>
  <c r="D441" i="6"/>
  <c r="C441" i="6"/>
  <c r="E441" i="6"/>
  <c r="F441" i="6"/>
  <c r="D442" i="6"/>
  <c r="C442" i="6"/>
  <c r="E442" i="6"/>
  <c r="F442" i="6"/>
  <c r="D443" i="6"/>
  <c r="C443" i="6"/>
  <c r="E443" i="6"/>
  <c r="F443" i="6"/>
  <c r="D444" i="6"/>
  <c r="C444" i="6"/>
  <c r="E444" i="6"/>
  <c r="F444" i="6"/>
  <c r="D445" i="6"/>
  <c r="C445" i="6"/>
  <c r="E445" i="6"/>
  <c r="F445" i="6"/>
  <c r="D446" i="6"/>
  <c r="C446" i="6"/>
  <c r="E446" i="6"/>
  <c r="F446" i="6"/>
  <c r="D447" i="6"/>
  <c r="C447" i="6"/>
  <c r="E447" i="6"/>
  <c r="F447" i="6"/>
  <c r="D448" i="6"/>
  <c r="C448" i="6"/>
  <c r="E448" i="6"/>
  <c r="F448" i="6"/>
  <c r="D449" i="6"/>
  <c r="C449" i="6"/>
  <c r="E449" i="6"/>
  <c r="F449" i="6"/>
  <c r="D450" i="6"/>
  <c r="C450" i="6"/>
  <c r="E450" i="6"/>
  <c r="F450" i="6"/>
  <c r="D451" i="6"/>
  <c r="C451" i="6"/>
  <c r="E451" i="6"/>
  <c r="F451" i="6"/>
  <c r="D452" i="6"/>
  <c r="C452" i="6"/>
  <c r="E452" i="6"/>
  <c r="F452" i="6"/>
  <c r="D453" i="6"/>
  <c r="C453" i="6"/>
  <c r="E453" i="6"/>
  <c r="F453" i="6"/>
  <c r="D454" i="6"/>
  <c r="C454" i="6"/>
  <c r="E454" i="6"/>
  <c r="F454" i="6"/>
  <c r="D455" i="6"/>
  <c r="C455" i="6"/>
  <c r="E455" i="6"/>
  <c r="F455" i="6"/>
  <c r="D456" i="6"/>
  <c r="C456" i="6"/>
  <c r="E456" i="6"/>
  <c r="F456" i="6"/>
  <c r="D457" i="6"/>
  <c r="C457" i="6"/>
  <c r="E457" i="6"/>
  <c r="F457" i="6"/>
  <c r="D458" i="6"/>
  <c r="C458" i="6"/>
  <c r="E458" i="6"/>
  <c r="F458" i="6"/>
  <c r="D459" i="6"/>
  <c r="C459" i="6"/>
  <c r="E459" i="6"/>
  <c r="F459" i="6"/>
  <c r="D460" i="6"/>
  <c r="C460" i="6"/>
  <c r="E460" i="6"/>
  <c r="F460" i="6"/>
  <c r="D461" i="6"/>
  <c r="C461" i="6"/>
  <c r="E461" i="6"/>
  <c r="F461" i="6"/>
  <c r="D462" i="6"/>
  <c r="C462" i="6"/>
  <c r="E462" i="6"/>
  <c r="F462" i="6"/>
  <c r="D463" i="6"/>
  <c r="C463" i="6"/>
  <c r="E463" i="6"/>
  <c r="F463" i="6"/>
  <c r="D464" i="6"/>
  <c r="C464" i="6"/>
  <c r="E464" i="6"/>
  <c r="F464" i="6"/>
  <c r="D465" i="6"/>
  <c r="C465" i="6"/>
  <c r="E465" i="6"/>
  <c r="F465" i="6"/>
  <c r="D466" i="6"/>
  <c r="C466" i="6"/>
  <c r="E466" i="6"/>
  <c r="F466" i="6"/>
  <c r="D467" i="6"/>
  <c r="C467" i="6"/>
  <c r="E467" i="6"/>
  <c r="F467" i="6"/>
  <c r="D468" i="6"/>
  <c r="C468" i="6"/>
  <c r="E468" i="6"/>
  <c r="F468" i="6"/>
  <c r="D469" i="6"/>
  <c r="C469" i="6"/>
  <c r="E469" i="6"/>
  <c r="F469" i="6"/>
  <c r="D470" i="6"/>
  <c r="C470" i="6"/>
  <c r="E470" i="6"/>
  <c r="F470" i="6"/>
  <c r="D471" i="6"/>
  <c r="C471" i="6"/>
  <c r="E471" i="6"/>
  <c r="F471" i="6"/>
  <c r="D472" i="6"/>
  <c r="C472" i="6"/>
  <c r="E472" i="6"/>
  <c r="F472" i="6"/>
  <c r="D473" i="6"/>
  <c r="C473" i="6"/>
  <c r="E473" i="6"/>
  <c r="F473" i="6"/>
  <c r="D474" i="6"/>
  <c r="C474" i="6"/>
  <c r="E474" i="6"/>
  <c r="F474" i="6"/>
  <c r="D475" i="6"/>
  <c r="C475" i="6"/>
  <c r="E475" i="6"/>
  <c r="F475" i="6"/>
  <c r="D476" i="6"/>
  <c r="C476" i="6"/>
  <c r="E476" i="6"/>
  <c r="F476" i="6"/>
  <c r="D477" i="6"/>
  <c r="C477" i="6"/>
  <c r="E477" i="6"/>
  <c r="F477" i="6"/>
  <c r="D478" i="6"/>
  <c r="C478" i="6"/>
  <c r="E478" i="6"/>
  <c r="F478" i="6"/>
  <c r="D479" i="6"/>
  <c r="C479" i="6"/>
  <c r="E479" i="6"/>
  <c r="F479" i="6"/>
  <c r="D480" i="6"/>
  <c r="C480" i="6"/>
  <c r="E480" i="6"/>
  <c r="F480" i="6"/>
  <c r="D481" i="6"/>
  <c r="C481" i="6"/>
  <c r="E481" i="6"/>
  <c r="F481" i="6"/>
  <c r="D482" i="6"/>
  <c r="C482" i="6"/>
  <c r="E482" i="6"/>
  <c r="F482" i="6"/>
  <c r="D483" i="6"/>
  <c r="C483" i="6"/>
  <c r="E483" i="6"/>
  <c r="F483" i="6"/>
  <c r="D484" i="6"/>
  <c r="C484" i="6"/>
  <c r="E484" i="6"/>
  <c r="F484" i="6"/>
  <c r="D485" i="6"/>
  <c r="C485" i="6"/>
  <c r="E485" i="6"/>
  <c r="F485" i="6"/>
  <c r="D486" i="6"/>
  <c r="C486" i="6"/>
  <c r="E486" i="6"/>
  <c r="F486" i="6"/>
  <c r="D487" i="6"/>
  <c r="C487" i="6"/>
  <c r="E487" i="6"/>
  <c r="F487" i="6"/>
  <c r="D488" i="6"/>
  <c r="C488" i="6"/>
  <c r="E488" i="6"/>
  <c r="F488" i="6"/>
  <c r="D489" i="6"/>
  <c r="C489" i="6"/>
  <c r="E489" i="6"/>
  <c r="F489" i="6"/>
  <c r="D490" i="6"/>
  <c r="C490" i="6"/>
  <c r="E490" i="6"/>
  <c r="F490" i="6"/>
  <c r="D491" i="6"/>
  <c r="C491" i="6"/>
  <c r="E491" i="6"/>
  <c r="F491" i="6"/>
  <c r="D492" i="6"/>
  <c r="C492" i="6"/>
  <c r="E492" i="6"/>
  <c r="F492" i="6"/>
  <c r="D493" i="6"/>
  <c r="C493" i="6"/>
  <c r="E493" i="6"/>
  <c r="F493" i="6"/>
  <c r="D494" i="6"/>
  <c r="C494" i="6"/>
  <c r="E494" i="6"/>
  <c r="F494" i="6"/>
  <c r="D495" i="6"/>
  <c r="C495" i="6"/>
  <c r="E495" i="6"/>
  <c r="F495" i="6"/>
  <c r="D496" i="6"/>
  <c r="C496" i="6"/>
  <c r="E496" i="6"/>
  <c r="F496" i="6"/>
  <c r="D497" i="6"/>
  <c r="C497" i="6"/>
  <c r="E497" i="6"/>
  <c r="F497" i="6"/>
  <c r="D498" i="6"/>
  <c r="C498" i="6"/>
  <c r="E498" i="6"/>
  <c r="F498" i="6"/>
  <c r="D499" i="6"/>
  <c r="C499" i="6"/>
  <c r="E499" i="6"/>
  <c r="F499" i="6"/>
  <c r="D500" i="6"/>
  <c r="C500" i="6"/>
  <c r="E500" i="6"/>
  <c r="F500" i="6"/>
  <c r="D501" i="6"/>
  <c r="C501" i="6"/>
  <c r="E501" i="6"/>
  <c r="F501" i="6"/>
  <c r="D502" i="6"/>
  <c r="C502" i="6"/>
  <c r="E502" i="6"/>
  <c r="F502" i="6"/>
  <c r="D503" i="6"/>
  <c r="C503" i="6"/>
  <c r="E503" i="6"/>
  <c r="F503" i="6"/>
  <c r="D504" i="6"/>
  <c r="C504" i="6"/>
  <c r="E504" i="6"/>
  <c r="F504" i="6"/>
  <c r="D505" i="6"/>
  <c r="C505" i="6"/>
  <c r="E505" i="6"/>
  <c r="F505" i="6"/>
  <c r="D506" i="6"/>
  <c r="C506" i="6"/>
  <c r="E506" i="6"/>
  <c r="F506" i="6"/>
  <c r="D507" i="6"/>
  <c r="C507" i="6"/>
  <c r="E507" i="6"/>
  <c r="F507" i="6"/>
  <c r="D508" i="6"/>
  <c r="C508" i="6"/>
  <c r="E508" i="6"/>
  <c r="F508" i="6"/>
  <c r="D509" i="6"/>
  <c r="C509" i="6"/>
  <c r="E509" i="6"/>
  <c r="F509" i="6"/>
  <c r="D510" i="6"/>
  <c r="C510" i="6"/>
  <c r="E510" i="6"/>
  <c r="F510" i="6"/>
  <c r="D511" i="6"/>
  <c r="C511" i="6"/>
  <c r="E511" i="6"/>
  <c r="F511" i="6"/>
  <c r="D512" i="6"/>
  <c r="C512" i="6"/>
  <c r="E512" i="6"/>
  <c r="F512" i="6"/>
  <c r="D513" i="6"/>
  <c r="C513" i="6"/>
  <c r="E513" i="6"/>
  <c r="F513" i="6"/>
  <c r="D514" i="6"/>
  <c r="C514" i="6"/>
  <c r="E514" i="6"/>
  <c r="F514" i="6"/>
  <c r="D515" i="6"/>
  <c r="C515" i="6"/>
  <c r="E515" i="6"/>
  <c r="F515" i="6"/>
  <c r="D516" i="6"/>
  <c r="C516" i="6"/>
  <c r="E516" i="6"/>
  <c r="F516" i="6"/>
  <c r="D517" i="6"/>
  <c r="C517" i="6"/>
  <c r="E517" i="6"/>
  <c r="F517" i="6"/>
  <c r="D518" i="6"/>
  <c r="C518" i="6"/>
  <c r="E518" i="6"/>
  <c r="F518" i="6"/>
  <c r="D519" i="6"/>
  <c r="C519" i="6"/>
  <c r="E519" i="6"/>
  <c r="F519" i="6"/>
  <c r="D520" i="6"/>
  <c r="C520" i="6"/>
  <c r="E520" i="6"/>
  <c r="F520" i="6"/>
  <c r="D521" i="6"/>
  <c r="C521" i="6"/>
  <c r="E521" i="6"/>
  <c r="F521" i="6"/>
  <c r="D522" i="6"/>
  <c r="C522" i="6"/>
  <c r="E522" i="6"/>
  <c r="F522" i="6"/>
  <c r="D523" i="6"/>
  <c r="C523" i="6"/>
  <c r="E523" i="6"/>
  <c r="F523" i="6"/>
  <c r="D524" i="6"/>
  <c r="C524" i="6"/>
  <c r="E524" i="6"/>
  <c r="F524" i="6"/>
  <c r="D525" i="6"/>
  <c r="C525" i="6"/>
  <c r="E525" i="6"/>
  <c r="F525" i="6"/>
  <c r="D526" i="6"/>
  <c r="C526" i="6"/>
  <c r="E526" i="6"/>
  <c r="F526" i="6"/>
  <c r="D527" i="6"/>
  <c r="C527" i="6"/>
  <c r="E527" i="6"/>
  <c r="F527" i="6"/>
  <c r="D528" i="6"/>
  <c r="C528" i="6"/>
  <c r="E528" i="6"/>
  <c r="F528" i="6"/>
  <c r="D529" i="6"/>
  <c r="C529" i="6"/>
  <c r="E529" i="6"/>
  <c r="F529" i="6"/>
  <c r="D530" i="6"/>
  <c r="C530" i="6"/>
  <c r="E530" i="6"/>
  <c r="F530" i="6"/>
  <c r="D531" i="6"/>
  <c r="C531" i="6"/>
  <c r="E531" i="6"/>
  <c r="F531" i="6"/>
  <c r="D532" i="6"/>
  <c r="C532" i="6"/>
  <c r="E532" i="6"/>
  <c r="F532" i="6"/>
  <c r="D533" i="6"/>
  <c r="C533" i="6"/>
  <c r="E533" i="6"/>
  <c r="F533" i="6"/>
  <c r="D534" i="6"/>
  <c r="C534" i="6"/>
  <c r="E534" i="6"/>
  <c r="F534" i="6"/>
  <c r="D535" i="6"/>
  <c r="C535" i="6"/>
  <c r="E535" i="6"/>
  <c r="F535" i="6"/>
  <c r="D536" i="6"/>
  <c r="C536" i="6"/>
  <c r="E536" i="6"/>
  <c r="F536" i="6"/>
  <c r="D537" i="6"/>
  <c r="C537" i="6"/>
  <c r="E537" i="6"/>
  <c r="F537" i="6"/>
  <c r="D538" i="6"/>
  <c r="C538" i="6"/>
  <c r="E538" i="6"/>
  <c r="F538" i="6"/>
  <c r="D539" i="6"/>
  <c r="C539" i="6"/>
  <c r="E539" i="6"/>
  <c r="F539" i="6"/>
  <c r="D540" i="6"/>
  <c r="C540" i="6"/>
  <c r="E540" i="6"/>
  <c r="F540" i="6"/>
  <c r="D541" i="6"/>
  <c r="C541" i="6"/>
  <c r="E541" i="6"/>
  <c r="F541" i="6"/>
  <c r="D542" i="6"/>
  <c r="C542" i="6"/>
  <c r="E542" i="6"/>
  <c r="F542" i="6"/>
  <c r="D543" i="6"/>
  <c r="C543" i="6"/>
  <c r="E543" i="6"/>
  <c r="F543" i="6"/>
  <c r="D544" i="6"/>
  <c r="C544" i="6"/>
  <c r="E544" i="6"/>
  <c r="F544" i="6"/>
  <c r="D545" i="6"/>
  <c r="C545" i="6"/>
  <c r="E545" i="6"/>
  <c r="F545" i="6"/>
  <c r="D546" i="6"/>
  <c r="C546" i="6"/>
  <c r="E546" i="6"/>
  <c r="F546" i="6"/>
  <c r="D547" i="6"/>
  <c r="C547" i="6"/>
  <c r="E547" i="6"/>
  <c r="F547" i="6"/>
  <c r="D548" i="6"/>
  <c r="C548" i="6"/>
  <c r="E548" i="6"/>
  <c r="F548" i="6"/>
  <c r="D549" i="6"/>
  <c r="C549" i="6"/>
  <c r="E549" i="6"/>
  <c r="F549" i="6"/>
  <c r="D550" i="6"/>
  <c r="C550" i="6"/>
  <c r="E550" i="6"/>
  <c r="F550" i="6"/>
  <c r="D551" i="6"/>
  <c r="C551" i="6"/>
  <c r="E551" i="6"/>
  <c r="F551" i="6"/>
  <c r="D552" i="6"/>
  <c r="C552" i="6"/>
  <c r="E552" i="6"/>
  <c r="F552" i="6"/>
  <c r="D553" i="6"/>
  <c r="C553" i="6"/>
  <c r="E553" i="6"/>
  <c r="F553" i="6"/>
  <c r="D554" i="6"/>
  <c r="C554" i="6"/>
  <c r="E554" i="6"/>
  <c r="F554" i="6"/>
  <c r="D555" i="6"/>
  <c r="C555" i="6"/>
  <c r="E555" i="6"/>
  <c r="F555" i="6"/>
  <c r="D556" i="6"/>
  <c r="C556" i="6"/>
  <c r="E556" i="6"/>
  <c r="F556" i="6"/>
  <c r="D557" i="6"/>
  <c r="C557" i="6"/>
  <c r="E557" i="6"/>
  <c r="F557" i="6"/>
  <c r="D558" i="6"/>
  <c r="C558" i="6"/>
  <c r="E558" i="6"/>
  <c r="F558" i="6"/>
  <c r="D559" i="6"/>
  <c r="C559" i="6"/>
  <c r="E559" i="6"/>
  <c r="F559" i="6"/>
  <c r="D560" i="6"/>
  <c r="C560" i="6"/>
  <c r="E560" i="6"/>
  <c r="F560" i="6"/>
  <c r="D561" i="6"/>
  <c r="C561" i="6"/>
  <c r="E561" i="6"/>
  <c r="F561" i="6"/>
  <c r="D562" i="6"/>
  <c r="C562" i="6"/>
  <c r="E562" i="6"/>
  <c r="F562" i="6"/>
  <c r="D563" i="6"/>
  <c r="C563" i="6"/>
  <c r="E563" i="6"/>
  <c r="F563" i="6"/>
  <c r="D564" i="6"/>
  <c r="C564" i="6"/>
  <c r="E564" i="6"/>
  <c r="F564" i="6"/>
  <c r="D565" i="6"/>
  <c r="C565" i="6"/>
  <c r="E565" i="6"/>
  <c r="F565" i="6"/>
  <c r="D566" i="6"/>
  <c r="C566" i="6"/>
  <c r="E566" i="6"/>
  <c r="F566" i="6"/>
  <c r="D567" i="6"/>
  <c r="C567" i="6"/>
  <c r="E567" i="6"/>
  <c r="F567" i="6"/>
  <c r="D568" i="6"/>
  <c r="C568" i="6"/>
  <c r="E568" i="6"/>
  <c r="F568" i="6"/>
  <c r="D569" i="6"/>
  <c r="C569" i="6"/>
  <c r="E569" i="6"/>
  <c r="F569" i="6"/>
  <c r="D570" i="6"/>
  <c r="C570" i="6"/>
  <c r="E570" i="6"/>
  <c r="F570" i="6"/>
  <c r="D571" i="6"/>
  <c r="C571" i="6"/>
  <c r="E571" i="6"/>
  <c r="F571" i="6"/>
  <c r="D572" i="6"/>
  <c r="C572" i="6"/>
  <c r="E572" i="6"/>
  <c r="F572" i="6"/>
  <c r="D573" i="6"/>
  <c r="C573" i="6"/>
  <c r="E573" i="6"/>
  <c r="F573" i="6"/>
  <c r="D574" i="6"/>
  <c r="C574" i="6"/>
  <c r="E574" i="6"/>
  <c r="F574" i="6"/>
  <c r="D575" i="6"/>
  <c r="C575" i="6"/>
  <c r="E575" i="6"/>
  <c r="F575" i="6"/>
  <c r="D576" i="6"/>
  <c r="C576" i="6"/>
  <c r="E576" i="6"/>
  <c r="F576" i="6"/>
  <c r="D577" i="6"/>
  <c r="C577" i="6"/>
  <c r="E577" i="6"/>
  <c r="F577" i="6"/>
  <c r="D578" i="6"/>
  <c r="C578" i="6"/>
  <c r="E578" i="6"/>
  <c r="F578" i="6"/>
  <c r="D579" i="6"/>
  <c r="C579" i="6"/>
  <c r="E579" i="6"/>
  <c r="F579" i="6"/>
  <c r="D580" i="6"/>
  <c r="C580" i="6"/>
  <c r="E580" i="6"/>
  <c r="F580" i="6"/>
  <c r="D581" i="6"/>
  <c r="C581" i="6"/>
  <c r="E581" i="6"/>
  <c r="F581" i="6"/>
  <c r="D582" i="6"/>
  <c r="C582" i="6"/>
  <c r="E582" i="6"/>
  <c r="F582" i="6"/>
  <c r="D583" i="6"/>
  <c r="C583" i="6"/>
  <c r="E583" i="6"/>
  <c r="F583" i="6"/>
  <c r="D584" i="6"/>
  <c r="C584" i="6"/>
  <c r="E584" i="6"/>
  <c r="F584" i="6"/>
  <c r="D585" i="6"/>
  <c r="C585" i="6"/>
  <c r="E585" i="6"/>
  <c r="F585" i="6"/>
  <c r="D586" i="6"/>
  <c r="C586" i="6"/>
  <c r="E586" i="6"/>
  <c r="F586" i="6"/>
  <c r="D587" i="6"/>
  <c r="C587" i="6"/>
  <c r="E587" i="6"/>
  <c r="F587" i="6"/>
  <c r="D588" i="6"/>
  <c r="C588" i="6"/>
  <c r="E588" i="6"/>
  <c r="F588" i="6"/>
  <c r="D589" i="6"/>
  <c r="C589" i="6"/>
  <c r="E589" i="6"/>
  <c r="F589" i="6"/>
  <c r="D590" i="6"/>
  <c r="C590" i="6"/>
  <c r="E590" i="6"/>
  <c r="F590" i="6"/>
  <c r="D591" i="6"/>
  <c r="C591" i="6"/>
  <c r="E591" i="6"/>
  <c r="F591" i="6"/>
  <c r="D592" i="6"/>
  <c r="C592" i="6"/>
  <c r="E592" i="6"/>
  <c r="F592" i="6"/>
  <c r="D593" i="6"/>
  <c r="C593" i="6"/>
  <c r="E593" i="6"/>
  <c r="F593" i="6"/>
  <c r="D594" i="6"/>
  <c r="C594" i="6"/>
  <c r="E594" i="6"/>
  <c r="F594" i="6"/>
  <c r="D595" i="6"/>
  <c r="C595" i="6"/>
  <c r="E595" i="6"/>
  <c r="F595" i="6"/>
  <c r="D596" i="6"/>
  <c r="C596" i="6"/>
  <c r="E596" i="6"/>
  <c r="F596" i="6"/>
  <c r="D597" i="6"/>
  <c r="C597" i="6"/>
  <c r="E597" i="6"/>
  <c r="F597" i="6"/>
  <c r="D598" i="6"/>
  <c r="C598" i="6"/>
  <c r="E598" i="6"/>
  <c r="F598" i="6"/>
  <c r="D599" i="6"/>
  <c r="C599" i="6"/>
  <c r="E599" i="6"/>
  <c r="F599" i="6"/>
  <c r="D600" i="6"/>
  <c r="C600" i="6"/>
  <c r="E600" i="6"/>
  <c r="F600" i="6"/>
  <c r="D601" i="6"/>
  <c r="C601" i="6"/>
  <c r="E601" i="6"/>
  <c r="F601" i="6"/>
  <c r="D602" i="6"/>
  <c r="C602" i="6"/>
  <c r="E602" i="6"/>
  <c r="F602" i="6"/>
  <c r="D603" i="6"/>
  <c r="C603" i="6"/>
  <c r="E603" i="6"/>
  <c r="F603" i="6"/>
  <c r="D604" i="6"/>
  <c r="C604" i="6"/>
  <c r="E604" i="6"/>
  <c r="F604" i="6"/>
  <c r="D605" i="6"/>
  <c r="C605" i="6"/>
  <c r="E605" i="6"/>
  <c r="F605" i="6"/>
  <c r="D606" i="6"/>
  <c r="C606" i="6"/>
  <c r="E606" i="6"/>
  <c r="F606" i="6"/>
  <c r="D607" i="6"/>
  <c r="C607" i="6"/>
  <c r="E607" i="6"/>
  <c r="F607" i="6"/>
  <c r="D608" i="6"/>
  <c r="C608" i="6"/>
  <c r="E608" i="6"/>
  <c r="F608" i="6"/>
  <c r="D609" i="6"/>
  <c r="C609" i="6"/>
  <c r="E609" i="6"/>
  <c r="F609" i="6"/>
  <c r="D610" i="6"/>
  <c r="C610" i="6"/>
  <c r="E610" i="6"/>
  <c r="F610" i="6"/>
  <c r="D611" i="6"/>
  <c r="C611" i="6"/>
  <c r="E611" i="6"/>
  <c r="F611" i="6"/>
  <c r="D612" i="6"/>
  <c r="C612" i="6"/>
  <c r="E612" i="6"/>
  <c r="F612" i="6"/>
  <c r="D613" i="6"/>
  <c r="C613" i="6"/>
  <c r="E613" i="6"/>
  <c r="F613" i="6"/>
  <c r="D614" i="6"/>
  <c r="C614" i="6"/>
  <c r="E614" i="6"/>
  <c r="F614" i="6"/>
  <c r="D615" i="6"/>
  <c r="C615" i="6"/>
  <c r="E615" i="6"/>
  <c r="F615" i="6"/>
  <c r="D616" i="6"/>
  <c r="C616" i="6"/>
  <c r="E616" i="6"/>
  <c r="F616" i="6"/>
  <c r="D617" i="6"/>
  <c r="C617" i="6"/>
  <c r="E617" i="6"/>
  <c r="F617" i="6"/>
  <c r="D618" i="6"/>
  <c r="C618" i="6"/>
  <c r="E618" i="6"/>
  <c r="F618" i="6"/>
  <c r="D619" i="6"/>
  <c r="C619" i="6"/>
  <c r="E619" i="6"/>
  <c r="F619" i="6"/>
  <c r="D620" i="6"/>
  <c r="C620" i="6"/>
  <c r="E620" i="6"/>
  <c r="F620" i="6"/>
  <c r="D621" i="6"/>
  <c r="C621" i="6"/>
  <c r="E621" i="6"/>
  <c r="F621" i="6"/>
  <c r="D622" i="6"/>
  <c r="C622" i="6"/>
  <c r="E622" i="6"/>
  <c r="F622" i="6"/>
  <c r="D623" i="6"/>
  <c r="C623" i="6"/>
  <c r="E623" i="6"/>
  <c r="F623" i="6"/>
  <c r="D624" i="6"/>
  <c r="C624" i="6"/>
  <c r="E624" i="6"/>
  <c r="F624" i="6"/>
  <c r="D625" i="6"/>
  <c r="C625" i="6"/>
  <c r="E625" i="6"/>
  <c r="F625" i="6"/>
  <c r="D626" i="6"/>
  <c r="C626" i="6"/>
  <c r="E626" i="6"/>
  <c r="F626" i="6"/>
  <c r="D627" i="6"/>
  <c r="C627" i="6"/>
  <c r="E627" i="6"/>
  <c r="F627" i="6"/>
  <c r="D628" i="6"/>
  <c r="C628" i="6"/>
  <c r="E628" i="6"/>
  <c r="F628" i="6"/>
  <c r="D629" i="6"/>
  <c r="C629" i="6"/>
  <c r="E629" i="6"/>
  <c r="F629" i="6"/>
  <c r="D630" i="6"/>
  <c r="C630" i="6"/>
  <c r="E630" i="6"/>
  <c r="F630" i="6"/>
  <c r="D631" i="6"/>
  <c r="C631" i="6"/>
  <c r="E631" i="6"/>
  <c r="F631" i="6"/>
  <c r="D632" i="6"/>
  <c r="C632" i="6"/>
  <c r="E632" i="6"/>
  <c r="F632" i="6"/>
  <c r="D633" i="6"/>
  <c r="C633" i="6"/>
  <c r="E633" i="6"/>
  <c r="F633" i="6"/>
  <c r="D634" i="6"/>
  <c r="C634" i="6"/>
  <c r="E634" i="6"/>
  <c r="F634" i="6"/>
  <c r="D635" i="6"/>
  <c r="C635" i="6"/>
  <c r="E635" i="6"/>
  <c r="F635" i="6"/>
  <c r="D636" i="6"/>
  <c r="C636" i="6"/>
  <c r="E636" i="6"/>
  <c r="F636" i="6"/>
  <c r="D637" i="6"/>
  <c r="C637" i="6"/>
  <c r="E637" i="6"/>
  <c r="F637" i="6"/>
  <c r="D638" i="6"/>
  <c r="C638" i="6"/>
  <c r="E638" i="6"/>
  <c r="F638" i="6"/>
  <c r="D639" i="6"/>
  <c r="C639" i="6"/>
  <c r="E639" i="6"/>
  <c r="F639" i="6"/>
  <c r="D640" i="6"/>
  <c r="C640" i="6"/>
  <c r="E640" i="6"/>
  <c r="F640" i="6"/>
  <c r="D641" i="6"/>
  <c r="C641" i="6"/>
  <c r="E641" i="6"/>
  <c r="F641" i="6"/>
  <c r="D642" i="6"/>
  <c r="C642" i="6"/>
  <c r="E642" i="6"/>
  <c r="F642" i="6"/>
  <c r="D643" i="6"/>
  <c r="C643" i="6"/>
  <c r="E643" i="6"/>
  <c r="F643" i="6"/>
  <c r="D644" i="6"/>
  <c r="C644" i="6"/>
  <c r="E644" i="6"/>
  <c r="F644" i="6"/>
  <c r="D645" i="6"/>
  <c r="C645" i="6"/>
  <c r="E645" i="6"/>
  <c r="F645" i="6"/>
  <c r="D646" i="6"/>
  <c r="C646" i="6"/>
  <c r="E646" i="6"/>
  <c r="F646" i="6"/>
  <c r="D647" i="6"/>
  <c r="C647" i="6"/>
  <c r="E647" i="6"/>
  <c r="F647" i="6"/>
  <c r="D648" i="6"/>
  <c r="C648" i="6"/>
  <c r="E648" i="6"/>
  <c r="F648" i="6"/>
  <c r="D649" i="6"/>
  <c r="C649" i="6"/>
  <c r="E649" i="6"/>
  <c r="F649" i="6"/>
  <c r="D650" i="6"/>
  <c r="C650" i="6"/>
  <c r="E650" i="6"/>
  <c r="F650" i="6"/>
  <c r="D651" i="6"/>
  <c r="C651" i="6"/>
  <c r="E651" i="6"/>
  <c r="F651" i="6"/>
  <c r="D652" i="6"/>
  <c r="C652" i="6"/>
  <c r="E652" i="6"/>
  <c r="F652" i="6"/>
  <c r="D653" i="6"/>
  <c r="C653" i="6"/>
  <c r="E653" i="6"/>
  <c r="F653" i="6"/>
  <c r="D654" i="6"/>
  <c r="C654" i="6"/>
  <c r="E654" i="6"/>
  <c r="F654" i="6"/>
  <c r="D655" i="6"/>
  <c r="C655" i="6"/>
  <c r="E655" i="6"/>
  <c r="F655" i="6"/>
  <c r="D656" i="6"/>
  <c r="C656" i="6"/>
  <c r="E656" i="6"/>
  <c r="F656" i="6"/>
  <c r="D657" i="6"/>
  <c r="C657" i="6"/>
  <c r="E657" i="6"/>
  <c r="F657" i="6"/>
  <c r="D658" i="6"/>
  <c r="C658" i="6"/>
  <c r="E658" i="6"/>
  <c r="F658" i="6"/>
  <c r="D659" i="6"/>
  <c r="C659" i="6"/>
  <c r="E659" i="6"/>
  <c r="F659" i="6"/>
  <c r="D660" i="6"/>
  <c r="C660" i="6"/>
  <c r="E660" i="6"/>
  <c r="F660" i="6"/>
  <c r="D661" i="6"/>
  <c r="C661" i="6"/>
  <c r="E661" i="6"/>
  <c r="F661" i="6"/>
  <c r="D662" i="6"/>
  <c r="C662" i="6"/>
  <c r="E662" i="6"/>
  <c r="F662" i="6"/>
  <c r="D663" i="6"/>
  <c r="C663" i="6"/>
  <c r="E663" i="6"/>
  <c r="F663" i="6"/>
  <c r="D664" i="6"/>
  <c r="C664" i="6"/>
  <c r="E664" i="6"/>
  <c r="F664" i="6"/>
  <c r="D665" i="6"/>
  <c r="C665" i="6"/>
  <c r="E665" i="6"/>
  <c r="F665" i="6"/>
  <c r="D666" i="6"/>
  <c r="C666" i="6"/>
  <c r="E666" i="6"/>
  <c r="F666" i="6"/>
  <c r="D667" i="6"/>
  <c r="C667" i="6"/>
  <c r="E667" i="6"/>
  <c r="F667" i="6"/>
  <c r="D668" i="6"/>
  <c r="C668" i="6"/>
  <c r="E668" i="6"/>
  <c r="F668" i="6"/>
  <c r="D669" i="6"/>
  <c r="C669" i="6"/>
  <c r="E669" i="6"/>
  <c r="F669" i="6"/>
  <c r="D670" i="6"/>
  <c r="C670" i="6"/>
  <c r="E670" i="6"/>
  <c r="F670" i="6"/>
  <c r="D671" i="6"/>
  <c r="C671" i="6"/>
  <c r="E671" i="6"/>
  <c r="F671" i="6"/>
  <c r="D672" i="6"/>
  <c r="C672" i="6"/>
  <c r="E672" i="6"/>
  <c r="F672" i="6"/>
  <c r="D673" i="6"/>
  <c r="C673" i="6"/>
  <c r="E673" i="6"/>
  <c r="F673" i="6"/>
  <c r="D674" i="6"/>
  <c r="C674" i="6"/>
  <c r="E674" i="6"/>
  <c r="F674" i="6"/>
  <c r="D675" i="6"/>
  <c r="C675" i="6"/>
  <c r="E675" i="6"/>
  <c r="F675" i="6"/>
  <c r="D676" i="6"/>
  <c r="C676" i="6"/>
  <c r="E676" i="6"/>
  <c r="F676" i="6"/>
  <c r="D677" i="6"/>
  <c r="C677" i="6"/>
  <c r="E677" i="6"/>
  <c r="F677" i="6"/>
  <c r="D678" i="6"/>
  <c r="C678" i="6"/>
  <c r="E678" i="6"/>
  <c r="F678" i="6"/>
  <c r="D679" i="6"/>
  <c r="C679" i="6"/>
  <c r="E679" i="6"/>
  <c r="F679" i="6"/>
  <c r="D680" i="6"/>
  <c r="C680" i="6"/>
  <c r="E680" i="6"/>
  <c r="F680" i="6"/>
  <c r="D681" i="6"/>
  <c r="C681" i="6"/>
  <c r="E681" i="6"/>
  <c r="F681" i="6"/>
  <c r="D682" i="6"/>
  <c r="C682" i="6"/>
  <c r="E682" i="6"/>
  <c r="F682" i="6"/>
  <c r="D683" i="6"/>
  <c r="C683" i="6"/>
  <c r="E683" i="6"/>
  <c r="F683" i="6"/>
  <c r="D684" i="6"/>
  <c r="C684" i="6"/>
  <c r="E684" i="6"/>
  <c r="F684" i="6"/>
  <c r="D685" i="6"/>
  <c r="C685" i="6"/>
  <c r="E685" i="6"/>
  <c r="F685" i="6"/>
  <c r="D686" i="6"/>
  <c r="C686" i="6"/>
  <c r="E686" i="6"/>
  <c r="F686" i="6"/>
  <c r="D687" i="6"/>
  <c r="C687" i="6"/>
  <c r="E687" i="6"/>
  <c r="F687" i="6"/>
  <c r="D688" i="6"/>
  <c r="C688" i="6"/>
  <c r="E688" i="6"/>
  <c r="F688" i="6"/>
  <c r="D689" i="6"/>
  <c r="C689" i="6"/>
  <c r="E689" i="6"/>
  <c r="F689" i="6"/>
  <c r="D690" i="6"/>
  <c r="C690" i="6"/>
  <c r="E690" i="6"/>
  <c r="F690" i="6"/>
  <c r="D691" i="6"/>
  <c r="C691" i="6"/>
  <c r="E691" i="6"/>
  <c r="F691" i="6"/>
  <c r="D692" i="6"/>
  <c r="C692" i="6"/>
  <c r="E692" i="6"/>
  <c r="F692" i="6"/>
  <c r="D693" i="6"/>
  <c r="C693" i="6"/>
  <c r="E693" i="6"/>
  <c r="F693" i="6"/>
  <c r="D694" i="6"/>
  <c r="C694" i="6"/>
  <c r="E694" i="6"/>
  <c r="F694" i="6"/>
  <c r="D695" i="6"/>
  <c r="C695" i="6"/>
  <c r="E695" i="6"/>
  <c r="F695" i="6"/>
  <c r="D696" i="6"/>
  <c r="C696" i="6"/>
  <c r="E696" i="6"/>
  <c r="F696" i="6"/>
  <c r="D697" i="6"/>
  <c r="C697" i="6"/>
  <c r="E697" i="6"/>
  <c r="F697" i="6"/>
  <c r="D698" i="6"/>
  <c r="C698" i="6"/>
  <c r="E698" i="6"/>
  <c r="F698" i="6"/>
  <c r="D699" i="6"/>
  <c r="C699" i="6"/>
  <c r="E699" i="6"/>
  <c r="F699" i="6"/>
  <c r="D700" i="6"/>
  <c r="C700" i="6"/>
  <c r="E700" i="6"/>
  <c r="F700" i="6"/>
  <c r="D701" i="6"/>
  <c r="C701" i="6"/>
  <c r="E701" i="6"/>
  <c r="F701" i="6"/>
  <c r="D702" i="6"/>
  <c r="C702" i="6"/>
  <c r="E702" i="6"/>
  <c r="F702" i="6"/>
  <c r="D703" i="6"/>
  <c r="C703" i="6"/>
  <c r="E703" i="6"/>
  <c r="F703" i="6"/>
  <c r="D704" i="6"/>
  <c r="C704" i="6"/>
  <c r="E704" i="6"/>
  <c r="F704" i="6"/>
  <c r="D705" i="6"/>
  <c r="C705" i="6"/>
  <c r="E705" i="6"/>
  <c r="F705" i="6"/>
  <c r="D706" i="6"/>
  <c r="C706" i="6"/>
  <c r="E706" i="6"/>
  <c r="F706" i="6"/>
  <c r="D707" i="6"/>
  <c r="C707" i="6"/>
  <c r="E707" i="6"/>
  <c r="F707" i="6"/>
  <c r="D708" i="6"/>
  <c r="C708" i="6"/>
  <c r="E708" i="6"/>
  <c r="F708" i="6"/>
  <c r="D709" i="6"/>
  <c r="C709" i="6"/>
  <c r="E709" i="6"/>
  <c r="F709" i="6"/>
  <c r="D710" i="6"/>
  <c r="C710" i="6"/>
  <c r="E710" i="6"/>
  <c r="F710" i="6"/>
  <c r="D711" i="6"/>
  <c r="C711" i="6"/>
  <c r="E711" i="6"/>
  <c r="F711" i="6"/>
  <c r="D712" i="6"/>
  <c r="C712" i="6"/>
  <c r="E712" i="6"/>
  <c r="F712" i="6"/>
  <c r="D713" i="6"/>
  <c r="C713" i="6"/>
  <c r="E713" i="6"/>
  <c r="F713" i="6"/>
  <c r="D714" i="6"/>
  <c r="C714" i="6"/>
  <c r="E714" i="6"/>
  <c r="F714" i="6"/>
  <c r="D715" i="6"/>
  <c r="C715" i="6"/>
  <c r="E715" i="6"/>
  <c r="F715" i="6"/>
  <c r="D716" i="6"/>
  <c r="C716" i="6"/>
  <c r="E716" i="6"/>
  <c r="F716" i="6"/>
  <c r="D717" i="6"/>
  <c r="C717" i="6"/>
  <c r="E717" i="6"/>
  <c r="F717" i="6"/>
  <c r="D718" i="6"/>
  <c r="C718" i="6"/>
  <c r="E718" i="6"/>
  <c r="F718" i="6"/>
  <c r="D719" i="6"/>
  <c r="C719" i="6"/>
  <c r="E719" i="6"/>
  <c r="F719" i="6"/>
  <c r="D720" i="6"/>
  <c r="C720" i="6"/>
  <c r="E720" i="6"/>
  <c r="F720" i="6"/>
  <c r="D721" i="6"/>
  <c r="C721" i="6"/>
  <c r="E721" i="6"/>
  <c r="F721" i="6"/>
  <c r="D722" i="6"/>
  <c r="C722" i="6"/>
  <c r="E722" i="6"/>
  <c r="F722" i="6"/>
  <c r="D723" i="6"/>
  <c r="C723" i="6"/>
  <c r="E723" i="6"/>
  <c r="F723" i="6"/>
  <c r="D724" i="6"/>
  <c r="C724" i="6"/>
  <c r="E724" i="6"/>
  <c r="F724" i="6"/>
  <c r="D725" i="6"/>
  <c r="C725" i="6"/>
  <c r="E725" i="6"/>
  <c r="F725" i="6"/>
  <c r="D726" i="6"/>
  <c r="C726" i="6"/>
  <c r="E726" i="6"/>
  <c r="F726" i="6"/>
  <c r="D727" i="6"/>
  <c r="C727" i="6"/>
  <c r="E727" i="6"/>
  <c r="F727" i="6"/>
  <c r="D728" i="6"/>
  <c r="C728" i="6"/>
  <c r="E728" i="6"/>
  <c r="F728" i="6"/>
  <c r="D729" i="6"/>
  <c r="C729" i="6"/>
  <c r="E729" i="6"/>
  <c r="F729" i="6"/>
  <c r="D730" i="6"/>
  <c r="C730" i="6"/>
  <c r="E730" i="6"/>
  <c r="F730" i="6"/>
  <c r="D731" i="6"/>
  <c r="C731" i="6"/>
  <c r="E731" i="6"/>
  <c r="F731" i="6"/>
  <c r="D732" i="6"/>
  <c r="C732" i="6"/>
  <c r="E732" i="6"/>
  <c r="F732" i="6"/>
  <c r="D733" i="6"/>
  <c r="C733" i="6"/>
  <c r="E733" i="6"/>
  <c r="F733" i="6"/>
  <c r="D734" i="6"/>
  <c r="C734" i="6"/>
  <c r="E734" i="6"/>
  <c r="F734" i="6"/>
  <c r="D735" i="6"/>
  <c r="C735" i="6"/>
  <c r="E735" i="6"/>
  <c r="F735" i="6"/>
  <c r="D736" i="6"/>
  <c r="C736" i="6"/>
  <c r="E736" i="6"/>
  <c r="F736" i="6"/>
  <c r="D737" i="6"/>
  <c r="C737" i="6"/>
  <c r="E737" i="6"/>
  <c r="F737" i="6"/>
  <c r="D738" i="6"/>
  <c r="C738" i="6"/>
  <c r="E738" i="6"/>
  <c r="F738" i="6"/>
  <c r="D739" i="6"/>
  <c r="C739" i="6"/>
  <c r="E739" i="6"/>
  <c r="F739" i="6"/>
  <c r="D740" i="6"/>
  <c r="C740" i="6"/>
  <c r="E740" i="6"/>
  <c r="F740" i="6"/>
  <c r="D741" i="6"/>
  <c r="C741" i="6"/>
  <c r="E741" i="6"/>
  <c r="F741" i="6"/>
  <c r="D742" i="6"/>
  <c r="C742" i="6"/>
  <c r="E742" i="6"/>
  <c r="F742" i="6"/>
  <c r="D743" i="6"/>
  <c r="C743" i="6"/>
  <c r="E743" i="6"/>
  <c r="F743" i="6"/>
  <c r="D744" i="6"/>
  <c r="C744" i="6"/>
  <c r="E744" i="6"/>
  <c r="F744" i="6"/>
  <c r="D745" i="6"/>
  <c r="C745" i="6"/>
  <c r="E745" i="6"/>
  <c r="F745" i="6"/>
  <c r="D746" i="6"/>
  <c r="C746" i="6"/>
  <c r="E746" i="6"/>
  <c r="F746" i="6"/>
  <c r="D747" i="6"/>
  <c r="C747" i="6"/>
  <c r="E747" i="6"/>
  <c r="F747" i="6"/>
  <c r="D748" i="6"/>
  <c r="C748" i="6"/>
  <c r="E748" i="6"/>
  <c r="F748" i="6"/>
  <c r="D749" i="6"/>
  <c r="C749" i="6"/>
  <c r="E749" i="6"/>
  <c r="F749" i="6"/>
  <c r="D750" i="6"/>
  <c r="C750" i="6"/>
  <c r="E750" i="6"/>
  <c r="F750" i="6"/>
  <c r="D751" i="6"/>
  <c r="C751" i="6"/>
  <c r="E751" i="6"/>
  <c r="F751" i="6"/>
  <c r="D752" i="6"/>
  <c r="C752" i="6"/>
  <c r="E752" i="6"/>
  <c r="F752" i="6"/>
  <c r="D753" i="6"/>
  <c r="C753" i="6"/>
  <c r="E753" i="6"/>
  <c r="F753" i="6"/>
  <c r="D754" i="6"/>
  <c r="C754" i="6"/>
  <c r="E754" i="6"/>
  <c r="F754" i="6"/>
  <c r="D755" i="6"/>
  <c r="C755" i="6"/>
  <c r="E755" i="6"/>
  <c r="F755" i="6"/>
  <c r="D756" i="6"/>
  <c r="C756" i="6"/>
  <c r="E756" i="6"/>
  <c r="F756" i="6"/>
  <c r="D757" i="6"/>
  <c r="C757" i="6"/>
  <c r="E757" i="6"/>
  <c r="F757" i="6"/>
  <c r="D758" i="6"/>
  <c r="C758" i="6"/>
  <c r="E758" i="6"/>
  <c r="F758" i="6"/>
  <c r="D759" i="6"/>
  <c r="C759" i="6"/>
  <c r="E759" i="6"/>
  <c r="F759" i="6"/>
  <c r="D760" i="6"/>
  <c r="C760" i="6"/>
  <c r="E760" i="6"/>
  <c r="F760" i="6"/>
  <c r="D761" i="6"/>
  <c r="C761" i="6"/>
  <c r="E761" i="6"/>
  <c r="F761" i="6"/>
  <c r="D762" i="6"/>
  <c r="C762" i="6"/>
  <c r="E762" i="6"/>
  <c r="F762" i="6"/>
  <c r="D763" i="6"/>
  <c r="C763" i="6"/>
  <c r="E763" i="6"/>
  <c r="F763" i="6"/>
  <c r="D764" i="6"/>
  <c r="C764" i="6"/>
  <c r="E764" i="6"/>
  <c r="F764" i="6"/>
  <c r="D765" i="6"/>
  <c r="C765" i="6"/>
  <c r="E765" i="6"/>
  <c r="F765" i="6"/>
  <c r="D766" i="6"/>
  <c r="C766" i="6"/>
  <c r="E766" i="6"/>
  <c r="F766" i="6"/>
  <c r="D767" i="6"/>
  <c r="C767" i="6"/>
  <c r="E767" i="6"/>
  <c r="F767" i="6"/>
  <c r="D768" i="6"/>
  <c r="C768" i="6"/>
  <c r="E768" i="6"/>
  <c r="F768" i="6"/>
  <c r="D769" i="6"/>
  <c r="C769" i="6"/>
  <c r="E769" i="6"/>
  <c r="F769" i="6"/>
  <c r="D770" i="6"/>
  <c r="C770" i="6"/>
  <c r="E770" i="6"/>
  <c r="F770" i="6"/>
  <c r="D771" i="6"/>
  <c r="C771" i="6"/>
  <c r="E771" i="6"/>
  <c r="F771" i="6"/>
  <c r="D772" i="6"/>
  <c r="C772" i="6"/>
  <c r="E772" i="6"/>
  <c r="F772" i="6"/>
  <c r="D773" i="6"/>
  <c r="C773" i="6"/>
  <c r="E773" i="6"/>
  <c r="F773" i="6"/>
  <c r="D774" i="6"/>
  <c r="C774" i="6"/>
  <c r="E774" i="6"/>
  <c r="F774" i="6"/>
  <c r="D775" i="6"/>
  <c r="C775" i="6"/>
  <c r="E775" i="6"/>
  <c r="F775" i="6"/>
  <c r="D776" i="6"/>
  <c r="C776" i="6"/>
  <c r="E776" i="6"/>
  <c r="F776" i="6"/>
  <c r="D777" i="6"/>
  <c r="C777" i="6"/>
  <c r="E777" i="6"/>
  <c r="F777" i="6"/>
  <c r="D778" i="6"/>
  <c r="C778" i="6"/>
  <c r="E778" i="6"/>
  <c r="F778" i="6"/>
  <c r="D779" i="6"/>
  <c r="C779" i="6"/>
  <c r="E779" i="6"/>
  <c r="F779" i="6"/>
  <c r="D780" i="6"/>
  <c r="C780" i="6"/>
  <c r="E780" i="6"/>
  <c r="F780" i="6"/>
  <c r="D781" i="6"/>
  <c r="C781" i="6"/>
  <c r="E781" i="6"/>
  <c r="F781" i="6"/>
  <c r="D782" i="6"/>
  <c r="C782" i="6"/>
  <c r="E782" i="6"/>
  <c r="F782" i="6"/>
  <c r="D783" i="6"/>
  <c r="C783" i="6"/>
  <c r="E783" i="6"/>
  <c r="F783" i="6"/>
  <c r="D784" i="6"/>
  <c r="C784" i="6"/>
  <c r="E784" i="6"/>
  <c r="F784" i="6"/>
  <c r="D785" i="6"/>
  <c r="C785" i="6"/>
  <c r="E785" i="6"/>
  <c r="F785" i="6"/>
  <c r="D786" i="6"/>
  <c r="C786" i="6"/>
  <c r="E786" i="6"/>
  <c r="F786" i="6"/>
  <c r="D787" i="6"/>
  <c r="C787" i="6"/>
  <c r="E787" i="6"/>
  <c r="F787" i="6"/>
  <c r="D788" i="6"/>
  <c r="C788" i="6"/>
  <c r="E788" i="6"/>
  <c r="F788" i="6"/>
  <c r="D789" i="6"/>
  <c r="C789" i="6"/>
  <c r="E789" i="6"/>
  <c r="F789" i="6"/>
  <c r="D790" i="6"/>
  <c r="C790" i="6"/>
  <c r="E790" i="6"/>
  <c r="F790" i="6"/>
  <c r="D791" i="6"/>
  <c r="C791" i="6"/>
  <c r="E791" i="6"/>
  <c r="F791" i="6"/>
  <c r="D792" i="6"/>
  <c r="C792" i="6"/>
  <c r="E792" i="6"/>
  <c r="F792" i="6"/>
  <c r="D793" i="6"/>
  <c r="C793" i="6"/>
  <c r="E793" i="6"/>
  <c r="F793" i="6"/>
  <c r="D794" i="6"/>
  <c r="C794" i="6"/>
  <c r="E794" i="6"/>
  <c r="F794" i="6"/>
  <c r="D795" i="6"/>
  <c r="C795" i="6"/>
  <c r="E795" i="6"/>
  <c r="F795" i="6"/>
  <c r="D796" i="6"/>
  <c r="C796" i="6"/>
  <c r="E796" i="6"/>
  <c r="F796" i="6"/>
  <c r="D797" i="6"/>
  <c r="C797" i="6"/>
  <c r="E797" i="6"/>
  <c r="F797" i="6"/>
  <c r="D798" i="6"/>
  <c r="C798" i="6"/>
  <c r="E798" i="6"/>
  <c r="F798" i="6"/>
  <c r="D799" i="6"/>
  <c r="C799" i="6"/>
  <c r="E799" i="6"/>
  <c r="F799" i="6"/>
  <c r="D800" i="6"/>
  <c r="C800" i="6"/>
  <c r="E800" i="6"/>
  <c r="F800" i="6"/>
  <c r="D801" i="6"/>
  <c r="C801" i="6"/>
  <c r="E801" i="6"/>
  <c r="F801" i="6"/>
  <c r="D802" i="6"/>
  <c r="C802" i="6"/>
  <c r="E802" i="6"/>
  <c r="F802" i="6"/>
  <c r="D803" i="6"/>
  <c r="C803" i="6"/>
  <c r="E803" i="6"/>
  <c r="F803" i="6"/>
  <c r="D804" i="6"/>
  <c r="C804" i="6"/>
  <c r="E804" i="6"/>
  <c r="F804" i="6"/>
  <c r="D805" i="6"/>
  <c r="C805" i="6"/>
  <c r="E805" i="6"/>
  <c r="F805" i="6"/>
  <c r="D806" i="6"/>
  <c r="C806" i="6"/>
  <c r="E806" i="6"/>
  <c r="F806" i="6"/>
  <c r="D807" i="6"/>
  <c r="C807" i="6"/>
  <c r="E807" i="6"/>
  <c r="F807" i="6"/>
  <c r="D808" i="6"/>
  <c r="C808" i="6"/>
  <c r="E808" i="6"/>
  <c r="F808" i="6"/>
  <c r="D809" i="6"/>
  <c r="C809" i="6"/>
  <c r="E809" i="6"/>
  <c r="F809" i="6"/>
  <c r="D810" i="6"/>
  <c r="C810" i="6"/>
  <c r="E810" i="6"/>
  <c r="F810" i="6"/>
  <c r="D811" i="6"/>
  <c r="C811" i="6"/>
  <c r="E811" i="6"/>
  <c r="F811" i="6"/>
  <c r="D812" i="6"/>
  <c r="C812" i="6"/>
  <c r="E812" i="6"/>
  <c r="F812" i="6"/>
  <c r="D813" i="6"/>
  <c r="C813" i="6"/>
  <c r="E813" i="6"/>
  <c r="F813" i="6"/>
  <c r="D814" i="6"/>
  <c r="C814" i="6"/>
  <c r="E814" i="6"/>
  <c r="F814" i="6"/>
  <c r="D815" i="6"/>
  <c r="C815" i="6"/>
  <c r="E815" i="6"/>
  <c r="F815" i="6"/>
  <c r="D816" i="6"/>
  <c r="C816" i="6"/>
  <c r="E816" i="6"/>
  <c r="F816" i="6"/>
  <c r="D817" i="6"/>
  <c r="C817" i="6"/>
  <c r="E817" i="6"/>
  <c r="F817" i="6"/>
  <c r="D818" i="6"/>
  <c r="C818" i="6"/>
  <c r="E818" i="6"/>
  <c r="F818" i="6"/>
  <c r="D819" i="6"/>
  <c r="C819" i="6"/>
  <c r="E819" i="6"/>
  <c r="F819" i="6"/>
  <c r="D820" i="6"/>
  <c r="C820" i="6"/>
  <c r="E820" i="6"/>
  <c r="F820" i="6"/>
  <c r="D821" i="6"/>
  <c r="C821" i="6"/>
  <c r="E821" i="6"/>
  <c r="F821" i="6"/>
  <c r="D822" i="6"/>
  <c r="C822" i="6"/>
  <c r="E822" i="6"/>
  <c r="F822" i="6"/>
  <c r="D823" i="6"/>
  <c r="C823" i="6"/>
  <c r="E823" i="6"/>
  <c r="F823" i="6"/>
  <c r="D824" i="6"/>
  <c r="C824" i="6"/>
  <c r="E824" i="6"/>
  <c r="F824" i="6"/>
  <c r="D825" i="6"/>
  <c r="C825" i="6"/>
  <c r="E825" i="6"/>
  <c r="F825" i="6"/>
  <c r="D826" i="6"/>
  <c r="C826" i="6"/>
  <c r="E826" i="6"/>
  <c r="F826" i="6"/>
  <c r="D827" i="6"/>
  <c r="C827" i="6"/>
  <c r="E827" i="6"/>
  <c r="F827" i="6"/>
  <c r="D828" i="6"/>
  <c r="C828" i="6"/>
  <c r="E828" i="6"/>
  <c r="F828" i="6"/>
  <c r="D829" i="6"/>
  <c r="C829" i="6"/>
  <c r="E829" i="6"/>
  <c r="F829" i="6"/>
  <c r="D830" i="6"/>
  <c r="C830" i="6"/>
  <c r="E830" i="6"/>
  <c r="F830" i="6"/>
  <c r="D831" i="6"/>
  <c r="C831" i="6"/>
  <c r="E831" i="6"/>
  <c r="F831" i="6"/>
  <c r="D832" i="6"/>
  <c r="C832" i="6"/>
  <c r="E832" i="6"/>
  <c r="F832" i="6"/>
  <c r="D833" i="6"/>
  <c r="C833" i="6"/>
  <c r="E833" i="6"/>
  <c r="F833" i="6"/>
  <c r="D834" i="6"/>
  <c r="C834" i="6"/>
  <c r="E834" i="6"/>
  <c r="F834" i="6"/>
  <c r="D835" i="6"/>
  <c r="C835" i="6"/>
  <c r="E835" i="6"/>
  <c r="F835" i="6"/>
  <c r="D836" i="6"/>
  <c r="C836" i="6"/>
  <c r="E836" i="6"/>
  <c r="F836" i="6"/>
  <c r="D837" i="6"/>
  <c r="C837" i="6"/>
  <c r="E837" i="6"/>
  <c r="F837" i="6"/>
  <c r="D838" i="6"/>
  <c r="C838" i="6"/>
  <c r="E838" i="6"/>
  <c r="F838" i="6"/>
  <c r="D839" i="6"/>
  <c r="C839" i="6"/>
  <c r="E839" i="6"/>
  <c r="F839" i="6"/>
  <c r="D840" i="6"/>
  <c r="C840" i="6"/>
  <c r="E840" i="6"/>
  <c r="F840" i="6"/>
  <c r="D841" i="6"/>
  <c r="C841" i="6"/>
  <c r="E841" i="6"/>
  <c r="F841" i="6"/>
  <c r="D842" i="6"/>
  <c r="C842" i="6"/>
  <c r="E842" i="6"/>
  <c r="F842" i="6"/>
  <c r="D843" i="6"/>
  <c r="C843" i="6"/>
  <c r="E843" i="6"/>
  <c r="F843" i="6"/>
  <c r="D844" i="6"/>
  <c r="C844" i="6"/>
  <c r="E844" i="6"/>
  <c r="F844" i="6"/>
  <c r="D845" i="6"/>
  <c r="C845" i="6"/>
  <c r="E845" i="6"/>
  <c r="F845" i="6"/>
  <c r="D846" i="6"/>
  <c r="C846" i="6"/>
  <c r="E846" i="6"/>
  <c r="F846" i="6"/>
  <c r="D847" i="6"/>
  <c r="C847" i="6"/>
  <c r="E847" i="6"/>
  <c r="F847" i="6"/>
  <c r="D848" i="6"/>
  <c r="C848" i="6"/>
  <c r="E848" i="6"/>
  <c r="F848" i="6"/>
  <c r="D849" i="6"/>
  <c r="C849" i="6"/>
  <c r="E849" i="6"/>
  <c r="F849" i="6"/>
  <c r="D850" i="6"/>
  <c r="C850" i="6"/>
  <c r="E850" i="6"/>
  <c r="F850" i="6"/>
  <c r="D851" i="6"/>
  <c r="C851" i="6"/>
  <c r="E851" i="6"/>
  <c r="F851" i="6"/>
  <c r="D852" i="6"/>
  <c r="C852" i="6"/>
  <c r="E852" i="6"/>
  <c r="F852" i="6"/>
  <c r="D853" i="6"/>
  <c r="C853" i="6"/>
  <c r="E853" i="6"/>
  <c r="F853" i="6"/>
  <c r="D854" i="6"/>
  <c r="C854" i="6"/>
  <c r="E854" i="6"/>
  <c r="F854" i="6"/>
  <c r="D855" i="6"/>
  <c r="C855" i="6"/>
  <c r="E855" i="6"/>
  <c r="F855" i="6"/>
  <c r="D856" i="6"/>
  <c r="C856" i="6"/>
  <c r="E856" i="6"/>
  <c r="F856" i="6"/>
  <c r="D857" i="6"/>
  <c r="C857" i="6"/>
  <c r="E857" i="6"/>
  <c r="F857" i="6"/>
  <c r="D858" i="6"/>
  <c r="C858" i="6"/>
  <c r="E858" i="6"/>
  <c r="F858" i="6"/>
  <c r="D859" i="6"/>
  <c r="C859" i="6"/>
  <c r="E859" i="6"/>
  <c r="F859" i="6"/>
  <c r="D860" i="6"/>
  <c r="C860" i="6"/>
  <c r="E860" i="6"/>
  <c r="F860" i="6"/>
  <c r="D861" i="6"/>
  <c r="C861" i="6"/>
  <c r="E861" i="6"/>
  <c r="F861" i="6"/>
  <c r="D862" i="6"/>
  <c r="C862" i="6"/>
  <c r="E862" i="6"/>
  <c r="F862" i="6"/>
  <c r="D863" i="6"/>
  <c r="C863" i="6"/>
  <c r="E863" i="6"/>
  <c r="F863" i="6"/>
  <c r="D864" i="6"/>
  <c r="C864" i="6"/>
  <c r="E864" i="6"/>
  <c r="F864" i="6"/>
  <c r="D865" i="6"/>
  <c r="C865" i="6"/>
  <c r="E865" i="6"/>
  <c r="F865" i="6"/>
  <c r="D866" i="6"/>
  <c r="C866" i="6"/>
  <c r="E866" i="6"/>
  <c r="F866" i="6"/>
  <c r="D867" i="6"/>
  <c r="C867" i="6"/>
  <c r="E867" i="6"/>
  <c r="F867" i="6"/>
  <c r="D868" i="6"/>
  <c r="C868" i="6"/>
  <c r="E868" i="6"/>
  <c r="F868" i="6"/>
  <c r="D869" i="6"/>
  <c r="C869" i="6"/>
  <c r="E869" i="6"/>
  <c r="F869" i="6"/>
  <c r="D870" i="6"/>
  <c r="C870" i="6"/>
  <c r="E870" i="6"/>
  <c r="F870" i="6"/>
  <c r="D871" i="6"/>
  <c r="C871" i="6"/>
  <c r="E871" i="6"/>
  <c r="F871" i="6"/>
  <c r="D872" i="6"/>
  <c r="C872" i="6"/>
  <c r="E872" i="6"/>
  <c r="F872" i="6"/>
  <c r="D873" i="6"/>
  <c r="C873" i="6"/>
  <c r="E873" i="6"/>
  <c r="F873" i="6"/>
  <c r="D874" i="6"/>
  <c r="C874" i="6"/>
  <c r="E874" i="6"/>
  <c r="F874" i="6"/>
  <c r="D875" i="6"/>
  <c r="C875" i="6"/>
  <c r="E875" i="6"/>
  <c r="F875" i="6"/>
  <c r="D876" i="6"/>
  <c r="C876" i="6"/>
  <c r="E876" i="6"/>
  <c r="F876" i="6"/>
  <c r="D877" i="6"/>
  <c r="C877" i="6"/>
  <c r="E877" i="6"/>
  <c r="F877" i="6"/>
  <c r="D878" i="6"/>
  <c r="C878" i="6"/>
  <c r="E878" i="6"/>
  <c r="F878" i="6"/>
  <c r="D879" i="6"/>
  <c r="C879" i="6"/>
  <c r="E879" i="6"/>
  <c r="F879" i="6"/>
  <c r="D880" i="6"/>
  <c r="C880" i="6"/>
  <c r="E880" i="6"/>
  <c r="F880" i="6"/>
  <c r="D881" i="6"/>
  <c r="C881" i="6"/>
  <c r="E881" i="6"/>
  <c r="F881" i="6"/>
  <c r="D882" i="6"/>
  <c r="C882" i="6"/>
  <c r="E882" i="6"/>
  <c r="F882" i="6"/>
  <c r="D883" i="6"/>
  <c r="C883" i="6"/>
  <c r="E883" i="6"/>
  <c r="F883" i="6"/>
  <c r="D884" i="6"/>
  <c r="C884" i="6"/>
  <c r="E884" i="6"/>
  <c r="F884" i="6"/>
  <c r="D885" i="6"/>
  <c r="C885" i="6"/>
  <c r="E885" i="6"/>
  <c r="F885" i="6"/>
  <c r="D886" i="6"/>
  <c r="C886" i="6"/>
  <c r="E886" i="6"/>
  <c r="F886" i="6"/>
  <c r="D887" i="6"/>
  <c r="C887" i="6"/>
  <c r="E887" i="6"/>
  <c r="F887" i="6"/>
  <c r="D888" i="6"/>
  <c r="C888" i="6"/>
  <c r="E888" i="6"/>
  <c r="F888" i="6"/>
  <c r="D889" i="6"/>
  <c r="C889" i="6"/>
  <c r="E889" i="6"/>
  <c r="F889" i="6"/>
  <c r="D890" i="6"/>
  <c r="C890" i="6"/>
  <c r="E890" i="6"/>
  <c r="F890" i="6"/>
  <c r="D891" i="6"/>
  <c r="C891" i="6"/>
  <c r="E891" i="6"/>
  <c r="F891" i="6"/>
  <c r="D892" i="6"/>
  <c r="C892" i="6"/>
  <c r="E892" i="6"/>
  <c r="F892" i="6"/>
  <c r="D893" i="6"/>
  <c r="C893" i="6"/>
  <c r="E893" i="6"/>
  <c r="F893" i="6"/>
  <c r="D894" i="6"/>
  <c r="C894" i="6"/>
  <c r="E894" i="6"/>
  <c r="F894" i="6"/>
  <c r="D895" i="6"/>
  <c r="C895" i="6"/>
  <c r="E895" i="6"/>
  <c r="F895" i="6"/>
  <c r="D896" i="6"/>
  <c r="C896" i="6"/>
  <c r="E896" i="6"/>
  <c r="F896" i="6"/>
  <c r="D897" i="6"/>
  <c r="C897" i="6"/>
  <c r="E897" i="6"/>
  <c r="F897" i="6"/>
  <c r="D898" i="6"/>
  <c r="C898" i="6"/>
  <c r="E898" i="6"/>
  <c r="F898" i="6"/>
  <c r="D899" i="6"/>
  <c r="C899" i="6"/>
  <c r="E899" i="6"/>
  <c r="F899" i="6"/>
  <c r="D900" i="6"/>
  <c r="C900" i="6"/>
  <c r="E900" i="6"/>
  <c r="F900" i="6"/>
  <c r="D901" i="6"/>
  <c r="C901" i="6"/>
  <c r="E901" i="6"/>
  <c r="F901" i="6"/>
  <c r="D902" i="6"/>
  <c r="C902" i="6"/>
  <c r="E902" i="6"/>
  <c r="F902" i="6"/>
  <c r="D903" i="6"/>
  <c r="C903" i="6"/>
  <c r="E903" i="6"/>
  <c r="F903" i="6"/>
  <c r="D904" i="6"/>
  <c r="C904" i="6"/>
  <c r="E904" i="6"/>
  <c r="F904" i="6"/>
  <c r="D905" i="6"/>
  <c r="C905" i="6"/>
  <c r="E905" i="6"/>
  <c r="F905" i="6"/>
  <c r="D906" i="6"/>
  <c r="C906" i="6"/>
  <c r="E906" i="6"/>
  <c r="F906" i="6"/>
  <c r="D907" i="6"/>
  <c r="C907" i="6"/>
  <c r="E907" i="6"/>
  <c r="F907" i="6"/>
  <c r="D908" i="6"/>
  <c r="C908" i="6"/>
  <c r="E908" i="6"/>
  <c r="F908" i="6"/>
  <c r="D909" i="6"/>
  <c r="C909" i="6"/>
  <c r="E909" i="6"/>
  <c r="F909" i="6"/>
  <c r="D910" i="6"/>
  <c r="C910" i="6"/>
  <c r="E910" i="6"/>
  <c r="F910" i="6"/>
  <c r="D911" i="6"/>
  <c r="C911" i="6"/>
  <c r="E911" i="6"/>
  <c r="F911" i="6"/>
  <c r="D912" i="6"/>
  <c r="C912" i="6"/>
  <c r="E912" i="6"/>
  <c r="F912" i="6"/>
  <c r="D913" i="6"/>
  <c r="C913" i="6"/>
  <c r="E913" i="6"/>
  <c r="F913" i="6"/>
  <c r="D914" i="6"/>
  <c r="C914" i="6"/>
  <c r="E914" i="6"/>
  <c r="F914" i="6"/>
  <c r="D915" i="6"/>
  <c r="C915" i="6"/>
  <c r="E915" i="6"/>
  <c r="F915" i="6"/>
  <c r="D916" i="6"/>
  <c r="C916" i="6"/>
  <c r="E916" i="6"/>
  <c r="F916" i="6"/>
  <c r="D917" i="6"/>
  <c r="C917" i="6"/>
  <c r="E917" i="6"/>
  <c r="F917" i="6"/>
  <c r="D918" i="6"/>
  <c r="C918" i="6"/>
  <c r="E918" i="6"/>
  <c r="F918" i="6"/>
  <c r="D919" i="6"/>
  <c r="C919" i="6"/>
  <c r="E919" i="6"/>
  <c r="F919" i="6"/>
  <c r="D920" i="6"/>
  <c r="C920" i="6"/>
  <c r="E920" i="6"/>
  <c r="F920" i="6"/>
  <c r="D921" i="6"/>
  <c r="C921" i="6"/>
  <c r="E921" i="6"/>
  <c r="F921" i="6"/>
  <c r="D922" i="6"/>
  <c r="C922" i="6"/>
  <c r="E922" i="6"/>
  <c r="F922" i="6"/>
  <c r="D923" i="6"/>
  <c r="C923" i="6"/>
  <c r="E923" i="6"/>
  <c r="F923" i="6"/>
  <c r="D924" i="6"/>
  <c r="C924" i="6"/>
  <c r="E924" i="6"/>
  <c r="F924" i="6"/>
  <c r="D925" i="6"/>
  <c r="C925" i="6"/>
  <c r="E925" i="6"/>
  <c r="F925" i="6"/>
  <c r="D926" i="6"/>
  <c r="C926" i="6"/>
  <c r="E926" i="6"/>
  <c r="F926" i="6"/>
  <c r="D927" i="6"/>
  <c r="C927" i="6"/>
  <c r="E927" i="6"/>
  <c r="F927" i="6"/>
  <c r="D928" i="6"/>
  <c r="C928" i="6"/>
  <c r="E928" i="6"/>
  <c r="F928" i="6"/>
  <c r="D929" i="6"/>
  <c r="C929" i="6"/>
  <c r="E929" i="6"/>
  <c r="F929" i="6"/>
  <c r="D930" i="6"/>
  <c r="C930" i="6"/>
  <c r="E930" i="6"/>
  <c r="F930" i="6"/>
  <c r="D931" i="6"/>
  <c r="C931" i="6"/>
  <c r="E931" i="6"/>
  <c r="F931" i="6"/>
  <c r="D932" i="6"/>
  <c r="C932" i="6"/>
  <c r="E932" i="6"/>
  <c r="F932" i="6"/>
  <c r="D933" i="6"/>
  <c r="C933" i="6"/>
  <c r="E933" i="6"/>
  <c r="F933" i="6"/>
  <c r="D934" i="6"/>
  <c r="C934" i="6"/>
  <c r="E934" i="6"/>
  <c r="F934" i="6"/>
  <c r="D935" i="6"/>
  <c r="C935" i="6"/>
  <c r="E935" i="6"/>
  <c r="F935" i="6"/>
  <c r="D936" i="6"/>
  <c r="C936" i="6"/>
  <c r="E936" i="6"/>
  <c r="F936" i="6"/>
  <c r="D937" i="6"/>
  <c r="C937" i="6"/>
  <c r="E937" i="6"/>
  <c r="F937" i="6"/>
  <c r="D938" i="6"/>
  <c r="C938" i="6"/>
  <c r="E938" i="6"/>
  <c r="F938" i="6"/>
  <c r="D939" i="6"/>
  <c r="C939" i="6"/>
  <c r="E939" i="6"/>
  <c r="F939" i="6"/>
  <c r="D940" i="6"/>
  <c r="C940" i="6"/>
  <c r="E940" i="6"/>
  <c r="F940" i="6"/>
  <c r="D941" i="6"/>
  <c r="C941" i="6"/>
  <c r="E941" i="6"/>
  <c r="F941" i="6"/>
  <c r="D942" i="6"/>
  <c r="C942" i="6"/>
  <c r="E942" i="6"/>
  <c r="F942" i="6"/>
  <c r="D943" i="6"/>
  <c r="C943" i="6"/>
  <c r="E943" i="6"/>
  <c r="F943" i="6"/>
  <c r="D944" i="6"/>
  <c r="C944" i="6"/>
  <c r="E944" i="6"/>
  <c r="F944" i="6"/>
  <c r="D945" i="6"/>
  <c r="C945" i="6"/>
  <c r="E945" i="6"/>
  <c r="F945" i="6"/>
  <c r="D946" i="6"/>
  <c r="C946" i="6"/>
  <c r="E946" i="6"/>
  <c r="F946" i="6"/>
  <c r="D947" i="6"/>
  <c r="C947" i="6"/>
  <c r="E947" i="6"/>
  <c r="F947" i="6"/>
  <c r="D948" i="6"/>
  <c r="C948" i="6"/>
  <c r="E948" i="6"/>
  <c r="F948" i="6"/>
  <c r="D949" i="6"/>
  <c r="C949" i="6"/>
  <c r="E949" i="6"/>
  <c r="F949" i="6"/>
  <c r="D950" i="6"/>
  <c r="C950" i="6"/>
  <c r="E950" i="6"/>
  <c r="F950" i="6"/>
  <c r="D951" i="6"/>
  <c r="C951" i="6"/>
  <c r="E951" i="6"/>
  <c r="F951" i="6"/>
  <c r="D952" i="6"/>
  <c r="C952" i="6"/>
  <c r="E952" i="6"/>
  <c r="F952" i="6"/>
  <c r="D953" i="6"/>
  <c r="C953" i="6"/>
  <c r="E953" i="6"/>
  <c r="F953" i="6"/>
  <c r="D954" i="6"/>
  <c r="C954" i="6"/>
  <c r="E954" i="6"/>
  <c r="F954" i="6"/>
  <c r="D955" i="6"/>
  <c r="C955" i="6"/>
  <c r="E955" i="6"/>
  <c r="F955" i="6"/>
  <c r="D956" i="6"/>
  <c r="C956" i="6"/>
  <c r="E956" i="6"/>
  <c r="F956" i="6"/>
  <c r="D957" i="6"/>
  <c r="C957" i="6"/>
  <c r="E957" i="6"/>
  <c r="F957" i="6"/>
  <c r="D958" i="6"/>
  <c r="C958" i="6"/>
  <c r="E958" i="6"/>
  <c r="F958" i="6"/>
  <c r="D959" i="6"/>
  <c r="C959" i="6"/>
  <c r="E959" i="6"/>
  <c r="F959" i="6"/>
  <c r="D960" i="6"/>
  <c r="C960" i="6"/>
  <c r="E960" i="6"/>
  <c r="F960" i="6"/>
  <c r="D961" i="6"/>
  <c r="C961" i="6"/>
  <c r="E961" i="6"/>
  <c r="F961" i="6"/>
  <c r="D962" i="6"/>
  <c r="C962" i="6"/>
  <c r="E962" i="6"/>
  <c r="F962" i="6"/>
  <c r="D963" i="6"/>
  <c r="C963" i="6"/>
  <c r="E963" i="6"/>
  <c r="F963" i="6"/>
  <c r="D964" i="6"/>
  <c r="C964" i="6"/>
  <c r="E964" i="6"/>
  <c r="F964" i="6"/>
  <c r="D965" i="6"/>
  <c r="C965" i="6"/>
  <c r="E965" i="6"/>
  <c r="F965" i="6"/>
  <c r="D966" i="6"/>
  <c r="C966" i="6"/>
  <c r="E966" i="6"/>
  <c r="F966" i="6"/>
  <c r="D967" i="6"/>
  <c r="C967" i="6"/>
  <c r="E967" i="6"/>
  <c r="F967" i="6"/>
  <c r="D968" i="6"/>
  <c r="C968" i="6"/>
  <c r="E968" i="6"/>
  <c r="F968" i="6"/>
  <c r="D969" i="6"/>
  <c r="C969" i="6"/>
  <c r="E969" i="6"/>
  <c r="F969" i="6"/>
  <c r="D970" i="6"/>
  <c r="C970" i="6"/>
  <c r="E970" i="6"/>
  <c r="F970" i="6"/>
  <c r="D971" i="6"/>
  <c r="C971" i="6"/>
  <c r="E971" i="6"/>
  <c r="F971" i="6"/>
  <c r="D972" i="6"/>
  <c r="C972" i="6"/>
  <c r="E972" i="6"/>
  <c r="F972" i="6"/>
  <c r="D973" i="6"/>
  <c r="C973" i="6"/>
  <c r="E973" i="6"/>
  <c r="F973" i="6"/>
  <c r="D974" i="6"/>
  <c r="C974" i="6"/>
  <c r="E974" i="6"/>
  <c r="F974" i="6"/>
  <c r="D975" i="6"/>
  <c r="C975" i="6"/>
  <c r="E975" i="6"/>
  <c r="F975" i="6"/>
  <c r="D976" i="6"/>
  <c r="C976" i="6"/>
  <c r="E976" i="6"/>
  <c r="F976" i="6"/>
  <c r="D977" i="6"/>
  <c r="C977" i="6"/>
  <c r="E977" i="6"/>
  <c r="F977" i="6"/>
  <c r="D978" i="6"/>
  <c r="C978" i="6"/>
  <c r="E978" i="6"/>
  <c r="F978" i="6"/>
  <c r="D979" i="6"/>
  <c r="C979" i="6"/>
  <c r="E979" i="6"/>
  <c r="F979" i="6"/>
  <c r="D980" i="6"/>
  <c r="C980" i="6"/>
  <c r="E980" i="6"/>
  <c r="F980" i="6"/>
  <c r="D981" i="6"/>
  <c r="C981" i="6"/>
  <c r="E981" i="6"/>
  <c r="F981" i="6"/>
  <c r="D982" i="6"/>
  <c r="C982" i="6"/>
  <c r="E982" i="6"/>
  <c r="F982" i="6"/>
  <c r="D983" i="6"/>
  <c r="C983" i="6"/>
  <c r="E983" i="6"/>
  <c r="F983" i="6"/>
  <c r="D984" i="6"/>
  <c r="C984" i="6"/>
  <c r="E984" i="6"/>
  <c r="F984" i="6"/>
  <c r="D985" i="6"/>
  <c r="C985" i="6"/>
  <c r="E985" i="6"/>
  <c r="F985" i="6"/>
  <c r="D986" i="6"/>
  <c r="C986" i="6"/>
  <c r="E986" i="6"/>
  <c r="F986" i="6"/>
  <c r="D987" i="6"/>
  <c r="C987" i="6"/>
  <c r="E987" i="6"/>
  <c r="F987" i="6"/>
  <c r="D988" i="6"/>
  <c r="C988" i="6"/>
  <c r="E988" i="6"/>
  <c r="F988" i="6"/>
  <c r="D989" i="6"/>
  <c r="C989" i="6"/>
  <c r="E989" i="6"/>
  <c r="F989" i="6"/>
  <c r="D990" i="6"/>
  <c r="C990" i="6"/>
  <c r="E990" i="6"/>
  <c r="F990" i="6"/>
  <c r="D991" i="6"/>
  <c r="C991" i="6"/>
  <c r="E991" i="6"/>
  <c r="F991" i="6"/>
  <c r="D992" i="6"/>
  <c r="C992" i="6"/>
  <c r="E992" i="6"/>
  <c r="F992" i="6"/>
  <c r="D993" i="6"/>
  <c r="C993" i="6"/>
  <c r="E993" i="6"/>
  <c r="F993" i="6"/>
  <c r="D994" i="6"/>
  <c r="C994" i="6"/>
  <c r="E994" i="6"/>
  <c r="F994" i="6"/>
  <c r="D995" i="6"/>
  <c r="C995" i="6"/>
  <c r="E995" i="6"/>
  <c r="F995" i="6"/>
  <c r="D996" i="6"/>
  <c r="C996" i="6"/>
  <c r="E996" i="6"/>
  <c r="F996" i="6"/>
  <c r="D997" i="6"/>
  <c r="C997" i="6"/>
  <c r="E997" i="6"/>
  <c r="F997" i="6"/>
  <c r="D998" i="6"/>
  <c r="C998" i="6"/>
  <c r="E998" i="6"/>
  <c r="F998" i="6"/>
  <c r="D999" i="6"/>
  <c r="C999" i="6"/>
  <c r="E999" i="6"/>
  <c r="F999" i="6"/>
  <c r="D1000" i="6"/>
  <c r="C1000" i="6"/>
  <c r="E1000" i="6"/>
  <c r="F1000" i="6"/>
  <c r="D1001" i="6"/>
  <c r="C1001" i="6"/>
  <c r="E1001" i="6"/>
  <c r="F1001" i="6"/>
  <c r="D1002" i="6"/>
  <c r="C1002" i="6"/>
  <c r="E1002" i="6"/>
  <c r="F1002" i="6"/>
  <c r="D1003" i="6"/>
  <c r="C1003" i="6"/>
  <c r="E1003" i="6"/>
  <c r="F1003" i="6"/>
  <c r="D1004" i="6"/>
  <c r="C1004" i="6"/>
  <c r="E1004" i="6"/>
  <c r="F1004" i="6"/>
  <c r="D1005" i="6"/>
  <c r="C1005" i="6"/>
  <c r="E1005" i="6"/>
  <c r="F1005" i="6"/>
  <c r="D1006" i="6"/>
  <c r="C1006" i="6"/>
  <c r="E1006" i="6"/>
  <c r="F1006" i="6"/>
  <c r="D1007" i="6"/>
  <c r="C1007" i="6"/>
  <c r="E1007" i="6"/>
  <c r="F1007" i="6"/>
  <c r="D1008" i="6"/>
  <c r="C1008" i="6"/>
  <c r="E1008" i="6"/>
  <c r="F1008" i="6"/>
  <c r="D1009" i="6"/>
  <c r="C1009" i="6"/>
  <c r="E1009" i="6"/>
  <c r="F1009" i="6"/>
  <c r="D1010" i="6"/>
  <c r="C1010" i="6"/>
  <c r="E1010" i="6"/>
  <c r="F1010" i="6"/>
  <c r="D1011" i="6"/>
  <c r="C1011" i="6"/>
  <c r="E1011" i="6"/>
  <c r="F1011" i="6"/>
  <c r="D1012" i="6"/>
  <c r="C1012" i="6"/>
  <c r="E1012" i="6"/>
  <c r="F1012" i="6"/>
  <c r="D1013" i="6"/>
  <c r="C1013" i="6"/>
  <c r="E1013" i="6"/>
  <c r="F1013" i="6"/>
  <c r="D1014" i="6"/>
  <c r="C1014" i="6"/>
  <c r="E1014" i="6"/>
  <c r="F1014" i="6"/>
  <c r="D1015" i="6"/>
  <c r="C1015" i="6"/>
  <c r="E1015" i="6"/>
  <c r="F1015" i="6"/>
  <c r="D1016" i="6"/>
  <c r="C1016" i="6"/>
  <c r="E1016" i="6"/>
  <c r="F1016" i="6"/>
  <c r="D1017" i="6"/>
  <c r="C1017" i="6"/>
  <c r="E1017" i="6"/>
  <c r="F1017" i="6"/>
  <c r="D1018" i="6"/>
  <c r="C1018" i="6"/>
  <c r="E1018" i="6"/>
  <c r="F1018" i="6"/>
  <c r="D1019" i="6"/>
  <c r="C1019" i="6"/>
  <c r="E1019" i="6"/>
  <c r="F1019" i="6"/>
  <c r="D1020" i="6"/>
  <c r="C1020" i="6"/>
  <c r="E1020" i="6"/>
  <c r="F1020" i="6"/>
  <c r="D1021" i="6"/>
  <c r="C1021" i="6"/>
  <c r="E1021" i="6"/>
  <c r="F1021" i="6"/>
  <c r="D1022" i="6"/>
  <c r="C1022" i="6"/>
  <c r="E1022" i="6"/>
  <c r="F1022" i="6"/>
  <c r="D1023" i="6"/>
  <c r="C1023" i="6"/>
  <c r="E1023" i="6"/>
  <c r="F1023" i="6"/>
  <c r="D1024" i="6"/>
  <c r="C1024" i="6"/>
  <c r="E1024" i="6"/>
  <c r="F1024" i="6"/>
  <c r="D1025" i="6"/>
  <c r="C1025" i="6"/>
  <c r="E1025" i="6"/>
  <c r="F1025" i="6"/>
  <c r="D1026" i="6"/>
  <c r="C1026" i="6"/>
  <c r="E1026" i="6"/>
  <c r="F1026" i="6"/>
  <c r="D1027" i="6"/>
  <c r="C1027" i="6"/>
  <c r="E1027" i="6"/>
  <c r="F1027" i="6"/>
  <c r="D1028" i="6"/>
  <c r="C1028" i="6"/>
  <c r="E1028" i="6"/>
  <c r="F1028" i="6"/>
  <c r="D1029" i="6"/>
  <c r="C1029" i="6"/>
  <c r="E1029" i="6"/>
  <c r="F1029" i="6"/>
  <c r="D1030" i="6"/>
  <c r="C1030" i="6"/>
  <c r="E1030" i="6"/>
  <c r="F1030" i="6"/>
  <c r="D1031" i="6"/>
  <c r="C1031" i="6"/>
  <c r="E1031" i="6"/>
  <c r="F1031" i="6"/>
  <c r="D1032" i="6"/>
  <c r="C1032" i="6"/>
  <c r="E1032" i="6"/>
  <c r="F1032" i="6"/>
  <c r="D1033" i="6"/>
  <c r="C1033" i="6"/>
  <c r="E1033" i="6"/>
  <c r="F1033" i="6"/>
  <c r="D1034" i="6"/>
  <c r="C1034" i="6"/>
  <c r="E1034" i="6"/>
  <c r="F1034" i="6"/>
  <c r="D1035" i="6"/>
  <c r="C1035" i="6"/>
  <c r="E1035" i="6"/>
  <c r="F1035" i="6"/>
  <c r="D1036" i="6"/>
  <c r="C1036" i="6"/>
  <c r="E1036" i="6"/>
  <c r="F1036" i="6"/>
  <c r="D1037" i="6"/>
  <c r="C1037" i="6"/>
  <c r="E1037" i="6"/>
  <c r="F1037" i="6"/>
  <c r="D1038" i="6"/>
  <c r="C1038" i="6"/>
  <c r="E1038" i="6"/>
  <c r="F1038" i="6"/>
  <c r="D1039" i="6"/>
  <c r="C1039" i="6"/>
  <c r="E1039" i="6"/>
  <c r="F1039" i="6"/>
  <c r="D1040" i="6"/>
  <c r="C1040" i="6"/>
  <c r="E1040" i="6"/>
  <c r="F1040" i="6"/>
  <c r="D1041" i="6"/>
  <c r="C1041" i="6"/>
  <c r="E1041" i="6"/>
  <c r="F1041" i="6"/>
  <c r="D1042" i="6"/>
  <c r="C1042" i="6"/>
  <c r="E1042" i="6"/>
  <c r="F1042" i="6"/>
  <c r="D1043" i="6"/>
  <c r="C1043" i="6"/>
  <c r="E1043" i="6"/>
  <c r="F1043" i="6"/>
  <c r="D1044" i="6"/>
  <c r="C1044" i="6"/>
  <c r="E1044" i="6"/>
  <c r="F1044" i="6"/>
  <c r="D1045" i="6"/>
  <c r="C1045" i="6"/>
  <c r="E1045" i="6"/>
  <c r="F1045" i="6"/>
  <c r="D1046" i="6"/>
  <c r="C1046" i="6"/>
  <c r="E1046" i="6"/>
  <c r="F1046" i="6"/>
  <c r="D1047" i="6"/>
  <c r="C1047" i="6"/>
  <c r="E1047" i="6"/>
  <c r="F1047" i="6"/>
  <c r="D1048" i="6"/>
  <c r="C1048" i="6"/>
  <c r="E1048" i="6"/>
  <c r="F1048" i="6"/>
  <c r="D1049" i="6"/>
  <c r="C1049" i="6"/>
  <c r="E1049" i="6"/>
  <c r="F1049" i="6"/>
  <c r="D1050" i="6"/>
  <c r="C1050" i="6"/>
  <c r="E1050" i="6"/>
  <c r="F1050" i="6"/>
  <c r="D1051" i="6"/>
  <c r="C1051" i="6"/>
  <c r="E1051" i="6"/>
  <c r="F1051" i="6"/>
  <c r="D1052" i="6"/>
  <c r="C1052" i="6"/>
  <c r="E1052" i="6"/>
  <c r="F1052" i="6"/>
  <c r="D1053" i="6"/>
  <c r="C1053" i="6"/>
  <c r="E1053" i="6"/>
  <c r="F1053" i="6"/>
  <c r="D1054" i="6"/>
  <c r="C1054" i="6"/>
  <c r="E1054" i="6"/>
  <c r="F1054" i="6"/>
  <c r="D1055" i="6"/>
  <c r="C1055" i="6"/>
  <c r="E1055" i="6"/>
  <c r="F1055" i="6"/>
  <c r="D1056" i="6"/>
  <c r="C1056" i="6"/>
  <c r="E1056" i="6"/>
  <c r="F1056" i="6"/>
  <c r="D1057" i="6"/>
  <c r="C1057" i="6"/>
  <c r="E1057" i="6"/>
  <c r="F1057" i="6"/>
  <c r="D1058" i="6"/>
  <c r="C1058" i="6"/>
  <c r="E1058" i="6"/>
  <c r="F1058" i="6"/>
  <c r="D1059" i="6"/>
  <c r="C1059" i="6"/>
  <c r="E1059" i="6"/>
  <c r="F1059" i="6"/>
  <c r="D1060" i="6"/>
  <c r="C1060" i="6"/>
  <c r="E1060" i="6"/>
  <c r="F1060" i="6"/>
  <c r="D1061" i="6"/>
  <c r="C1061" i="6"/>
  <c r="E1061" i="6"/>
  <c r="F1061" i="6"/>
  <c r="D1062" i="6"/>
  <c r="C1062" i="6"/>
  <c r="E1062" i="6"/>
  <c r="F1062" i="6"/>
  <c r="D1063" i="6"/>
  <c r="C1063" i="6"/>
  <c r="E1063" i="6"/>
  <c r="F1063" i="6"/>
  <c r="D1064" i="6"/>
  <c r="C1064" i="6"/>
  <c r="E1064" i="6"/>
  <c r="F1064" i="6"/>
  <c r="D1065" i="6"/>
  <c r="C1065" i="6"/>
  <c r="E1065" i="6"/>
  <c r="F1065" i="6"/>
  <c r="D1066" i="6"/>
  <c r="C1066" i="6"/>
  <c r="E1066" i="6"/>
  <c r="F1066" i="6"/>
  <c r="D1067" i="6"/>
  <c r="C1067" i="6"/>
  <c r="E1067" i="6"/>
  <c r="F1067" i="6"/>
  <c r="D1068" i="6"/>
  <c r="C1068" i="6"/>
  <c r="E1068" i="6"/>
  <c r="F1068" i="6"/>
  <c r="D1069" i="6"/>
  <c r="C1069" i="6"/>
  <c r="E1069" i="6"/>
  <c r="F1069" i="6"/>
  <c r="D1070" i="6"/>
  <c r="C1070" i="6"/>
  <c r="E1070" i="6"/>
  <c r="F1070" i="6"/>
  <c r="D1071" i="6"/>
  <c r="C1071" i="6"/>
  <c r="E1071" i="6"/>
  <c r="F1071" i="6"/>
  <c r="D1072" i="6"/>
  <c r="C1072" i="6"/>
  <c r="E1072" i="6"/>
  <c r="F1072" i="6"/>
  <c r="D1073" i="6"/>
  <c r="C1073" i="6"/>
  <c r="E1073" i="6"/>
  <c r="F1073" i="6"/>
  <c r="D1074" i="6"/>
  <c r="C1074" i="6"/>
  <c r="E1074" i="6"/>
  <c r="F1074" i="6"/>
  <c r="D1075" i="6"/>
  <c r="C1075" i="6"/>
  <c r="E1075" i="6"/>
  <c r="F1075" i="6"/>
  <c r="D1076" i="6"/>
  <c r="C1076" i="6"/>
  <c r="E1076" i="6"/>
  <c r="F1076" i="6"/>
  <c r="D1077" i="6"/>
  <c r="C1077" i="6"/>
  <c r="E1077" i="6"/>
  <c r="F1077" i="6"/>
  <c r="D1078" i="6"/>
  <c r="C1078" i="6"/>
  <c r="E1078" i="6"/>
  <c r="F1078" i="6"/>
  <c r="D1079" i="6"/>
  <c r="C1079" i="6"/>
  <c r="E1079" i="6"/>
  <c r="F1079" i="6"/>
  <c r="D1080" i="6"/>
  <c r="C1080" i="6"/>
  <c r="E1080" i="6"/>
  <c r="F1080" i="6"/>
  <c r="D1081" i="6"/>
  <c r="C1081" i="6"/>
  <c r="E1081" i="6"/>
  <c r="F1081" i="6"/>
  <c r="D1082" i="6"/>
  <c r="C1082" i="6"/>
  <c r="E1082" i="6"/>
  <c r="F1082" i="6"/>
  <c r="D1083" i="6"/>
  <c r="C1083" i="6"/>
  <c r="E1083" i="6"/>
  <c r="F1083" i="6"/>
  <c r="D1084" i="6"/>
  <c r="C1084" i="6"/>
  <c r="E1084" i="6"/>
  <c r="F1084" i="6"/>
  <c r="D1085" i="6"/>
  <c r="C1085" i="6"/>
  <c r="E1085" i="6"/>
  <c r="F1085" i="6"/>
  <c r="D1086" i="6"/>
  <c r="C1086" i="6"/>
  <c r="E1086" i="6"/>
  <c r="F1086" i="6"/>
  <c r="D1087" i="6"/>
  <c r="C1087" i="6"/>
  <c r="E1087" i="6"/>
  <c r="F1087" i="6"/>
  <c r="D1088" i="6"/>
  <c r="C1088" i="6"/>
  <c r="E1088" i="6"/>
  <c r="F1088" i="6"/>
  <c r="D1089" i="6"/>
  <c r="C1089" i="6"/>
  <c r="E1089" i="6"/>
  <c r="F1089" i="6"/>
  <c r="D1090" i="6"/>
  <c r="C1090" i="6"/>
  <c r="E1090" i="6"/>
  <c r="F1090" i="6"/>
  <c r="D1091" i="6"/>
  <c r="C1091" i="6"/>
  <c r="E1091" i="6"/>
  <c r="F1091" i="6"/>
  <c r="D1092" i="6"/>
  <c r="C1092" i="6"/>
  <c r="E1092" i="6"/>
  <c r="F1092" i="6"/>
  <c r="D1093" i="6"/>
  <c r="C1093" i="6"/>
  <c r="E1093" i="6"/>
  <c r="F1093" i="6"/>
  <c r="D1094" i="6"/>
  <c r="C1094" i="6"/>
  <c r="E1094" i="6"/>
  <c r="F1094" i="6"/>
  <c r="D1095" i="6"/>
  <c r="C1095" i="6"/>
  <c r="E1095" i="6"/>
  <c r="F1095" i="6"/>
  <c r="D1096" i="6"/>
  <c r="C1096" i="6"/>
  <c r="E1096" i="6"/>
  <c r="F1096" i="6"/>
  <c r="D1097" i="6"/>
  <c r="C1097" i="6"/>
  <c r="E1097" i="6"/>
  <c r="F1097" i="6"/>
  <c r="D1098" i="6"/>
  <c r="C1098" i="6"/>
  <c r="E1098" i="6"/>
  <c r="F1098" i="6"/>
  <c r="D1099" i="6"/>
  <c r="C1099" i="6"/>
  <c r="E1099" i="6"/>
  <c r="F1099" i="6"/>
  <c r="D1100" i="6"/>
  <c r="C1100" i="6"/>
  <c r="E1100" i="6"/>
  <c r="F1100" i="6"/>
  <c r="D1101" i="6"/>
  <c r="C1101" i="6"/>
  <c r="E1101" i="6"/>
  <c r="F1101" i="6"/>
  <c r="D1102" i="6"/>
  <c r="C1102" i="6"/>
  <c r="E1102" i="6"/>
  <c r="F1102" i="6"/>
  <c r="D1103" i="6"/>
  <c r="C1103" i="6"/>
  <c r="E1103" i="6"/>
  <c r="F1103" i="6"/>
  <c r="D1104" i="6"/>
  <c r="C1104" i="6"/>
  <c r="E1104" i="6"/>
  <c r="F1104" i="6"/>
  <c r="D1105" i="6"/>
  <c r="C1105" i="6"/>
  <c r="E1105" i="6"/>
  <c r="F1105" i="6"/>
  <c r="D1106" i="6"/>
  <c r="C1106" i="6"/>
  <c r="E1106" i="6"/>
  <c r="F1106" i="6"/>
  <c r="D1107" i="6"/>
  <c r="C1107" i="6"/>
  <c r="E1107" i="6"/>
  <c r="F1107" i="6"/>
  <c r="D1108" i="6"/>
  <c r="C1108" i="6"/>
  <c r="E1108" i="6"/>
  <c r="F1108" i="6"/>
  <c r="D1109" i="6"/>
  <c r="C1109" i="6"/>
  <c r="E1109" i="6"/>
  <c r="F1109" i="6"/>
  <c r="D1110" i="6"/>
  <c r="C1110" i="6"/>
  <c r="E1110" i="6"/>
  <c r="F1110" i="6"/>
  <c r="D1111" i="6"/>
  <c r="C1111" i="6"/>
  <c r="E1111" i="6"/>
  <c r="F1111" i="6"/>
  <c r="D1112" i="6"/>
  <c r="C1112" i="6"/>
  <c r="E1112" i="6"/>
  <c r="F1112" i="6"/>
  <c r="D1113" i="6"/>
  <c r="C1113" i="6"/>
  <c r="E1113" i="6"/>
  <c r="F1113" i="6"/>
  <c r="D1114" i="6"/>
  <c r="C1114" i="6"/>
  <c r="E1114" i="6"/>
  <c r="F1114" i="6"/>
  <c r="D1115" i="6"/>
  <c r="C1115" i="6"/>
  <c r="E1115" i="6"/>
  <c r="F1115" i="6"/>
  <c r="D1116" i="6"/>
  <c r="C1116" i="6"/>
  <c r="E1116" i="6"/>
  <c r="F1116" i="6"/>
  <c r="D1117" i="6"/>
  <c r="C1117" i="6"/>
  <c r="E1117" i="6"/>
  <c r="F1117" i="6"/>
  <c r="D1118" i="6"/>
  <c r="C1118" i="6"/>
  <c r="E1118" i="6"/>
  <c r="F1118" i="6"/>
  <c r="D1119" i="6"/>
  <c r="C1119" i="6"/>
  <c r="E1119" i="6"/>
  <c r="F1119" i="6"/>
  <c r="D1120" i="6"/>
  <c r="C1120" i="6"/>
  <c r="E1120" i="6"/>
  <c r="F1120" i="6"/>
  <c r="D1121" i="6"/>
  <c r="C1121" i="6"/>
  <c r="E1121" i="6"/>
  <c r="F1121" i="6"/>
  <c r="D1122" i="6"/>
  <c r="C1122" i="6"/>
  <c r="E1122" i="6"/>
  <c r="F1122" i="6"/>
  <c r="D1123" i="6"/>
  <c r="C1123" i="6"/>
  <c r="E1123" i="6"/>
  <c r="F1123" i="6"/>
  <c r="D1124" i="6"/>
  <c r="C1124" i="6"/>
  <c r="E1124" i="6"/>
  <c r="F1124" i="6"/>
  <c r="D1125" i="6"/>
  <c r="C1125" i="6"/>
  <c r="E1125" i="6"/>
  <c r="F1125" i="6"/>
  <c r="D1126" i="6"/>
  <c r="C1126" i="6"/>
  <c r="E1126" i="6"/>
  <c r="F1126" i="6"/>
  <c r="D1127" i="6"/>
  <c r="C1127" i="6"/>
  <c r="E1127" i="6"/>
  <c r="F1127" i="6"/>
  <c r="D1128" i="6"/>
  <c r="C1128" i="6"/>
  <c r="E1128" i="6"/>
  <c r="F1128" i="6"/>
  <c r="D1129" i="6"/>
  <c r="C1129" i="6"/>
  <c r="E1129" i="6"/>
  <c r="F1129" i="6"/>
  <c r="D1130" i="6"/>
  <c r="C1130" i="6"/>
  <c r="E1130" i="6"/>
  <c r="F1130" i="6"/>
  <c r="D1131" i="6"/>
  <c r="C1131" i="6"/>
  <c r="E1131" i="6"/>
  <c r="F1131" i="6"/>
  <c r="D1132" i="6"/>
  <c r="C1132" i="6"/>
  <c r="E1132" i="6"/>
  <c r="F1132" i="6"/>
  <c r="D1133" i="6"/>
  <c r="C1133" i="6"/>
  <c r="E1133" i="6"/>
  <c r="F1133" i="6"/>
  <c r="D1134" i="6"/>
  <c r="C1134" i="6"/>
  <c r="E1134" i="6"/>
  <c r="F1134" i="6"/>
  <c r="D1135" i="6"/>
  <c r="C1135" i="6"/>
  <c r="E1135" i="6"/>
  <c r="F1135" i="6"/>
  <c r="D1136" i="6"/>
  <c r="C1136" i="6"/>
  <c r="E1136" i="6"/>
  <c r="F1136" i="6"/>
  <c r="D1137" i="6"/>
  <c r="C1137" i="6"/>
  <c r="E1137" i="6"/>
  <c r="F1137" i="6"/>
  <c r="D1138" i="6"/>
  <c r="C1138" i="6"/>
  <c r="E1138" i="6"/>
  <c r="F1138" i="6"/>
  <c r="D1139" i="6"/>
  <c r="C1139" i="6"/>
  <c r="E1139" i="6"/>
  <c r="F1139" i="6"/>
  <c r="D1140" i="6"/>
  <c r="C1140" i="6"/>
  <c r="E1140" i="6"/>
  <c r="F1140" i="6"/>
  <c r="D1141" i="6"/>
  <c r="C1141" i="6"/>
  <c r="E1141" i="6"/>
  <c r="F1141" i="6"/>
  <c r="D1142" i="6"/>
  <c r="C1142" i="6"/>
  <c r="E1142" i="6"/>
  <c r="F1142" i="6"/>
  <c r="D1143" i="6"/>
  <c r="C1143" i="6"/>
  <c r="E1143" i="6"/>
  <c r="F1143" i="6"/>
  <c r="D1144" i="6"/>
  <c r="C1144" i="6"/>
  <c r="E1144" i="6"/>
  <c r="F1144" i="6"/>
  <c r="D1145" i="6"/>
  <c r="C1145" i="6"/>
  <c r="E1145" i="6"/>
  <c r="F1145" i="6"/>
  <c r="D1146" i="6"/>
  <c r="C1146" i="6"/>
  <c r="E1146" i="6"/>
  <c r="F1146" i="6"/>
  <c r="D1147" i="6"/>
  <c r="C1147" i="6"/>
  <c r="E1147" i="6"/>
  <c r="F1147" i="6"/>
  <c r="D1148" i="6"/>
  <c r="C1148" i="6"/>
  <c r="E1148" i="6"/>
  <c r="F1148" i="6"/>
  <c r="D1149" i="6"/>
  <c r="C1149" i="6"/>
  <c r="E1149" i="6"/>
  <c r="F1149" i="6"/>
  <c r="D1150" i="6"/>
  <c r="C1150" i="6"/>
  <c r="E1150" i="6"/>
  <c r="F1150" i="6"/>
  <c r="D1151" i="6"/>
  <c r="C1151" i="6"/>
  <c r="E1151" i="6"/>
  <c r="F1151" i="6"/>
  <c r="D1152" i="6"/>
  <c r="C1152" i="6"/>
  <c r="E1152" i="6"/>
  <c r="F1152" i="6"/>
  <c r="D1153" i="6"/>
  <c r="C1153" i="6"/>
  <c r="E1153" i="6"/>
  <c r="F1153" i="6"/>
  <c r="D1154" i="6"/>
  <c r="C1154" i="6"/>
  <c r="E1154" i="6"/>
  <c r="F1154" i="6"/>
  <c r="D1155" i="6"/>
  <c r="C1155" i="6"/>
  <c r="E1155" i="6"/>
  <c r="F1155" i="6"/>
  <c r="D1156" i="6"/>
  <c r="C1156" i="6"/>
  <c r="E1156" i="6"/>
  <c r="F1156" i="6"/>
  <c r="D1157" i="6"/>
  <c r="C1157" i="6"/>
  <c r="E1157" i="6"/>
  <c r="F1157" i="6"/>
  <c r="D1158" i="6"/>
  <c r="C1158" i="6"/>
  <c r="E1158" i="6"/>
  <c r="F1158" i="6"/>
  <c r="D1159" i="6"/>
  <c r="C1159" i="6"/>
  <c r="E1159" i="6"/>
  <c r="F1159" i="6"/>
  <c r="D1160" i="6"/>
  <c r="C1160" i="6"/>
  <c r="E1160" i="6"/>
  <c r="F1160" i="6"/>
  <c r="D1161" i="6"/>
  <c r="C1161" i="6"/>
  <c r="E1161" i="6"/>
  <c r="F1161" i="6"/>
  <c r="D1162" i="6"/>
  <c r="C1162" i="6"/>
  <c r="E1162" i="6"/>
  <c r="F1162" i="6"/>
  <c r="D1163" i="6"/>
  <c r="C1163" i="6"/>
  <c r="E1163" i="6"/>
  <c r="F1163" i="6"/>
  <c r="D1164" i="6"/>
  <c r="C1164" i="6"/>
  <c r="E1164" i="6"/>
  <c r="F1164" i="6"/>
  <c r="D1165" i="6"/>
  <c r="C1165" i="6"/>
  <c r="E1165" i="6"/>
  <c r="F1165" i="6"/>
  <c r="D1166" i="6"/>
  <c r="C1166" i="6"/>
  <c r="E1166" i="6"/>
  <c r="F1166" i="6"/>
  <c r="D1167" i="6"/>
  <c r="C1167" i="6"/>
  <c r="E1167" i="6"/>
  <c r="F1167" i="6"/>
  <c r="D1168" i="6"/>
  <c r="C1168" i="6"/>
  <c r="E1168" i="6"/>
  <c r="F1168" i="6"/>
  <c r="D1169" i="6"/>
  <c r="C1169" i="6"/>
  <c r="E1169" i="6"/>
  <c r="F1169" i="6"/>
  <c r="D1170" i="6"/>
  <c r="C1170" i="6"/>
  <c r="E1170" i="6"/>
  <c r="F1170" i="6"/>
  <c r="D1171" i="6"/>
  <c r="C1171" i="6"/>
  <c r="E1171" i="6"/>
  <c r="F1171" i="6"/>
  <c r="D1172" i="6"/>
  <c r="C1172" i="6"/>
  <c r="E1172" i="6"/>
  <c r="F1172" i="6"/>
  <c r="D1173" i="6"/>
  <c r="C1173" i="6"/>
  <c r="E1173" i="6"/>
  <c r="F1173" i="6"/>
  <c r="D1174" i="6"/>
  <c r="C1174" i="6"/>
  <c r="E1174" i="6"/>
  <c r="F1174" i="6"/>
  <c r="D1175" i="6"/>
  <c r="C1175" i="6"/>
  <c r="E1175" i="6"/>
  <c r="F1175" i="6"/>
  <c r="D1176" i="6"/>
  <c r="C1176" i="6"/>
  <c r="E1176" i="6"/>
  <c r="F1176" i="6"/>
  <c r="D1177" i="6"/>
  <c r="C1177" i="6"/>
  <c r="E1177" i="6"/>
  <c r="F1177" i="6"/>
  <c r="D1178" i="6"/>
  <c r="C1178" i="6"/>
  <c r="E1178" i="6"/>
  <c r="F1178" i="6"/>
  <c r="D1179" i="6"/>
  <c r="C1179" i="6"/>
  <c r="E1179" i="6"/>
  <c r="F1179" i="6"/>
  <c r="D1180" i="6"/>
  <c r="C1180" i="6"/>
  <c r="E1180" i="6"/>
  <c r="F1180" i="6"/>
  <c r="D1181" i="6"/>
  <c r="C1181" i="6"/>
  <c r="E1181" i="6"/>
  <c r="F1181" i="6"/>
  <c r="D1182" i="6"/>
  <c r="C1182" i="6"/>
  <c r="E1182" i="6"/>
  <c r="F1182" i="6"/>
  <c r="D1183" i="6"/>
  <c r="C1183" i="6"/>
  <c r="E1183" i="6"/>
  <c r="F1183" i="6"/>
  <c r="D1184" i="6"/>
  <c r="C1184" i="6"/>
  <c r="E1184" i="6"/>
  <c r="F1184" i="6"/>
  <c r="D1185" i="6"/>
  <c r="C1185" i="6"/>
  <c r="E1185" i="6"/>
  <c r="F1185" i="6"/>
  <c r="D1186" i="6"/>
  <c r="C1186" i="6"/>
  <c r="E1186" i="6"/>
  <c r="F1186" i="6"/>
  <c r="D1187" i="6"/>
  <c r="C1187" i="6"/>
  <c r="E1187" i="6"/>
  <c r="F1187" i="6"/>
  <c r="D1188" i="6"/>
  <c r="C1188" i="6"/>
  <c r="E1188" i="6"/>
  <c r="F1188" i="6"/>
  <c r="D1189" i="6"/>
  <c r="C1189" i="6"/>
  <c r="E1189" i="6"/>
  <c r="F1189" i="6"/>
  <c r="D1190" i="6"/>
  <c r="C1190" i="6"/>
  <c r="E1190" i="6"/>
  <c r="F1190" i="6"/>
  <c r="D1191" i="6"/>
  <c r="C1191" i="6"/>
  <c r="E1191" i="6"/>
  <c r="F1191" i="6"/>
  <c r="D1192" i="6"/>
  <c r="C1192" i="6"/>
  <c r="E1192" i="6"/>
  <c r="F1192" i="6"/>
  <c r="D1193" i="6"/>
  <c r="C1193" i="6"/>
  <c r="E1193" i="6"/>
  <c r="F1193" i="6"/>
  <c r="D1194" i="6"/>
  <c r="C1194" i="6"/>
  <c r="E1194" i="6"/>
  <c r="F1194" i="6"/>
  <c r="D1195" i="6"/>
  <c r="C1195" i="6"/>
  <c r="E1195" i="6"/>
  <c r="F1195" i="6"/>
  <c r="D1196" i="6"/>
  <c r="C1196" i="6"/>
  <c r="E1196" i="6"/>
  <c r="F1196" i="6"/>
  <c r="D1197" i="6"/>
  <c r="C1197" i="6"/>
  <c r="E1197" i="6"/>
  <c r="F1197" i="6"/>
  <c r="D1198" i="6"/>
  <c r="C1198" i="6"/>
  <c r="E1198" i="6"/>
  <c r="F1198" i="6"/>
  <c r="D1199" i="6"/>
  <c r="C1199" i="6"/>
  <c r="E1199" i="6"/>
  <c r="F1199" i="6"/>
  <c r="D1200" i="6"/>
  <c r="C1200" i="6"/>
  <c r="E1200" i="6"/>
  <c r="F1200" i="6"/>
  <c r="D1201" i="6"/>
  <c r="C1201" i="6"/>
  <c r="E1201" i="6"/>
  <c r="F1201" i="6"/>
  <c r="D1202" i="6"/>
  <c r="C1202" i="6"/>
  <c r="E1202" i="6"/>
  <c r="F1202" i="6"/>
  <c r="D1203" i="6"/>
  <c r="C1203" i="6"/>
  <c r="E1203" i="6"/>
  <c r="F1203" i="6"/>
  <c r="D1204" i="6"/>
  <c r="C1204" i="6"/>
  <c r="E1204" i="6"/>
  <c r="F1204" i="6"/>
  <c r="D1205" i="6"/>
  <c r="C1205" i="6"/>
  <c r="E1205" i="6"/>
  <c r="F1205" i="6"/>
  <c r="D1206" i="6"/>
  <c r="C1206" i="6"/>
  <c r="E1206" i="6"/>
  <c r="F1206" i="6"/>
  <c r="D1207" i="6"/>
  <c r="C1207" i="6"/>
  <c r="E1207" i="6"/>
  <c r="F1207" i="6"/>
  <c r="D1208" i="6"/>
  <c r="C1208" i="6"/>
  <c r="E1208" i="6"/>
  <c r="F1208" i="6"/>
  <c r="D1209" i="6"/>
  <c r="C1209" i="6"/>
  <c r="E1209" i="6"/>
  <c r="F1209" i="6"/>
  <c r="D1210" i="6"/>
  <c r="C1210" i="6"/>
  <c r="E1210" i="6"/>
  <c r="F1210" i="6"/>
  <c r="D1211" i="6"/>
  <c r="C1211" i="6"/>
  <c r="E1211" i="6"/>
  <c r="F1211" i="6"/>
  <c r="D1212" i="6"/>
  <c r="C1212" i="6"/>
  <c r="E1212" i="6"/>
  <c r="F1212" i="6"/>
  <c r="D1213" i="6"/>
  <c r="C1213" i="6"/>
  <c r="E1213" i="6"/>
  <c r="F1213" i="6"/>
  <c r="D1214" i="6"/>
  <c r="C1214" i="6"/>
  <c r="E1214" i="6"/>
  <c r="F1214" i="6"/>
  <c r="D1215" i="6"/>
  <c r="C1215" i="6"/>
  <c r="E1215" i="6"/>
  <c r="F1215" i="6"/>
  <c r="D1216" i="6"/>
  <c r="C1216" i="6"/>
  <c r="E1216" i="6"/>
  <c r="F1216" i="6"/>
  <c r="D1217" i="6"/>
  <c r="C1217" i="6"/>
  <c r="E1217" i="6"/>
  <c r="F1217" i="6"/>
  <c r="D1218" i="6"/>
  <c r="C1218" i="6"/>
  <c r="E1218" i="6"/>
  <c r="F1218" i="6"/>
  <c r="D1219" i="6"/>
  <c r="C1219" i="6"/>
  <c r="E1219" i="6"/>
  <c r="F1219" i="6"/>
  <c r="D1220" i="6"/>
  <c r="C1220" i="6"/>
  <c r="E1220" i="6"/>
  <c r="F1220" i="6"/>
  <c r="D1221" i="6"/>
  <c r="C1221" i="6"/>
  <c r="E1221" i="6"/>
  <c r="F1221" i="6"/>
  <c r="D1222" i="6"/>
  <c r="C1222" i="6"/>
  <c r="E1222" i="6"/>
  <c r="F1222" i="6"/>
  <c r="D1223" i="6"/>
  <c r="C1223" i="6"/>
  <c r="E1223" i="6"/>
  <c r="F1223" i="6"/>
  <c r="D1224" i="6"/>
  <c r="C1224" i="6"/>
  <c r="E1224" i="6"/>
  <c r="F1224" i="6"/>
  <c r="D1225" i="6"/>
  <c r="C1225" i="6"/>
  <c r="E1225" i="6"/>
  <c r="F1225" i="6"/>
  <c r="D1226" i="6"/>
  <c r="C1226" i="6"/>
  <c r="E1226" i="6"/>
  <c r="F1226" i="6"/>
  <c r="D1227" i="6"/>
  <c r="C1227" i="6"/>
  <c r="E1227" i="6"/>
  <c r="F1227" i="6"/>
  <c r="D1228" i="6"/>
  <c r="C1228" i="6"/>
  <c r="E1228" i="6"/>
  <c r="F1228" i="6"/>
  <c r="D1229" i="6"/>
  <c r="C1229" i="6"/>
  <c r="E1229" i="6"/>
  <c r="F1229" i="6"/>
  <c r="D1230" i="6"/>
  <c r="C1230" i="6"/>
  <c r="E1230" i="6"/>
  <c r="F1230" i="6"/>
  <c r="D1231" i="6"/>
  <c r="C1231" i="6"/>
  <c r="E1231" i="6"/>
  <c r="F1231" i="6"/>
  <c r="D1232" i="6"/>
  <c r="C1232" i="6"/>
  <c r="E1232" i="6"/>
  <c r="F1232" i="6"/>
  <c r="D1233" i="6"/>
  <c r="C1233" i="6"/>
  <c r="E1233" i="6"/>
  <c r="F1233" i="6"/>
  <c r="D1234" i="6"/>
  <c r="C1234" i="6"/>
  <c r="E1234" i="6"/>
  <c r="F1234" i="6"/>
  <c r="D1235" i="6"/>
  <c r="C1235" i="6"/>
  <c r="E1235" i="6"/>
  <c r="F1235" i="6"/>
  <c r="D1236" i="6"/>
  <c r="C1236" i="6"/>
  <c r="E1236" i="6"/>
  <c r="F1236" i="6"/>
  <c r="D1237" i="6"/>
  <c r="C1237" i="6"/>
  <c r="E1237" i="6"/>
  <c r="F1237" i="6"/>
  <c r="D1238" i="6"/>
  <c r="C1238" i="6"/>
  <c r="E1238" i="6"/>
  <c r="F1238" i="6"/>
  <c r="D1239" i="6"/>
  <c r="C1239" i="6"/>
  <c r="E1239" i="6"/>
  <c r="F1239" i="6"/>
  <c r="D1240" i="6"/>
  <c r="C1240" i="6"/>
  <c r="E1240" i="6"/>
  <c r="F1240" i="6"/>
  <c r="D1241" i="6"/>
  <c r="C1241" i="6"/>
  <c r="E1241" i="6"/>
  <c r="F1241" i="6"/>
  <c r="D1242" i="6"/>
  <c r="C1242" i="6"/>
  <c r="E1242" i="6"/>
  <c r="F1242" i="6"/>
  <c r="D1243" i="6"/>
  <c r="C1243" i="6"/>
  <c r="E1243" i="6"/>
  <c r="F1243" i="6"/>
  <c r="D1244" i="6"/>
  <c r="C1244" i="6"/>
  <c r="E1244" i="6"/>
  <c r="F1244" i="6"/>
  <c r="D1245" i="6"/>
  <c r="C1245" i="6"/>
  <c r="E1245" i="6"/>
  <c r="F1245" i="6"/>
  <c r="D1246" i="6"/>
  <c r="C1246" i="6"/>
  <c r="E1246" i="6"/>
  <c r="F1246" i="6"/>
  <c r="D1247" i="6"/>
  <c r="C1247" i="6"/>
  <c r="E1247" i="6"/>
  <c r="F1247" i="6"/>
  <c r="D1248" i="6"/>
  <c r="C1248" i="6"/>
  <c r="E1248" i="6"/>
  <c r="F1248" i="6"/>
  <c r="D1249" i="6"/>
  <c r="C1249" i="6"/>
  <c r="E1249" i="6"/>
  <c r="F1249" i="6"/>
  <c r="D1250" i="6"/>
  <c r="C1250" i="6"/>
  <c r="E1250" i="6"/>
  <c r="F1250" i="6"/>
  <c r="D1251" i="6"/>
  <c r="C1251" i="6"/>
  <c r="E1251" i="6"/>
  <c r="F1251" i="6"/>
  <c r="D1252" i="6"/>
  <c r="C1252" i="6"/>
  <c r="E1252" i="6"/>
  <c r="F1252" i="6"/>
  <c r="D1253" i="6"/>
  <c r="C1253" i="6"/>
  <c r="E1253" i="6"/>
  <c r="F1253" i="6"/>
  <c r="D1254" i="6"/>
  <c r="C1254" i="6"/>
  <c r="E1254" i="6"/>
  <c r="F1254" i="6"/>
  <c r="D1255" i="6"/>
  <c r="C1255" i="6"/>
  <c r="E1255" i="6"/>
  <c r="F1255" i="6"/>
  <c r="D1256" i="6"/>
  <c r="C1256" i="6"/>
  <c r="E1256" i="6"/>
  <c r="F1256" i="6"/>
  <c r="D1257" i="6"/>
  <c r="C1257" i="6"/>
  <c r="E1257" i="6"/>
  <c r="F1257" i="6"/>
  <c r="D1258" i="6"/>
  <c r="C1258" i="6"/>
  <c r="E1258" i="6"/>
  <c r="F1258" i="6"/>
  <c r="D1259" i="6"/>
  <c r="C1259" i="6"/>
  <c r="E1259" i="6"/>
  <c r="F1259" i="6"/>
  <c r="D1260" i="6"/>
  <c r="C1260" i="6"/>
  <c r="E1260" i="6"/>
  <c r="F1260" i="6"/>
  <c r="D1261" i="6"/>
  <c r="C1261" i="6"/>
  <c r="E1261" i="6"/>
  <c r="F1261" i="6"/>
  <c r="D1262" i="6"/>
  <c r="C1262" i="6"/>
  <c r="E1262" i="6"/>
  <c r="F1262" i="6"/>
  <c r="D1263" i="6"/>
  <c r="C1263" i="6"/>
  <c r="E1263" i="6"/>
  <c r="F1263" i="6"/>
  <c r="D1264" i="6"/>
  <c r="C1264" i="6"/>
  <c r="E1264" i="6"/>
  <c r="F1264" i="6"/>
  <c r="D1265" i="6"/>
  <c r="C1265" i="6"/>
  <c r="E1265" i="6"/>
  <c r="F1265" i="6"/>
  <c r="D1266" i="6"/>
  <c r="C1266" i="6"/>
  <c r="E1266" i="6"/>
  <c r="F1266" i="6"/>
  <c r="D1267" i="6"/>
  <c r="C1267" i="6"/>
  <c r="E1267" i="6"/>
  <c r="F1267" i="6"/>
  <c r="D1268" i="6"/>
  <c r="C1268" i="6"/>
  <c r="E1268" i="6"/>
  <c r="F1268" i="6"/>
  <c r="D1269" i="6"/>
  <c r="C1269" i="6"/>
  <c r="E1269" i="6"/>
  <c r="F1269" i="6"/>
  <c r="D1270" i="6"/>
  <c r="C1270" i="6"/>
  <c r="E1270" i="6"/>
  <c r="F1270" i="6"/>
  <c r="D1271" i="6"/>
  <c r="C1271" i="6"/>
  <c r="E1271" i="6"/>
  <c r="F1271" i="6"/>
  <c r="D1272" i="6"/>
  <c r="C1272" i="6"/>
  <c r="E1272" i="6"/>
  <c r="F1272" i="6"/>
  <c r="D1273" i="6"/>
  <c r="C1273" i="6"/>
  <c r="E1273" i="6"/>
  <c r="F1273" i="6"/>
  <c r="D1274" i="6"/>
  <c r="C1274" i="6"/>
  <c r="E1274" i="6"/>
  <c r="F1274" i="6"/>
  <c r="D1275" i="6"/>
  <c r="C1275" i="6"/>
  <c r="E1275" i="6"/>
  <c r="F1275" i="6"/>
  <c r="D1276" i="6"/>
  <c r="C1276" i="6"/>
  <c r="E1276" i="6"/>
  <c r="F1276" i="6"/>
  <c r="D1277" i="6"/>
  <c r="C1277" i="6"/>
  <c r="E1277" i="6"/>
  <c r="F1277" i="6"/>
  <c r="D1278" i="6"/>
  <c r="C1278" i="6"/>
  <c r="E1278" i="6"/>
  <c r="F1278" i="6"/>
  <c r="D1279" i="6"/>
  <c r="C1279" i="6"/>
  <c r="E1279" i="6"/>
  <c r="F1279" i="6"/>
  <c r="D1280" i="6"/>
  <c r="C1280" i="6"/>
  <c r="E1280" i="6"/>
  <c r="F1280" i="6"/>
  <c r="D1281" i="6"/>
  <c r="C1281" i="6"/>
  <c r="E1281" i="6"/>
  <c r="F1281" i="6"/>
  <c r="D1282" i="6"/>
  <c r="C1282" i="6"/>
  <c r="E1282" i="6"/>
  <c r="F1282" i="6"/>
  <c r="D1283" i="6"/>
  <c r="C1283" i="6"/>
  <c r="E1283" i="6"/>
  <c r="F1283" i="6"/>
  <c r="D1284" i="6"/>
  <c r="C1284" i="6"/>
  <c r="E1284" i="6"/>
  <c r="F1284" i="6"/>
  <c r="D1285" i="6"/>
  <c r="C1285" i="6"/>
  <c r="E1285" i="6"/>
  <c r="F1285" i="6"/>
  <c r="D1286" i="6"/>
  <c r="C1286" i="6"/>
  <c r="E1286" i="6"/>
  <c r="F1286" i="6"/>
  <c r="D1287" i="6"/>
  <c r="C1287" i="6"/>
  <c r="E1287" i="6"/>
  <c r="F1287" i="6"/>
  <c r="D1288" i="6"/>
  <c r="C1288" i="6"/>
  <c r="E1288" i="6"/>
  <c r="F1288" i="6"/>
  <c r="D1289" i="6"/>
  <c r="C1289" i="6"/>
  <c r="E1289" i="6"/>
  <c r="F1289" i="6"/>
  <c r="D1290" i="6"/>
  <c r="C1290" i="6"/>
  <c r="E1290" i="6"/>
  <c r="F1290" i="6"/>
  <c r="D1291" i="6"/>
  <c r="C1291" i="6"/>
  <c r="E1291" i="6"/>
  <c r="F1291" i="6"/>
  <c r="D1292" i="6"/>
  <c r="C1292" i="6"/>
  <c r="E1292" i="6"/>
  <c r="F1292" i="6"/>
  <c r="D1293" i="6"/>
  <c r="C1293" i="6"/>
  <c r="E1293" i="6"/>
  <c r="F1293" i="6"/>
  <c r="D1294" i="6"/>
  <c r="C1294" i="6"/>
  <c r="E1294" i="6"/>
  <c r="F1294" i="6"/>
  <c r="D1295" i="6"/>
  <c r="C1295" i="6"/>
  <c r="E1295" i="6"/>
  <c r="F1295" i="6"/>
  <c r="D1296" i="6"/>
  <c r="C1296" i="6"/>
  <c r="E1296" i="6"/>
  <c r="F1296" i="6"/>
  <c r="D1297" i="6"/>
  <c r="C1297" i="6"/>
  <c r="E1297" i="6"/>
  <c r="F1297" i="6"/>
  <c r="D1298" i="6"/>
  <c r="C1298" i="6"/>
  <c r="E1298" i="6"/>
  <c r="F1298" i="6"/>
  <c r="D1299" i="6"/>
  <c r="C1299" i="6"/>
  <c r="E1299" i="6"/>
  <c r="F1299" i="6"/>
  <c r="D1300" i="6"/>
  <c r="C1300" i="6"/>
  <c r="E1300" i="6"/>
  <c r="F1300" i="6"/>
  <c r="D1301" i="6"/>
  <c r="C1301" i="6"/>
  <c r="E1301" i="6"/>
  <c r="F1301" i="6"/>
  <c r="D1302" i="6"/>
  <c r="C1302" i="6"/>
  <c r="E1302" i="6"/>
  <c r="F1302" i="6"/>
  <c r="D1303" i="6"/>
  <c r="C1303" i="6"/>
  <c r="E1303" i="6"/>
  <c r="F1303" i="6"/>
  <c r="D1304" i="6"/>
  <c r="C1304" i="6"/>
  <c r="E1304" i="6"/>
  <c r="F1304" i="6"/>
  <c r="D1305" i="6"/>
  <c r="C1305" i="6"/>
  <c r="E1305" i="6"/>
  <c r="F1305" i="6"/>
  <c r="D1306" i="6"/>
  <c r="C1306" i="6"/>
  <c r="E1306" i="6"/>
  <c r="F1306" i="6"/>
  <c r="D1307" i="6"/>
  <c r="C1307" i="6"/>
  <c r="E1307" i="6"/>
  <c r="F1307" i="6"/>
  <c r="D1308" i="6"/>
  <c r="C1308" i="6"/>
  <c r="E1308" i="6"/>
  <c r="F1308" i="6"/>
  <c r="D1309" i="6"/>
  <c r="C1309" i="6"/>
  <c r="E1309" i="6"/>
  <c r="F1309" i="6"/>
  <c r="D1310" i="6"/>
  <c r="C1310" i="6"/>
  <c r="E1310" i="6"/>
  <c r="F1310" i="6"/>
  <c r="D1311" i="6"/>
  <c r="C1311" i="6"/>
  <c r="E1311" i="6"/>
  <c r="F1311" i="6"/>
  <c r="D1312" i="6"/>
  <c r="C1312" i="6"/>
  <c r="E1312" i="6"/>
  <c r="F1312" i="6"/>
  <c r="D1313" i="6"/>
  <c r="C1313" i="6"/>
  <c r="E1313" i="6"/>
  <c r="F1313" i="6"/>
  <c r="D1314" i="6"/>
  <c r="C1314" i="6"/>
  <c r="E1314" i="6"/>
  <c r="F1314" i="6"/>
  <c r="D1315" i="6"/>
  <c r="C1315" i="6"/>
  <c r="E1315" i="6"/>
  <c r="F1315" i="6"/>
  <c r="D1316" i="6"/>
  <c r="C1316" i="6"/>
  <c r="E1316" i="6"/>
  <c r="F1316" i="6"/>
  <c r="D1317" i="6"/>
  <c r="C1317" i="6"/>
  <c r="E1317" i="6"/>
  <c r="F1317" i="6"/>
  <c r="D1318" i="6"/>
  <c r="C1318" i="6"/>
  <c r="E1318" i="6"/>
  <c r="F1318" i="6"/>
  <c r="D1319" i="6"/>
  <c r="C1319" i="6"/>
  <c r="E1319" i="6"/>
  <c r="F1319" i="6"/>
  <c r="D1320" i="6"/>
  <c r="C1320" i="6"/>
  <c r="E1320" i="6"/>
  <c r="F1320" i="6"/>
  <c r="D1321" i="6"/>
  <c r="C1321" i="6"/>
  <c r="E1321" i="6"/>
  <c r="F1321" i="6"/>
  <c r="D1322" i="6"/>
  <c r="C1322" i="6"/>
  <c r="E1322" i="6"/>
  <c r="F1322" i="6"/>
  <c r="D1323" i="6"/>
  <c r="C1323" i="6"/>
  <c r="E1323" i="6"/>
  <c r="F1323" i="6"/>
  <c r="D1324" i="6"/>
  <c r="C1324" i="6"/>
  <c r="E1324" i="6"/>
  <c r="F1324" i="6"/>
  <c r="D1325" i="6"/>
  <c r="C1325" i="6"/>
  <c r="E1325" i="6"/>
  <c r="F1325" i="6"/>
  <c r="D1326" i="6"/>
  <c r="C1326" i="6"/>
  <c r="E1326" i="6"/>
  <c r="F1326" i="6"/>
  <c r="D1327" i="6"/>
  <c r="C1327" i="6"/>
  <c r="E1327" i="6"/>
  <c r="F1327" i="6"/>
  <c r="D1328" i="6"/>
  <c r="C1328" i="6"/>
  <c r="E1328" i="6"/>
  <c r="F1328" i="6"/>
  <c r="D1329" i="6"/>
  <c r="C1329" i="6"/>
  <c r="E1329" i="6"/>
  <c r="F1329" i="6"/>
  <c r="D1330" i="6"/>
  <c r="C1330" i="6"/>
  <c r="E1330" i="6"/>
  <c r="F1330" i="6"/>
  <c r="D1331" i="6"/>
  <c r="C1331" i="6"/>
  <c r="E1331" i="6"/>
  <c r="F1331" i="6"/>
  <c r="D1332" i="6"/>
  <c r="C1332" i="6"/>
  <c r="E1332" i="6"/>
  <c r="F1332" i="6"/>
  <c r="D1333" i="6"/>
  <c r="C1333" i="6"/>
  <c r="E1333" i="6"/>
  <c r="F1333" i="6"/>
  <c r="D1334" i="6"/>
  <c r="C1334" i="6"/>
  <c r="E1334" i="6"/>
  <c r="F1334" i="6"/>
  <c r="D1335" i="6"/>
  <c r="C1335" i="6"/>
  <c r="E1335" i="6"/>
  <c r="F1335" i="6"/>
  <c r="D1336" i="6"/>
  <c r="C1336" i="6"/>
  <c r="E1336" i="6"/>
  <c r="F1336" i="6"/>
  <c r="D1337" i="6"/>
  <c r="C1337" i="6"/>
  <c r="E1337" i="6"/>
  <c r="F1337" i="6"/>
  <c r="D1338" i="6"/>
  <c r="C1338" i="6"/>
  <c r="E1338" i="6"/>
  <c r="F1338" i="6"/>
  <c r="D1339" i="6"/>
  <c r="C1339" i="6"/>
  <c r="E1339" i="6"/>
  <c r="F1339" i="6"/>
  <c r="D1340" i="6"/>
  <c r="C1340" i="6"/>
  <c r="E1340" i="6"/>
  <c r="F1340" i="6"/>
  <c r="D1341" i="6"/>
  <c r="C1341" i="6"/>
  <c r="E1341" i="6"/>
  <c r="F1341" i="6"/>
  <c r="D1342" i="6"/>
  <c r="C1342" i="6"/>
  <c r="E1342" i="6"/>
  <c r="F1342" i="6"/>
  <c r="D1343" i="6"/>
  <c r="C1343" i="6"/>
  <c r="E1343" i="6"/>
  <c r="F1343" i="6"/>
  <c r="D1344" i="6"/>
  <c r="C1344" i="6"/>
  <c r="E1344" i="6"/>
  <c r="F1344" i="6"/>
  <c r="D1345" i="6"/>
  <c r="C1345" i="6"/>
  <c r="E1345" i="6"/>
  <c r="F1345" i="6"/>
  <c r="D1346" i="6"/>
  <c r="C1346" i="6"/>
  <c r="E1346" i="6"/>
  <c r="F1346" i="6"/>
  <c r="D1347" i="6"/>
  <c r="C1347" i="6"/>
  <c r="E1347" i="6"/>
  <c r="F1347" i="6"/>
  <c r="D1348" i="6"/>
  <c r="C1348" i="6"/>
  <c r="E1348" i="6"/>
  <c r="F1348" i="6"/>
  <c r="D1349" i="6"/>
  <c r="C1349" i="6"/>
  <c r="E1349" i="6"/>
  <c r="F1349" i="6"/>
  <c r="D1350" i="6"/>
  <c r="C1350" i="6"/>
  <c r="E1350" i="6"/>
  <c r="F1350" i="6"/>
  <c r="D1351" i="6"/>
  <c r="C1351" i="6"/>
  <c r="E1351" i="6"/>
  <c r="F1351" i="6"/>
  <c r="D1352" i="6"/>
  <c r="C1352" i="6"/>
  <c r="E1352" i="6"/>
  <c r="F1352" i="6"/>
  <c r="D1353" i="6"/>
  <c r="C1353" i="6"/>
  <c r="E1353" i="6"/>
  <c r="F1353" i="6"/>
  <c r="D1354" i="6"/>
  <c r="C1354" i="6"/>
  <c r="E1354" i="6"/>
  <c r="F1354" i="6"/>
  <c r="D1355" i="6"/>
  <c r="C1355" i="6"/>
  <c r="E1355" i="6"/>
  <c r="F1355" i="6"/>
  <c r="D1356" i="6"/>
  <c r="C1356" i="6"/>
  <c r="E1356" i="6"/>
  <c r="F1356" i="6"/>
  <c r="D1357" i="6"/>
  <c r="C1357" i="6"/>
  <c r="E1357" i="6"/>
  <c r="F1357" i="6"/>
  <c r="D1358" i="6"/>
  <c r="C1358" i="6"/>
  <c r="E1358" i="6"/>
  <c r="F1358" i="6"/>
  <c r="D1359" i="6"/>
  <c r="C1359" i="6"/>
  <c r="E1359" i="6"/>
  <c r="F1359" i="6"/>
  <c r="D1360" i="6"/>
  <c r="C1360" i="6"/>
  <c r="E1360" i="6"/>
  <c r="F1360" i="6"/>
  <c r="D1361" i="6"/>
  <c r="C1361" i="6"/>
  <c r="E1361" i="6"/>
  <c r="F1361" i="6"/>
  <c r="D1362" i="6"/>
  <c r="C1362" i="6"/>
  <c r="E1362" i="6"/>
  <c r="F1362" i="6"/>
  <c r="D1363" i="6"/>
  <c r="C1363" i="6"/>
  <c r="E1363" i="6"/>
  <c r="F1363" i="6"/>
  <c r="D1364" i="6"/>
  <c r="C1364" i="6"/>
  <c r="E1364" i="6"/>
  <c r="F1364" i="6"/>
  <c r="D1365" i="6"/>
  <c r="C1365" i="6"/>
  <c r="E1365" i="6"/>
  <c r="F1365" i="6"/>
  <c r="D1366" i="6"/>
  <c r="C1366" i="6"/>
  <c r="E1366" i="6"/>
  <c r="F1366" i="6"/>
  <c r="D1367" i="6"/>
  <c r="C1367" i="6"/>
  <c r="E1367" i="6"/>
  <c r="F1367" i="6"/>
  <c r="D1368" i="6"/>
  <c r="C1368" i="6"/>
  <c r="E1368" i="6"/>
  <c r="F1368" i="6"/>
  <c r="D1369" i="6"/>
  <c r="C1369" i="6"/>
  <c r="E1369" i="6"/>
  <c r="F1369" i="6"/>
  <c r="D1370" i="6"/>
  <c r="C1370" i="6"/>
  <c r="E1370" i="6"/>
  <c r="F1370" i="6"/>
  <c r="D1371" i="6"/>
  <c r="C1371" i="6"/>
  <c r="E1371" i="6"/>
  <c r="F1371" i="6"/>
  <c r="D1372" i="6"/>
  <c r="C1372" i="6"/>
  <c r="E1372" i="6"/>
  <c r="F1372" i="6"/>
  <c r="D1373" i="6"/>
  <c r="C1373" i="6"/>
  <c r="E1373" i="6"/>
  <c r="F1373" i="6"/>
  <c r="D1374" i="6"/>
  <c r="C1374" i="6"/>
  <c r="E1374" i="6"/>
  <c r="F1374" i="6"/>
  <c r="D1375" i="6"/>
  <c r="C1375" i="6"/>
  <c r="E1375" i="6"/>
  <c r="F1375" i="6"/>
  <c r="D1376" i="6"/>
  <c r="C1376" i="6"/>
  <c r="E1376" i="6"/>
  <c r="F1376" i="6"/>
  <c r="D1377" i="6"/>
  <c r="C1377" i="6"/>
  <c r="E1377" i="6"/>
  <c r="F1377" i="6"/>
  <c r="D1378" i="6"/>
  <c r="C1378" i="6"/>
  <c r="E1378" i="6"/>
  <c r="F1378" i="6"/>
  <c r="D1379" i="6"/>
  <c r="C1379" i="6"/>
  <c r="E1379" i="6"/>
  <c r="F1379" i="6"/>
  <c r="D1380" i="6"/>
  <c r="C1380" i="6"/>
  <c r="E1380" i="6"/>
  <c r="F1380" i="6"/>
  <c r="D1381" i="6"/>
  <c r="C1381" i="6"/>
  <c r="E1381" i="6"/>
  <c r="F1381" i="6"/>
  <c r="D1382" i="6"/>
  <c r="C1382" i="6"/>
  <c r="E1382" i="6"/>
  <c r="F1382" i="6"/>
  <c r="D1383" i="6"/>
  <c r="C1383" i="6"/>
  <c r="E1383" i="6"/>
  <c r="F1383" i="6"/>
  <c r="D1384" i="6"/>
  <c r="C1384" i="6"/>
  <c r="E1384" i="6"/>
  <c r="F1384" i="6"/>
  <c r="D1385" i="6"/>
  <c r="C1385" i="6"/>
  <c r="E1385" i="6"/>
  <c r="F1385" i="6"/>
  <c r="D1386" i="6"/>
  <c r="C1386" i="6"/>
  <c r="E1386" i="6"/>
  <c r="F1386" i="6"/>
  <c r="D1387" i="6"/>
  <c r="C1387" i="6"/>
  <c r="E1387" i="6"/>
  <c r="F1387" i="6"/>
  <c r="D1388" i="6"/>
  <c r="C1388" i="6"/>
  <c r="E1388" i="6"/>
  <c r="F1388" i="6"/>
  <c r="D1389" i="6"/>
  <c r="C1389" i="6"/>
  <c r="E1389" i="6"/>
  <c r="F1389" i="6"/>
  <c r="D1390" i="6"/>
  <c r="C1390" i="6"/>
  <c r="E1390" i="6"/>
  <c r="F1390" i="6"/>
  <c r="D1391" i="6"/>
  <c r="C1391" i="6"/>
  <c r="E1391" i="6"/>
  <c r="F1391" i="6"/>
  <c r="D1392" i="6"/>
  <c r="C1392" i="6"/>
  <c r="E1392" i="6"/>
  <c r="F1392" i="6"/>
  <c r="D1393" i="6"/>
  <c r="C1393" i="6"/>
  <c r="E1393" i="6"/>
  <c r="F1393" i="6"/>
  <c r="D1394" i="6"/>
  <c r="C1394" i="6"/>
  <c r="E1394" i="6"/>
  <c r="F1394" i="6"/>
  <c r="D1395" i="6"/>
  <c r="C1395" i="6"/>
  <c r="E1395" i="6"/>
  <c r="F1395" i="6"/>
  <c r="D1396" i="6"/>
  <c r="C1396" i="6"/>
  <c r="E1396" i="6"/>
  <c r="F1396" i="6"/>
  <c r="D1397" i="6"/>
  <c r="C1397" i="6"/>
  <c r="E1397" i="6"/>
  <c r="F1397" i="6"/>
  <c r="D1398" i="6"/>
  <c r="C1398" i="6"/>
  <c r="E1398" i="6"/>
  <c r="F1398" i="6"/>
  <c r="D1399" i="6"/>
  <c r="C1399" i="6"/>
  <c r="E1399" i="6"/>
  <c r="F1399" i="6"/>
  <c r="D1400" i="6"/>
  <c r="C1400" i="6"/>
  <c r="E1400" i="6"/>
  <c r="F1400" i="6"/>
  <c r="D1401" i="6"/>
  <c r="C1401" i="6"/>
  <c r="E1401" i="6"/>
  <c r="F1401" i="6"/>
  <c r="D1402" i="6"/>
  <c r="C1402" i="6"/>
  <c r="E1402" i="6"/>
  <c r="F1402" i="6"/>
  <c r="D1403" i="6"/>
  <c r="C1403" i="6"/>
  <c r="E1403" i="6"/>
  <c r="F1403" i="6"/>
  <c r="D1404" i="6"/>
  <c r="C1404" i="6"/>
  <c r="E1404" i="6"/>
  <c r="F1404" i="6"/>
  <c r="D1405" i="6"/>
  <c r="C1405" i="6"/>
  <c r="E1405" i="6"/>
  <c r="F1405" i="6"/>
  <c r="D1406" i="6"/>
  <c r="C1406" i="6"/>
  <c r="E1406" i="6"/>
  <c r="F1406" i="6"/>
  <c r="D1407" i="6"/>
  <c r="C1407" i="6"/>
  <c r="E1407" i="6"/>
  <c r="F1407" i="6"/>
  <c r="D1408" i="6"/>
  <c r="C1408" i="6"/>
  <c r="E1408" i="6"/>
  <c r="F1408" i="6"/>
  <c r="D1409" i="6"/>
  <c r="C1409" i="6"/>
  <c r="E1409" i="6"/>
  <c r="F1409" i="6"/>
  <c r="D1410" i="6"/>
  <c r="C1410" i="6"/>
  <c r="E1410" i="6"/>
  <c r="F1410" i="6"/>
  <c r="D1411" i="6"/>
  <c r="C1411" i="6"/>
  <c r="E1411" i="6"/>
  <c r="F1411" i="6"/>
  <c r="D1412" i="6"/>
  <c r="C1412" i="6"/>
  <c r="E1412" i="6"/>
  <c r="F1412" i="6"/>
  <c r="D1413" i="6"/>
  <c r="C1413" i="6"/>
  <c r="E1413" i="6"/>
  <c r="F1413" i="6"/>
  <c r="D1414" i="6"/>
  <c r="C1414" i="6"/>
  <c r="E1414" i="6"/>
  <c r="F1414" i="6"/>
  <c r="D1415" i="6"/>
  <c r="C1415" i="6"/>
  <c r="E1415" i="6"/>
  <c r="F1415" i="6"/>
  <c r="D1416" i="6"/>
  <c r="C1416" i="6"/>
  <c r="E1416" i="6"/>
  <c r="F1416" i="6"/>
  <c r="D1417" i="6"/>
  <c r="C1417" i="6"/>
  <c r="E1417" i="6"/>
  <c r="F1417" i="6"/>
  <c r="D1418" i="6"/>
  <c r="C1418" i="6"/>
  <c r="E1418" i="6"/>
  <c r="F1418" i="6"/>
  <c r="D1419" i="6"/>
  <c r="C1419" i="6"/>
  <c r="E1419" i="6"/>
  <c r="F1419" i="6"/>
  <c r="D1420" i="6"/>
  <c r="C1420" i="6"/>
  <c r="E1420" i="6"/>
  <c r="F1420" i="6"/>
  <c r="D1421" i="6"/>
  <c r="C1421" i="6"/>
  <c r="E1421" i="6"/>
  <c r="F1421" i="6"/>
  <c r="D1422" i="6"/>
  <c r="C1422" i="6"/>
  <c r="E1422" i="6"/>
  <c r="F1422" i="6"/>
  <c r="D1423" i="6"/>
  <c r="C1423" i="6"/>
  <c r="E1423" i="6"/>
  <c r="F1423" i="6"/>
  <c r="D1424" i="6"/>
  <c r="C1424" i="6"/>
  <c r="E1424" i="6"/>
  <c r="F1424" i="6"/>
  <c r="D1425" i="6"/>
  <c r="C1425" i="6"/>
  <c r="E1425" i="6"/>
  <c r="F1425" i="6"/>
  <c r="D1426" i="6"/>
  <c r="C1426" i="6"/>
  <c r="E1426" i="6"/>
  <c r="F1426" i="6"/>
  <c r="D1427" i="6"/>
  <c r="C1427" i="6"/>
  <c r="E1427" i="6"/>
  <c r="F1427" i="6"/>
  <c r="D1428" i="6"/>
  <c r="C1428" i="6"/>
  <c r="E1428" i="6"/>
  <c r="F1428" i="6"/>
  <c r="D1429" i="6"/>
  <c r="C1429" i="6"/>
  <c r="E1429" i="6"/>
  <c r="F1429" i="6"/>
  <c r="D1430" i="6"/>
  <c r="C1430" i="6"/>
  <c r="E1430" i="6"/>
  <c r="F1430" i="6"/>
  <c r="D1431" i="6"/>
  <c r="C1431" i="6"/>
  <c r="E1431" i="6"/>
  <c r="F1431" i="6"/>
  <c r="D1432" i="6"/>
  <c r="C1432" i="6"/>
  <c r="E1432" i="6"/>
  <c r="F1432" i="6"/>
  <c r="D1433" i="6"/>
  <c r="C1433" i="6"/>
  <c r="E1433" i="6"/>
  <c r="F1433" i="6"/>
  <c r="D1434" i="6"/>
  <c r="C1434" i="6"/>
  <c r="E1434" i="6"/>
  <c r="F1434" i="6"/>
  <c r="D1435" i="6"/>
  <c r="C1435" i="6"/>
  <c r="E1435" i="6"/>
  <c r="F1435" i="6"/>
  <c r="D1436" i="6"/>
  <c r="C1436" i="6"/>
  <c r="E1436" i="6"/>
  <c r="F1436" i="6"/>
  <c r="D1437" i="6"/>
  <c r="C1437" i="6"/>
  <c r="E1437" i="6"/>
  <c r="F1437" i="6"/>
  <c r="D1438" i="6"/>
  <c r="C1438" i="6"/>
  <c r="E1438" i="6"/>
  <c r="F1438" i="6"/>
  <c r="D1439" i="6"/>
  <c r="C1439" i="6"/>
  <c r="E1439" i="6"/>
  <c r="F1439" i="6"/>
  <c r="D1440" i="6"/>
  <c r="C1440" i="6"/>
  <c r="E1440" i="6"/>
  <c r="F1440" i="6"/>
  <c r="D1441" i="6"/>
  <c r="C1441" i="6"/>
  <c r="E1441" i="6"/>
  <c r="F1441" i="6"/>
  <c r="D1442" i="6"/>
  <c r="C1442" i="6"/>
  <c r="E1442" i="6"/>
  <c r="F1442" i="6"/>
  <c r="D1443" i="6"/>
  <c r="C1443" i="6"/>
  <c r="E1443" i="6"/>
  <c r="F1443" i="6"/>
  <c r="D1444" i="6"/>
  <c r="C1444" i="6"/>
  <c r="E1444" i="6"/>
  <c r="F1444" i="6"/>
  <c r="D1445" i="6"/>
  <c r="C1445" i="6"/>
  <c r="E1445" i="6"/>
  <c r="F1445" i="6"/>
  <c r="D1446" i="6"/>
  <c r="C1446" i="6"/>
  <c r="E1446" i="6"/>
  <c r="F1446" i="6"/>
  <c r="D1447" i="6"/>
  <c r="C1447" i="6"/>
  <c r="E1447" i="6"/>
  <c r="F1447" i="6"/>
  <c r="D1448" i="6"/>
  <c r="C1448" i="6"/>
  <c r="E1448" i="6"/>
  <c r="F1448" i="6"/>
  <c r="D1449" i="6"/>
  <c r="C1449" i="6"/>
  <c r="E1449" i="6"/>
  <c r="F1449" i="6"/>
  <c r="D1450" i="6"/>
  <c r="C1450" i="6"/>
  <c r="E1450" i="6"/>
  <c r="F1450" i="6"/>
  <c r="D1451" i="6"/>
  <c r="C1451" i="6"/>
  <c r="E1451" i="6"/>
  <c r="F1451" i="6"/>
  <c r="D1452" i="6"/>
  <c r="C1452" i="6"/>
  <c r="E1452" i="6"/>
  <c r="F1452" i="6"/>
  <c r="D1453" i="6"/>
  <c r="C1453" i="6"/>
  <c r="E1453" i="6"/>
  <c r="F1453" i="6"/>
  <c r="D1454" i="6"/>
  <c r="C1454" i="6"/>
  <c r="E1454" i="6"/>
  <c r="F1454" i="6"/>
  <c r="D1455" i="6"/>
  <c r="C1455" i="6"/>
  <c r="E1455" i="6"/>
  <c r="F1455" i="6"/>
  <c r="D1456" i="6"/>
  <c r="C1456" i="6"/>
  <c r="E1456" i="6"/>
  <c r="F1456" i="6"/>
  <c r="D1457" i="6"/>
  <c r="C1457" i="6"/>
  <c r="E1457" i="6"/>
  <c r="F1457" i="6"/>
  <c r="D1458" i="6"/>
  <c r="C1458" i="6"/>
  <c r="E1458" i="6"/>
  <c r="F1458" i="6"/>
  <c r="D1459" i="6"/>
  <c r="C1459" i="6"/>
  <c r="E1459" i="6"/>
  <c r="F1459" i="6"/>
  <c r="D1460" i="6"/>
  <c r="C1460" i="6"/>
  <c r="E1460" i="6"/>
  <c r="F1460" i="6"/>
  <c r="D1461" i="6"/>
  <c r="C1461" i="6"/>
  <c r="E1461" i="6"/>
  <c r="F1461" i="6"/>
  <c r="D1462" i="6"/>
  <c r="C1462" i="6"/>
  <c r="E1462" i="6"/>
  <c r="F1462" i="6"/>
  <c r="D1463" i="6"/>
  <c r="C1463" i="6"/>
  <c r="E1463" i="6"/>
  <c r="F1463" i="6"/>
  <c r="D1464" i="6"/>
  <c r="C1464" i="6"/>
  <c r="E1464" i="6"/>
  <c r="F1464" i="6"/>
  <c r="D1465" i="6"/>
  <c r="C1465" i="6"/>
  <c r="E1465" i="6"/>
  <c r="F1465" i="6"/>
  <c r="D1466" i="6"/>
  <c r="C1466" i="6"/>
  <c r="E1466" i="6"/>
  <c r="F1466" i="6"/>
  <c r="D1467" i="6"/>
  <c r="C1467" i="6"/>
  <c r="E1467" i="6"/>
  <c r="F1467" i="6"/>
  <c r="D1468" i="6"/>
  <c r="C1468" i="6"/>
  <c r="E1468" i="6"/>
  <c r="F1468" i="6"/>
  <c r="D1469" i="6"/>
  <c r="C1469" i="6"/>
  <c r="E1469" i="6"/>
  <c r="F1469" i="6"/>
  <c r="D1470" i="6"/>
  <c r="C1470" i="6"/>
  <c r="E1470" i="6"/>
  <c r="F1470" i="6"/>
  <c r="D1471" i="6"/>
  <c r="C1471" i="6"/>
  <c r="E1471" i="6"/>
  <c r="F1471" i="6"/>
  <c r="D1472" i="6"/>
  <c r="C1472" i="6"/>
  <c r="E1472" i="6"/>
  <c r="F1472" i="6"/>
  <c r="D1473" i="6"/>
  <c r="C1473" i="6"/>
  <c r="E1473" i="6"/>
  <c r="F1473" i="6"/>
  <c r="D1474" i="6"/>
  <c r="C1474" i="6"/>
  <c r="E1474" i="6"/>
  <c r="F1474" i="6"/>
  <c r="D1475" i="6"/>
  <c r="C1475" i="6"/>
  <c r="E1475" i="6"/>
  <c r="F1475" i="6"/>
  <c r="D1476" i="6"/>
  <c r="C1476" i="6"/>
  <c r="E1476" i="6"/>
  <c r="F1476" i="6"/>
  <c r="D1477" i="6"/>
  <c r="C1477" i="6"/>
  <c r="E1477" i="6"/>
  <c r="F1477" i="6"/>
  <c r="D1478" i="6"/>
  <c r="C1478" i="6"/>
  <c r="E1478" i="6"/>
  <c r="F1478" i="6"/>
  <c r="D1479" i="6"/>
  <c r="C1479" i="6"/>
  <c r="E1479" i="6"/>
  <c r="F1479" i="6"/>
  <c r="D1480" i="6"/>
  <c r="C1480" i="6"/>
  <c r="E1480" i="6"/>
  <c r="F1480" i="6"/>
  <c r="D1481" i="6"/>
  <c r="C1481" i="6"/>
  <c r="E1481" i="6"/>
  <c r="F1481" i="6"/>
  <c r="D1482" i="6"/>
  <c r="C1482" i="6"/>
  <c r="E1482" i="6"/>
  <c r="F1482" i="6"/>
  <c r="D1483" i="6"/>
  <c r="C1483" i="6"/>
  <c r="E1483" i="6"/>
  <c r="F1483" i="6"/>
  <c r="D1484" i="6"/>
  <c r="C1484" i="6"/>
  <c r="E1484" i="6"/>
  <c r="F1484" i="6"/>
  <c r="D1485" i="6"/>
  <c r="C1485" i="6"/>
  <c r="E1485" i="6"/>
  <c r="F1485" i="6"/>
  <c r="D1486" i="6"/>
  <c r="C1486" i="6"/>
  <c r="E1486" i="6"/>
  <c r="F1486" i="6"/>
  <c r="D1487" i="6"/>
  <c r="C1487" i="6"/>
  <c r="E1487" i="6"/>
  <c r="F1487" i="6"/>
  <c r="D1488" i="6"/>
  <c r="C1488" i="6"/>
  <c r="E1488" i="6"/>
  <c r="F1488" i="6"/>
  <c r="D1489" i="6"/>
  <c r="C1489" i="6"/>
  <c r="E1489" i="6"/>
  <c r="F1489" i="6"/>
  <c r="D1490" i="6"/>
  <c r="C1490" i="6"/>
  <c r="E1490" i="6"/>
  <c r="F1490" i="6"/>
  <c r="D1491" i="6"/>
  <c r="C1491" i="6"/>
  <c r="E1491" i="6"/>
  <c r="F1491" i="6"/>
  <c r="D1492" i="6"/>
  <c r="C1492" i="6"/>
  <c r="E1492" i="6"/>
  <c r="F1492" i="6"/>
  <c r="D1493" i="6"/>
  <c r="C1493" i="6"/>
  <c r="E1493" i="6"/>
  <c r="F1493" i="6"/>
  <c r="D1494" i="6"/>
  <c r="C1494" i="6"/>
  <c r="E1494" i="6"/>
  <c r="F1494" i="6"/>
  <c r="D1495" i="6"/>
  <c r="C1495" i="6"/>
  <c r="E1495" i="6"/>
  <c r="F1495" i="6"/>
  <c r="D1496" i="6"/>
  <c r="C1496" i="6"/>
  <c r="E1496" i="6"/>
  <c r="F1496" i="6"/>
  <c r="D1497" i="6"/>
  <c r="C1497" i="6"/>
  <c r="E1497" i="6"/>
  <c r="F1497" i="6"/>
  <c r="D1498" i="6"/>
  <c r="C1498" i="6"/>
  <c r="E1498" i="6"/>
  <c r="F1498" i="6"/>
  <c r="D1499" i="6"/>
  <c r="C1499" i="6"/>
  <c r="E1499" i="6"/>
  <c r="F1499" i="6"/>
  <c r="D1500" i="6"/>
  <c r="C1500" i="6"/>
  <c r="E1500" i="6"/>
  <c r="F1500" i="6"/>
  <c r="D1501" i="6"/>
  <c r="C1501" i="6"/>
  <c r="E1501" i="6"/>
  <c r="F1501" i="6"/>
  <c r="D1502" i="6"/>
  <c r="C1502" i="6"/>
  <c r="E1502" i="6"/>
  <c r="F1502" i="6"/>
  <c r="D1503" i="6"/>
  <c r="C1503" i="6"/>
  <c r="E1503" i="6"/>
  <c r="F1503" i="6"/>
  <c r="D1504" i="6"/>
  <c r="C1504" i="6"/>
  <c r="E1504" i="6"/>
  <c r="F1504" i="6"/>
  <c r="D1505" i="6"/>
  <c r="C1505" i="6"/>
  <c r="E1505" i="6"/>
  <c r="F1505" i="6"/>
  <c r="D1506" i="6"/>
  <c r="C1506" i="6"/>
  <c r="E1506" i="6"/>
  <c r="F1506" i="6"/>
  <c r="D1507" i="6"/>
  <c r="C1507" i="6"/>
  <c r="E1507" i="6"/>
  <c r="F1507" i="6"/>
  <c r="D1508" i="6"/>
  <c r="C1508" i="6"/>
  <c r="E1508" i="6"/>
  <c r="F1508" i="6"/>
  <c r="D1509" i="6"/>
  <c r="C1509" i="6"/>
  <c r="E1509" i="6"/>
  <c r="F1509" i="6"/>
  <c r="D1510" i="6"/>
  <c r="C1510" i="6"/>
  <c r="E1510" i="6"/>
  <c r="F1510" i="6"/>
  <c r="D1511" i="6"/>
  <c r="C1511" i="6"/>
  <c r="E1511" i="6"/>
  <c r="F1511" i="6"/>
  <c r="D1512" i="6"/>
  <c r="C1512" i="6"/>
  <c r="E1512" i="6"/>
  <c r="F1512" i="6"/>
  <c r="D1513" i="6"/>
  <c r="C1513" i="6"/>
  <c r="E1513" i="6"/>
  <c r="F1513" i="6"/>
  <c r="D1514" i="6"/>
  <c r="C1514" i="6"/>
  <c r="E1514" i="6"/>
  <c r="F1514" i="6"/>
  <c r="D1515" i="6"/>
  <c r="C1515" i="6"/>
  <c r="E1515" i="6"/>
  <c r="F1515" i="6"/>
  <c r="D1516" i="6"/>
  <c r="C1516" i="6"/>
  <c r="E1516" i="6"/>
  <c r="F1516" i="6"/>
  <c r="D1517" i="6"/>
  <c r="C1517" i="6"/>
  <c r="E1517" i="6"/>
  <c r="F1517" i="6"/>
  <c r="D1518" i="6"/>
  <c r="C1518" i="6"/>
  <c r="E1518" i="6"/>
  <c r="F1518" i="6"/>
  <c r="D1519" i="6"/>
  <c r="C1519" i="6"/>
  <c r="E1519" i="6"/>
  <c r="F1519" i="6"/>
  <c r="D1520" i="6"/>
  <c r="C1520" i="6"/>
  <c r="E1520" i="6"/>
  <c r="F1520" i="6"/>
  <c r="D1521" i="6"/>
  <c r="C1521" i="6"/>
  <c r="E1521" i="6"/>
  <c r="F1521" i="6"/>
  <c r="D1522" i="6"/>
  <c r="C1522" i="6"/>
  <c r="E1522" i="6"/>
  <c r="F1522" i="6"/>
  <c r="D1523" i="6"/>
  <c r="C1523" i="6"/>
  <c r="E1523" i="6"/>
  <c r="F1523" i="6"/>
  <c r="D1524" i="6"/>
  <c r="C1524" i="6"/>
  <c r="E1524" i="6"/>
  <c r="F1524" i="6"/>
  <c r="D1525" i="6"/>
  <c r="C1525" i="6"/>
  <c r="E1525" i="6"/>
  <c r="F1525" i="6"/>
  <c r="D1526" i="6"/>
  <c r="C1526" i="6"/>
  <c r="E1526" i="6"/>
  <c r="F1526" i="6"/>
  <c r="D1527" i="6"/>
  <c r="C1527" i="6"/>
  <c r="E1527" i="6"/>
  <c r="F1527" i="6"/>
  <c r="D1528" i="6"/>
  <c r="C1528" i="6"/>
  <c r="E1528" i="6"/>
  <c r="F1528" i="6"/>
  <c r="D1529" i="6"/>
  <c r="C1529" i="6"/>
  <c r="E1529" i="6"/>
  <c r="F1529" i="6"/>
  <c r="D1530" i="6"/>
  <c r="C1530" i="6"/>
  <c r="E1530" i="6"/>
  <c r="F1530" i="6"/>
  <c r="D1531" i="6"/>
  <c r="C1531" i="6"/>
  <c r="E1531" i="6"/>
  <c r="F1531" i="6"/>
  <c r="D1532" i="6"/>
  <c r="C1532" i="6"/>
  <c r="E1532" i="6"/>
  <c r="F1532" i="6"/>
  <c r="D1533" i="6"/>
  <c r="C1533" i="6"/>
  <c r="E1533" i="6"/>
  <c r="F1533" i="6"/>
  <c r="D1534" i="6"/>
  <c r="C1534" i="6"/>
  <c r="E1534" i="6"/>
  <c r="F1534" i="6"/>
  <c r="D1535" i="6"/>
  <c r="C1535" i="6"/>
  <c r="E1535" i="6"/>
  <c r="F1535" i="6"/>
  <c r="D1536" i="6"/>
  <c r="C1536" i="6"/>
  <c r="E1536" i="6"/>
  <c r="F1536" i="6"/>
  <c r="D1537" i="6"/>
  <c r="C1537" i="6"/>
  <c r="E1537" i="6"/>
  <c r="F1537" i="6"/>
  <c r="D1538" i="6"/>
  <c r="C1538" i="6"/>
  <c r="E1538" i="6"/>
  <c r="F1538" i="6"/>
  <c r="D1539" i="6"/>
  <c r="C1539" i="6"/>
  <c r="E1539" i="6"/>
  <c r="F1539" i="6"/>
  <c r="D1540" i="6"/>
  <c r="C1540" i="6"/>
  <c r="E1540" i="6"/>
  <c r="F1540" i="6"/>
  <c r="D1541" i="6"/>
  <c r="C1541" i="6"/>
  <c r="E1541" i="6"/>
  <c r="F1541" i="6"/>
  <c r="D1542" i="6"/>
  <c r="C1542" i="6"/>
  <c r="E1542" i="6"/>
  <c r="F1542" i="6"/>
  <c r="D1543" i="6"/>
  <c r="C1543" i="6"/>
  <c r="E1543" i="6"/>
  <c r="F1543" i="6"/>
  <c r="D1544" i="6"/>
  <c r="C1544" i="6"/>
  <c r="E1544" i="6"/>
  <c r="F1544" i="6"/>
  <c r="D1545" i="6"/>
  <c r="C1545" i="6"/>
  <c r="E1545" i="6"/>
  <c r="F1545" i="6"/>
  <c r="D1546" i="6"/>
  <c r="C1546" i="6"/>
  <c r="E1546" i="6"/>
  <c r="F1546" i="6"/>
  <c r="D1547" i="6"/>
  <c r="C1547" i="6"/>
  <c r="E1547" i="6"/>
  <c r="F1547" i="6"/>
  <c r="D1548" i="6"/>
  <c r="C1548" i="6"/>
  <c r="E1548" i="6"/>
  <c r="F1548" i="6"/>
  <c r="D1549" i="6"/>
  <c r="C1549" i="6"/>
  <c r="E1549" i="6"/>
  <c r="F1549" i="6"/>
  <c r="D1550" i="6"/>
  <c r="C1550" i="6"/>
  <c r="E1550" i="6"/>
  <c r="F1550" i="6"/>
  <c r="D1551" i="6"/>
  <c r="C1551" i="6"/>
  <c r="E1551" i="6"/>
  <c r="F1551" i="6"/>
  <c r="D1552" i="6"/>
  <c r="C1552" i="6"/>
  <c r="E1552" i="6"/>
  <c r="F1552" i="6"/>
  <c r="D1553" i="6"/>
  <c r="C1553" i="6"/>
  <c r="E1553" i="6"/>
  <c r="F1553" i="6"/>
  <c r="D1554" i="6"/>
  <c r="C1554" i="6"/>
  <c r="E1554" i="6"/>
  <c r="F1554" i="6"/>
  <c r="D1555" i="6"/>
  <c r="C1555" i="6"/>
  <c r="E1555" i="6"/>
  <c r="F1555" i="6"/>
  <c r="D1556" i="6"/>
  <c r="C1556" i="6"/>
  <c r="E1556" i="6"/>
  <c r="F1556" i="6"/>
  <c r="D1557" i="6"/>
  <c r="C1557" i="6"/>
  <c r="E1557" i="6"/>
  <c r="F1557" i="6"/>
  <c r="D1558" i="6"/>
  <c r="C1558" i="6"/>
  <c r="E1558" i="6"/>
  <c r="F1558" i="6"/>
  <c r="D1559" i="6"/>
  <c r="C1559" i="6"/>
  <c r="E1559" i="6"/>
  <c r="F1559" i="6"/>
  <c r="D1560" i="6"/>
  <c r="C1560" i="6"/>
  <c r="E1560" i="6"/>
  <c r="F1560" i="6"/>
  <c r="D1561" i="6"/>
  <c r="C1561" i="6"/>
  <c r="E1561" i="6"/>
  <c r="F1561" i="6"/>
  <c r="D1562" i="6"/>
  <c r="C1562" i="6"/>
  <c r="E1562" i="6"/>
  <c r="F1562" i="6"/>
  <c r="D1563" i="6"/>
  <c r="C1563" i="6"/>
  <c r="E1563" i="6"/>
  <c r="F1563" i="6"/>
  <c r="D1564" i="6"/>
  <c r="C1564" i="6"/>
  <c r="E1564" i="6"/>
  <c r="F1564" i="6"/>
  <c r="D1565" i="6"/>
  <c r="C1565" i="6"/>
  <c r="E1565" i="6"/>
  <c r="F1565" i="6"/>
  <c r="D1566" i="6"/>
  <c r="C1566" i="6"/>
  <c r="E1566" i="6"/>
  <c r="F1566" i="6"/>
  <c r="D1567" i="6"/>
  <c r="C1567" i="6"/>
  <c r="E1567" i="6"/>
  <c r="F1567" i="6"/>
  <c r="D1568" i="6"/>
  <c r="C1568" i="6"/>
  <c r="E1568" i="6"/>
  <c r="F1568" i="6"/>
  <c r="D1569" i="6"/>
  <c r="C1569" i="6"/>
  <c r="E1569" i="6"/>
  <c r="F1569" i="6"/>
  <c r="D1570" i="6"/>
  <c r="C1570" i="6"/>
  <c r="E1570" i="6"/>
  <c r="F1570" i="6"/>
  <c r="D1571" i="6"/>
  <c r="C1571" i="6"/>
  <c r="E1571" i="6"/>
  <c r="F1571" i="6"/>
  <c r="D1572" i="6"/>
  <c r="C1572" i="6"/>
  <c r="E1572" i="6"/>
  <c r="F1572" i="6"/>
  <c r="D1573" i="6"/>
  <c r="C1573" i="6"/>
  <c r="E1573" i="6"/>
  <c r="F1573" i="6"/>
  <c r="D1574" i="6"/>
  <c r="C1574" i="6"/>
  <c r="E1574" i="6"/>
  <c r="F1574" i="6"/>
  <c r="D1575" i="6"/>
  <c r="C1575" i="6"/>
  <c r="E1575" i="6"/>
  <c r="F1575" i="6"/>
  <c r="D1576" i="6"/>
  <c r="C1576" i="6"/>
  <c r="E1576" i="6"/>
  <c r="F1576" i="6"/>
  <c r="D1577" i="6"/>
  <c r="C1577" i="6"/>
  <c r="E1577" i="6"/>
  <c r="F1577" i="6"/>
  <c r="D1578" i="6"/>
  <c r="C1578" i="6"/>
  <c r="E1578" i="6"/>
  <c r="F1578" i="6"/>
  <c r="D1579" i="6"/>
  <c r="C1579" i="6"/>
  <c r="E1579" i="6"/>
  <c r="F1579" i="6"/>
  <c r="D1580" i="6"/>
  <c r="C1580" i="6"/>
  <c r="E1580" i="6"/>
  <c r="F1580" i="6"/>
  <c r="D1581" i="6"/>
  <c r="C1581" i="6"/>
  <c r="E1581" i="6"/>
  <c r="F1581" i="6"/>
  <c r="D1582" i="6"/>
  <c r="C1582" i="6"/>
  <c r="E1582" i="6"/>
  <c r="F1582" i="6"/>
  <c r="D1583" i="6"/>
  <c r="C1583" i="6"/>
  <c r="E1583" i="6"/>
  <c r="F1583" i="6"/>
  <c r="D1584" i="6"/>
  <c r="C1584" i="6"/>
  <c r="E1584" i="6"/>
  <c r="F1584" i="6"/>
  <c r="D1585" i="6"/>
  <c r="C1585" i="6"/>
  <c r="E1585" i="6"/>
  <c r="F1585" i="6"/>
  <c r="D1586" i="6"/>
  <c r="C1586" i="6"/>
  <c r="E1586" i="6"/>
  <c r="F1586" i="6"/>
  <c r="D1587" i="6"/>
  <c r="C1587" i="6"/>
  <c r="E1587" i="6"/>
  <c r="F1587" i="6"/>
  <c r="D1588" i="6"/>
  <c r="C1588" i="6"/>
  <c r="E1588" i="6"/>
  <c r="F1588" i="6"/>
  <c r="D1589" i="6"/>
  <c r="C1589" i="6"/>
  <c r="E1589" i="6"/>
  <c r="F1589" i="6"/>
  <c r="D1590" i="6"/>
  <c r="C1590" i="6"/>
  <c r="E1590" i="6"/>
  <c r="F1590" i="6"/>
  <c r="D1591" i="6"/>
  <c r="C1591" i="6"/>
  <c r="E1591" i="6"/>
  <c r="F1591" i="6"/>
  <c r="D1592" i="6"/>
  <c r="C1592" i="6"/>
  <c r="E1592" i="6"/>
  <c r="F1592" i="6"/>
  <c r="D1593" i="6"/>
  <c r="C1593" i="6"/>
  <c r="E1593" i="6"/>
  <c r="F1593" i="6"/>
  <c r="D1594" i="6"/>
  <c r="C1594" i="6"/>
  <c r="E1594" i="6"/>
  <c r="F1594" i="6"/>
  <c r="D1595" i="6"/>
  <c r="C1595" i="6"/>
  <c r="E1595" i="6"/>
  <c r="F1595" i="6"/>
  <c r="D1596" i="6"/>
  <c r="C1596" i="6"/>
  <c r="E1596" i="6"/>
  <c r="F1596" i="6"/>
  <c r="D1597" i="6"/>
  <c r="C1597" i="6"/>
  <c r="E1597" i="6"/>
  <c r="F1597" i="6"/>
  <c r="D1598" i="6"/>
  <c r="C1598" i="6"/>
  <c r="E1598" i="6"/>
  <c r="F1598" i="6"/>
  <c r="D1599" i="6"/>
  <c r="C1599" i="6"/>
  <c r="E1599" i="6"/>
  <c r="F1599" i="6"/>
  <c r="D1600" i="6"/>
  <c r="C1600" i="6"/>
  <c r="E1600" i="6"/>
  <c r="F1600" i="6"/>
  <c r="D1601" i="6"/>
  <c r="C1601" i="6"/>
  <c r="E1601" i="6"/>
  <c r="F1601" i="6"/>
  <c r="D1602" i="6"/>
  <c r="C1602" i="6"/>
  <c r="E1602" i="6"/>
  <c r="F1602" i="6"/>
  <c r="D1603" i="6"/>
  <c r="C1603" i="6"/>
  <c r="E1603" i="6"/>
  <c r="F1603" i="6"/>
  <c r="D1604" i="6"/>
  <c r="C1604" i="6"/>
  <c r="E1604" i="6"/>
  <c r="F1604" i="6"/>
  <c r="D1605" i="6"/>
  <c r="C1605" i="6"/>
  <c r="E1605" i="6"/>
  <c r="F1605" i="6"/>
  <c r="D1606" i="6"/>
  <c r="C1606" i="6"/>
  <c r="E1606" i="6"/>
  <c r="F1606" i="6"/>
  <c r="D1607" i="6"/>
  <c r="C1607" i="6"/>
  <c r="E1607" i="6"/>
  <c r="F1607" i="6"/>
  <c r="D1608" i="6"/>
  <c r="C1608" i="6"/>
  <c r="E1608" i="6"/>
  <c r="F1608" i="6"/>
  <c r="D1609" i="6"/>
  <c r="C1609" i="6"/>
  <c r="E1609" i="6"/>
  <c r="F1609" i="6"/>
  <c r="D1610" i="6"/>
  <c r="C1610" i="6"/>
  <c r="E1610" i="6"/>
  <c r="F1610" i="6"/>
  <c r="D1611" i="6"/>
  <c r="C1611" i="6"/>
  <c r="E1611" i="6"/>
  <c r="F1611" i="6"/>
  <c r="D1612" i="6"/>
  <c r="C1612" i="6"/>
  <c r="E1612" i="6"/>
  <c r="F1612" i="6"/>
  <c r="D1613" i="6"/>
  <c r="C1613" i="6"/>
  <c r="E1613" i="6"/>
  <c r="F1613" i="6"/>
  <c r="D1614" i="6"/>
  <c r="C1614" i="6"/>
  <c r="E1614" i="6"/>
  <c r="F1614" i="6"/>
  <c r="D1615" i="6"/>
  <c r="C1615" i="6"/>
  <c r="E1615" i="6"/>
  <c r="F1615" i="6"/>
  <c r="D1616" i="6"/>
  <c r="C1616" i="6"/>
  <c r="E1616" i="6"/>
  <c r="F1616" i="6"/>
  <c r="D1617" i="6"/>
  <c r="C1617" i="6"/>
  <c r="E1617" i="6"/>
  <c r="F1617" i="6"/>
  <c r="D1618" i="6"/>
  <c r="C1618" i="6"/>
  <c r="E1618" i="6"/>
  <c r="F1618" i="6"/>
  <c r="D1619" i="6"/>
  <c r="C1619" i="6"/>
  <c r="E1619" i="6"/>
  <c r="F1619" i="6"/>
  <c r="D1620" i="6"/>
  <c r="C1620" i="6"/>
  <c r="E1620" i="6"/>
  <c r="F1620" i="6"/>
  <c r="D1621" i="6"/>
  <c r="C1621" i="6"/>
  <c r="E1621" i="6"/>
  <c r="F1621" i="6"/>
  <c r="D1622" i="6"/>
  <c r="C1622" i="6"/>
  <c r="E1622" i="6"/>
  <c r="F1622" i="6"/>
  <c r="D1623" i="6"/>
  <c r="C1623" i="6"/>
  <c r="E1623" i="6"/>
  <c r="F1623" i="6"/>
  <c r="D1624" i="6"/>
  <c r="C1624" i="6"/>
  <c r="E1624" i="6"/>
  <c r="F1624" i="6"/>
  <c r="D1625" i="6"/>
  <c r="C1625" i="6"/>
  <c r="E1625" i="6"/>
  <c r="F1625" i="6"/>
  <c r="D1626" i="6"/>
  <c r="C1626" i="6"/>
  <c r="E1626" i="6"/>
  <c r="F1626" i="6"/>
  <c r="D1627" i="6"/>
  <c r="C1627" i="6"/>
  <c r="E1627" i="6"/>
  <c r="F1627" i="6"/>
  <c r="D1628" i="6"/>
  <c r="C1628" i="6"/>
  <c r="E1628" i="6"/>
  <c r="F1628" i="6"/>
  <c r="D1629" i="6"/>
  <c r="C1629" i="6"/>
  <c r="E1629" i="6"/>
  <c r="F1629" i="6"/>
  <c r="D1630" i="6"/>
  <c r="C1630" i="6"/>
  <c r="E1630" i="6"/>
  <c r="F1630" i="6"/>
  <c r="D1631" i="6"/>
  <c r="C1631" i="6"/>
  <c r="E1631" i="6"/>
  <c r="F1631" i="6"/>
  <c r="D1632" i="6"/>
  <c r="C1632" i="6"/>
  <c r="E1632" i="6"/>
  <c r="F1632" i="6"/>
  <c r="D1633" i="6"/>
  <c r="C1633" i="6"/>
  <c r="E1633" i="6"/>
  <c r="F1633" i="6"/>
  <c r="D1634" i="6"/>
  <c r="C1634" i="6"/>
  <c r="E1634" i="6"/>
  <c r="F1634" i="6"/>
  <c r="D1635" i="6"/>
  <c r="C1635" i="6"/>
  <c r="E1635" i="6"/>
  <c r="F1635" i="6"/>
  <c r="D1636" i="6"/>
  <c r="C1636" i="6"/>
  <c r="E1636" i="6"/>
  <c r="F1636" i="6"/>
  <c r="D1637" i="6"/>
  <c r="C1637" i="6"/>
  <c r="E1637" i="6"/>
  <c r="F1637" i="6"/>
  <c r="D1638" i="6"/>
  <c r="C1638" i="6"/>
  <c r="E1638" i="6"/>
  <c r="F1638" i="6"/>
  <c r="D1639" i="6"/>
  <c r="C1639" i="6"/>
  <c r="E1639" i="6"/>
  <c r="F1639" i="6"/>
  <c r="D1640" i="6"/>
  <c r="C1640" i="6"/>
  <c r="E1640" i="6"/>
  <c r="F1640" i="6"/>
  <c r="D1641" i="6"/>
  <c r="C1641" i="6"/>
  <c r="E1641" i="6"/>
  <c r="F1641" i="6"/>
  <c r="D1642" i="6"/>
  <c r="C1642" i="6"/>
  <c r="E1642" i="6"/>
  <c r="F1642" i="6"/>
  <c r="D1643" i="6"/>
  <c r="C1643" i="6"/>
  <c r="E1643" i="6"/>
  <c r="F1643" i="6"/>
  <c r="D1644" i="6"/>
  <c r="C1644" i="6"/>
  <c r="E1644" i="6"/>
  <c r="F1644" i="6"/>
  <c r="D1645" i="6"/>
  <c r="C1645" i="6"/>
  <c r="E1645" i="6"/>
  <c r="F1645" i="6"/>
  <c r="D1646" i="6"/>
  <c r="C1646" i="6"/>
  <c r="E1646" i="6"/>
  <c r="F1646" i="6"/>
  <c r="D1647" i="6"/>
  <c r="C1647" i="6"/>
  <c r="E1647" i="6"/>
  <c r="F1647" i="6"/>
  <c r="D1648" i="6"/>
  <c r="C1648" i="6"/>
  <c r="E1648" i="6"/>
  <c r="F1648" i="6"/>
  <c r="D1649" i="6"/>
  <c r="C1649" i="6"/>
  <c r="E1649" i="6"/>
  <c r="F1649" i="6"/>
  <c r="D1650" i="6"/>
  <c r="C1650" i="6"/>
  <c r="E1650" i="6"/>
  <c r="F1650" i="6"/>
  <c r="D1651" i="6"/>
  <c r="C1651" i="6"/>
  <c r="E1651" i="6"/>
  <c r="F1651" i="6"/>
  <c r="D1652" i="6"/>
  <c r="C1652" i="6"/>
  <c r="E1652" i="6"/>
  <c r="F1652" i="6"/>
  <c r="D1653" i="6"/>
  <c r="C1653" i="6"/>
  <c r="E1653" i="6"/>
  <c r="F1653" i="6"/>
  <c r="D1654" i="6"/>
  <c r="C1654" i="6"/>
  <c r="E1654" i="6"/>
  <c r="F1654" i="6"/>
  <c r="D1655" i="6"/>
  <c r="C1655" i="6"/>
  <c r="E1655" i="6"/>
  <c r="F1655" i="6"/>
  <c r="D1656" i="6"/>
  <c r="C1656" i="6"/>
  <c r="E1656" i="6"/>
  <c r="F1656" i="6"/>
  <c r="D1657" i="6"/>
  <c r="C1657" i="6"/>
  <c r="E1657" i="6"/>
  <c r="F1657" i="6"/>
  <c r="D1658" i="6"/>
  <c r="C1658" i="6"/>
  <c r="E1658" i="6"/>
  <c r="F1658" i="6"/>
  <c r="D1659" i="6"/>
  <c r="C1659" i="6"/>
  <c r="E1659" i="6"/>
  <c r="F1659" i="6"/>
  <c r="D1660" i="6"/>
  <c r="C1660" i="6"/>
  <c r="E1660" i="6"/>
  <c r="F1660" i="6"/>
  <c r="D1661" i="6"/>
  <c r="C1661" i="6"/>
  <c r="E1661" i="6"/>
  <c r="F1661" i="6"/>
  <c r="D1662" i="6"/>
  <c r="C1662" i="6"/>
  <c r="E1662" i="6"/>
  <c r="F1662" i="6"/>
  <c r="D1663" i="6"/>
  <c r="C1663" i="6"/>
  <c r="E1663" i="6"/>
  <c r="F1663" i="6"/>
  <c r="D1664" i="6"/>
  <c r="C1664" i="6"/>
  <c r="E1664" i="6"/>
  <c r="F1664" i="6"/>
  <c r="D1665" i="6"/>
  <c r="C1665" i="6"/>
  <c r="E1665" i="6"/>
  <c r="F1665" i="6"/>
  <c r="D1666" i="6"/>
  <c r="C1666" i="6"/>
  <c r="E1666" i="6"/>
  <c r="F1666" i="6"/>
  <c r="D1667" i="6"/>
  <c r="C1667" i="6"/>
  <c r="E1667" i="6"/>
  <c r="F1667" i="6"/>
  <c r="D1668" i="6"/>
  <c r="C1668" i="6"/>
  <c r="E1668" i="6"/>
  <c r="F1668" i="6"/>
  <c r="D1669" i="6"/>
  <c r="C1669" i="6"/>
  <c r="E1669" i="6"/>
  <c r="F1669" i="6"/>
  <c r="D1670" i="6"/>
  <c r="C1670" i="6"/>
  <c r="E1670" i="6"/>
  <c r="F1670" i="6"/>
  <c r="D1671" i="6"/>
  <c r="C1671" i="6"/>
  <c r="E1671" i="6"/>
  <c r="F1671" i="6"/>
  <c r="D1672" i="6"/>
  <c r="C1672" i="6"/>
  <c r="E1672" i="6"/>
  <c r="F1672" i="6"/>
  <c r="D1673" i="6"/>
  <c r="C1673" i="6"/>
  <c r="E1673" i="6"/>
  <c r="F1673" i="6"/>
  <c r="D1674" i="6"/>
  <c r="C1674" i="6"/>
  <c r="E1674" i="6"/>
  <c r="F1674" i="6"/>
  <c r="D1675" i="6"/>
  <c r="C1675" i="6"/>
  <c r="E1675" i="6"/>
  <c r="F1675" i="6"/>
  <c r="D1676" i="6"/>
  <c r="C1676" i="6"/>
  <c r="E1676" i="6"/>
  <c r="F1676" i="6"/>
  <c r="D1677" i="6"/>
  <c r="C1677" i="6"/>
  <c r="E1677" i="6"/>
  <c r="F1677" i="6"/>
  <c r="D1678" i="6"/>
  <c r="C1678" i="6"/>
  <c r="E1678" i="6"/>
  <c r="F1678" i="6"/>
  <c r="D1679" i="6"/>
  <c r="C1679" i="6"/>
  <c r="E1679" i="6"/>
  <c r="F1679" i="6"/>
  <c r="D1680" i="6"/>
  <c r="C1680" i="6"/>
  <c r="E1680" i="6"/>
  <c r="F1680" i="6"/>
  <c r="D1681" i="6"/>
  <c r="C1681" i="6"/>
  <c r="E1681" i="6"/>
  <c r="F1681" i="6"/>
  <c r="D1682" i="6"/>
  <c r="C1682" i="6"/>
  <c r="E1682" i="6"/>
  <c r="F1682" i="6"/>
  <c r="D1683" i="6"/>
  <c r="C1683" i="6"/>
  <c r="E1683" i="6"/>
  <c r="F1683" i="6"/>
  <c r="D1684" i="6"/>
  <c r="C1684" i="6"/>
  <c r="E1684" i="6"/>
  <c r="F1684" i="6"/>
  <c r="D1685" i="6"/>
  <c r="C1685" i="6"/>
  <c r="E1685" i="6"/>
  <c r="F1685" i="6"/>
  <c r="D1686" i="6"/>
  <c r="C1686" i="6"/>
  <c r="E1686" i="6"/>
  <c r="F1686" i="6"/>
  <c r="D1687" i="6"/>
  <c r="C1687" i="6"/>
  <c r="E1687" i="6"/>
  <c r="F1687" i="6"/>
  <c r="D1688" i="6"/>
  <c r="C1688" i="6"/>
  <c r="E1688" i="6"/>
  <c r="F1688" i="6"/>
  <c r="D1689" i="6"/>
  <c r="C1689" i="6"/>
  <c r="E1689" i="6"/>
  <c r="F1689" i="6"/>
  <c r="D1690" i="6"/>
  <c r="C1690" i="6"/>
  <c r="E1690" i="6"/>
  <c r="F1690" i="6"/>
  <c r="D1691" i="6"/>
  <c r="C1691" i="6"/>
  <c r="E1691" i="6"/>
  <c r="F1691" i="6"/>
  <c r="D1692" i="6"/>
  <c r="C1692" i="6"/>
  <c r="E1692" i="6"/>
  <c r="F1692" i="6"/>
  <c r="D1693" i="6"/>
  <c r="C1693" i="6"/>
  <c r="E1693" i="6"/>
  <c r="F1693" i="6"/>
  <c r="D1694" i="6"/>
  <c r="C1694" i="6"/>
  <c r="E1694" i="6"/>
  <c r="F1694" i="6"/>
  <c r="D1695" i="6"/>
  <c r="C1695" i="6"/>
  <c r="E1695" i="6"/>
  <c r="F1695" i="6"/>
  <c r="D1696" i="6"/>
  <c r="C1696" i="6"/>
  <c r="E1696" i="6"/>
  <c r="F1696" i="6"/>
  <c r="D1697" i="6"/>
  <c r="C1697" i="6"/>
  <c r="E1697" i="6"/>
  <c r="F1697" i="6"/>
  <c r="D1698" i="6"/>
  <c r="C1698" i="6"/>
  <c r="E1698" i="6"/>
  <c r="F1698" i="6"/>
  <c r="D1699" i="6"/>
  <c r="C1699" i="6"/>
  <c r="E1699" i="6"/>
  <c r="F1699" i="6"/>
  <c r="D1700" i="6"/>
  <c r="C1700" i="6"/>
  <c r="E1700" i="6"/>
  <c r="F1700" i="6"/>
  <c r="D1701" i="6"/>
  <c r="C1701" i="6"/>
  <c r="E1701" i="6"/>
  <c r="F1701" i="6"/>
  <c r="D1702" i="6"/>
  <c r="C1702" i="6"/>
  <c r="E1702" i="6"/>
  <c r="F1702" i="6"/>
  <c r="D1703" i="6"/>
  <c r="C1703" i="6"/>
  <c r="E1703" i="6"/>
  <c r="F1703" i="6"/>
  <c r="D1704" i="6"/>
  <c r="C1704" i="6"/>
  <c r="E1704" i="6"/>
  <c r="F1704" i="6"/>
  <c r="D1705" i="6"/>
  <c r="C1705" i="6"/>
  <c r="E1705" i="6"/>
  <c r="F1705" i="6"/>
  <c r="D1706" i="6"/>
  <c r="C1706" i="6"/>
  <c r="E1706" i="6"/>
  <c r="F1706" i="6"/>
  <c r="D1707" i="6"/>
  <c r="C1707" i="6"/>
  <c r="E1707" i="6"/>
  <c r="F1707" i="6"/>
  <c r="D1708" i="6"/>
  <c r="C1708" i="6"/>
  <c r="E1708" i="6"/>
  <c r="F1708" i="6"/>
  <c r="D1709" i="6"/>
  <c r="C1709" i="6"/>
  <c r="E1709" i="6"/>
  <c r="F1709" i="6"/>
  <c r="D1710" i="6"/>
  <c r="C1710" i="6"/>
  <c r="E1710" i="6"/>
  <c r="F1710" i="6"/>
  <c r="D1711" i="6"/>
  <c r="C1711" i="6"/>
  <c r="E1711" i="6"/>
  <c r="F1711" i="6"/>
  <c r="D1712" i="6"/>
  <c r="C1712" i="6"/>
  <c r="E1712" i="6"/>
  <c r="F1712" i="6"/>
  <c r="D1713" i="6"/>
  <c r="C1713" i="6"/>
  <c r="E1713" i="6"/>
  <c r="F1713" i="6"/>
  <c r="D1714" i="6"/>
  <c r="C1714" i="6"/>
  <c r="E1714" i="6"/>
  <c r="F1714" i="6"/>
  <c r="D1715" i="6"/>
  <c r="C1715" i="6"/>
  <c r="E1715" i="6"/>
  <c r="F1715" i="6"/>
  <c r="D1716" i="6"/>
  <c r="C1716" i="6"/>
  <c r="E1716" i="6"/>
  <c r="F1716" i="6"/>
  <c r="D1717" i="6"/>
  <c r="C1717" i="6"/>
  <c r="E1717" i="6"/>
  <c r="F1717" i="6"/>
  <c r="D1718" i="6"/>
  <c r="C1718" i="6"/>
  <c r="E1718" i="6"/>
  <c r="F1718" i="6"/>
  <c r="D1719" i="6"/>
  <c r="C1719" i="6"/>
  <c r="E1719" i="6"/>
  <c r="F1719" i="6"/>
  <c r="D1720" i="6"/>
  <c r="C1720" i="6"/>
  <c r="E1720" i="6"/>
  <c r="F1720" i="6"/>
  <c r="D1721" i="6"/>
  <c r="C1721" i="6"/>
  <c r="E1721" i="6"/>
  <c r="F1721" i="6"/>
  <c r="D1722" i="6"/>
  <c r="C1722" i="6"/>
  <c r="E1722" i="6"/>
  <c r="F1722" i="6"/>
  <c r="D1723" i="6"/>
  <c r="C1723" i="6"/>
  <c r="E1723" i="6"/>
  <c r="F1723" i="6"/>
  <c r="D1724" i="6"/>
  <c r="C1724" i="6"/>
  <c r="E1724" i="6"/>
  <c r="F1724" i="6"/>
  <c r="D1725" i="6"/>
  <c r="C1725" i="6"/>
  <c r="E1725" i="6"/>
  <c r="F1725" i="6"/>
  <c r="D1726" i="6"/>
  <c r="C1726" i="6"/>
  <c r="E1726" i="6"/>
  <c r="F1726" i="6"/>
  <c r="D1727" i="6"/>
  <c r="C1727" i="6"/>
  <c r="E1727" i="6"/>
  <c r="F1727" i="6"/>
  <c r="D1728" i="6"/>
  <c r="C1728" i="6"/>
  <c r="E1728" i="6"/>
  <c r="F1728" i="6"/>
  <c r="D1729" i="6"/>
  <c r="C1729" i="6"/>
  <c r="E1729" i="6"/>
  <c r="F1729" i="6"/>
  <c r="D1730" i="6"/>
  <c r="C1730" i="6"/>
  <c r="E1730" i="6"/>
  <c r="F1730" i="6"/>
  <c r="D1731" i="6"/>
  <c r="C1731" i="6"/>
  <c r="E1731" i="6"/>
  <c r="F1731" i="6"/>
  <c r="D1732" i="6"/>
  <c r="C1732" i="6"/>
  <c r="E1732" i="6"/>
  <c r="F1732" i="6"/>
  <c r="D1733" i="6"/>
  <c r="C1733" i="6"/>
  <c r="E1733" i="6"/>
  <c r="F1733" i="6"/>
  <c r="D1734" i="6"/>
  <c r="C1734" i="6"/>
  <c r="E1734" i="6"/>
  <c r="F1734" i="6"/>
  <c r="D1735" i="6"/>
  <c r="C1735" i="6"/>
  <c r="E1735" i="6"/>
  <c r="F1735" i="6"/>
  <c r="D1736" i="6"/>
  <c r="C1736" i="6"/>
  <c r="E1736" i="6"/>
  <c r="F1736" i="6"/>
  <c r="D1737" i="6"/>
  <c r="C1737" i="6"/>
  <c r="E1737" i="6"/>
  <c r="F1737" i="6"/>
  <c r="D1738" i="6"/>
  <c r="C1738" i="6"/>
  <c r="E1738" i="6"/>
  <c r="F1738" i="6"/>
  <c r="D1739" i="6"/>
  <c r="C1739" i="6"/>
  <c r="E1739" i="6"/>
  <c r="F1739" i="6"/>
  <c r="D1740" i="6"/>
  <c r="C1740" i="6"/>
  <c r="E1740" i="6"/>
  <c r="F1740" i="6"/>
  <c r="D1741" i="6"/>
  <c r="C1741" i="6"/>
  <c r="E1741" i="6"/>
  <c r="F1741" i="6"/>
  <c r="D1742" i="6"/>
  <c r="C1742" i="6"/>
  <c r="E1742" i="6"/>
  <c r="F1742" i="6"/>
  <c r="D1743" i="6"/>
  <c r="C1743" i="6"/>
  <c r="E1743" i="6"/>
  <c r="F1743" i="6"/>
  <c r="D1744" i="6"/>
  <c r="C1744" i="6"/>
  <c r="E1744" i="6"/>
  <c r="F1744" i="6"/>
  <c r="D1745" i="6"/>
  <c r="C1745" i="6"/>
  <c r="E1745" i="6"/>
  <c r="F1745" i="6"/>
  <c r="D1746" i="6"/>
  <c r="C1746" i="6"/>
  <c r="E1746" i="6"/>
  <c r="F1746" i="6"/>
  <c r="D1747" i="6"/>
  <c r="C1747" i="6"/>
  <c r="E1747" i="6"/>
  <c r="F1747" i="6"/>
  <c r="D1748" i="6"/>
  <c r="C1748" i="6"/>
  <c r="E1748" i="6"/>
  <c r="F1748" i="6"/>
  <c r="D1749" i="6"/>
  <c r="C1749" i="6"/>
  <c r="E1749" i="6"/>
  <c r="F1749" i="6"/>
  <c r="D1750" i="6"/>
  <c r="C1750" i="6"/>
  <c r="E1750" i="6"/>
  <c r="F1750" i="6"/>
  <c r="D1751" i="6"/>
  <c r="C1751" i="6"/>
  <c r="E1751" i="6"/>
  <c r="F1751" i="6"/>
  <c r="D1752" i="6"/>
  <c r="C1752" i="6"/>
  <c r="E1752" i="6"/>
  <c r="F1752" i="6"/>
  <c r="D1753" i="6"/>
  <c r="C1753" i="6"/>
  <c r="E1753" i="6"/>
  <c r="F1753" i="6"/>
  <c r="D1754" i="6"/>
  <c r="C1754" i="6"/>
  <c r="E1754" i="6"/>
  <c r="F1754" i="6"/>
  <c r="D1755" i="6"/>
  <c r="C1755" i="6"/>
  <c r="E1755" i="6"/>
  <c r="F1755" i="6"/>
  <c r="D1756" i="6"/>
  <c r="C1756" i="6"/>
  <c r="E1756" i="6"/>
  <c r="F1756" i="6"/>
  <c r="D1757" i="6"/>
  <c r="C1757" i="6"/>
  <c r="E1757" i="6"/>
  <c r="F1757" i="6"/>
  <c r="D1758" i="6"/>
  <c r="C1758" i="6"/>
  <c r="E1758" i="6"/>
  <c r="F1758" i="6"/>
  <c r="D1759" i="6"/>
  <c r="C1759" i="6"/>
  <c r="E1759" i="6"/>
  <c r="F1759" i="6"/>
  <c r="D1760" i="6"/>
  <c r="C1760" i="6"/>
  <c r="E1760" i="6"/>
  <c r="F1760" i="6"/>
  <c r="D1761" i="6"/>
  <c r="C1761" i="6"/>
  <c r="E1761" i="6"/>
  <c r="F1761" i="6"/>
  <c r="D1762" i="6"/>
  <c r="C1762" i="6"/>
  <c r="E1762" i="6"/>
  <c r="F1762" i="6"/>
  <c r="D1763" i="6"/>
  <c r="C1763" i="6"/>
  <c r="E1763" i="6"/>
  <c r="F1763" i="6"/>
  <c r="D1764" i="6"/>
  <c r="C1764" i="6"/>
  <c r="E1764" i="6"/>
  <c r="F1764" i="6"/>
  <c r="D1765" i="6"/>
  <c r="C1765" i="6"/>
  <c r="E1765" i="6"/>
  <c r="F1765" i="6"/>
  <c r="D1766" i="6"/>
  <c r="C1766" i="6"/>
  <c r="E1766" i="6"/>
  <c r="F1766" i="6"/>
  <c r="D1767" i="6"/>
  <c r="C1767" i="6"/>
  <c r="E1767" i="6"/>
  <c r="F1767" i="6"/>
  <c r="D1768" i="6"/>
  <c r="C1768" i="6"/>
  <c r="E1768" i="6"/>
  <c r="F1768" i="6"/>
  <c r="D1769" i="6"/>
  <c r="C1769" i="6"/>
  <c r="E1769" i="6"/>
  <c r="F1769" i="6"/>
  <c r="D1770" i="6"/>
  <c r="C1770" i="6"/>
  <c r="E1770" i="6"/>
  <c r="F1770" i="6"/>
  <c r="D1771" i="6"/>
  <c r="C1771" i="6"/>
  <c r="E1771" i="6"/>
  <c r="F1771" i="6"/>
  <c r="D1772" i="6"/>
  <c r="C1772" i="6"/>
  <c r="E1772" i="6"/>
  <c r="F1772" i="6"/>
  <c r="D1773" i="6"/>
  <c r="C1773" i="6"/>
  <c r="E1773" i="6"/>
  <c r="F1773" i="6"/>
  <c r="D1774" i="6"/>
  <c r="C1774" i="6"/>
  <c r="E1774" i="6"/>
  <c r="F1774" i="6"/>
  <c r="D1775" i="6"/>
  <c r="C1775" i="6"/>
  <c r="E1775" i="6"/>
  <c r="F1775" i="6"/>
  <c r="D1776" i="6"/>
  <c r="C1776" i="6"/>
  <c r="E1776" i="6"/>
  <c r="F1776" i="6"/>
  <c r="D1777" i="6"/>
  <c r="C1777" i="6"/>
  <c r="E1777" i="6"/>
  <c r="F1777" i="6"/>
  <c r="D1778" i="6"/>
  <c r="C1778" i="6"/>
  <c r="E1778" i="6"/>
  <c r="F1778" i="6"/>
  <c r="D1779" i="6"/>
  <c r="C1779" i="6"/>
  <c r="E1779" i="6"/>
  <c r="F1779" i="6"/>
  <c r="D1780" i="6"/>
  <c r="C1780" i="6"/>
  <c r="E1780" i="6"/>
  <c r="F1780" i="6"/>
  <c r="D1781" i="6"/>
  <c r="C1781" i="6"/>
  <c r="E1781" i="6"/>
  <c r="F1781" i="6"/>
  <c r="D1782" i="6"/>
  <c r="C1782" i="6"/>
  <c r="E1782" i="6"/>
  <c r="F1782" i="6"/>
  <c r="D1783" i="6"/>
  <c r="C1783" i="6"/>
  <c r="E1783" i="6"/>
  <c r="F1783" i="6"/>
  <c r="D1784" i="6"/>
  <c r="C1784" i="6"/>
  <c r="E1784" i="6"/>
  <c r="F1784" i="6"/>
  <c r="D1785" i="6"/>
  <c r="C1785" i="6"/>
  <c r="E1785" i="6"/>
  <c r="F1785" i="6"/>
  <c r="D1786" i="6"/>
  <c r="C1786" i="6"/>
  <c r="E1786" i="6"/>
  <c r="F1786" i="6"/>
  <c r="D1787" i="6"/>
  <c r="C1787" i="6"/>
  <c r="E1787" i="6"/>
  <c r="F1787" i="6"/>
  <c r="D1788" i="6"/>
  <c r="C1788" i="6"/>
  <c r="E1788" i="6"/>
  <c r="F1788" i="6"/>
  <c r="D1789" i="6"/>
  <c r="C1789" i="6"/>
  <c r="E1789" i="6"/>
  <c r="F1789" i="6"/>
  <c r="D1790" i="6"/>
  <c r="C1790" i="6"/>
  <c r="E1790" i="6"/>
  <c r="F1790" i="6"/>
  <c r="D1791" i="6"/>
  <c r="C1791" i="6"/>
  <c r="E1791" i="6"/>
  <c r="F1791" i="6"/>
  <c r="D1792" i="6"/>
  <c r="C1792" i="6"/>
  <c r="E1792" i="6"/>
  <c r="F1792" i="6"/>
  <c r="D1793" i="6"/>
  <c r="C1793" i="6"/>
  <c r="E1793" i="6"/>
  <c r="F1793" i="6"/>
  <c r="D1794" i="6"/>
  <c r="C1794" i="6"/>
  <c r="E1794" i="6"/>
  <c r="F1794" i="6"/>
  <c r="D1795" i="6"/>
  <c r="C1795" i="6"/>
  <c r="E1795" i="6"/>
  <c r="F1795" i="6"/>
  <c r="D1796" i="6"/>
  <c r="C1796" i="6"/>
  <c r="E1796" i="6"/>
  <c r="F1796" i="6"/>
  <c r="D1797" i="6"/>
  <c r="C1797" i="6"/>
  <c r="E1797" i="6"/>
  <c r="F1797" i="6"/>
  <c r="D1798" i="6"/>
  <c r="C1798" i="6"/>
  <c r="E1798" i="6"/>
  <c r="F1798" i="6"/>
  <c r="D1799" i="6"/>
  <c r="C1799" i="6"/>
  <c r="E1799" i="6"/>
  <c r="F1799" i="6"/>
  <c r="D1800" i="6"/>
  <c r="C1800" i="6"/>
  <c r="E1800" i="6"/>
  <c r="F1800" i="6"/>
  <c r="D1801" i="6"/>
  <c r="C1801" i="6"/>
  <c r="E1801" i="6"/>
  <c r="F1801" i="6"/>
  <c r="D1802" i="6"/>
  <c r="C1802" i="6"/>
  <c r="E1802" i="6"/>
  <c r="F1802" i="6"/>
  <c r="D1803" i="6"/>
  <c r="C1803" i="6"/>
  <c r="E1803" i="6"/>
  <c r="F1803" i="6"/>
  <c r="D1804" i="6"/>
  <c r="C1804" i="6"/>
  <c r="E1804" i="6"/>
  <c r="F1804" i="6"/>
  <c r="D1805" i="6"/>
  <c r="C1805" i="6"/>
  <c r="E1805" i="6"/>
  <c r="F1805" i="6"/>
  <c r="D1806" i="6"/>
  <c r="C1806" i="6"/>
  <c r="E1806" i="6"/>
  <c r="F1806" i="6"/>
  <c r="D1807" i="6"/>
  <c r="C1807" i="6"/>
  <c r="E1807" i="6"/>
  <c r="F1807" i="6"/>
  <c r="D1808" i="6"/>
  <c r="C1808" i="6"/>
  <c r="E1808" i="6"/>
  <c r="F1808" i="6"/>
  <c r="D1809" i="6"/>
  <c r="C1809" i="6"/>
  <c r="E1809" i="6"/>
  <c r="F1809" i="6"/>
  <c r="D1810" i="6"/>
  <c r="C1810" i="6"/>
  <c r="E1810" i="6"/>
  <c r="F1810" i="6"/>
  <c r="D1811" i="6"/>
  <c r="C1811" i="6"/>
  <c r="E1811" i="6"/>
  <c r="F1811" i="6"/>
  <c r="D1812" i="6"/>
  <c r="C1812" i="6"/>
  <c r="E1812" i="6"/>
  <c r="F1812" i="6"/>
  <c r="D1813" i="6"/>
  <c r="C1813" i="6"/>
  <c r="E1813" i="6"/>
  <c r="F1813" i="6"/>
  <c r="D1814" i="6"/>
  <c r="C1814" i="6"/>
  <c r="E1814" i="6"/>
  <c r="F1814" i="6"/>
  <c r="D1815" i="6"/>
  <c r="C1815" i="6"/>
  <c r="E1815" i="6"/>
  <c r="F1815" i="6"/>
  <c r="D1816" i="6"/>
  <c r="C1816" i="6"/>
  <c r="E1816" i="6"/>
  <c r="F1816" i="6"/>
  <c r="D1817" i="6"/>
  <c r="C1817" i="6"/>
  <c r="E1817" i="6"/>
  <c r="F1817" i="6"/>
  <c r="D1818" i="6"/>
  <c r="C1818" i="6"/>
  <c r="E1818" i="6"/>
  <c r="F1818" i="6"/>
  <c r="D1819" i="6"/>
  <c r="C1819" i="6"/>
  <c r="E1819" i="6"/>
  <c r="F1819" i="6"/>
  <c r="D1820" i="6"/>
  <c r="C1820" i="6"/>
  <c r="E1820" i="6"/>
  <c r="F1820" i="6"/>
  <c r="D1821" i="6"/>
  <c r="C1821" i="6"/>
  <c r="E1821" i="6"/>
  <c r="F1821" i="6"/>
  <c r="D1822" i="6"/>
  <c r="C1822" i="6"/>
  <c r="E1822" i="6"/>
  <c r="F1822" i="6"/>
  <c r="D1823" i="6"/>
  <c r="C1823" i="6"/>
  <c r="E1823" i="6"/>
  <c r="F1823" i="6"/>
  <c r="D1824" i="6"/>
  <c r="C1824" i="6"/>
  <c r="E1824" i="6"/>
  <c r="F1824" i="6"/>
  <c r="D1825" i="6"/>
  <c r="C1825" i="6"/>
  <c r="E1825" i="6"/>
  <c r="F1825" i="6"/>
  <c r="D1826" i="6"/>
  <c r="C1826" i="6"/>
  <c r="E1826" i="6"/>
  <c r="F1826" i="6"/>
  <c r="D1827" i="6"/>
  <c r="C1827" i="6"/>
  <c r="E1827" i="6"/>
  <c r="F1827" i="6"/>
  <c r="D1828" i="6"/>
  <c r="C1828" i="6"/>
  <c r="E1828" i="6"/>
  <c r="F1828" i="6"/>
  <c r="D1829" i="6"/>
  <c r="C1829" i="6"/>
  <c r="E1829" i="6"/>
  <c r="F1829" i="6"/>
  <c r="D1830" i="6"/>
  <c r="C1830" i="6"/>
  <c r="E1830" i="6"/>
  <c r="F1830" i="6"/>
  <c r="D1831" i="6"/>
  <c r="C1831" i="6"/>
  <c r="E1831" i="6"/>
  <c r="F1831" i="6"/>
  <c r="D1832" i="6"/>
  <c r="C1832" i="6"/>
  <c r="E1832" i="6"/>
  <c r="F1832" i="6"/>
  <c r="D1833" i="6"/>
  <c r="C1833" i="6"/>
  <c r="E1833" i="6"/>
  <c r="F1833" i="6"/>
  <c r="D1834" i="6"/>
  <c r="C1834" i="6"/>
  <c r="E1834" i="6"/>
  <c r="F1834" i="6"/>
  <c r="D1835" i="6"/>
  <c r="C1835" i="6"/>
  <c r="E1835" i="6"/>
  <c r="F1835" i="6"/>
  <c r="D1836" i="6"/>
  <c r="C1836" i="6"/>
  <c r="E1836" i="6"/>
  <c r="F1836" i="6"/>
  <c r="D1837" i="6"/>
  <c r="C1837" i="6"/>
  <c r="E1837" i="6"/>
  <c r="F1837" i="6"/>
  <c r="D1838" i="6"/>
  <c r="C1838" i="6"/>
  <c r="E1838" i="6"/>
  <c r="F1838" i="6"/>
  <c r="D1839" i="6"/>
  <c r="C1839" i="6"/>
  <c r="E1839" i="6"/>
  <c r="F1839" i="6"/>
  <c r="D1840" i="6"/>
  <c r="C1840" i="6"/>
  <c r="E1840" i="6"/>
  <c r="F1840" i="6"/>
  <c r="D1841" i="6"/>
  <c r="C1841" i="6"/>
  <c r="E1841" i="6"/>
  <c r="F1841" i="6"/>
  <c r="D1842" i="6"/>
  <c r="C1842" i="6"/>
  <c r="E1842" i="6"/>
  <c r="F1842" i="6"/>
  <c r="D1843" i="6"/>
  <c r="C1843" i="6"/>
  <c r="E1843" i="6"/>
  <c r="F1843" i="6"/>
  <c r="D1844" i="6"/>
  <c r="C1844" i="6"/>
  <c r="E1844" i="6"/>
  <c r="F1844" i="6"/>
  <c r="D1845" i="6"/>
  <c r="C1845" i="6"/>
  <c r="E1845" i="6"/>
  <c r="F1845" i="6"/>
  <c r="D1846" i="6"/>
  <c r="C1846" i="6"/>
  <c r="E1846" i="6"/>
  <c r="F1846" i="6"/>
  <c r="D1847" i="6"/>
  <c r="C1847" i="6"/>
  <c r="E1847" i="6"/>
  <c r="F1847" i="6"/>
  <c r="D1848" i="6"/>
  <c r="C1848" i="6"/>
  <c r="E1848" i="6"/>
  <c r="F1848" i="6"/>
  <c r="D1849" i="6"/>
  <c r="C1849" i="6"/>
  <c r="E1849" i="6"/>
  <c r="F1849" i="6"/>
  <c r="D1850" i="6"/>
  <c r="C1850" i="6"/>
  <c r="E1850" i="6"/>
  <c r="F1850" i="6"/>
  <c r="D1851" i="6"/>
  <c r="C1851" i="6"/>
  <c r="E1851" i="6"/>
  <c r="F1851" i="6"/>
  <c r="D1852" i="6"/>
  <c r="C1852" i="6"/>
  <c r="E1852" i="6"/>
  <c r="F1852" i="6"/>
  <c r="D1853" i="6"/>
  <c r="C1853" i="6"/>
  <c r="E1853" i="6"/>
  <c r="F1853" i="6"/>
  <c r="D1854" i="6"/>
  <c r="C1854" i="6"/>
  <c r="E1854" i="6"/>
  <c r="F1854" i="6"/>
  <c r="D1855" i="6"/>
  <c r="C1855" i="6"/>
  <c r="E1855" i="6"/>
  <c r="F1855" i="6"/>
  <c r="D1856" i="6"/>
  <c r="C1856" i="6"/>
  <c r="E1856" i="6"/>
  <c r="F1856" i="6"/>
  <c r="D1857" i="6"/>
  <c r="C1857" i="6"/>
  <c r="E1857" i="6"/>
  <c r="F1857" i="6"/>
  <c r="D1858" i="6"/>
  <c r="C1858" i="6"/>
  <c r="E1858" i="6"/>
  <c r="F1858" i="6"/>
  <c r="D1859" i="6"/>
  <c r="C1859" i="6"/>
  <c r="E1859" i="6"/>
  <c r="F1859" i="6"/>
  <c r="D1860" i="6"/>
  <c r="C1860" i="6"/>
  <c r="E1860" i="6"/>
  <c r="F1860" i="6"/>
  <c r="D1861" i="6"/>
  <c r="C1861" i="6"/>
  <c r="E1861" i="6"/>
  <c r="F1861" i="6"/>
  <c r="D1862" i="6"/>
  <c r="C1862" i="6"/>
  <c r="E1862" i="6"/>
  <c r="F1862" i="6"/>
  <c r="D1863" i="6"/>
  <c r="C1863" i="6"/>
  <c r="E1863" i="6"/>
  <c r="F1863" i="6"/>
  <c r="D1864" i="6"/>
  <c r="C1864" i="6"/>
  <c r="E1864" i="6"/>
  <c r="F1864" i="6"/>
  <c r="D1865" i="6"/>
  <c r="C1865" i="6"/>
  <c r="E1865" i="6"/>
  <c r="F1865" i="6"/>
  <c r="D1866" i="6"/>
  <c r="C1866" i="6"/>
  <c r="E1866" i="6"/>
  <c r="F1866" i="6"/>
  <c r="D1867" i="6"/>
  <c r="C1867" i="6"/>
  <c r="E1867" i="6"/>
  <c r="F1867" i="6"/>
  <c r="D1868" i="6"/>
  <c r="C1868" i="6"/>
  <c r="E1868" i="6"/>
  <c r="F1868" i="6"/>
  <c r="D1869" i="6"/>
  <c r="C1869" i="6"/>
  <c r="E1869" i="6"/>
  <c r="F1869" i="6"/>
  <c r="D1870" i="6"/>
  <c r="C1870" i="6"/>
  <c r="E1870" i="6"/>
  <c r="F1870" i="6"/>
  <c r="D1871" i="6"/>
  <c r="C1871" i="6"/>
  <c r="E1871" i="6"/>
  <c r="F1871" i="6"/>
  <c r="D1872" i="6"/>
  <c r="C1872" i="6"/>
  <c r="E1872" i="6"/>
  <c r="F1872" i="6"/>
  <c r="D1873" i="6"/>
  <c r="C1873" i="6"/>
  <c r="E1873" i="6"/>
  <c r="F1873" i="6"/>
  <c r="D1874" i="6"/>
  <c r="C1874" i="6"/>
  <c r="E1874" i="6"/>
  <c r="F1874" i="6"/>
  <c r="D1875" i="6"/>
  <c r="C1875" i="6"/>
  <c r="E1875" i="6"/>
  <c r="F1875" i="6"/>
  <c r="D1876" i="6"/>
  <c r="C1876" i="6"/>
  <c r="E1876" i="6"/>
  <c r="F1876" i="6"/>
  <c r="D1877" i="6"/>
  <c r="C1877" i="6"/>
  <c r="E1877" i="6"/>
  <c r="F1877" i="6"/>
  <c r="D1878" i="6"/>
  <c r="C1878" i="6"/>
  <c r="E1878" i="6"/>
  <c r="F1878" i="6"/>
  <c r="D1879" i="6"/>
  <c r="C1879" i="6"/>
  <c r="E1879" i="6"/>
  <c r="F1879" i="6"/>
  <c r="D1880" i="6"/>
  <c r="C1880" i="6"/>
  <c r="E1880" i="6"/>
  <c r="F1880" i="6"/>
  <c r="D1881" i="6"/>
  <c r="C1881" i="6"/>
  <c r="E1881" i="6"/>
  <c r="F1881" i="6"/>
  <c r="D1882" i="6"/>
  <c r="C1882" i="6"/>
  <c r="E1882" i="6"/>
  <c r="F1882" i="6"/>
  <c r="D1883" i="6"/>
  <c r="C1883" i="6"/>
  <c r="E1883" i="6"/>
  <c r="F1883" i="6"/>
  <c r="D1884" i="6"/>
  <c r="C1884" i="6"/>
  <c r="E1884" i="6"/>
  <c r="F1884" i="6"/>
  <c r="D1885" i="6"/>
  <c r="C1885" i="6"/>
  <c r="E1885" i="6"/>
  <c r="F1885" i="6"/>
  <c r="D1886" i="6"/>
  <c r="C1886" i="6"/>
  <c r="E1886" i="6"/>
  <c r="F1886" i="6"/>
  <c r="D1887" i="6"/>
  <c r="C1887" i="6"/>
  <c r="E1887" i="6"/>
  <c r="F1887" i="6"/>
  <c r="D1888" i="6"/>
  <c r="C1888" i="6"/>
  <c r="E1888" i="6"/>
  <c r="F1888" i="6"/>
  <c r="D1889" i="6"/>
  <c r="C1889" i="6"/>
  <c r="E1889" i="6"/>
  <c r="F1889" i="6"/>
  <c r="D1890" i="6"/>
  <c r="C1890" i="6"/>
  <c r="E1890" i="6"/>
  <c r="F1890" i="6"/>
  <c r="D1891" i="6"/>
  <c r="C1891" i="6"/>
  <c r="E1891" i="6"/>
  <c r="F1891" i="6"/>
  <c r="D1892" i="6"/>
  <c r="C1892" i="6"/>
  <c r="E1892" i="6"/>
  <c r="F1892" i="6"/>
  <c r="D1893" i="6"/>
  <c r="C1893" i="6"/>
  <c r="E1893" i="6"/>
  <c r="F1893" i="6"/>
  <c r="D1894" i="6"/>
  <c r="C1894" i="6"/>
  <c r="E1894" i="6"/>
  <c r="F1894" i="6"/>
  <c r="D1895" i="6"/>
  <c r="C1895" i="6"/>
  <c r="E1895" i="6"/>
  <c r="F1895" i="6"/>
  <c r="D1896" i="6"/>
  <c r="C1896" i="6"/>
  <c r="E1896" i="6"/>
  <c r="F1896" i="6"/>
  <c r="D1897" i="6"/>
  <c r="C1897" i="6"/>
  <c r="E1897" i="6"/>
  <c r="F1897" i="6"/>
  <c r="D1898" i="6"/>
  <c r="C1898" i="6"/>
  <c r="E1898" i="6"/>
  <c r="F1898" i="6"/>
  <c r="D1899" i="6"/>
  <c r="C1899" i="6"/>
  <c r="E1899" i="6"/>
  <c r="F1899" i="6"/>
  <c r="D1900" i="6"/>
  <c r="C1900" i="6"/>
  <c r="E1900" i="6"/>
  <c r="F1900" i="6"/>
  <c r="D1901" i="6"/>
  <c r="C1901" i="6"/>
  <c r="E1901" i="6"/>
  <c r="F1901" i="6"/>
  <c r="D1902" i="6"/>
  <c r="C1902" i="6"/>
  <c r="E1902" i="6"/>
  <c r="F1902" i="6"/>
  <c r="D1903" i="6"/>
  <c r="C1903" i="6"/>
  <c r="E1903" i="6"/>
  <c r="F1903" i="6"/>
  <c r="D1904" i="6"/>
  <c r="C1904" i="6"/>
  <c r="E1904" i="6"/>
  <c r="F1904" i="6"/>
  <c r="D1905" i="6"/>
  <c r="C1905" i="6"/>
  <c r="E1905" i="6"/>
  <c r="F1905" i="6"/>
  <c r="D1906" i="6"/>
  <c r="C1906" i="6"/>
  <c r="E1906" i="6"/>
  <c r="F1906" i="6"/>
  <c r="D1907" i="6"/>
  <c r="C1907" i="6"/>
  <c r="E1907" i="6"/>
  <c r="F1907" i="6"/>
  <c r="D1908" i="6"/>
  <c r="C1908" i="6"/>
  <c r="E1908" i="6"/>
  <c r="F1908" i="6"/>
  <c r="D1909" i="6"/>
  <c r="C1909" i="6"/>
  <c r="E1909" i="6"/>
  <c r="F1909" i="6"/>
  <c r="D1910" i="6"/>
  <c r="C1910" i="6"/>
  <c r="E1910" i="6"/>
  <c r="F1910" i="6"/>
  <c r="D1911" i="6"/>
  <c r="C1911" i="6"/>
  <c r="E1911" i="6"/>
  <c r="F1911" i="6"/>
  <c r="D1912" i="6"/>
  <c r="C1912" i="6"/>
  <c r="E1912" i="6"/>
  <c r="F1912" i="6"/>
  <c r="D1913" i="6"/>
  <c r="C1913" i="6"/>
  <c r="E1913" i="6"/>
  <c r="F1913" i="6"/>
  <c r="D1914" i="6"/>
  <c r="C1914" i="6"/>
  <c r="E1914" i="6"/>
  <c r="F1914" i="6"/>
  <c r="D1915" i="6"/>
  <c r="C1915" i="6"/>
  <c r="E1915" i="6"/>
  <c r="F1915" i="6"/>
  <c r="D1916" i="6"/>
  <c r="C1916" i="6"/>
  <c r="E1916" i="6"/>
  <c r="F1916" i="6"/>
  <c r="D1917" i="6"/>
  <c r="C1917" i="6"/>
  <c r="E1917" i="6"/>
  <c r="F1917" i="6"/>
  <c r="D1918" i="6"/>
  <c r="C1918" i="6"/>
  <c r="E1918" i="6"/>
  <c r="F1918" i="6"/>
  <c r="D1919" i="6"/>
  <c r="C1919" i="6"/>
  <c r="E1919" i="6"/>
  <c r="F1919" i="6"/>
  <c r="D1920" i="6"/>
  <c r="C1920" i="6"/>
  <c r="E1920" i="6"/>
  <c r="F1920" i="6"/>
  <c r="D1921" i="6"/>
  <c r="C1921" i="6"/>
  <c r="E1921" i="6"/>
  <c r="F1921" i="6"/>
  <c r="D1922" i="6"/>
  <c r="C1922" i="6"/>
  <c r="E1922" i="6"/>
  <c r="F1922" i="6"/>
  <c r="D1923" i="6"/>
  <c r="C1923" i="6"/>
  <c r="E1923" i="6"/>
  <c r="F1923" i="6"/>
  <c r="D1924" i="6"/>
  <c r="C1924" i="6"/>
  <c r="E1924" i="6"/>
  <c r="F1924" i="6"/>
  <c r="D1925" i="6"/>
  <c r="C1925" i="6"/>
  <c r="E1925" i="6"/>
  <c r="F1925" i="6"/>
  <c r="D1926" i="6"/>
  <c r="C1926" i="6"/>
  <c r="E1926" i="6"/>
  <c r="F1926" i="6"/>
  <c r="D1927" i="6"/>
  <c r="C1927" i="6"/>
  <c r="E1927" i="6"/>
  <c r="F1927" i="6"/>
  <c r="D1928" i="6"/>
  <c r="C1928" i="6"/>
  <c r="E1928" i="6"/>
  <c r="F1928" i="6"/>
  <c r="D1929" i="6"/>
  <c r="C1929" i="6"/>
  <c r="E1929" i="6"/>
  <c r="F1929" i="6"/>
  <c r="D1930" i="6"/>
  <c r="C1930" i="6"/>
  <c r="E1930" i="6"/>
  <c r="F1930" i="6"/>
  <c r="D1931" i="6"/>
  <c r="C1931" i="6"/>
  <c r="E1931" i="6"/>
  <c r="F1931" i="6"/>
  <c r="D1932" i="6"/>
  <c r="C1932" i="6"/>
  <c r="E1932" i="6"/>
  <c r="F1932" i="6"/>
  <c r="D1933" i="6"/>
  <c r="C1933" i="6"/>
  <c r="E1933" i="6"/>
  <c r="F1933" i="6"/>
  <c r="D1934" i="6"/>
  <c r="C1934" i="6"/>
  <c r="E1934" i="6"/>
  <c r="F1934" i="6"/>
  <c r="D1935" i="6"/>
  <c r="C1935" i="6"/>
  <c r="E1935" i="6"/>
  <c r="F1935" i="6"/>
  <c r="D1936" i="6"/>
  <c r="C1936" i="6"/>
  <c r="E1936" i="6"/>
  <c r="F1936" i="6"/>
  <c r="D1937" i="6"/>
  <c r="C1937" i="6"/>
  <c r="E1937" i="6"/>
  <c r="F1937" i="6"/>
  <c r="D1938" i="6"/>
  <c r="C1938" i="6"/>
  <c r="E1938" i="6"/>
  <c r="F1938" i="6"/>
  <c r="D1939" i="6"/>
  <c r="C1939" i="6"/>
  <c r="E1939" i="6"/>
  <c r="F1939" i="6"/>
  <c r="D1940" i="6"/>
  <c r="C1940" i="6"/>
  <c r="E1940" i="6"/>
  <c r="F1940" i="6"/>
  <c r="D1941" i="6"/>
  <c r="C1941" i="6"/>
  <c r="E1941" i="6"/>
  <c r="F1941" i="6"/>
  <c r="D1942" i="6"/>
  <c r="C1942" i="6"/>
  <c r="E1942" i="6"/>
  <c r="F1942" i="6"/>
  <c r="D1943" i="6"/>
  <c r="C1943" i="6"/>
  <c r="E1943" i="6"/>
  <c r="F1943" i="6"/>
  <c r="D1944" i="6"/>
  <c r="C1944" i="6"/>
  <c r="E1944" i="6"/>
  <c r="F1944" i="6"/>
  <c r="D1945" i="6"/>
  <c r="C1945" i="6"/>
  <c r="E1945" i="6"/>
  <c r="F1945" i="6"/>
  <c r="D1946" i="6"/>
  <c r="C1946" i="6"/>
  <c r="E1946" i="6"/>
  <c r="F1946" i="6"/>
  <c r="D1947" i="6"/>
  <c r="C1947" i="6"/>
  <c r="E1947" i="6"/>
  <c r="F1947" i="6"/>
  <c r="D1948" i="6"/>
  <c r="C1948" i="6"/>
  <c r="E1948" i="6"/>
  <c r="F1948" i="6"/>
  <c r="D1949" i="6"/>
  <c r="C1949" i="6"/>
  <c r="E1949" i="6"/>
  <c r="F1949" i="6"/>
  <c r="D1950" i="6"/>
  <c r="C1950" i="6"/>
  <c r="E1950" i="6"/>
  <c r="F1950" i="6"/>
  <c r="D1951" i="6"/>
  <c r="C1951" i="6"/>
  <c r="E1951" i="6"/>
  <c r="F1951" i="6"/>
  <c r="D1952" i="6"/>
  <c r="C1952" i="6"/>
  <c r="E1952" i="6"/>
  <c r="F1952" i="6"/>
  <c r="D1953" i="6"/>
  <c r="C1953" i="6"/>
  <c r="E1953" i="6"/>
  <c r="F1953" i="6"/>
  <c r="D1954" i="6"/>
  <c r="C1954" i="6"/>
  <c r="E1954" i="6"/>
  <c r="F1954" i="6"/>
  <c r="D1955" i="6"/>
  <c r="C1955" i="6"/>
  <c r="E1955" i="6"/>
  <c r="F1955" i="6"/>
  <c r="D1956" i="6"/>
  <c r="C1956" i="6"/>
  <c r="E1956" i="6"/>
  <c r="F1956" i="6"/>
  <c r="D1957" i="6"/>
  <c r="C1957" i="6"/>
  <c r="E1957" i="6"/>
  <c r="F1957" i="6"/>
  <c r="D1958" i="6"/>
  <c r="C1958" i="6"/>
  <c r="E1958" i="6"/>
  <c r="F1958" i="6"/>
  <c r="D1959" i="6"/>
  <c r="C1959" i="6"/>
  <c r="E1959" i="6"/>
  <c r="F1959" i="6"/>
  <c r="D1960" i="6"/>
  <c r="C1960" i="6"/>
  <c r="E1960" i="6"/>
  <c r="F1960" i="6"/>
  <c r="D1961" i="6"/>
  <c r="C1961" i="6"/>
  <c r="E1961" i="6"/>
  <c r="F1961" i="6"/>
  <c r="D1962" i="6"/>
  <c r="C1962" i="6"/>
  <c r="E1962" i="6"/>
  <c r="F1962" i="6"/>
  <c r="D1963" i="6"/>
  <c r="C1963" i="6"/>
  <c r="E1963" i="6"/>
  <c r="F1963" i="6"/>
  <c r="D1964" i="6"/>
  <c r="C1964" i="6"/>
  <c r="E1964" i="6"/>
  <c r="F1964" i="6"/>
  <c r="D1965" i="6"/>
  <c r="C1965" i="6"/>
  <c r="E1965" i="6"/>
  <c r="F1965" i="6"/>
  <c r="D1966" i="6"/>
  <c r="C1966" i="6"/>
  <c r="E1966" i="6"/>
  <c r="F1966" i="6"/>
  <c r="D1967" i="6"/>
  <c r="C1967" i="6"/>
  <c r="E1967" i="6"/>
  <c r="F1967" i="6"/>
  <c r="D1968" i="6"/>
  <c r="C1968" i="6"/>
  <c r="E1968" i="6"/>
  <c r="F1968" i="6"/>
  <c r="D1969" i="6"/>
  <c r="C1969" i="6"/>
  <c r="E1969" i="6"/>
  <c r="F1969" i="6"/>
  <c r="D1970" i="6"/>
  <c r="C1970" i="6"/>
  <c r="E1970" i="6"/>
  <c r="F1970" i="6"/>
  <c r="D1971" i="6"/>
  <c r="C1971" i="6"/>
  <c r="E1971" i="6"/>
  <c r="F1971" i="6"/>
  <c r="D1972" i="6"/>
  <c r="C1972" i="6"/>
  <c r="E1972" i="6"/>
  <c r="F1972" i="6"/>
  <c r="D1973" i="6"/>
  <c r="C1973" i="6"/>
  <c r="E1973" i="6"/>
  <c r="F1973" i="6"/>
  <c r="D1974" i="6"/>
  <c r="C1974" i="6"/>
  <c r="E1974" i="6"/>
  <c r="F1974" i="6"/>
  <c r="D1975" i="6"/>
  <c r="C1975" i="6"/>
  <c r="E1975" i="6"/>
  <c r="F1975" i="6"/>
  <c r="D1976" i="6"/>
  <c r="C1976" i="6"/>
  <c r="E1976" i="6"/>
  <c r="F1976" i="6"/>
  <c r="D1977" i="6"/>
  <c r="C1977" i="6"/>
  <c r="E1977" i="6"/>
  <c r="F1977" i="6"/>
  <c r="D1978" i="6"/>
  <c r="C1978" i="6"/>
  <c r="E1978" i="6"/>
  <c r="F1978" i="6"/>
  <c r="D1979" i="6"/>
  <c r="C1979" i="6"/>
  <c r="E1979" i="6"/>
  <c r="F1979" i="6"/>
  <c r="D1980" i="6"/>
  <c r="C1980" i="6"/>
  <c r="E1980" i="6"/>
  <c r="F1980" i="6"/>
  <c r="D1981" i="6"/>
  <c r="C1981" i="6"/>
  <c r="E1981" i="6"/>
  <c r="F1981" i="6"/>
  <c r="D1982" i="6"/>
  <c r="C1982" i="6"/>
  <c r="E1982" i="6"/>
  <c r="F1982" i="6"/>
  <c r="D1983" i="6"/>
  <c r="C1983" i="6"/>
  <c r="E1983" i="6"/>
  <c r="F1983" i="6"/>
  <c r="D1984" i="6"/>
  <c r="C1984" i="6"/>
  <c r="E1984" i="6"/>
  <c r="F1984" i="6"/>
  <c r="D1985" i="6"/>
  <c r="C1985" i="6"/>
  <c r="E1985" i="6"/>
  <c r="F1985" i="6"/>
  <c r="D1986" i="6"/>
  <c r="C1986" i="6"/>
  <c r="E1986" i="6"/>
  <c r="F1986" i="6"/>
  <c r="D1987" i="6"/>
  <c r="C1987" i="6"/>
  <c r="E1987" i="6"/>
  <c r="F1987" i="6"/>
  <c r="D1988" i="6"/>
  <c r="C1988" i="6"/>
  <c r="E1988" i="6"/>
  <c r="F1988" i="6"/>
  <c r="D1989" i="6"/>
  <c r="C1989" i="6"/>
  <c r="E1989" i="6"/>
  <c r="F1989" i="6"/>
  <c r="D1990" i="6"/>
  <c r="C1990" i="6"/>
  <c r="E1990" i="6"/>
  <c r="F1990" i="6"/>
  <c r="D1991" i="6"/>
  <c r="C1991" i="6"/>
  <c r="E1991" i="6"/>
  <c r="F1991" i="6"/>
  <c r="D1992" i="6"/>
  <c r="C1992" i="6"/>
  <c r="E1992" i="6"/>
  <c r="F1992" i="6"/>
  <c r="D1993" i="6"/>
  <c r="C1993" i="6"/>
  <c r="E1993" i="6"/>
  <c r="F1993" i="6"/>
  <c r="D1994" i="6"/>
  <c r="C1994" i="6"/>
  <c r="E1994" i="6"/>
  <c r="F1994" i="6"/>
  <c r="D1995" i="6"/>
  <c r="C1995" i="6"/>
  <c r="E1995" i="6"/>
  <c r="F1995" i="6"/>
  <c r="D1996" i="6"/>
  <c r="C1996" i="6"/>
  <c r="E1996" i="6"/>
  <c r="F1996" i="6"/>
  <c r="D1997" i="6"/>
  <c r="C1997" i="6"/>
  <c r="E1997" i="6"/>
  <c r="F1997" i="6"/>
  <c r="D1998" i="6"/>
  <c r="C1998" i="6"/>
  <c r="E1998" i="6"/>
  <c r="F1998" i="6"/>
  <c r="D1999" i="6"/>
  <c r="C1999" i="6"/>
  <c r="E1999" i="6"/>
  <c r="F1999" i="6"/>
  <c r="D2000" i="6"/>
  <c r="C2000" i="6"/>
  <c r="E2000" i="6"/>
  <c r="F2000" i="6"/>
  <c r="D2001" i="6"/>
  <c r="C2001" i="6"/>
  <c r="E2001" i="6"/>
  <c r="F2001" i="6"/>
  <c r="D2002" i="6"/>
  <c r="C2002" i="6"/>
  <c r="E2002" i="6"/>
  <c r="F2002" i="6"/>
  <c r="D2003" i="6"/>
  <c r="C2003" i="6"/>
  <c r="E2003" i="6"/>
  <c r="F2003" i="6"/>
  <c r="D2004" i="6"/>
  <c r="C2004" i="6"/>
  <c r="E2004" i="6"/>
  <c r="F2004" i="6"/>
  <c r="D2005" i="6"/>
  <c r="C2005" i="6"/>
  <c r="E2005" i="6"/>
  <c r="F2005" i="6"/>
  <c r="D2006" i="6"/>
  <c r="C2006" i="6"/>
  <c r="E2006" i="6"/>
  <c r="F2006" i="6"/>
  <c r="D2007" i="6"/>
  <c r="C2007" i="6"/>
  <c r="E2007" i="6"/>
  <c r="F2007" i="6"/>
  <c r="D2008" i="6"/>
  <c r="C2008" i="6"/>
  <c r="E2008" i="6"/>
  <c r="F2008" i="6"/>
  <c r="D2009" i="6"/>
  <c r="C2009" i="6"/>
  <c r="E2009" i="6"/>
  <c r="F2009" i="6"/>
  <c r="D2010" i="6"/>
  <c r="C2010" i="6"/>
  <c r="E2010" i="6"/>
  <c r="F2010" i="6"/>
  <c r="D2011" i="6"/>
  <c r="C2011" i="6"/>
  <c r="E2011" i="6"/>
  <c r="F2011" i="6"/>
  <c r="D2012" i="6"/>
  <c r="C2012" i="6"/>
  <c r="E2012" i="6"/>
  <c r="F2012" i="6"/>
  <c r="D2013" i="6"/>
  <c r="C2013" i="6"/>
  <c r="E2013" i="6"/>
  <c r="F2013" i="6"/>
  <c r="D2014" i="6"/>
  <c r="C2014" i="6"/>
  <c r="E2014" i="6"/>
  <c r="F2014" i="6"/>
  <c r="D2015" i="6"/>
  <c r="C2015" i="6"/>
  <c r="E2015" i="6"/>
  <c r="F2015" i="6"/>
  <c r="D2016" i="6"/>
  <c r="C2016" i="6"/>
  <c r="E2016" i="6"/>
  <c r="F2016" i="6"/>
  <c r="D2017" i="6"/>
  <c r="C2017" i="6"/>
  <c r="E2017" i="6"/>
  <c r="F2017" i="6"/>
  <c r="D2018" i="6"/>
  <c r="C2018" i="6"/>
  <c r="E2018" i="6"/>
  <c r="F2018" i="6"/>
  <c r="D2019" i="6"/>
  <c r="C2019" i="6"/>
  <c r="E2019" i="6"/>
  <c r="F2019" i="6"/>
  <c r="D2020" i="6"/>
  <c r="C2020" i="6"/>
  <c r="E2020" i="6"/>
  <c r="F2020" i="6"/>
  <c r="D2021" i="6"/>
  <c r="C2021" i="6"/>
  <c r="E2021" i="6"/>
  <c r="F2021" i="6"/>
  <c r="D2022" i="6"/>
  <c r="C2022" i="6"/>
  <c r="E2022" i="6"/>
  <c r="F2022" i="6"/>
  <c r="D2023" i="6"/>
  <c r="C2023" i="6"/>
  <c r="E2023" i="6"/>
  <c r="F2023" i="6"/>
  <c r="D2024" i="6"/>
  <c r="C2024" i="6"/>
  <c r="E2024" i="6"/>
  <c r="F2024" i="6"/>
  <c r="D2025" i="6"/>
  <c r="C2025" i="6"/>
  <c r="E2025" i="6"/>
  <c r="F2025" i="6"/>
  <c r="D2026" i="6"/>
  <c r="C2026" i="6"/>
  <c r="E2026" i="6"/>
  <c r="F2026" i="6"/>
  <c r="D2027" i="6"/>
  <c r="C2027" i="6"/>
  <c r="E2027" i="6"/>
  <c r="F2027" i="6"/>
  <c r="D2028" i="6"/>
  <c r="C2028" i="6"/>
  <c r="E2028" i="6"/>
  <c r="F2028" i="6"/>
  <c r="D2029" i="6"/>
  <c r="C2029" i="6"/>
  <c r="E2029" i="6"/>
  <c r="F2029" i="6"/>
  <c r="D2030" i="6"/>
  <c r="C2030" i="6"/>
  <c r="E2030" i="6"/>
  <c r="F2030" i="6"/>
  <c r="D2031" i="6"/>
  <c r="C2031" i="6"/>
  <c r="E2031" i="6"/>
  <c r="F2031" i="6"/>
  <c r="D2032" i="6"/>
  <c r="C2032" i="6"/>
  <c r="E2032" i="6"/>
  <c r="F2032" i="6"/>
  <c r="D2033" i="6"/>
  <c r="C2033" i="6"/>
  <c r="E2033" i="6"/>
  <c r="F2033" i="6"/>
  <c r="D2034" i="6"/>
  <c r="C2034" i="6"/>
  <c r="E2034" i="6"/>
  <c r="F2034" i="6"/>
  <c r="D2035" i="6"/>
  <c r="C2035" i="6"/>
  <c r="E2035" i="6"/>
  <c r="F2035" i="6"/>
  <c r="D2036" i="6"/>
  <c r="C2036" i="6"/>
  <c r="E2036" i="6"/>
  <c r="F2036" i="6"/>
  <c r="D2037" i="6"/>
  <c r="C2037" i="6"/>
  <c r="E2037" i="6"/>
  <c r="F2037" i="6"/>
  <c r="D2038" i="6"/>
  <c r="C2038" i="6"/>
  <c r="E2038" i="6"/>
  <c r="F2038" i="6"/>
  <c r="D2039" i="6"/>
  <c r="C2039" i="6"/>
  <c r="E2039" i="6"/>
  <c r="F2039" i="6"/>
  <c r="D2040" i="6"/>
  <c r="C2040" i="6"/>
  <c r="E2040" i="6"/>
  <c r="F2040" i="6"/>
  <c r="D2041" i="6"/>
  <c r="C2041" i="6"/>
  <c r="E2041" i="6"/>
  <c r="F2041" i="6"/>
  <c r="D2042" i="6"/>
  <c r="C2042" i="6"/>
  <c r="E2042" i="6"/>
  <c r="F2042" i="6"/>
  <c r="D2043" i="6"/>
  <c r="C2043" i="6"/>
  <c r="E2043" i="6"/>
  <c r="F2043" i="6"/>
  <c r="D2044" i="6"/>
  <c r="C2044" i="6"/>
  <c r="E2044" i="6"/>
  <c r="F2044" i="6"/>
  <c r="D2045" i="6"/>
  <c r="C2045" i="6"/>
  <c r="E2045" i="6"/>
  <c r="F2045" i="6"/>
  <c r="D2046" i="6"/>
  <c r="C2046" i="6"/>
  <c r="E2046" i="6"/>
  <c r="F2046" i="6"/>
  <c r="D2047" i="6"/>
  <c r="C2047" i="6"/>
  <c r="E2047" i="6"/>
  <c r="F2047" i="6"/>
  <c r="D2048" i="6"/>
  <c r="C2048" i="6"/>
  <c r="E2048" i="6"/>
  <c r="F2048" i="6"/>
  <c r="D2049" i="6"/>
  <c r="C2049" i="6"/>
  <c r="E2049" i="6"/>
  <c r="F2049" i="6"/>
  <c r="D2050" i="6"/>
  <c r="C2050" i="6"/>
  <c r="E2050" i="6"/>
  <c r="F2050" i="6"/>
  <c r="D2051" i="6"/>
  <c r="C2051" i="6"/>
  <c r="E2051" i="6"/>
  <c r="F2051" i="6"/>
  <c r="D2052" i="6"/>
  <c r="C2052" i="6"/>
  <c r="E2052" i="6"/>
  <c r="F2052" i="6"/>
  <c r="D2053" i="6"/>
  <c r="C2053" i="6"/>
  <c r="E2053" i="6"/>
  <c r="F2053" i="6"/>
  <c r="D2054" i="6"/>
  <c r="C2054" i="6"/>
  <c r="E2054" i="6"/>
  <c r="F2054" i="6"/>
  <c r="D2055" i="6"/>
  <c r="C2055" i="6"/>
  <c r="E2055" i="6"/>
  <c r="F2055" i="6"/>
  <c r="D2056" i="6"/>
  <c r="C2056" i="6"/>
  <c r="E2056" i="6"/>
  <c r="F2056" i="6"/>
  <c r="D2057" i="6"/>
  <c r="C2057" i="6"/>
  <c r="E2057" i="6"/>
  <c r="F2057" i="6"/>
  <c r="D2058" i="6"/>
  <c r="C2058" i="6"/>
  <c r="E2058" i="6"/>
  <c r="F2058" i="6"/>
  <c r="D2059" i="6"/>
  <c r="C2059" i="6"/>
  <c r="E2059" i="6"/>
  <c r="F2059" i="6"/>
  <c r="D2060" i="6"/>
  <c r="C2060" i="6"/>
  <c r="E2060" i="6"/>
  <c r="F2060" i="6"/>
  <c r="D2061" i="6"/>
  <c r="C2061" i="6"/>
  <c r="E2061" i="6"/>
  <c r="F2061" i="6"/>
  <c r="D2062" i="6"/>
  <c r="C2062" i="6"/>
  <c r="E2062" i="6"/>
  <c r="F2062" i="6"/>
  <c r="D2063" i="6"/>
  <c r="C2063" i="6"/>
  <c r="E2063" i="6"/>
  <c r="F2063" i="6"/>
  <c r="D2064" i="6"/>
  <c r="C2064" i="6"/>
  <c r="E2064" i="6"/>
  <c r="F2064" i="6"/>
  <c r="D2065" i="6"/>
  <c r="C2065" i="6"/>
  <c r="E2065" i="6"/>
  <c r="F2065" i="6"/>
  <c r="D2066" i="6"/>
  <c r="C2066" i="6"/>
  <c r="E2066" i="6"/>
  <c r="F2066" i="6"/>
  <c r="D2067" i="6"/>
  <c r="C2067" i="6"/>
  <c r="E2067" i="6"/>
  <c r="F2067" i="6"/>
  <c r="D2068" i="6"/>
  <c r="C2068" i="6"/>
  <c r="E2068" i="6"/>
  <c r="F2068" i="6"/>
  <c r="D2069" i="6"/>
  <c r="C2069" i="6"/>
  <c r="E2069" i="6"/>
  <c r="F2069" i="6"/>
  <c r="D2070" i="6"/>
  <c r="C2070" i="6"/>
  <c r="E2070" i="6"/>
  <c r="F2070" i="6"/>
  <c r="D2071" i="6"/>
  <c r="C2071" i="6"/>
  <c r="E2071" i="6"/>
  <c r="F2071" i="6"/>
  <c r="D2072" i="6"/>
  <c r="C2072" i="6"/>
  <c r="E2072" i="6"/>
  <c r="F2072" i="6"/>
  <c r="D2073" i="6"/>
  <c r="C2073" i="6"/>
  <c r="E2073" i="6"/>
  <c r="F2073" i="6"/>
  <c r="D2074" i="6"/>
  <c r="C2074" i="6"/>
  <c r="E2074" i="6"/>
  <c r="F2074" i="6"/>
  <c r="D2075" i="6"/>
  <c r="C2075" i="6"/>
  <c r="E2075" i="6"/>
  <c r="F2075" i="6"/>
  <c r="D2076" i="6"/>
  <c r="C2076" i="6"/>
  <c r="E2076" i="6"/>
  <c r="F2076" i="6"/>
  <c r="D2077" i="6"/>
  <c r="C2077" i="6"/>
  <c r="E2077" i="6"/>
  <c r="F2077" i="6"/>
  <c r="D2078" i="6"/>
  <c r="C2078" i="6"/>
  <c r="E2078" i="6"/>
  <c r="F2078" i="6"/>
  <c r="D2079" i="6"/>
  <c r="C2079" i="6"/>
  <c r="E2079" i="6"/>
  <c r="F2079" i="6"/>
  <c r="D2080" i="6"/>
  <c r="C2080" i="6"/>
  <c r="E2080" i="6"/>
  <c r="F2080" i="6"/>
  <c r="D2081" i="6"/>
  <c r="C2081" i="6"/>
  <c r="E2081" i="6"/>
  <c r="F2081" i="6"/>
  <c r="D2082" i="6"/>
  <c r="C2082" i="6"/>
  <c r="E2082" i="6"/>
  <c r="F2082" i="6"/>
  <c r="D2083" i="6"/>
  <c r="C2083" i="6"/>
  <c r="E2083" i="6"/>
  <c r="F2083" i="6"/>
  <c r="D2084" i="6"/>
  <c r="C2084" i="6"/>
  <c r="E2084" i="6"/>
  <c r="F2084" i="6"/>
  <c r="D2085" i="6"/>
  <c r="C2085" i="6"/>
  <c r="E2085" i="6"/>
  <c r="F2085" i="6"/>
  <c r="D2086" i="6"/>
  <c r="C2086" i="6"/>
  <c r="E2086" i="6"/>
  <c r="F2086" i="6"/>
  <c r="D2087" i="6"/>
  <c r="C2087" i="6"/>
  <c r="E2087" i="6"/>
  <c r="F2087" i="6"/>
  <c r="D2088" i="6"/>
  <c r="C2088" i="6"/>
  <c r="E2088" i="6"/>
  <c r="F2088" i="6"/>
  <c r="D2089" i="6"/>
  <c r="C2089" i="6"/>
  <c r="E2089" i="6"/>
  <c r="F2089" i="6"/>
  <c r="D2090" i="6"/>
  <c r="C2090" i="6"/>
  <c r="E2090" i="6"/>
  <c r="F2090" i="6"/>
  <c r="D2091" i="6"/>
  <c r="C2091" i="6"/>
  <c r="E2091" i="6"/>
  <c r="F2091" i="6"/>
  <c r="D2092" i="6"/>
  <c r="C2092" i="6"/>
  <c r="E2092" i="6"/>
  <c r="F2092" i="6"/>
  <c r="D2093" i="6"/>
  <c r="C2093" i="6"/>
  <c r="E2093" i="6"/>
  <c r="F2093" i="6"/>
  <c r="D2094" i="6"/>
  <c r="C2094" i="6"/>
  <c r="E2094" i="6"/>
  <c r="F2094" i="6"/>
  <c r="D2095" i="6"/>
  <c r="C2095" i="6"/>
  <c r="E2095" i="6"/>
  <c r="F2095" i="6"/>
  <c r="D2096" i="6"/>
  <c r="C2096" i="6"/>
  <c r="E2096" i="6"/>
  <c r="F2096" i="6"/>
  <c r="D2097" i="6"/>
  <c r="C2097" i="6"/>
  <c r="E2097" i="6"/>
  <c r="F2097" i="6"/>
  <c r="D2098" i="6"/>
  <c r="C2098" i="6"/>
  <c r="E2098" i="6"/>
  <c r="F2098" i="6"/>
  <c r="D2099" i="6"/>
  <c r="C2099" i="6"/>
  <c r="E2099" i="6"/>
  <c r="F2099" i="6"/>
  <c r="D2100" i="6"/>
  <c r="C2100" i="6"/>
  <c r="E2100" i="6"/>
  <c r="F2100" i="6"/>
  <c r="D2101" i="6"/>
  <c r="C2101" i="6"/>
  <c r="E2101" i="6"/>
  <c r="F2101" i="6"/>
  <c r="D2102" i="6"/>
  <c r="C2102" i="6"/>
  <c r="E2102" i="6"/>
  <c r="F2102" i="6"/>
  <c r="D2103" i="6"/>
  <c r="C2103" i="6"/>
  <c r="E2103" i="6"/>
  <c r="F2103" i="6"/>
  <c r="D2104" i="6"/>
  <c r="C2104" i="6"/>
  <c r="E2104" i="6"/>
  <c r="F2104" i="6"/>
  <c r="D2105" i="6"/>
  <c r="C2105" i="6"/>
  <c r="E2105" i="6"/>
  <c r="F2105" i="6"/>
  <c r="D2106" i="6"/>
  <c r="C2106" i="6"/>
  <c r="E2106" i="6"/>
  <c r="F2106" i="6"/>
  <c r="D2107" i="6"/>
  <c r="C2107" i="6"/>
  <c r="E2107" i="6"/>
  <c r="F2107" i="6"/>
  <c r="D2108" i="6"/>
  <c r="C2108" i="6"/>
  <c r="E2108" i="6"/>
  <c r="F2108" i="6"/>
  <c r="D2109" i="6"/>
  <c r="C2109" i="6"/>
  <c r="E2109" i="6"/>
  <c r="F2109" i="6"/>
  <c r="D2110" i="6"/>
  <c r="C2110" i="6"/>
  <c r="E2110" i="6"/>
  <c r="F2110" i="6"/>
  <c r="D2111" i="6"/>
  <c r="C2111" i="6"/>
  <c r="E2111" i="6"/>
  <c r="F2111" i="6"/>
  <c r="D2112" i="6"/>
  <c r="C2112" i="6"/>
  <c r="E2112" i="6"/>
  <c r="F2112" i="6"/>
  <c r="D2113" i="6"/>
  <c r="C2113" i="6"/>
  <c r="E2113" i="6"/>
  <c r="F2113" i="6"/>
  <c r="D2114" i="6"/>
  <c r="C2114" i="6"/>
  <c r="E2114" i="6"/>
  <c r="F2114" i="6"/>
  <c r="D2115" i="6"/>
  <c r="C2115" i="6"/>
  <c r="E2115" i="6"/>
  <c r="F2115" i="6"/>
  <c r="D2116" i="6"/>
  <c r="C2116" i="6"/>
  <c r="E2116" i="6"/>
  <c r="F2116" i="6"/>
  <c r="D2117" i="6"/>
  <c r="C2117" i="6"/>
  <c r="E2117" i="6"/>
  <c r="F2117" i="6"/>
  <c r="D2118" i="6"/>
  <c r="C2118" i="6"/>
  <c r="E2118" i="6"/>
  <c r="F2118" i="6"/>
  <c r="D2119" i="6"/>
  <c r="C2119" i="6"/>
  <c r="E2119" i="6"/>
  <c r="F2119" i="6"/>
  <c r="D2120" i="6"/>
  <c r="C2120" i="6"/>
  <c r="E2120" i="6"/>
  <c r="F2120" i="6"/>
  <c r="D2121" i="6"/>
  <c r="C2121" i="6"/>
  <c r="E2121" i="6"/>
  <c r="F2121" i="6"/>
  <c r="D2122" i="6"/>
  <c r="C2122" i="6"/>
  <c r="E2122" i="6"/>
  <c r="F2122" i="6"/>
  <c r="D2123" i="6"/>
  <c r="C2123" i="6"/>
  <c r="E2123" i="6"/>
  <c r="F2123" i="6"/>
  <c r="D2124" i="6"/>
  <c r="C2124" i="6"/>
  <c r="E2124" i="6"/>
  <c r="F2124" i="6"/>
  <c r="D2125" i="6"/>
  <c r="C2125" i="6"/>
  <c r="E2125" i="6"/>
  <c r="F2125" i="6"/>
  <c r="D2126" i="6"/>
  <c r="C2126" i="6"/>
  <c r="E2126" i="6"/>
  <c r="F2126" i="6"/>
  <c r="D2127" i="6"/>
  <c r="C2127" i="6"/>
  <c r="E2127" i="6"/>
  <c r="F2127" i="6"/>
  <c r="D2128" i="6"/>
  <c r="C2128" i="6"/>
  <c r="E2128" i="6"/>
  <c r="F2128" i="6"/>
  <c r="D2129" i="6"/>
  <c r="C2129" i="6"/>
  <c r="E2129" i="6"/>
  <c r="F2129" i="6"/>
  <c r="D2130" i="6"/>
  <c r="C2130" i="6"/>
  <c r="E2130" i="6"/>
  <c r="F2130" i="6"/>
  <c r="D2131" i="6"/>
  <c r="C2131" i="6"/>
  <c r="E2131" i="6"/>
  <c r="F2131" i="6"/>
  <c r="D2132" i="6"/>
  <c r="C2132" i="6"/>
  <c r="E2132" i="6"/>
  <c r="F2132" i="6"/>
  <c r="D2133" i="6"/>
  <c r="C2133" i="6"/>
  <c r="E2133" i="6"/>
  <c r="F2133" i="6"/>
  <c r="D2134" i="6"/>
  <c r="C2134" i="6"/>
  <c r="E2134" i="6"/>
  <c r="F2134" i="6"/>
  <c r="D2135" i="6"/>
  <c r="C2135" i="6"/>
  <c r="E2135" i="6"/>
  <c r="F2135" i="6"/>
  <c r="D2136" i="6"/>
  <c r="C2136" i="6"/>
  <c r="E2136" i="6"/>
  <c r="F2136" i="6"/>
  <c r="D2137" i="6"/>
  <c r="C2137" i="6"/>
  <c r="E2137" i="6"/>
  <c r="F2137" i="6"/>
  <c r="D2138" i="6"/>
  <c r="C2138" i="6"/>
  <c r="E2138" i="6"/>
  <c r="F2138" i="6"/>
  <c r="D2139" i="6"/>
  <c r="C2139" i="6"/>
  <c r="E2139" i="6"/>
  <c r="F2139" i="6"/>
  <c r="D2140" i="6"/>
  <c r="C2140" i="6"/>
  <c r="E2140" i="6"/>
  <c r="F2140" i="6"/>
  <c r="D2141" i="6"/>
  <c r="C2141" i="6"/>
  <c r="E2141" i="6"/>
  <c r="F2141" i="6"/>
  <c r="D2142" i="6"/>
  <c r="C2142" i="6"/>
  <c r="E2142" i="6"/>
  <c r="F2142" i="6"/>
  <c r="D2143" i="6"/>
  <c r="C2143" i="6"/>
  <c r="E2143" i="6"/>
  <c r="F2143" i="6"/>
  <c r="D2144" i="6"/>
  <c r="C2144" i="6"/>
  <c r="E2144" i="6"/>
  <c r="F2144" i="6"/>
  <c r="D2145" i="6"/>
  <c r="C2145" i="6"/>
  <c r="E2145" i="6"/>
  <c r="F2145" i="6"/>
  <c r="D2146" i="6"/>
  <c r="C2146" i="6"/>
  <c r="E2146" i="6"/>
  <c r="F2146" i="6"/>
  <c r="D2147" i="6"/>
  <c r="C2147" i="6"/>
  <c r="E2147" i="6"/>
  <c r="F2147" i="6"/>
  <c r="D2148" i="6"/>
  <c r="C2148" i="6"/>
  <c r="E2148" i="6"/>
  <c r="F2148" i="6"/>
  <c r="D2149" i="6"/>
  <c r="C2149" i="6"/>
  <c r="E2149" i="6"/>
  <c r="F2149" i="6"/>
  <c r="D2150" i="6"/>
  <c r="C2150" i="6"/>
  <c r="E2150" i="6"/>
  <c r="F2150" i="6"/>
  <c r="D2151" i="6"/>
  <c r="C2151" i="6"/>
  <c r="E2151" i="6"/>
  <c r="F2151" i="6"/>
  <c r="D2152" i="6"/>
  <c r="C2152" i="6"/>
  <c r="E2152" i="6"/>
  <c r="F2152" i="6"/>
  <c r="D2153" i="6"/>
  <c r="C2153" i="6"/>
  <c r="E2153" i="6"/>
  <c r="F2153" i="6"/>
  <c r="D2154" i="6"/>
  <c r="C2154" i="6"/>
  <c r="E2154" i="6"/>
  <c r="F2154" i="6"/>
  <c r="D2155" i="6"/>
  <c r="C2155" i="6"/>
  <c r="E2155" i="6"/>
  <c r="F2155" i="6"/>
  <c r="D2156" i="6"/>
  <c r="C2156" i="6"/>
  <c r="E2156" i="6"/>
  <c r="F2156" i="6"/>
  <c r="D2157" i="6"/>
  <c r="C2157" i="6"/>
  <c r="E2157" i="6"/>
  <c r="F2157" i="6"/>
  <c r="D2158" i="6"/>
  <c r="C2158" i="6"/>
  <c r="E2158" i="6"/>
  <c r="F2158" i="6"/>
  <c r="D2159" i="6"/>
  <c r="C2159" i="6"/>
  <c r="E2159" i="6"/>
  <c r="F2159" i="6"/>
  <c r="D2160" i="6"/>
  <c r="C2160" i="6"/>
  <c r="E2160" i="6"/>
  <c r="F2160" i="6"/>
  <c r="D2161" i="6"/>
  <c r="C2161" i="6"/>
  <c r="E2161" i="6"/>
  <c r="F2161" i="6"/>
  <c r="D2162" i="6"/>
  <c r="C2162" i="6"/>
  <c r="E2162" i="6"/>
  <c r="F2162" i="6"/>
  <c r="D2163" i="6"/>
  <c r="C2163" i="6"/>
  <c r="E2163" i="6"/>
  <c r="F2163" i="6"/>
  <c r="D2164" i="6"/>
  <c r="C2164" i="6"/>
  <c r="E2164" i="6"/>
  <c r="F2164" i="6"/>
  <c r="D2165" i="6"/>
  <c r="C2165" i="6"/>
  <c r="E2165" i="6"/>
  <c r="F2165" i="6"/>
  <c r="D2166" i="6"/>
  <c r="C2166" i="6"/>
  <c r="E2166" i="6"/>
  <c r="F2166" i="6"/>
  <c r="D2167" i="6"/>
  <c r="C2167" i="6"/>
  <c r="E2167" i="6"/>
  <c r="F2167" i="6"/>
  <c r="D2168" i="6"/>
  <c r="C2168" i="6"/>
  <c r="E2168" i="6"/>
  <c r="F2168" i="6"/>
  <c r="D2169" i="6"/>
  <c r="C2169" i="6"/>
  <c r="E2169" i="6"/>
  <c r="F2169" i="6"/>
  <c r="D2170" i="6"/>
  <c r="C2170" i="6"/>
  <c r="E2170" i="6"/>
  <c r="F2170" i="6"/>
  <c r="D2171" i="6"/>
  <c r="C2171" i="6"/>
  <c r="E2171" i="6"/>
  <c r="F2171" i="6"/>
  <c r="D2172" i="6"/>
  <c r="C2172" i="6"/>
  <c r="E2172" i="6"/>
  <c r="F2172" i="6"/>
  <c r="D2173" i="6"/>
  <c r="C2173" i="6"/>
  <c r="E2173" i="6"/>
  <c r="F2173" i="6"/>
  <c r="D2174" i="6"/>
  <c r="C2174" i="6"/>
  <c r="E2174" i="6"/>
  <c r="F2174" i="6"/>
  <c r="D2175" i="6"/>
  <c r="C2175" i="6"/>
  <c r="E2175" i="6"/>
  <c r="F2175" i="6"/>
  <c r="D2176" i="6"/>
  <c r="C2176" i="6"/>
  <c r="E2176" i="6"/>
  <c r="F2176" i="6"/>
  <c r="D2177" i="6"/>
  <c r="C2177" i="6"/>
  <c r="E2177" i="6"/>
  <c r="F2177" i="6"/>
  <c r="D2178" i="6"/>
  <c r="C2178" i="6"/>
  <c r="E2178" i="6"/>
  <c r="F2178" i="6"/>
  <c r="D2179" i="6"/>
  <c r="C2179" i="6"/>
  <c r="E2179" i="6"/>
  <c r="F2179" i="6"/>
  <c r="D2180" i="6"/>
  <c r="C2180" i="6"/>
  <c r="E2180" i="6"/>
  <c r="F2180" i="6"/>
  <c r="D2181" i="6"/>
  <c r="C2181" i="6"/>
  <c r="E2181" i="6"/>
  <c r="F2181" i="6"/>
  <c r="D2182" i="6"/>
  <c r="C2182" i="6"/>
  <c r="E2182" i="6"/>
  <c r="F2182" i="6"/>
  <c r="D2183" i="6"/>
  <c r="C2183" i="6"/>
  <c r="E2183" i="6"/>
  <c r="F2183" i="6"/>
  <c r="D2184" i="6"/>
  <c r="C2184" i="6"/>
  <c r="E2184" i="6"/>
  <c r="F2184" i="6"/>
  <c r="D2185" i="6"/>
  <c r="C2185" i="6"/>
  <c r="E2185" i="6"/>
  <c r="F2185" i="6"/>
  <c r="D2186" i="6"/>
  <c r="C2186" i="6"/>
  <c r="E2186" i="6"/>
  <c r="F2186" i="6"/>
  <c r="D2187" i="6"/>
  <c r="C2187" i="6"/>
  <c r="E2187" i="6"/>
  <c r="F2187" i="6"/>
  <c r="D2188" i="6"/>
  <c r="C2188" i="6"/>
  <c r="E2188" i="6"/>
  <c r="F2188" i="6"/>
  <c r="D2189" i="6"/>
  <c r="C2189" i="6"/>
  <c r="E2189" i="6"/>
  <c r="F2189" i="6"/>
  <c r="D2190" i="6"/>
  <c r="C2190" i="6"/>
  <c r="E2190" i="6"/>
  <c r="F2190" i="6"/>
  <c r="D2191" i="6"/>
  <c r="C2191" i="6"/>
  <c r="E2191" i="6"/>
  <c r="F2191" i="6"/>
  <c r="D2192" i="6"/>
  <c r="C2192" i="6"/>
  <c r="E2192" i="6"/>
  <c r="F2192" i="6"/>
  <c r="D2193" i="6"/>
  <c r="C2193" i="6"/>
  <c r="E2193" i="6"/>
  <c r="F2193" i="6"/>
  <c r="D2194" i="6"/>
  <c r="C2194" i="6"/>
  <c r="E2194" i="6"/>
  <c r="F2194" i="6"/>
  <c r="D2195" i="6"/>
  <c r="C2195" i="6"/>
  <c r="E2195" i="6"/>
  <c r="F2195" i="6"/>
  <c r="D2196" i="6"/>
  <c r="C2196" i="6"/>
  <c r="E2196" i="6"/>
  <c r="F2196" i="6"/>
  <c r="D2197" i="6"/>
  <c r="C2197" i="6"/>
  <c r="E2197" i="6"/>
  <c r="F2197" i="6"/>
  <c r="D2198" i="6"/>
  <c r="C2198" i="6"/>
  <c r="E2198" i="6"/>
  <c r="F2198" i="6"/>
  <c r="D2199" i="6"/>
  <c r="C2199" i="6"/>
  <c r="E2199" i="6"/>
  <c r="F2199" i="6"/>
  <c r="D2200" i="6"/>
  <c r="C2200" i="6"/>
  <c r="E2200" i="6"/>
  <c r="F2200" i="6"/>
  <c r="D2201" i="6"/>
  <c r="C2201" i="6"/>
  <c r="E2201" i="6"/>
  <c r="F2201" i="6"/>
  <c r="D2202" i="6"/>
  <c r="C2202" i="6"/>
  <c r="E2202" i="6"/>
  <c r="F2202" i="6"/>
  <c r="D2203" i="6"/>
  <c r="C2203" i="6"/>
  <c r="E2203" i="6"/>
  <c r="F2203" i="6"/>
  <c r="D2204" i="6"/>
  <c r="C2204" i="6"/>
  <c r="E2204" i="6"/>
  <c r="F2204" i="6"/>
  <c r="D2205" i="6"/>
  <c r="C2205" i="6"/>
  <c r="E2205" i="6"/>
  <c r="F2205" i="6"/>
  <c r="D2206" i="6"/>
  <c r="C2206" i="6"/>
  <c r="E2206" i="6"/>
  <c r="F2206" i="6"/>
  <c r="D2207" i="6"/>
  <c r="C2207" i="6"/>
  <c r="E2207" i="6"/>
  <c r="F2207" i="6"/>
  <c r="D2208" i="6"/>
  <c r="C2208" i="6"/>
  <c r="E2208" i="6"/>
  <c r="F2208" i="6"/>
  <c r="D2209" i="6"/>
  <c r="C2209" i="6"/>
  <c r="E2209" i="6"/>
  <c r="F2209" i="6"/>
  <c r="D2210" i="6"/>
  <c r="C2210" i="6"/>
  <c r="E2210" i="6"/>
  <c r="F2210" i="6"/>
  <c r="D2211" i="6"/>
  <c r="C2211" i="6"/>
  <c r="E2211" i="6"/>
  <c r="F2211" i="6"/>
  <c r="D2212" i="6"/>
  <c r="C2212" i="6"/>
  <c r="E2212" i="6"/>
  <c r="F2212" i="6"/>
  <c r="D2213" i="6"/>
  <c r="C2213" i="6"/>
  <c r="E2213" i="6"/>
  <c r="F2213" i="6"/>
  <c r="D2214" i="6"/>
  <c r="C2214" i="6"/>
  <c r="E2214" i="6"/>
  <c r="F2214" i="6"/>
  <c r="D2215" i="6"/>
  <c r="C2215" i="6"/>
  <c r="E2215" i="6"/>
  <c r="F2215" i="6"/>
  <c r="D2216" i="6"/>
  <c r="C2216" i="6"/>
  <c r="E2216" i="6"/>
  <c r="F2216" i="6"/>
  <c r="D2217" i="6"/>
  <c r="C2217" i="6"/>
  <c r="E2217" i="6"/>
  <c r="F2217" i="6"/>
  <c r="D2218" i="6"/>
  <c r="C2218" i="6"/>
  <c r="E2218" i="6"/>
  <c r="F2218" i="6"/>
  <c r="D2219" i="6"/>
  <c r="C2219" i="6"/>
  <c r="E2219" i="6"/>
  <c r="F2219" i="6"/>
  <c r="D2220" i="6"/>
  <c r="C2220" i="6"/>
  <c r="E2220" i="6"/>
  <c r="F2220" i="6"/>
  <c r="D2221" i="6"/>
  <c r="C2221" i="6"/>
  <c r="E2221" i="6"/>
  <c r="F2221" i="6"/>
  <c r="D2222" i="6"/>
  <c r="C2222" i="6"/>
  <c r="E2222" i="6"/>
  <c r="F2222" i="6"/>
  <c r="D2223" i="6"/>
  <c r="C2223" i="6"/>
  <c r="E2223" i="6"/>
  <c r="F2223" i="6"/>
  <c r="D2224" i="6"/>
  <c r="C2224" i="6"/>
  <c r="E2224" i="6"/>
  <c r="F2224" i="6"/>
  <c r="D2225" i="6"/>
  <c r="C2225" i="6"/>
  <c r="E2225" i="6"/>
  <c r="F2225" i="6"/>
  <c r="D2226" i="6"/>
  <c r="C2226" i="6"/>
  <c r="E2226" i="6"/>
  <c r="F2226" i="6"/>
  <c r="D2227" i="6"/>
  <c r="C2227" i="6"/>
  <c r="E2227" i="6"/>
  <c r="F2227" i="6"/>
  <c r="D2228" i="6"/>
  <c r="C2228" i="6"/>
  <c r="E2228" i="6"/>
  <c r="F2228" i="6"/>
  <c r="D2229" i="6"/>
  <c r="C2229" i="6"/>
  <c r="E2229" i="6"/>
  <c r="F2229" i="6"/>
  <c r="D2230" i="6"/>
  <c r="C2230" i="6"/>
  <c r="E2230" i="6"/>
  <c r="F2230" i="6"/>
  <c r="D2231" i="6"/>
  <c r="C2231" i="6"/>
  <c r="E2231" i="6"/>
  <c r="F2231" i="6"/>
  <c r="D2232" i="6"/>
  <c r="C2232" i="6"/>
  <c r="E2232" i="6"/>
  <c r="F2232" i="6"/>
  <c r="D2233" i="6"/>
  <c r="C2233" i="6"/>
  <c r="E2233" i="6"/>
  <c r="F2233" i="6"/>
  <c r="D2234" i="6"/>
  <c r="C2234" i="6"/>
  <c r="E2234" i="6"/>
  <c r="F2234" i="6"/>
  <c r="D2235" i="6"/>
  <c r="C2235" i="6"/>
  <c r="E2235" i="6"/>
  <c r="F2235" i="6"/>
  <c r="D2236" i="6"/>
  <c r="C2236" i="6"/>
  <c r="E2236" i="6"/>
  <c r="F2236" i="6"/>
  <c r="D2237" i="6"/>
  <c r="C2237" i="6"/>
  <c r="E2237" i="6"/>
  <c r="F2237" i="6"/>
  <c r="D2238" i="6"/>
  <c r="C2238" i="6"/>
  <c r="E2238" i="6"/>
  <c r="F2238" i="6"/>
  <c r="D2239" i="6"/>
  <c r="C2239" i="6"/>
  <c r="E2239" i="6"/>
  <c r="F2239" i="6"/>
  <c r="D2240" i="6"/>
  <c r="C2240" i="6"/>
  <c r="E2240" i="6"/>
  <c r="F2240" i="6"/>
  <c r="D2241" i="6"/>
  <c r="C2241" i="6"/>
  <c r="E2241" i="6"/>
  <c r="F2241" i="6"/>
  <c r="D2242" i="6"/>
  <c r="C2242" i="6"/>
  <c r="E2242" i="6"/>
  <c r="F2242" i="6"/>
  <c r="D2243" i="6"/>
  <c r="C2243" i="6"/>
  <c r="E2243" i="6"/>
  <c r="F2243" i="6"/>
  <c r="D2244" i="6"/>
  <c r="C2244" i="6"/>
  <c r="E2244" i="6"/>
  <c r="F2244" i="6"/>
  <c r="D2245" i="6"/>
  <c r="C2245" i="6"/>
  <c r="E2245" i="6"/>
  <c r="F2245" i="6"/>
  <c r="D2246" i="6"/>
  <c r="C2246" i="6"/>
  <c r="E2246" i="6"/>
  <c r="F2246" i="6"/>
  <c r="D2247" i="6"/>
  <c r="C2247" i="6"/>
  <c r="E2247" i="6"/>
  <c r="F2247" i="6"/>
  <c r="D2248" i="6"/>
  <c r="C2248" i="6"/>
  <c r="E2248" i="6"/>
  <c r="F2248" i="6"/>
  <c r="D2249" i="6"/>
  <c r="C2249" i="6"/>
  <c r="E2249" i="6"/>
  <c r="F2249" i="6"/>
  <c r="D2250" i="6"/>
  <c r="C2250" i="6"/>
  <c r="E2250" i="6"/>
  <c r="F2250" i="6"/>
  <c r="D2251" i="6"/>
  <c r="C2251" i="6"/>
  <c r="E2251" i="6"/>
  <c r="F2251" i="6"/>
  <c r="D2252" i="6"/>
  <c r="C2252" i="6"/>
  <c r="E2252" i="6"/>
  <c r="F2252" i="6"/>
  <c r="D2253" i="6"/>
  <c r="C2253" i="6"/>
  <c r="E2253" i="6"/>
  <c r="F2253" i="6"/>
  <c r="D2254" i="6"/>
  <c r="C2254" i="6"/>
  <c r="E2254" i="6"/>
  <c r="F2254" i="6"/>
  <c r="D2255" i="6"/>
  <c r="C2255" i="6"/>
  <c r="E2255" i="6"/>
  <c r="F2255" i="6"/>
  <c r="D2256" i="6"/>
  <c r="C2256" i="6"/>
  <c r="E2256" i="6"/>
  <c r="F2256" i="6"/>
  <c r="D2257" i="6"/>
  <c r="C2257" i="6"/>
  <c r="E2257" i="6"/>
  <c r="F2257" i="6"/>
  <c r="D2258" i="6"/>
  <c r="C2258" i="6"/>
  <c r="E2258" i="6"/>
  <c r="F2258" i="6"/>
  <c r="D2259" i="6"/>
  <c r="C2259" i="6"/>
  <c r="E2259" i="6"/>
  <c r="F2259" i="6"/>
  <c r="D2260" i="6"/>
  <c r="C2260" i="6"/>
  <c r="E2260" i="6"/>
  <c r="F2260" i="6"/>
  <c r="D2261" i="6"/>
  <c r="C2261" i="6"/>
  <c r="E2261" i="6"/>
  <c r="F2261" i="6"/>
  <c r="D2262" i="6"/>
  <c r="C2262" i="6"/>
  <c r="E2262" i="6"/>
  <c r="F2262" i="6"/>
  <c r="D2263" i="6"/>
  <c r="C2263" i="6"/>
  <c r="E2263" i="6"/>
  <c r="F2263" i="6"/>
  <c r="D2264" i="6"/>
  <c r="C2264" i="6"/>
  <c r="E2264" i="6"/>
  <c r="F2264" i="6"/>
  <c r="D2265" i="6"/>
  <c r="C2265" i="6"/>
  <c r="E2265" i="6"/>
  <c r="F2265" i="6"/>
  <c r="D2266" i="6"/>
  <c r="C2266" i="6"/>
  <c r="E2266" i="6"/>
  <c r="F2266" i="6"/>
  <c r="D2267" i="6"/>
  <c r="C2267" i="6"/>
  <c r="E2267" i="6"/>
  <c r="F2267" i="6"/>
  <c r="D2268" i="6"/>
  <c r="C2268" i="6"/>
  <c r="E2268" i="6"/>
  <c r="F2268" i="6"/>
  <c r="D2269" i="6"/>
  <c r="C2269" i="6"/>
  <c r="E2269" i="6"/>
  <c r="F2269" i="6"/>
  <c r="D2270" i="6"/>
  <c r="C2270" i="6"/>
  <c r="E2270" i="6"/>
  <c r="F2270" i="6"/>
  <c r="D2271" i="6"/>
  <c r="C2271" i="6"/>
  <c r="E2271" i="6"/>
  <c r="F2271" i="6"/>
  <c r="D2272" i="6"/>
  <c r="C2272" i="6"/>
  <c r="E2272" i="6"/>
  <c r="F2272" i="6"/>
  <c r="D2273" i="6"/>
  <c r="C2273" i="6"/>
  <c r="E2273" i="6"/>
  <c r="F2273" i="6"/>
  <c r="D2274" i="6"/>
  <c r="C2274" i="6"/>
  <c r="E2274" i="6"/>
  <c r="F2274" i="6"/>
  <c r="D2275" i="6"/>
  <c r="C2275" i="6"/>
  <c r="E2275" i="6"/>
  <c r="F2275" i="6"/>
  <c r="D2276" i="6"/>
  <c r="C2276" i="6"/>
  <c r="E2276" i="6"/>
  <c r="F2276" i="6"/>
  <c r="D2277" i="6"/>
  <c r="C2277" i="6"/>
  <c r="E2277" i="6"/>
  <c r="F2277" i="6"/>
  <c r="D2278" i="6"/>
  <c r="C2278" i="6"/>
  <c r="E2278" i="6"/>
  <c r="F2278" i="6"/>
  <c r="D2279" i="6"/>
  <c r="C2279" i="6"/>
  <c r="E2279" i="6"/>
  <c r="F2279" i="6"/>
  <c r="D2280" i="6"/>
  <c r="C2280" i="6"/>
  <c r="E2280" i="6"/>
  <c r="F2280" i="6"/>
  <c r="D2281" i="6"/>
  <c r="C2281" i="6"/>
  <c r="E2281" i="6"/>
  <c r="F2281" i="6"/>
  <c r="D2282" i="6"/>
  <c r="C2282" i="6"/>
  <c r="E2282" i="6"/>
  <c r="F2282" i="6"/>
  <c r="D2283" i="6"/>
  <c r="C2283" i="6"/>
  <c r="E2283" i="6"/>
  <c r="F2283" i="6"/>
  <c r="D2284" i="6"/>
  <c r="C2284" i="6"/>
  <c r="E2284" i="6"/>
  <c r="F2284" i="6"/>
  <c r="D2285" i="6"/>
  <c r="C2285" i="6"/>
  <c r="E2285" i="6"/>
  <c r="F2285" i="6"/>
  <c r="D2286" i="6"/>
  <c r="C2286" i="6"/>
  <c r="E2286" i="6"/>
  <c r="F2286" i="6"/>
  <c r="D2287" i="6"/>
  <c r="C2287" i="6"/>
  <c r="E2287" i="6"/>
  <c r="F2287" i="6"/>
  <c r="D2288" i="6"/>
  <c r="C2288" i="6"/>
  <c r="E2288" i="6"/>
  <c r="F2288" i="6"/>
  <c r="D2289" i="6"/>
  <c r="C2289" i="6"/>
  <c r="E2289" i="6"/>
  <c r="F2289" i="6"/>
  <c r="D2290" i="6"/>
  <c r="C2290" i="6"/>
  <c r="E2290" i="6"/>
  <c r="F2290" i="6"/>
  <c r="D2291" i="6"/>
  <c r="C2291" i="6"/>
  <c r="E2291" i="6"/>
  <c r="F2291" i="6"/>
  <c r="D2292" i="6"/>
  <c r="C2292" i="6"/>
  <c r="E2292" i="6"/>
  <c r="F2292" i="6"/>
  <c r="D2293" i="6"/>
  <c r="C2293" i="6"/>
  <c r="E2293" i="6"/>
  <c r="F2293" i="6"/>
  <c r="D2294" i="6"/>
  <c r="C2294" i="6"/>
  <c r="E2294" i="6"/>
  <c r="F2294" i="6"/>
  <c r="D2295" i="6"/>
  <c r="C2295" i="6"/>
  <c r="E2295" i="6"/>
  <c r="F2295" i="6"/>
  <c r="D2296" i="6"/>
  <c r="C2296" i="6"/>
  <c r="E2296" i="6"/>
  <c r="F2296" i="6"/>
  <c r="D2297" i="6"/>
  <c r="C2297" i="6"/>
  <c r="E2297" i="6"/>
  <c r="F2297" i="6"/>
  <c r="D2298" i="6"/>
  <c r="C2298" i="6"/>
  <c r="E2298" i="6"/>
  <c r="F2298" i="6"/>
  <c r="D2299" i="6"/>
  <c r="C2299" i="6"/>
  <c r="E2299" i="6"/>
  <c r="F2299" i="6"/>
  <c r="D2300" i="6"/>
  <c r="C2300" i="6"/>
  <c r="E2300" i="6"/>
  <c r="F2300" i="6"/>
  <c r="D2301" i="6"/>
  <c r="C2301" i="6"/>
  <c r="E2301" i="6"/>
  <c r="F2301" i="6"/>
  <c r="D2302" i="6"/>
  <c r="C2302" i="6"/>
  <c r="E2302" i="6"/>
  <c r="F2302" i="6"/>
  <c r="D2303" i="6"/>
  <c r="C2303" i="6"/>
  <c r="E2303" i="6"/>
  <c r="F2303" i="6"/>
  <c r="D2304" i="6"/>
  <c r="C2304" i="6"/>
  <c r="E2304" i="6"/>
  <c r="F2304" i="6"/>
  <c r="D2305" i="6"/>
  <c r="C2305" i="6"/>
  <c r="E2305" i="6"/>
  <c r="F2305" i="6"/>
  <c r="D2306" i="6"/>
  <c r="C2306" i="6"/>
  <c r="E2306" i="6"/>
  <c r="F2306" i="6"/>
  <c r="D2307" i="6"/>
  <c r="C2307" i="6"/>
  <c r="E2307" i="6"/>
  <c r="F2307" i="6"/>
  <c r="D2308" i="6"/>
  <c r="C2308" i="6"/>
  <c r="E2308" i="6"/>
  <c r="F2308" i="6"/>
  <c r="D2309" i="6"/>
  <c r="C2309" i="6"/>
  <c r="E2309" i="6"/>
  <c r="F2309" i="6"/>
  <c r="D2310" i="6"/>
  <c r="C2310" i="6"/>
  <c r="E2310" i="6"/>
  <c r="F2310" i="6"/>
  <c r="D2311" i="6"/>
  <c r="C2311" i="6"/>
  <c r="E2311" i="6"/>
  <c r="F2311" i="6"/>
  <c r="D2312" i="6"/>
  <c r="C2312" i="6"/>
  <c r="E2312" i="6"/>
  <c r="F2312" i="6"/>
  <c r="D2313" i="6"/>
  <c r="C2313" i="6"/>
  <c r="E2313" i="6"/>
  <c r="F2313" i="6"/>
  <c r="D2314" i="6"/>
  <c r="C2314" i="6"/>
  <c r="E2314" i="6"/>
  <c r="F2314" i="6"/>
  <c r="D2315" i="6"/>
  <c r="C2315" i="6"/>
  <c r="E2315" i="6"/>
  <c r="F2315" i="6"/>
  <c r="D2316" i="6"/>
  <c r="C2316" i="6"/>
  <c r="E2316" i="6"/>
  <c r="F2316" i="6"/>
  <c r="D2317" i="6"/>
  <c r="C2317" i="6"/>
  <c r="E2317" i="6"/>
  <c r="F2317" i="6"/>
  <c r="D2318" i="6"/>
  <c r="C2318" i="6"/>
  <c r="E2318" i="6"/>
  <c r="F2318" i="6"/>
  <c r="D2319" i="6"/>
  <c r="C2319" i="6"/>
  <c r="E2319" i="6"/>
  <c r="F2319" i="6"/>
  <c r="D2320" i="6"/>
  <c r="C2320" i="6"/>
  <c r="E2320" i="6"/>
  <c r="F2320" i="6"/>
  <c r="D2321" i="6"/>
  <c r="C2321" i="6"/>
  <c r="E2321" i="6"/>
  <c r="F2321" i="6"/>
  <c r="D2322" i="6"/>
  <c r="C2322" i="6"/>
  <c r="E2322" i="6"/>
  <c r="F2322" i="6"/>
  <c r="D2323" i="6"/>
  <c r="C2323" i="6"/>
  <c r="E2323" i="6"/>
  <c r="F2323" i="6"/>
  <c r="D2324" i="6"/>
  <c r="C2324" i="6"/>
  <c r="E2324" i="6"/>
  <c r="F2324" i="6"/>
  <c r="D2325" i="6"/>
  <c r="C2325" i="6"/>
  <c r="E2325" i="6"/>
  <c r="F2325" i="6"/>
  <c r="D2326" i="6"/>
  <c r="C2326" i="6"/>
  <c r="E2326" i="6"/>
  <c r="F2326" i="6"/>
  <c r="D2327" i="6"/>
  <c r="C2327" i="6"/>
  <c r="E2327" i="6"/>
  <c r="F2327" i="6"/>
  <c r="D2328" i="6"/>
  <c r="C2328" i="6"/>
  <c r="E2328" i="6"/>
  <c r="F2328" i="6"/>
  <c r="D2329" i="6"/>
  <c r="C2329" i="6"/>
  <c r="E2329" i="6"/>
  <c r="F2329" i="6"/>
  <c r="D2330" i="6"/>
  <c r="C2330" i="6"/>
  <c r="E2330" i="6"/>
  <c r="F2330" i="6"/>
  <c r="D2331" i="6"/>
  <c r="C2331" i="6"/>
  <c r="E2331" i="6"/>
  <c r="F2331" i="6"/>
  <c r="D2332" i="6"/>
  <c r="C2332" i="6"/>
  <c r="E2332" i="6"/>
  <c r="F2332" i="6"/>
  <c r="D2333" i="6"/>
  <c r="C2333" i="6"/>
  <c r="E2333" i="6"/>
  <c r="F2333" i="6"/>
  <c r="D2334" i="6"/>
  <c r="C2334" i="6"/>
  <c r="E2334" i="6"/>
  <c r="F2334" i="6"/>
  <c r="D2335" i="6"/>
  <c r="C2335" i="6"/>
  <c r="E2335" i="6"/>
  <c r="F2335" i="6"/>
  <c r="D2336" i="6"/>
  <c r="C2336" i="6"/>
  <c r="E2336" i="6"/>
  <c r="F2336" i="6"/>
  <c r="D2337" i="6"/>
  <c r="C2337" i="6"/>
  <c r="E2337" i="6"/>
  <c r="F2337" i="6"/>
  <c r="D2338" i="6"/>
  <c r="C2338" i="6"/>
  <c r="E2338" i="6"/>
  <c r="F2338" i="6"/>
  <c r="D2339" i="6"/>
  <c r="C2339" i="6"/>
  <c r="E2339" i="6"/>
  <c r="F2339" i="6"/>
  <c r="D2340" i="6"/>
  <c r="C2340" i="6"/>
  <c r="E2340" i="6"/>
  <c r="F2340" i="6"/>
  <c r="D2341" i="6"/>
  <c r="C2341" i="6"/>
  <c r="E2341" i="6"/>
  <c r="F2341" i="6"/>
  <c r="D2342" i="6"/>
  <c r="C2342" i="6"/>
  <c r="E2342" i="6"/>
  <c r="F2342" i="6"/>
  <c r="D2343" i="6"/>
  <c r="C2343" i="6"/>
  <c r="E2343" i="6"/>
  <c r="F2343" i="6"/>
  <c r="D2344" i="6"/>
  <c r="C2344" i="6"/>
  <c r="E2344" i="6"/>
  <c r="F2344" i="6"/>
  <c r="D2345" i="6"/>
  <c r="C2345" i="6"/>
  <c r="E2345" i="6"/>
  <c r="F2345" i="6"/>
  <c r="D2346" i="6"/>
  <c r="C2346" i="6"/>
  <c r="E2346" i="6"/>
  <c r="F2346" i="6"/>
  <c r="D2347" i="6"/>
  <c r="C2347" i="6"/>
  <c r="E2347" i="6"/>
  <c r="F2347" i="6"/>
  <c r="D2348" i="6"/>
  <c r="C2348" i="6"/>
  <c r="E2348" i="6"/>
  <c r="F2348" i="6"/>
  <c r="D2349" i="6"/>
  <c r="C2349" i="6"/>
  <c r="E2349" i="6"/>
  <c r="F2349" i="6"/>
  <c r="D2350" i="6"/>
  <c r="C2350" i="6"/>
  <c r="E2350" i="6"/>
  <c r="F2350" i="6"/>
  <c r="D2351" i="6"/>
  <c r="C2351" i="6"/>
  <c r="E2351" i="6"/>
  <c r="F2351" i="6"/>
  <c r="D2352" i="6"/>
  <c r="C2352" i="6"/>
  <c r="E2352" i="6"/>
  <c r="F2352" i="6"/>
  <c r="D2353" i="6"/>
  <c r="C2353" i="6"/>
  <c r="E2353" i="6"/>
  <c r="F2353" i="6"/>
  <c r="D2354" i="6"/>
  <c r="C2354" i="6"/>
  <c r="E2354" i="6"/>
  <c r="F2354" i="6"/>
  <c r="D2355" i="6"/>
  <c r="C2355" i="6"/>
  <c r="E2355" i="6"/>
  <c r="F2355" i="6"/>
  <c r="D2356" i="6"/>
  <c r="C2356" i="6"/>
  <c r="E2356" i="6"/>
  <c r="F2356" i="6"/>
  <c r="D2357" i="6"/>
  <c r="C2357" i="6"/>
  <c r="E2357" i="6"/>
  <c r="F2357" i="6"/>
  <c r="D2358" i="6"/>
  <c r="C2358" i="6"/>
  <c r="E2358" i="6"/>
  <c r="F2358" i="6"/>
  <c r="D2359" i="6"/>
  <c r="C2359" i="6"/>
  <c r="E2359" i="6"/>
  <c r="F2359" i="6"/>
  <c r="D2360" i="6"/>
  <c r="C2360" i="6"/>
  <c r="E2360" i="6"/>
  <c r="F2360" i="6"/>
  <c r="D2361" i="6"/>
  <c r="C2361" i="6"/>
  <c r="E2361" i="6"/>
  <c r="F2361" i="6"/>
  <c r="D2362" i="6"/>
  <c r="C2362" i="6"/>
  <c r="E2362" i="6"/>
  <c r="F2362" i="6"/>
  <c r="D2363" i="6"/>
  <c r="C2363" i="6"/>
  <c r="E2363" i="6"/>
  <c r="F2363" i="6"/>
  <c r="D2364" i="6"/>
  <c r="C2364" i="6"/>
  <c r="E2364" i="6"/>
  <c r="F2364" i="6"/>
  <c r="D2365" i="6"/>
  <c r="C2365" i="6"/>
  <c r="E2365" i="6"/>
  <c r="F2365" i="6"/>
  <c r="D2366" i="6"/>
  <c r="C2366" i="6"/>
  <c r="E2366" i="6"/>
  <c r="F2366" i="6"/>
  <c r="D2367" i="6"/>
  <c r="C2367" i="6"/>
  <c r="E2367" i="6"/>
  <c r="F2367" i="6"/>
  <c r="D2368" i="6"/>
  <c r="C2368" i="6"/>
  <c r="E2368" i="6"/>
  <c r="F2368" i="6"/>
  <c r="D2369" i="6"/>
  <c r="C2369" i="6"/>
  <c r="E2369" i="6"/>
  <c r="F2369" i="6"/>
  <c r="D2370" i="6"/>
  <c r="C2370" i="6"/>
  <c r="E2370" i="6"/>
  <c r="F2370" i="6"/>
  <c r="D2371" i="6"/>
  <c r="C2371" i="6"/>
  <c r="E2371" i="6"/>
  <c r="F2371" i="6"/>
  <c r="D2372" i="6"/>
  <c r="C2372" i="6"/>
  <c r="E2372" i="6"/>
  <c r="F2372" i="6"/>
  <c r="D2373" i="6"/>
  <c r="C2373" i="6"/>
  <c r="E2373" i="6"/>
  <c r="F2373" i="6"/>
  <c r="D2374" i="6"/>
  <c r="C2374" i="6"/>
  <c r="E2374" i="6"/>
  <c r="F2374" i="6"/>
  <c r="D2375" i="6"/>
  <c r="C2375" i="6"/>
  <c r="E2375" i="6"/>
  <c r="F2375" i="6"/>
  <c r="D2376" i="6"/>
  <c r="C2376" i="6"/>
  <c r="E2376" i="6"/>
  <c r="F2376" i="6"/>
  <c r="D2377" i="6"/>
  <c r="C2377" i="6"/>
  <c r="E2377" i="6"/>
  <c r="F2377" i="6"/>
  <c r="D2378" i="6"/>
  <c r="C2378" i="6"/>
  <c r="E2378" i="6"/>
  <c r="F2378" i="6"/>
  <c r="D2379" i="6"/>
  <c r="C2379" i="6"/>
  <c r="E2379" i="6"/>
  <c r="F2379" i="6"/>
  <c r="D2380" i="6"/>
  <c r="C2380" i="6"/>
  <c r="E2380" i="6"/>
  <c r="F2380" i="6"/>
  <c r="D2381" i="6"/>
  <c r="C2381" i="6"/>
  <c r="E2381" i="6"/>
  <c r="F2381" i="6"/>
  <c r="D2382" i="6"/>
  <c r="C2382" i="6"/>
  <c r="E2382" i="6"/>
  <c r="F2382" i="6"/>
  <c r="D2383" i="6"/>
  <c r="C2383" i="6"/>
  <c r="E2383" i="6"/>
  <c r="F2383" i="6"/>
  <c r="D2384" i="6"/>
  <c r="C2384" i="6"/>
  <c r="E2384" i="6"/>
  <c r="F2384" i="6"/>
  <c r="D2385" i="6"/>
  <c r="C2385" i="6"/>
  <c r="E2385" i="6"/>
  <c r="F2385" i="6"/>
  <c r="D2386" i="6"/>
  <c r="C2386" i="6"/>
  <c r="E2386" i="6"/>
  <c r="F2386" i="6"/>
  <c r="D2387" i="6"/>
  <c r="C2387" i="6"/>
  <c r="E2387" i="6"/>
  <c r="F2387" i="6"/>
  <c r="D2388" i="6"/>
  <c r="C2388" i="6"/>
  <c r="E2388" i="6"/>
  <c r="F2388" i="6"/>
  <c r="D2389" i="6"/>
  <c r="C2389" i="6"/>
  <c r="E2389" i="6"/>
  <c r="F2389" i="6"/>
  <c r="D2390" i="6"/>
  <c r="C2390" i="6"/>
  <c r="E2390" i="6"/>
  <c r="F2390" i="6"/>
  <c r="D2391" i="6"/>
  <c r="C2391" i="6"/>
  <c r="E2391" i="6"/>
  <c r="F2391" i="6"/>
  <c r="D2392" i="6"/>
  <c r="C2392" i="6"/>
  <c r="E2392" i="6"/>
  <c r="F2392" i="6"/>
  <c r="D2393" i="6"/>
  <c r="C2393" i="6"/>
  <c r="E2393" i="6"/>
  <c r="F2393" i="6"/>
  <c r="D2394" i="6"/>
  <c r="C2394" i="6"/>
  <c r="E2394" i="6"/>
  <c r="F2394" i="6"/>
  <c r="D2395" i="6"/>
  <c r="C2395" i="6"/>
  <c r="E2395" i="6"/>
  <c r="F2395" i="6"/>
  <c r="D2396" i="6"/>
  <c r="C2396" i="6"/>
  <c r="E2396" i="6"/>
  <c r="F2396" i="6"/>
  <c r="D2397" i="6"/>
  <c r="C2397" i="6"/>
  <c r="E2397" i="6"/>
  <c r="F2397" i="6"/>
  <c r="D2398" i="6"/>
  <c r="C2398" i="6"/>
  <c r="E2398" i="6"/>
  <c r="F2398" i="6"/>
  <c r="D2399" i="6"/>
  <c r="C2399" i="6"/>
  <c r="E2399" i="6"/>
  <c r="F2399" i="6"/>
  <c r="D2400" i="6"/>
  <c r="C2400" i="6"/>
  <c r="E2400" i="6"/>
  <c r="F2400" i="6"/>
  <c r="D2401" i="6"/>
  <c r="C2401" i="6"/>
  <c r="E2401" i="6"/>
  <c r="F2401" i="6"/>
  <c r="D2402" i="6"/>
  <c r="C2402" i="6"/>
  <c r="E2402" i="6"/>
  <c r="F2402" i="6"/>
  <c r="D2403" i="6"/>
  <c r="C2403" i="6"/>
  <c r="E2403" i="6"/>
  <c r="F2403" i="6"/>
  <c r="D2404" i="6"/>
  <c r="C2404" i="6"/>
  <c r="E2404" i="6"/>
  <c r="F2404" i="6"/>
  <c r="D2405" i="6"/>
  <c r="C2405" i="6"/>
  <c r="E2405" i="6"/>
  <c r="F2405" i="6"/>
  <c r="D2406" i="6"/>
  <c r="C2406" i="6"/>
  <c r="E2406" i="6"/>
  <c r="F2406" i="6"/>
  <c r="D2407" i="6"/>
  <c r="C2407" i="6"/>
  <c r="E2407" i="6"/>
  <c r="F2407" i="6"/>
  <c r="D2408" i="6"/>
  <c r="C2408" i="6"/>
  <c r="E2408" i="6"/>
  <c r="F2408" i="6"/>
  <c r="D2409" i="6"/>
  <c r="C2409" i="6"/>
  <c r="E2409" i="6"/>
  <c r="F2409" i="6"/>
  <c r="D2410" i="6"/>
  <c r="C2410" i="6"/>
  <c r="E2410" i="6"/>
  <c r="F2410" i="6"/>
  <c r="D2411" i="6"/>
  <c r="C2411" i="6"/>
  <c r="E2411" i="6"/>
  <c r="F2411" i="6"/>
  <c r="D2412" i="6"/>
  <c r="C2412" i="6"/>
  <c r="E2412" i="6"/>
  <c r="F2412" i="6"/>
  <c r="D2413" i="6"/>
  <c r="C2413" i="6"/>
  <c r="E2413" i="6"/>
  <c r="F2413" i="6"/>
  <c r="D2414" i="6"/>
  <c r="C2414" i="6"/>
  <c r="E2414" i="6"/>
  <c r="F2414" i="6"/>
  <c r="D2415" i="6"/>
  <c r="C2415" i="6"/>
  <c r="E2415" i="6"/>
  <c r="F2415" i="6"/>
  <c r="D2416" i="6"/>
  <c r="C2416" i="6"/>
  <c r="E2416" i="6"/>
  <c r="F2416" i="6"/>
  <c r="D2417" i="6"/>
  <c r="C2417" i="6"/>
  <c r="E2417" i="6"/>
  <c r="F2417" i="6"/>
  <c r="D2418" i="6"/>
  <c r="C2418" i="6"/>
  <c r="E2418" i="6"/>
  <c r="F2418" i="6"/>
  <c r="D2419" i="6"/>
  <c r="C2419" i="6"/>
  <c r="E2419" i="6"/>
  <c r="F2419" i="6"/>
  <c r="D2420" i="6"/>
  <c r="C2420" i="6"/>
  <c r="E2420" i="6"/>
  <c r="F2420" i="6"/>
  <c r="D2421" i="6"/>
  <c r="C2421" i="6"/>
  <c r="E2421" i="6"/>
  <c r="F2421" i="6"/>
  <c r="D2422" i="6"/>
  <c r="C2422" i="6"/>
  <c r="E2422" i="6"/>
  <c r="F2422" i="6"/>
  <c r="D2423" i="6"/>
  <c r="C2423" i="6"/>
  <c r="E2423" i="6"/>
  <c r="F2423" i="6"/>
  <c r="D2424" i="6"/>
  <c r="C2424" i="6"/>
  <c r="E2424" i="6"/>
  <c r="F2424" i="6"/>
  <c r="D2425" i="6"/>
  <c r="C2425" i="6"/>
  <c r="E2425" i="6"/>
  <c r="F2425" i="6"/>
  <c r="D2426" i="6"/>
  <c r="C2426" i="6"/>
  <c r="E2426" i="6"/>
  <c r="F2426" i="6"/>
  <c r="D2427" i="6"/>
  <c r="C2427" i="6"/>
  <c r="E2427" i="6"/>
  <c r="F2427" i="6"/>
  <c r="D2428" i="6"/>
  <c r="C2428" i="6"/>
  <c r="E2428" i="6"/>
  <c r="F2428" i="6"/>
  <c r="D2429" i="6"/>
  <c r="C2429" i="6"/>
  <c r="E2429" i="6"/>
  <c r="F2429" i="6"/>
  <c r="D2430" i="6"/>
  <c r="C2430" i="6"/>
  <c r="E2430" i="6"/>
  <c r="F2430" i="6"/>
  <c r="D2431" i="6"/>
  <c r="C2431" i="6"/>
  <c r="E2431" i="6"/>
  <c r="F2431" i="6"/>
  <c r="D2432" i="6"/>
  <c r="C2432" i="6"/>
  <c r="E2432" i="6"/>
  <c r="F2432" i="6"/>
  <c r="D2433" i="6"/>
  <c r="C2433" i="6"/>
  <c r="E2433" i="6"/>
  <c r="F2433" i="6"/>
  <c r="D2434" i="6"/>
  <c r="C2434" i="6"/>
  <c r="E2434" i="6"/>
  <c r="F2434" i="6"/>
  <c r="D2435" i="6"/>
  <c r="C2435" i="6"/>
  <c r="E2435" i="6"/>
  <c r="F2435" i="6"/>
  <c r="D2436" i="6"/>
  <c r="C2436" i="6"/>
  <c r="E2436" i="6"/>
  <c r="F2436" i="6"/>
  <c r="C3" i="6"/>
  <c r="D3" i="6"/>
  <c r="E3" i="6"/>
  <c r="F3" i="6"/>
  <c r="G3" i="4"/>
  <c r="H3" i="4"/>
  <c r="C3" i="5"/>
  <c r="C322" i="4"/>
  <c r="D322" i="4"/>
  <c r="E322" i="4"/>
  <c r="F322" i="4"/>
  <c r="G322" i="4"/>
  <c r="H322" i="4"/>
  <c r="C323" i="4"/>
  <c r="D323" i="4"/>
  <c r="E323" i="4"/>
  <c r="F323" i="4"/>
  <c r="G323" i="4"/>
  <c r="H323" i="4"/>
  <c r="C324" i="4"/>
  <c r="D324" i="4"/>
  <c r="E324" i="4"/>
  <c r="F324" i="4"/>
  <c r="G324" i="4"/>
  <c r="H324" i="4"/>
  <c r="C325" i="4"/>
  <c r="D325" i="4"/>
  <c r="E325" i="4"/>
  <c r="F325" i="4"/>
  <c r="G325" i="4"/>
  <c r="H325" i="4"/>
  <c r="C326" i="4"/>
  <c r="D326" i="4"/>
  <c r="E326" i="4"/>
  <c r="F326" i="4"/>
  <c r="G326" i="4"/>
  <c r="H326" i="4"/>
  <c r="C327" i="4"/>
  <c r="D327" i="4"/>
  <c r="E327" i="4"/>
  <c r="F327" i="4"/>
  <c r="G327" i="4"/>
  <c r="H327" i="4"/>
  <c r="C328" i="4"/>
  <c r="D328" i="4"/>
  <c r="E328" i="4"/>
  <c r="F328" i="4"/>
  <c r="G328" i="4"/>
  <c r="H328" i="4"/>
  <c r="C329" i="4"/>
  <c r="D329" i="4"/>
  <c r="E329" i="4"/>
  <c r="F329" i="4"/>
  <c r="G329" i="4"/>
  <c r="H329" i="4"/>
  <c r="C330" i="4"/>
  <c r="D330" i="4"/>
  <c r="E330" i="4"/>
  <c r="F330" i="4"/>
  <c r="G330" i="4"/>
  <c r="H330" i="4"/>
  <c r="C331" i="4"/>
  <c r="D331" i="4"/>
  <c r="E331" i="4"/>
  <c r="F331" i="4"/>
  <c r="G331" i="4"/>
  <c r="H331" i="4"/>
  <c r="C332" i="4"/>
  <c r="D332" i="4"/>
  <c r="E332" i="4"/>
  <c r="F332" i="4"/>
  <c r="G332" i="4"/>
  <c r="H332" i="4"/>
  <c r="C333" i="4"/>
  <c r="D333" i="4"/>
  <c r="E333" i="4"/>
  <c r="F333" i="4"/>
  <c r="G333" i="4"/>
  <c r="H333" i="4"/>
  <c r="C334" i="4"/>
  <c r="D334" i="4"/>
  <c r="E334" i="4"/>
  <c r="F334" i="4"/>
  <c r="G334" i="4"/>
  <c r="H334" i="4"/>
  <c r="C335" i="4"/>
  <c r="D335" i="4"/>
  <c r="E335" i="4"/>
  <c r="F335" i="4"/>
  <c r="G335" i="4"/>
  <c r="H335" i="4"/>
  <c r="C336" i="4"/>
  <c r="D336" i="4"/>
  <c r="E336" i="4"/>
  <c r="F336" i="4"/>
  <c r="G336" i="4"/>
  <c r="H336" i="4"/>
  <c r="C337" i="4"/>
  <c r="D337" i="4"/>
  <c r="E337" i="4"/>
  <c r="F337" i="4"/>
  <c r="G337" i="4"/>
  <c r="H337" i="4"/>
  <c r="C338" i="4"/>
  <c r="D338" i="4"/>
  <c r="E338" i="4"/>
  <c r="F338" i="4"/>
  <c r="G338" i="4"/>
  <c r="H338" i="4"/>
  <c r="C339" i="4"/>
  <c r="D339" i="4"/>
  <c r="E339" i="4"/>
  <c r="F339" i="4"/>
  <c r="G339" i="4"/>
  <c r="H339" i="4"/>
  <c r="C340" i="4"/>
  <c r="D340" i="4"/>
  <c r="E340" i="4"/>
  <c r="F340" i="4"/>
  <c r="G340" i="4"/>
  <c r="H340" i="4"/>
  <c r="C341" i="4"/>
  <c r="D341" i="4"/>
  <c r="E341" i="4"/>
  <c r="F341" i="4"/>
  <c r="G341" i="4"/>
  <c r="H341" i="4"/>
  <c r="C342" i="4"/>
  <c r="D342" i="4"/>
  <c r="E342" i="4"/>
  <c r="F342" i="4"/>
  <c r="G342" i="4"/>
  <c r="H342" i="4"/>
  <c r="C343" i="4"/>
  <c r="D343" i="4"/>
  <c r="E343" i="4"/>
  <c r="F343" i="4"/>
  <c r="G343" i="4"/>
  <c r="H343" i="4"/>
  <c r="C344" i="4"/>
  <c r="D344" i="4"/>
  <c r="E344" i="4"/>
  <c r="F344" i="4"/>
  <c r="G344" i="4"/>
  <c r="H344" i="4"/>
  <c r="C345" i="4"/>
  <c r="D345" i="4"/>
  <c r="E345" i="4"/>
  <c r="F345" i="4"/>
  <c r="G345" i="4"/>
  <c r="H345" i="4"/>
  <c r="C346" i="4"/>
  <c r="D346" i="4"/>
  <c r="E346" i="4"/>
  <c r="F346" i="4"/>
  <c r="G346" i="4"/>
  <c r="H346" i="4"/>
  <c r="C347" i="4"/>
  <c r="D347" i="4"/>
  <c r="E347" i="4"/>
  <c r="F347" i="4"/>
  <c r="G347" i="4"/>
  <c r="H347" i="4"/>
  <c r="C348" i="4"/>
  <c r="D348" i="4"/>
  <c r="E348" i="4"/>
  <c r="F348" i="4"/>
  <c r="G348" i="4"/>
  <c r="H348" i="4"/>
  <c r="C349" i="4"/>
  <c r="D349" i="4"/>
  <c r="E349" i="4"/>
  <c r="F349" i="4"/>
  <c r="G349" i="4"/>
  <c r="H349" i="4"/>
  <c r="C350" i="4"/>
  <c r="D350" i="4"/>
  <c r="E350" i="4"/>
  <c r="F350" i="4"/>
  <c r="G350" i="4"/>
  <c r="H350" i="4"/>
  <c r="C351" i="4"/>
  <c r="D351" i="4"/>
  <c r="E351" i="4"/>
  <c r="F351" i="4"/>
  <c r="G351" i="4"/>
  <c r="H351" i="4"/>
  <c r="C352" i="4"/>
  <c r="D352" i="4"/>
  <c r="E352" i="4"/>
  <c r="F352" i="4"/>
  <c r="G352" i="4"/>
  <c r="H352" i="4"/>
  <c r="C353" i="4"/>
  <c r="D353" i="4"/>
  <c r="E353" i="4"/>
  <c r="F353" i="4"/>
  <c r="G353" i="4"/>
  <c r="H353" i="4"/>
  <c r="C354" i="4"/>
  <c r="D354" i="4"/>
  <c r="E354" i="4"/>
  <c r="F354" i="4"/>
  <c r="G354" i="4"/>
  <c r="H354" i="4"/>
  <c r="C355" i="4"/>
  <c r="D355" i="4"/>
  <c r="E355" i="4"/>
  <c r="F355" i="4"/>
  <c r="G355" i="4"/>
  <c r="H355" i="4"/>
  <c r="C356" i="4"/>
  <c r="D356" i="4"/>
  <c r="E356" i="4"/>
  <c r="F356" i="4"/>
  <c r="G356" i="4"/>
  <c r="H356" i="4"/>
  <c r="C357" i="4"/>
  <c r="D357" i="4"/>
  <c r="E357" i="4"/>
  <c r="F357" i="4"/>
  <c r="G357" i="4"/>
  <c r="H357" i="4"/>
  <c r="C358" i="4"/>
  <c r="D358" i="4"/>
  <c r="E358" i="4"/>
  <c r="F358" i="4"/>
  <c r="G358" i="4"/>
  <c r="H358" i="4"/>
  <c r="C359" i="4"/>
  <c r="D359" i="4"/>
  <c r="E359" i="4"/>
  <c r="F359" i="4"/>
  <c r="G359" i="4"/>
  <c r="H359" i="4"/>
  <c r="C360" i="4"/>
  <c r="D360" i="4"/>
  <c r="E360" i="4"/>
  <c r="F360" i="4"/>
  <c r="G360" i="4"/>
  <c r="H360" i="4"/>
  <c r="C361" i="4"/>
  <c r="D361" i="4"/>
  <c r="E361" i="4"/>
  <c r="F361" i="4"/>
  <c r="G361" i="4"/>
  <c r="H361" i="4"/>
  <c r="C362" i="4"/>
  <c r="D362" i="4"/>
  <c r="E362" i="4"/>
  <c r="F362" i="4"/>
  <c r="G362" i="4"/>
  <c r="H362" i="4"/>
  <c r="C363" i="4"/>
  <c r="D363" i="4"/>
  <c r="E363" i="4"/>
  <c r="F363" i="4"/>
  <c r="G363" i="4"/>
  <c r="H363" i="4"/>
  <c r="C364" i="4"/>
  <c r="D364" i="4"/>
  <c r="E364" i="4"/>
  <c r="F364" i="4"/>
  <c r="G364" i="4"/>
  <c r="H364" i="4"/>
  <c r="C365" i="4"/>
  <c r="D365" i="4"/>
  <c r="E365" i="4"/>
  <c r="F365" i="4"/>
  <c r="G365" i="4"/>
  <c r="H365" i="4"/>
  <c r="C366" i="4"/>
  <c r="D366" i="4"/>
  <c r="E366" i="4"/>
  <c r="F366" i="4"/>
  <c r="G366" i="4"/>
  <c r="H366" i="4"/>
  <c r="C367" i="4"/>
  <c r="D367" i="4"/>
  <c r="E367" i="4"/>
  <c r="F367" i="4"/>
  <c r="G367" i="4"/>
  <c r="H367" i="4"/>
  <c r="C687" i="4"/>
  <c r="D687" i="4"/>
  <c r="E687" i="4"/>
  <c r="F687" i="4"/>
  <c r="G687" i="4"/>
  <c r="H687" i="4"/>
  <c r="C688" i="4"/>
  <c r="D688" i="4"/>
  <c r="E688" i="4"/>
  <c r="F688" i="4"/>
  <c r="G688" i="4"/>
  <c r="H688" i="4"/>
  <c r="C689" i="4"/>
  <c r="D689" i="4"/>
  <c r="E689" i="4"/>
  <c r="F689" i="4"/>
  <c r="G689" i="4"/>
  <c r="H689" i="4"/>
  <c r="C690" i="4"/>
  <c r="D690" i="4"/>
  <c r="E690" i="4"/>
  <c r="F690" i="4"/>
  <c r="G690" i="4"/>
  <c r="H690" i="4"/>
  <c r="C691" i="4"/>
  <c r="D691" i="4"/>
  <c r="E691" i="4"/>
  <c r="F691" i="4"/>
  <c r="G691" i="4"/>
  <c r="H691" i="4"/>
  <c r="C692" i="4"/>
  <c r="D692" i="4"/>
  <c r="E692" i="4"/>
  <c r="F692" i="4"/>
  <c r="G692" i="4"/>
  <c r="H692" i="4"/>
  <c r="C693" i="4"/>
  <c r="D693" i="4"/>
  <c r="E693" i="4"/>
  <c r="F693" i="4"/>
  <c r="G693" i="4"/>
  <c r="H693" i="4"/>
  <c r="C694" i="4"/>
  <c r="D694" i="4"/>
  <c r="E694" i="4"/>
  <c r="F694" i="4"/>
  <c r="G694" i="4"/>
  <c r="H694" i="4"/>
  <c r="C695" i="4"/>
  <c r="D695" i="4"/>
  <c r="E695" i="4"/>
  <c r="F695" i="4"/>
  <c r="G695" i="4"/>
  <c r="H695" i="4"/>
  <c r="C696" i="4"/>
  <c r="D696" i="4"/>
  <c r="E696" i="4"/>
  <c r="F696" i="4"/>
  <c r="G696" i="4"/>
  <c r="H696" i="4"/>
  <c r="C697" i="4"/>
  <c r="D697" i="4"/>
  <c r="E697" i="4"/>
  <c r="F697" i="4"/>
  <c r="G697" i="4"/>
  <c r="H697" i="4"/>
  <c r="C698" i="4"/>
  <c r="D698" i="4"/>
  <c r="E698" i="4"/>
  <c r="F698" i="4"/>
  <c r="G698" i="4"/>
  <c r="H698" i="4"/>
  <c r="C699" i="4"/>
  <c r="D699" i="4"/>
  <c r="E699" i="4"/>
  <c r="F699" i="4"/>
  <c r="G699" i="4"/>
  <c r="H699" i="4"/>
  <c r="C700" i="4"/>
  <c r="D700" i="4"/>
  <c r="E700" i="4"/>
  <c r="F700" i="4"/>
  <c r="G700" i="4"/>
  <c r="H700" i="4"/>
  <c r="C701" i="4"/>
  <c r="D701" i="4"/>
  <c r="E701" i="4"/>
  <c r="F701" i="4"/>
  <c r="G701" i="4"/>
  <c r="H701" i="4"/>
  <c r="C702" i="4"/>
  <c r="D702" i="4"/>
  <c r="E702" i="4"/>
  <c r="F702" i="4"/>
  <c r="G702" i="4"/>
  <c r="H702" i="4"/>
  <c r="C703" i="4"/>
  <c r="D703" i="4"/>
  <c r="E703" i="4"/>
  <c r="F703" i="4"/>
  <c r="G703" i="4"/>
  <c r="H703" i="4"/>
  <c r="C704" i="4"/>
  <c r="D704" i="4"/>
  <c r="E704" i="4"/>
  <c r="F704" i="4"/>
  <c r="G704" i="4"/>
  <c r="H704" i="4"/>
  <c r="C705" i="4"/>
  <c r="D705" i="4"/>
  <c r="E705" i="4"/>
  <c r="F705" i="4"/>
  <c r="G705" i="4"/>
  <c r="H705" i="4"/>
  <c r="C706" i="4"/>
  <c r="D706" i="4"/>
  <c r="E706" i="4"/>
  <c r="F706" i="4"/>
  <c r="G706" i="4"/>
  <c r="H706" i="4"/>
  <c r="C707" i="4"/>
  <c r="D707" i="4"/>
  <c r="E707" i="4"/>
  <c r="F707" i="4"/>
  <c r="G707" i="4"/>
  <c r="H707" i="4"/>
  <c r="C708" i="4"/>
  <c r="D708" i="4"/>
  <c r="E708" i="4"/>
  <c r="F708" i="4"/>
  <c r="G708" i="4"/>
  <c r="H708" i="4"/>
  <c r="C709" i="4"/>
  <c r="D709" i="4"/>
  <c r="E709" i="4"/>
  <c r="F709" i="4"/>
  <c r="G709" i="4"/>
  <c r="H709" i="4"/>
  <c r="C710" i="4"/>
  <c r="D710" i="4"/>
  <c r="E710" i="4"/>
  <c r="F710" i="4"/>
  <c r="G710" i="4"/>
  <c r="H710" i="4"/>
  <c r="C711" i="4"/>
  <c r="D711" i="4"/>
  <c r="E711" i="4"/>
  <c r="F711" i="4"/>
  <c r="G711" i="4"/>
  <c r="H711" i="4"/>
  <c r="C712" i="4"/>
  <c r="D712" i="4"/>
  <c r="E712" i="4"/>
  <c r="F712" i="4"/>
  <c r="G712" i="4"/>
  <c r="H712" i="4"/>
  <c r="C713" i="4"/>
  <c r="D713" i="4"/>
  <c r="E713" i="4"/>
  <c r="F713" i="4"/>
  <c r="G713" i="4"/>
  <c r="H713" i="4"/>
  <c r="C714" i="4"/>
  <c r="D714" i="4"/>
  <c r="E714" i="4"/>
  <c r="F714" i="4"/>
  <c r="G714" i="4"/>
  <c r="H714" i="4"/>
  <c r="C715" i="4"/>
  <c r="D715" i="4"/>
  <c r="E715" i="4"/>
  <c r="F715" i="4"/>
  <c r="G715" i="4"/>
  <c r="H715" i="4"/>
  <c r="C716" i="4"/>
  <c r="D716" i="4"/>
  <c r="E716" i="4"/>
  <c r="F716" i="4"/>
  <c r="G716" i="4"/>
  <c r="H716" i="4"/>
  <c r="C717" i="4"/>
  <c r="D717" i="4"/>
  <c r="E717" i="4"/>
  <c r="F717" i="4"/>
  <c r="G717" i="4"/>
  <c r="H717" i="4"/>
  <c r="C718" i="4"/>
  <c r="D718" i="4"/>
  <c r="E718" i="4"/>
  <c r="F718" i="4"/>
  <c r="G718" i="4"/>
  <c r="H718" i="4"/>
  <c r="C719" i="4"/>
  <c r="D719" i="4"/>
  <c r="E719" i="4"/>
  <c r="F719" i="4"/>
  <c r="G719" i="4"/>
  <c r="H719" i="4"/>
  <c r="C720" i="4"/>
  <c r="D720" i="4"/>
  <c r="E720" i="4"/>
  <c r="F720" i="4"/>
  <c r="G720" i="4"/>
  <c r="H720" i="4"/>
  <c r="C721" i="4"/>
  <c r="D721" i="4"/>
  <c r="E721" i="4"/>
  <c r="F721" i="4"/>
  <c r="G721" i="4"/>
  <c r="H721" i="4"/>
  <c r="C722" i="4"/>
  <c r="D722" i="4"/>
  <c r="E722" i="4"/>
  <c r="F722" i="4"/>
  <c r="G722" i="4"/>
  <c r="H722" i="4"/>
  <c r="C723" i="4"/>
  <c r="D723" i="4"/>
  <c r="E723" i="4"/>
  <c r="F723" i="4"/>
  <c r="G723" i="4"/>
  <c r="H723" i="4"/>
  <c r="C724" i="4"/>
  <c r="D724" i="4"/>
  <c r="E724" i="4"/>
  <c r="F724" i="4"/>
  <c r="G724" i="4"/>
  <c r="H724" i="4"/>
  <c r="C725" i="4"/>
  <c r="D725" i="4"/>
  <c r="E725" i="4"/>
  <c r="F725" i="4"/>
  <c r="G725" i="4"/>
  <c r="H725" i="4"/>
  <c r="C726" i="4"/>
  <c r="D726" i="4"/>
  <c r="E726" i="4"/>
  <c r="F726" i="4"/>
  <c r="G726" i="4"/>
  <c r="H726" i="4"/>
  <c r="C727" i="4"/>
  <c r="D727" i="4"/>
  <c r="E727" i="4"/>
  <c r="F727" i="4"/>
  <c r="G727" i="4"/>
  <c r="H727" i="4"/>
  <c r="C728" i="4"/>
  <c r="D728" i="4"/>
  <c r="E728" i="4"/>
  <c r="F728" i="4"/>
  <c r="G728" i="4"/>
  <c r="H728" i="4"/>
  <c r="C729" i="4"/>
  <c r="D729" i="4"/>
  <c r="E729" i="4"/>
  <c r="F729" i="4"/>
  <c r="G729" i="4"/>
  <c r="H729" i="4"/>
  <c r="C730" i="4"/>
  <c r="D730" i="4"/>
  <c r="E730" i="4"/>
  <c r="F730" i="4"/>
  <c r="G730" i="4"/>
  <c r="H730" i="4"/>
  <c r="C731" i="4"/>
  <c r="D731" i="4"/>
  <c r="E731" i="4"/>
  <c r="F731" i="4"/>
  <c r="G731" i="4"/>
  <c r="H731" i="4"/>
  <c r="C732" i="4"/>
  <c r="D732" i="4"/>
  <c r="E732" i="4"/>
  <c r="F732" i="4"/>
  <c r="G732" i="4"/>
  <c r="H732" i="4"/>
  <c r="C1052" i="4"/>
  <c r="D1052" i="4"/>
  <c r="E1052" i="4"/>
  <c r="F1052" i="4"/>
  <c r="G1052" i="4"/>
  <c r="H1052" i="4"/>
  <c r="C1053" i="4"/>
  <c r="D1053" i="4"/>
  <c r="E1053" i="4"/>
  <c r="F1053" i="4"/>
  <c r="G1053" i="4"/>
  <c r="H1053" i="4"/>
  <c r="C1054" i="4"/>
  <c r="D1054" i="4"/>
  <c r="E1054" i="4"/>
  <c r="F1054" i="4"/>
  <c r="G1054" i="4"/>
  <c r="H1054" i="4"/>
  <c r="C1055" i="4"/>
  <c r="D1055" i="4"/>
  <c r="E1055" i="4"/>
  <c r="F1055" i="4"/>
  <c r="G1055" i="4"/>
  <c r="H1055" i="4"/>
  <c r="C1056" i="4"/>
  <c r="D1056" i="4"/>
  <c r="E1056" i="4"/>
  <c r="F1056" i="4"/>
  <c r="G1056" i="4"/>
  <c r="H1056" i="4"/>
  <c r="C1057" i="4"/>
  <c r="D1057" i="4"/>
  <c r="E1057" i="4"/>
  <c r="F1057" i="4"/>
  <c r="G1057" i="4"/>
  <c r="H1057" i="4"/>
  <c r="C1058" i="4"/>
  <c r="D1058" i="4"/>
  <c r="E1058" i="4"/>
  <c r="F1058" i="4"/>
  <c r="G1058" i="4"/>
  <c r="H1058" i="4"/>
  <c r="C1059" i="4"/>
  <c r="D1059" i="4"/>
  <c r="E1059" i="4"/>
  <c r="F1059" i="4"/>
  <c r="G1059" i="4"/>
  <c r="H1059" i="4"/>
  <c r="C1060" i="4"/>
  <c r="D1060" i="4"/>
  <c r="E1060" i="4"/>
  <c r="F1060" i="4"/>
  <c r="G1060" i="4"/>
  <c r="H1060" i="4"/>
  <c r="C1061" i="4"/>
  <c r="D1061" i="4"/>
  <c r="E1061" i="4"/>
  <c r="F1061" i="4"/>
  <c r="G1061" i="4"/>
  <c r="H1061" i="4"/>
  <c r="C1062" i="4"/>
  <c r="D1062" i="4"/>
  <c r="E1062" i="4"/>
  <c r="F1062" i="4"/>
  <c r="G1062" i="4"/>
  <c r="H1062" i="4"/>
  <c r="C1063" i="4"/>
  <c r="D1063" i="4"/>
  <c r="E1063" i="4"/>
  <c r="F1063" i="4"/>
  <c r="G1063" i="4"/>
  <c r="H1063" i="4"/>
  <c r="C1064" i="4"/>
  <c r="D1064" i="4"/>
  <c r="E1064" i="4"/>
  <c r="F1064" i="4"/>
  <c r="G1064" i="4"/>
  <c r="H1064" i="4"/>
  <c r="C1065" i="4"/>
  <c r="D1065" i="4"/>
  <c r="E1065" i="4"/>
  <c r="F1065" i="4"/>
  <c r="G1065" i="4"/>
  <c r="H1065" i="4"/>
  <c r="C1066" i="4"/>
  <c r="D1066" i="4"/>
  <c r="E1066" i="4"/>
  <c r="F1066" i="4"/>
  <c r="G1066" i="4"/>
  <c r="H1066" i="4"/>
  <c r="C1067" i="4"/>
  <c r="D1067" i="4"/>
  <c r="E1067" i="4"/>
  <c r="F1067" i="4"/>
  <c r="G1067" i="4"/>
  <c r="H1067" i="4"/>
  <c r="C1068" i="4"/>
  <c r="D1068" i="4"/>
  <c r="E1068" i="4"/>
  <c r="F1068" i="4"/>
  <c r="G1068" i="4"/>
  <c r="H1068" i="4"/>
  <c r="C1069" i="4"/>
  <c r="D1069" i="4"/>
  <c r="E1069" i="4"/>
  <c r="F1069" i="4"/>
  <c r="G1069" i="4"/>
  <c r="H1069" i="4"/>
  <c r="C1070" i="4"/>
  <c r="D1070" i="4"/>
  <c r="E1070" i="4"/>
  <c r="F1070" i="4"/>
  <c r="G1070" i="4"/>
  <c r="H1070" i="4"/>
  <c r="C1071" i="4"/>
  <c r="D1071" i="4"/>
  <c r="E1071" i="4"/>
  <c r="F1071" i="4"/>
  <c r="G1071" i="4"/>
  <c r="H1071" i="4"/>
  <c r="C1072" i="4"/>
  <c r="D1072" i="4"/>
  <c r="E1072" i="4"/>
  <c r="F1072" i="4"/>
  <c r="G1072" i="4"/>
  <c r="H1072" i="4"/>
  <c r="C1073" i="4"/>
  <c r="D1073" i="4"/>
  <c r="E1073" i="4"/>
  <c r="F1073" i="4"/>
  <c r="G1073" i="4"/>
  <c r="H1073" i="4"/>
  <c r="C1074" i="4"/>
  <c r="D1074" i="4"/>
  <c r="E1074" i="4"/>
  <c r="F1074" i="4"/>
  <c r="G1074" i="4"/>
  <c r="H1074" i="4"/>
  <c r="C1075" i="4"/>
  <c r="D1075" i="4"/>
  <c r="E1075" i="4"/>
  <c r="F1075" i="4"/>
  <c r="G1075" i="4"/>
  <c r="H1075" i="4"/>
  <c r="C1076" i="4"/>
  <c r="D1076" i="4"/>
  <c r="E1076" i="4"/>
  <c r="F1076" i="4"/>
  <c r="G1076" i="4"/>
  <c r="H1076" i="4"/>
  <c r="C1077" i="4"/>
  <c r="D1077" i="4"/>
  <c r="E1077" i="4"/>
  <c r="F1077" i="4"/>
  <c r="G1077" i="4"/>
  <c r="H1077" i="4"/>
  <c r="C1078" i="4"/>
  <c r="D1078" i="4"/>
  <c r="E1078" i="4"/>
  <c r="F1078" i="4"/>
  <c r="G1078" i="4"/>
  <c r="H1078" i="4"/>
  <c r="C1079" i="4"/>
  <c r="D1079" i="4"/>
  <c r="E1079" i="4"/>
  <c r="F1079" i="4"/>
  <c r="G1079" i="4"/>
  <c r="H1079" i="4"/>
  <c r="C1080" i="4"/>
  <c r="D1080" i="4"/>
  <c r="E1080" i="4"/>
  <c r="F1080" i="4"/>
  <c r="G1080" i="4"/>
  <c r="H1080" i="4"/>
  <c r="C1081" i="4"/>
  <c r="D1081" i="4"/>
  <c r="E1081" i="4"/>
  <c r="F1081" i="4"/>
  <c r="G1081" i="4"/>
  <c r="H1081" i="4"/>
  <c r="C1082" i="4"/>
  <c r="D1082" i="4"/>
  <c r="E1082" i="4"/>
  <c r="F1082" i="4"/>
  <c r="G1082" i="4"/>
  <c r="H1082" i="4"/>
  <c r="C1083" i="4"/>
  <c r="D1083" i="4"/>
  <c r="E1083" i="4"/>
  <c r="F1083" i="4"/>
  <c r="G1083" i="4"/>
  <c r="H1083" i="4"/>
  <c r="C1084" i="4"/>
  <c r="D1084" i="4"/>
  <c r="E1084" i="4"/>
  <c r="F1084" i="4"/>
  <c r="G1084" i="4"/>
  <c r="H1084" i="4"/>
  <c r="C1085" i="4"/>
  <c r="D1085" i="4"/>
  <c r="E1085" i="4"/>
  <c r="F1085" i="4"/>
  <c r="G1085" i="4"/>
  <c r="H1085" i="4"/>
  <c r="C1086" i="4"/>
  <c r="D1086" i="4"/>
  <c r="E1086" i="4"/>
  <c r="F1086" i="4"/>
  <c r="G1086" i="4"/>
  <c r="H1086" i="4"/>
  <c r="C1087" i="4"/>
  <c r="D1087" i="4"/>
  <c r="E1087" i="4"/>
  <c r="F1087" i="4"/>
  <c r="G1087" i="4"/>
  <c r="H1087" i="4"/>
  <c r="C1088" i="4"/>
  <c r="D1088" i="4"/>
  <c r="E1088" i="4"/>
  <c r="F1088" i="4"/>
  <c r="G1088" i="4"/>
  <c r="H1088" i="4"/>
  <c r="C1089" i="4"/>
  <c r="D1089" i="4"/>
  <c r="E1089" i="4"/>
  <c r="F1089" i="4"/>
  <c r="G1089" i="4"/>
  <c r="H1089" i="4"/>
  <c r="C1090" i="4"/>
  <c r="D1090" i="4"/>
  <c r="E1090" i="4"/>
  <c r="F1090" i="4"/>
  <c r="G1090" i="4"/>
  <c r="H1090" i="4"/>
  <c r="C1091" i="4"/>
  <c r="D1091" i="4"/>
  <c r="E1091" i="4"/>
  <c r="F1091" i="4"/>
  <c r="G1091" i="4"/>
  <c r="H1091" i="4"/>
  <c r="C1092" i="4"/>
  <c r="D1092" i="4"/>
  <c r="E1092" i="4"/>
  <c r="F1092" i="4"/>
  <c r="G1092" i="4"/>
  <c r="H1092" i="4"/>
  <c r="C1093" i="4"/>
  <c r="D1093" i="4"/>
  <c r="E1093" i="4"/>
  <c r="F1093" i="4"/>
  <c r="G1093" i="4"/>
  <c r="H1093" i="4"/>
  <c r="C1094" i="4"/>
  <c r="D1094" i="4"/>
  <c r="E1094" i="4"/>
  <c r="F1094" i="4"/>
  <c r="G1094" i="4"/>
  <c r="H1094" i="4"/>
  <c r="C1095" i="4"/>
  <c r="D1095" i="4"/>
  <c r="E1095" i="4"/>
  <c r="F1095" i="4"/>
  <c r="G1095" i="4"/>
  <c r="H1095" i="4"/>
  <c r="C1096" i="4"/>
  <c r="D1096" i="4"/>
  <c r="E1096" i="4"/>
  <c r="F1096" i="4"/>
  <c r="G1096" i="4"/>
  <c r="H1096" i="4"/>
  <c r="C1097" i="4"/>
  <c r="D1097" i="4"/>
  <c r="E1097" i="4"/>
  <c r="F1097" i="4"/>
  <c r="G1097" i="4"/>
  <c r="H1097" i="4"/>
  <c r="C1417" i="4"/>
  <c r="D1417" i="4"/>
  <c r="E1417" i="4"/>
  <c r="F1417" i="4"/>
  <c r="G1417" i="4"/>
  <c r="H1417" i="4"/>
  <c r="C1418" i="4"/>
  <c r="D1418" i="4"/>
  <c r="E1418" i="4"/>
  <c r="F1418" i="4"/>
  <c r="G1418" i="4"/>
  <c r="H1418" i="4"/>
  <c r="C1419" i="4"/>
  <c r="D1419" i="4"/>
  <c r="E1419" i="4"/>
  <c r="F1419" i="4"/>
  <c r="G1419" i="4"/>
  <c r="H1419" i="4"/>
  <c r="C1420" i="4"/>
  <c r="D1420" i="4"/>
  <c r="E1420" i="4"/>
  <c r="F1420" i="4"/>
  <c r="G1420" i="4"/>
  <c r="H1420" i="4"/>
  <c r="C1421" i="4"/>
  <c r="D1421" i="4"/>
  <c r="E1421" i="4"/>
  <c r="F1421" i="4"/>
  <c r="G1421" i="4"/>
  <c r="H1421" i="4"/>
  <c r="C1422" i="4"/>
  <c r="D1422" i="4"/>
  <c r="E1422" i="4"/>
  <c r="F1422" i="4"/>
  <c r="G1422" i="4"/>
  <c r="H1422" i="4"/>
  <c r="C1423" i="4"/>
  <c r="D1423" i="4"/>
  <c r="E1423" i="4"/>
  <c r="F1423" i="4"/>
  <c r="G1423" i="4"/>
  <c r="H1423" i="4"/>
  <c r="C1424" i="4"/>
  <c r="D1424" i="4"/>
  <c r="E1424" i="4"/>
  <c r="F1424" i="4"/>
  <c r="G1424" i="4"/>
  <c r="H1424" i="4"/>
  <c r="C1425" i="4"/>
  <c r="D1425" i="4"/>
  <c r="E1425" i="4"/>
  <c r="F1425" i="4"/>
  <c r="G1425" i="4"/>
  <c r="H1425" i="4"/>
  <c r="C1426" i="4"/>
  <c r="D1426" i="4"/>
  <c r="E1426" i="4"/>
  <c r="F1426" i="4"/>
  <c r="G1426" i="4"/>
  <c r="H1426" i="4"/>
  <c r="C1427" i="4"/>
  <c r="D1427" i="4"/>
  <c r="E1427" i="4"/>
  <c r="F1427" i="4"/>
  <c r="G1427" i="4"/>
  <c r="H1427" i="4"/>
  <c r="C1428" i="4"/>
  <c r="D1428" i="4"/>
  <c r="E1428" i="4"/>
  <c r="F1428" i="4"/>
  <c r="G1428" i="4"/>
  <c r="H1428" i="4"/>
  <c r="C1429" i="4"/>
  <c r="D1429" i="4"/>
  <c r="E1429" i="4"/>
  <c r="F1429" i="4"/>
  <c r="G1429" i="4"/>
  <c r="H1429" i="4"/>
  <c r="C1430" i="4"/>
  <c r="D1430" i="4"/>
  <c r="E1430" i="4"/>
  <c r="F1430" i="4"/>
  <c r="G1430" i="4"/>
  <c r="H1430" i="4"/>
  <c r="C1431" i="4"/>
  <c r="D1431" i="4"/>
  <c r="E1431" i="4"/>
  <c r="F1431" i="4"/>
  <c r="G1431" i="4"/>
  <c r="H1431" i="4"/>
  <c r="C1432" i="4"/>
  <c r="D1432" i="4"/>
  <c r="E1432" i="4"/>
  <c r="F1432" i="4"/>
  <c r="G1432" i="4"/>
  <c r="H1432" i="4"/>
  <c r="C1433" i="4"/>
  <c r="D1433" i="4"/>
  <c r="E1433" i="4"/>
  <c r="F1433" i="4"/>
  <c r="G1433" i="4"/>
  <c r="H1433" i="4"/>
  <c r="C1434" i="4"/>
  <c r="D1434" i="4"/>
  <c r="E1434" i="4"/>
  <c r="F1434" i="4"/>
  <c r="G1434" i="4"/>
  <c r="H1434" i="4"/>
  <c r="C1435" i="4"/>
  <c r="D1435" i="4"/>
  <c r="E1435" i="4"/>
  <c r="F1435" i="4"/>
  <c r="G1435" i="4"/>
  <c r="H1435" i="4"/>
  <c r="C1436" i="4"/>
  <c r="D1436" i="4"/>
  <c r="E1436" i="4"/>
  <c r="F1436" i="4"/>
  <c r="G1436" i="4"/>
  <c r="H1436" i="4"/>
  <c r="C1437" i="4"/>
  <c r="D1437" i="4"/>
  <c r="E1437" i="4"/>
  <c r="F1437" i="4"/>
  <c r="G1437" i="4"/>
  <c r="H1437" i="4"/>
  <c r="C1438" i="4"/>
  <c r="D1438" i="4"/>
  <c r="E1438" i="4"/>
  <c r="F1438" i="4"/>
  <c r="G1438" i="4"/>
  <c r="H1438" i="4"/>
  <c r="C1439" i="4"/>
  <c r="D1439" i="4"/>
  <c r="E1439" i="4"/>
  <c r="F1439" i="4"/>
  <c r="G1439" i="4"/>
  <c r="H1439" i="4"/>
  <c r="C1440" i="4"/>
  <c r="D1440" i="4"/>
  <c r="E1440" i="4"/>
  <c r="F1440" i="4"/>
  <c r="G1440" i="4"/>
  <c r="H1440" i="4"/>
  <c r="C1441" i="4"/>
  <c r="D1441" i="4"/>
  <c r="E1441" i="4"/>
  <c r="F1441" i="4"/>
  <c r="G1441" i="4"/>
  <c r="H1441" i="4"/>
  <c r="C1442" i="4"/>
  <c r="D1442" i="4"/>
  <c r="E1442" i="4"/>
  <c r="F1442" i="4"/>
  <c r="G1442" i="4"/>
  <c r="H1442" i="4"/>
  <c r="C1443" i="4"/>
  <c r="D1443" i="4"/>
  <c r="E1443" i="4"/>
  <c r="F1443" i="4"/>
  <c r="G1443" i="4"/>
  <c r="H1443" i="4"/>
  <c r="C1444" i="4"/>
  <c r="D1444" i="4"/>
  <c r="E1444" i="4"/>
  <c r="F1444" i="4"/>
  <c r="G1444" i="4"/>
  <c r="H1444" i="4"/>
  <c r="C1445" i="4"/>
  <c r="D1445" i="4"/>
  <c r="E1445" i="4"/>
  <c r="F1445" i="4"/>
  <c r="G1445" i="4"/>
  <c r="H1445" i="4"/>
  <c r="C1446" i="4"/>
  <c r="D1446" i="4"/>
  <c r="E1446" i="4"/>
  <c r="F1446" i="4"/>
  <c r="G1446" i="4"/>
  <c r="H1446" i="4"/>
  <c r="C1447" i="4"/>
  <c r="D1447" i="4"/>
  <c r="E1447" i="4"/>
  <c r="F1447" i="4"/>
  <c r="G1447" i="4"/>
  <c r="H1447" i="4"/>
  <c r="C1448" i="4"/>
  <c r="D1448" i="4"/>
  <c r="E1448" i="4"/>
  <c r="F1448" i="4"/>
  <c r="G1448" i="4"/>
  <c r="H1448" i="4"/>
  <c r="C1449" i="4"/>
  <c r="D1449" i="4"/>
  <c r="E1449" i="4"/>
  <c r="F1449" i="4"/>
  <c r="G1449" i="4"/>
  <c r="H1449" i="4"/>
  <c r="C1450" i="4"/>
  <c r="D1450" i="4"/>
  <c r="E1450" i="4"/>
  <c r="F1450" i="4"/>
  <c r="G1450" i="4"/>
  <c r="H1450" i="4"/>
  <c r="C1451" i="4"/>
  <c r="D1451" i="4"/>
  <c r="E1451" i="4"/>
  <c r="F1451" i="4"/>
  <c r="G1451" i="4"/>
  <c r="H1451" i="4"/>
  <c r="C1452" i="4"/>
  <c r="D1452" i="4"/>
  <c r="E1452" i="4"/>
  <c r="F1452" i="4"/>
  <c r="G1452" i="4"/>
  <c r="H1452" i="4"/>
  <c r="C1453" i="4"/>
  <c r="D1453" i="4"/>
  <c r="E1453" i="4"/>
  <c r="F1453" i="4"/>
  <c r="G1453" i="4"/>
  <c r="H1453" i="4"/>
  <c r="C1454" i="4"/>
  <c r="D1454" i="4"/>
  <c r="E1454" i="4"/>
  <c r="F1454" i="4"/>
  <c r="G1454" i="4"/>
  <c r="H1454" i="4"/>
  <c r="C1455" i="4"/>
  <c r="D1455" i="4"/>
  <c r="E1455" i="4"/>
  <c r="F1455" i="4"/>
  <c r="G1455" i="4"/>
  <c r="H1455" i="4"/>
  <c r="C1456" i="4"/>
  <c r="D1456" i="4"/>
  <c r="E1456" i="4"/>
  <c r="F1456" i="4"/>
  <c r="G1456" i="4"/>
  <c r="H1456" i="4"/>
  <c r="C1457" i="4"/>
  <c r="D1457" i="4"/>
  <c r="E1457" i="4"/>
  <c r="F1457" i="4"/>
  <c r="G1457" i="4"/>
  <c r="H1457" i="4"/>
  <c r="C1458" i="4"/>
  <c r="D1458" i="4"/>
  <c r="E1458" i="4"/>
  <c r="F1458" i="4"/>
  <c r="G1458" i="4"/>
  <c r="H1458" i="4"/>
  <c r="C1459" i="4"/>
  <c r="D1459" i="4"/>
  <c r="E1459" i="4"/>
  <c r="F1459" i="4"/>
  <c r="G1459" i="4"/>
  <c r="H1459" i="4"/>
  <c r="C1460" i="4"/>
  <c r="D1460" i="4"/>
  <c r="E1460" i="4"/>
  <c r="F1460" i="4"/>
  <c r="G1460" i="4"/>
  <c r="H1460" i="4"/>
  <c r="C1461" i="4"/>
  <c r="D1461" i="4"/>
  <c r="E1461" i="4"/>
  <c r="F1461" i="4"/>
  <c r="G1461" i="4"/>
  <c r="H1461" i="4"/>
  <c r="C1462" i="4"/>
  <c r="D1462" i="4"/>
  <c r="E1462" i="4"/>
  <c r="F1462" i="4"/>
  <c r="G1462" i="4"/>
  <c r="H1462" i="4"/>
  <c r="C1782" i="4"/>
  <c r="D1782" i="4"/>
  <c r="E1782" i="4"/>
  <c r="F1782" i="4"/>
  <c r="G1782" i="4"/>
  <c r="H1782" i="4"/>
  <c r="C1783" i="4"/>
  <c r="D1783" i="4"/>
  <c r="E1783" i="4"/>
  <c r="F1783" i="4"/>
  <c r="G1783" i="4"/>
  <c r="H1783" i="4"/>
  <c r="C1784" i="4"/>
  <c r="D1784" i="4"/>
  <c r="E1784" i="4"/>
  <c r="F1784" i="4"/>
  <c r="G1784" i="4"/>
  <c r="H1784" i="4"/>
  <c r="C1785" i="4"/>
  <c r="D1785" i="4"/>
  <c r="E1785" i="4"/>
  <c r="F1785" i="4"/>
  <c r="G1785" i="4"/>
  <c r="H1785" i="4"/>
  <c r="C1786" i="4"/>
  <c r="D1786" i="4"/>
  <c r="E1786" i="4"/>
  <c r="F1786" i="4"/>
  <c r="G1786" i="4"/>
  <c r="H1786" i="4"/>
  <c r="C1787" i="4"/>
  <c r="D1787" i="4"/>
  <c r="E1787" i="4"/>
  <c r="F1787" i="4"/>
  <c r="G1787" i="4"/>
  <c r="H1787" i="4"/>
  <c r="C1788" i="4"/>
  <c r="D1788" i="4"/>
  <c r="E1788" i="4"/>
  <c r="F1788" i="4"/>
  <c r="G1788" i="4"/>
  <c r="H1788" i="4"/>
  <c r="C1789" i="4"/>
  <c r="D1789" i="4"/>
  <c r="E1789" i="4"/>
  <c r="F1789" i="4"/>
  <c r="G1789" i="4"/>
  <c r="H1789" i="4"/>
  <c r="C1790" i="4"/>
  <c r="D1790" i="4"/>
  <c r="E1790" i="4"/>
  <c r="F1790" i="4"/>
  <c r="G1790" i="4"/>
  <c r="H1790" i="4"/>
  <c r="C1791" i="4"/>
  <c r="D1791" i="4"/>
  <c r="E1791" i="4"/>
  <c r="F1791" i="4"/>
  <c r="G1791" i="4"/>
  <c r="H1791" i="4"/>
  <c r="C1792" i="4"/>
  <c r="D1792" i="4"/>
  <c r="E1792" i="4"/>
  <c r="F1792" i="4"/>
  <c r="G1792" i="4"/>
  <c r="H1792" i="4"/>
  <c r="C1793" i="4"/>
  <c r="D1793" i="4"/>
  <c r="E1793" i="4"/>
  <c r="F1793" i="4"/>
  <c r="G1793" i="4"/>
  <c r="H1793" i="4"/>
  <c r="C1794" i="4"/>
  <c r="D1794" i="4"/>
  <c r="E1794" i="4"/>
  <c r="F1794" i="4"/>
  <c r="G1794" i="4"/>
  <c r="H1794" i="4"/>
  <c r="C1795" i="4"/>
  <c r="D1795" i="4"/>
  <c r="E1795" i="4"/>
  <c r="F1795" i="4"/>
  <c r="G1795" i="4"/>
  <c r="H1795" i="4"/>
  <c r="C1796" i="4"/>
  <c r="D1796" i="4"/>
  <c r="E1796" i="4"/>
  <c r="F1796" i="4"/>
  <c r="G1796" i="4"/>
  <c r="H1796" i="4"/>
  <c r="C1797" i="4"/>
  <c r="D1797" i="4"/>
  <c r="E1797" i="4"/>
  <c r="F1797" i="4"/>
  <c r="G1797" i="4"/>
  <c r="H1797" i="4"/>
  <c r="C1798" i="4"/>
  <c r="D1798" i="4"/>
  <c r="E1798" i="4"/>
  <c r="F1798" i="4"/>
  <c r="G1798" i="4"/>
  <c r="H1798" i="4"/>
  <c r="C1799" i="4"/>
  <c r="D1799" i="4"/>
  <c r="E1799" i="4"/>
  <c r="F1799" i="4"/>
  <c r="G1799" i="4"/>
  <c r="H1799" i="4"/>
  <c r="C1800" i="4"/>
  <c r="D1800" i="4"/>
  <c r="E1800" i="4"/>
  <c r="F1800" i="4"/>
  <c r="G1800" i="4"/>
  <c r="H1800" i="4"/>
  <c r="C1801" i="4"/>
  <c r="D1801" i="4"/>
  <c r="E1801" i="4"/>
  <c r="F1801" i="4"/>
  <c r="G1801" i="4"/>
  <c r="H1801" i="4"/>
  <c r="C1802" i="4"/>
  <c r="D1802" i="4"/>
  <c r="E1802" i="4"/>
  <c r="F1802" i="4"/>
  <c r="G1802" i="4"/>
  <c r="H1802" i="4"/>
  <c r="C1803" i="4"/>
  <c r="D1803" i="4"/>
  <c r="E1803" i="4"/>
  <c r="F1803" i="4"/>
  <c r="G1803" i="4"/>
  <c r="H1803" i="4"/>
  <c r="C1804" i="4"/>
  <c r="D1804" i="4"/>
  <c r="E1804" i="4"/>
  <c r="F1804" i="4"/>
  <c r="G1804" i="4"/>
  <c r="H1804" i="4"/>
  <c r="C1805" i="4"/>
  <c r="D1805" i="4"/>
  <c r="E1805" i="4"/>
  <c r="F1805" i="4"/>
  <c r="G1805" i="4"/>
  <c r="H1805" i="4"/>
  <c r="C1806" i="4"/>
  <c r="D1806" i="4"/>
  <c r="E1806" i="4"/>
  <c r="F1806" i="4"/>
  <c r="G1806" i="4"/>
  <c r="H1806" i="4"/>
  <c r="C1807" i="4"/>
  <c r="D1807" i="4"/>
  <c r="E1807" i="4"/>
  <c r="F1807" i="4"/>
  <c r="G1807" i="4"/>
  <c r="H1807" i="4"/>
  <c r="C1808" i="4"/>
  <c r="D1808" i="4"/>
  <c r="E1808" i="4"/>
  <c r="F1808" i="4"/>
  <c r="G1808" i="4"/>
  <c r="H1808" i="4"/>
  <c r="C1809" i="4"/>
  <c r="D1809" i="4"/>
  <c r="E1809" i="4"/>
  <c r="F1809" i="4"/>
  <c r="G1809" i="4"/>
  <c r="H1809" i="4"/>
  <c r="C1810" i="4"/>
  <c r="D1810" i="4"/>
  <c r="E1810" i="4"/>
  <c r="F1810" i="4"/>
  <c r="G1810" i="4"/>
  <c r="H1810" i="4"/>
  <c r="C1811" i="4"/>
  <c r="D1811" i="4"/>
  <c r="E1811" i="4"/>
  <c r="F1811" i="4"/>
  <c r="G1811" i="4"/>
  <c r="H1811" i="4"/>
  <c r="C1812" i="4"/>
  <c r="D1812" i="4"/>
  <c r="E1812" i="4"/>
  <c r="F1812" i="4"/>
  <c r="G1812" i="4"/>
  <c r="H1812" i="4"/>
  <c r="C1813" i="4"/>
  <c r="D1813" i="4"/>
  <c r="E1813" i="4"/>
  <c r="F1813" i="4"/>
  <c r="G1813" i="4"/>
  <c r="H1813" i="4"/>
  <c r="C1814" i="4"/>
  <c r="D1814" i="4"/>
  <c r="E1814" i="4"/>
  <c r="F1814" i="4"/>
  <c r="G1814" i="4"/>
  <c r="H1814" i="4"/>
  <c r="C1815" i="4"/>
  <c r="D1815" i="4"/>
  <c r="E1815" i="4"/>
  <c r="F1815" i="4"/>
  <c r="G1815" i="4"/>
  <c r="H1815" i="4"/>
  <c r="C1816" i="4"/>
  <c r="D1816" i="4"/>
  <c r="E1816" i="4"/>
  <c r="F1816" i="4"/>
  <c r="G1816" i="4"/>
  <c r="H1816" i="4"/>
  <c r="C1817" i="4"/>
  <c r="D1817" i="4"/>
  <c r="E1817" i="4"/>
  <c r="F1817" i="4"/>
  <c r="G1817" i="4"/>
  <c r="H1817" i="4"/>
  <c r="C1818" i="4"/>
  <c r="D1818" i="4"/>
  <c r="E1818" i="4"/>
  <c r="F1818" i="4"/>
  <c r="G1818" i="4"/>
  <c r="H1818" i="4"/>
  <c r="C1819" i="4"/>
  <c r="D1819" i="4"/>
  <c r="E1819" i="4"/>
  <c r="F1819" i="4"/>
  <c r="G1819" i="4"/>
  <c r="H1819" i="4"/>
  <c r="C1820" i="4"/>
  <c r="D1820" i="4"/>
  <c r="E1820" i="4"/>
  <c r="F1820" i="4"/>
  <c r="G1820" i="4"/>
  <c r="H1820" i="4"/>
  <c r="C1821" i="4"/>
  <c r="D1821" i="4"/>
  <c r="E1821" i="4"/>
  <c r="F1821" i="4"/>
  <c r="G1821" i="4"/>
  <c r="H1821" i="4"/>
  <c r="C1822" i="4"/>
  <c r="D1822" i="4"/>
  <c r="E1822" i="4"/>
  <c r="F1822" i="4"/>
  <c r="G1822" i="4"/>
  <c r="H1822" i="4"/>
  <c r="C1823" i="4"/>
  <c r="D1823" i="4"/>
  <c r="E1823" i="4"/>
  <c r="F1823" i="4"/>
  <c r="G1823" i="4"/>
  <c r="H1823" i="4"/>
  <c r="C1824" i="4"/>
  <c r="D1824" i="4"/>
  <c r="E1824" i="4"/>
  <c r="F1824" i="4"/>
  <c r="G1824" i="4"/>
  <c r="H1824" i="4"/>
  <c r="C1825" i="4"/>
  <c r="D1825" i="4"/>
  <c r="E1825" i="4"/>
  <c r="F1825" i="4"/>
  <c r="G1825" i="4"/>
  <c r="H1825" i="4"/>
  <c r="C1826" i="4"/>
  <c r="D1826" i="4"/>
  <c r="E1826" i="4"/>
  <c r="F1826" i="4"/>
  <c r="G1826" i="4"/>
  <c r="H1826" i="4"/>
  <c r="C1827" i="4"/>
  <c r="D1827" i="4"/>
  <c r="E1827" i="4"/>
  <c r="F1827" i="4"/>
  <c r="G1827" i="4"/>
  <c r="H1827" i="4"/>
  <c r="C2147" i="4"/>
  <c r="D2147" i="4"/>
  <c r="E2147" i="4"/>
  <c r="F2147" i="4"/>
  <c r="G2147" i="4"/>
  <c r="H2147" i="4"/>
  <c r="C2148" i="4"/>
  <c r="D2148" i="4"/>
  <c r="E2148" i="4"/>
  <c r="F2148" i="4"/>
  <c r="G2148" i="4"/>
  <c r="H2148" i="4"/>
  <c r="C2149" i="4"/>
  <c r="D2149" i="4"/>
  <c r="E2149" i="4"/>
  <c r="F2149" i="4"/>
  <c r="G2149" i="4"/>
  <c r="H2149" i="4"/>
  <c r="C2150" i="4"/>
  <c r="D2150" i="4"/>
  <c r="E2150" i="4"/>
  <c r="F2150" i="4"/>
  <c r="G2150" i="4"/>
  <c r="H2150" i="4"/>
  <c r="C2151" i="4"/>
  <c r="D2151" i="4"/>
  <c r="E2151" i="4"/>
  <c r="F2151" i="4"/>
  <c r="G2151" i="4"/>
  <c r="H2151" i="4"/>
  <c r="C2152" i="4"/>
  <c r="D2152" i="4"/>
  <c r="E2152" i="4"/>
  <c r="F2152" i="4"/>
  <c r="G2152" i="4"/>
  <c r="H2152" i="4"/>
  <c r="C2153" i="4"/>
  <c r="D2153" i="4"/>
  <c r="E2153" i="4"/>
  <c r="F2153" i="4"/>
  <c r="G2153" i="4"/>
  <c r="H2153" i="4"/>
  <c r="C2154" i="4"/>
  <c r="D2154" i="4"/>
  <c r="E2154" i="4"/>
  <c r="F2154" i="4"/>
  <c r="G2154" i="4"/>
  <c r="H2154" i="4"/>
  <c r="C2155" i="4"/>
  <c r="D2155" i="4"/>
  <c r="E2155" i="4"/>
  <c r="F2155" i="4"/>
  <c r="G2155" i="4"/>
  <c r="H2155" i="4"/>
  <c r="C2156" i="4"/>
  <c r="D2156" i="4"/>
  <c r="E2156" i="4"/>
  <c r="F2156" i="4"/>
  <c r="G2156" i="4"/>
  <c r="H2156" i="4"/>
  <c r="C2157" i="4"/>
  <c r="D2157" i="4"/>
  <c r="E2157" i="4"/>
  <c r="F2157" i="4"/>
  <c r="G2157" i="4"/>
  <c r="H2157" i="4"/>
  <c r="C2158" i="4"/>
  <c r="D2158" i="4"/>
  <c r="E2158" i="4"/>
  <c r="F2158" i="4"/>
  <c r="G2158" i="4"/>
  <c r="H2158" i="4"/>
  <c r="C2159" i="4"/>
  <c r="D2159" i="4"/>
  <c r="E2159" i="4"/>
  <c r="F2159" i="4"/>
  <c r="G2159" i="4"/>
  <c r="H2159" i="4"/>
  <c r="C2160" i="4"/>
  <c r="D2160" i="4"/>
  <c r="E2160" i="4"/>
  <c r="F2160" i="4"/>
  <c r="G2160" i="4"/>
  <c r="H2160" i="4"/>
  <c r="C2161" i="4"/>
  <c r="D2161" i="4"/>
  <c r="E2161" i="4"/>
  <c r="F2161" i="4"/>
  <c r="G2161" i="4"/>
  <c r="H2161" i="4"/>
  <c r="C2162" i="4"/>
  <c r="D2162" i="4"/>
  <c r="E2162" i="4"/>
  <c r="F2162" i="4"/>
  <c r="G2162" i="4"/>
  <c r="H2162" i="4"/>
  <c r="C2163" i="4"/>
  <c r="D2163" i="4"/>
  <c r="E2163" i="4"/>
  <c r="F2163" i="4"/>
  <c r="G2163" i="4"/>
  <c r="H2163" i="4"/>
  <c r="C2164" i="4"/>
  <c r="D2164" i="4"/>
  <c r="E2164" i="4"/>
  <c r="F2164" i="4"/>
  <c r="G2164" i="4"/>
  <c r="H2164" i="4"/>
  <c r="C2165" i="4"/>
  <c r="D2165" i="4"/>
  <c r="E2165" i="4"/>
  <c r="F2165" i="4"/>
  <c r="G2165" i="4"/>
  <c r="H2165" i="4"/>
  <c r="C2166" i="4"/>
  <c r="D2166" i="4"/>
  <c r="E2166" i="4"/>
  <c r="F2166" i="4"/>
  <c r="G2166" i="4"/>
  <c r="H2166" i="4"/>
  <c r="C2167" i="4"/>
  <c r="D2167" i="4"/>
  <c r="E2167" i="4"/>
  <c r="F2167" i="4"/>
  <c r="G2167" i="4"/>
  <c r="H2167" i="4"/>
  <c r="C2168" i="4"/>
  <c r="D2168" i="4"/>
  <c r="E2168" i="4"/>
  <c r="F2168" i="4"/>
  <c r="G2168" i="4"/>
  <c r="H2168" i="4"/>
  <c r="C2169" i="4"/>
  <c r="D2169" i="4"/>
  <c r="E2169" i="4"/>
  <c r="F2169" i="4"/>
  <c r="G2169" i="4"/>
  <c r="H2169" i="4"/>
  <c r="C2170" i="4"/>
  <c r="D2170" i="4"/>
  <c r="E2170" i="4"/>
  <c r="F2170" i="4"/>
  <c r="G2170" i="4"/>
  <c r="H2170" i="4"/>
  <c r="C2171" i="4"/>
  <c r="D2171" i="4"/>
  <c r="E2171" i="4"/>
  <c r="F2171" i="4"/>
  <c r="G2171" i="4"/>
  <c r="H2171" i="4"/>
  <c r="C2172" i="4"/>
  <c r="D2172" i="4"/>
  <c r="E2172" i="4"/>
  <c r="F2172" i="4"/>
  <c r="G2172" i="4"/>
  <c r="H2172" i="4"/>
  <c r="C2173" i="4"/>
  <c r="D2173" i="4"/>
  <c r="E2173" i="4"/>
  <c r="F2173" i="4"/>
  <c r="G2173" i="4"/>
  <c r="H2173" i="4"/>
  <c r="C2174" i="4"/>
  <c r="D2174" i="4"/>
  <c r="E2174" i="4"/>
  <c r="F2174" i="4"/>
  <c r="G2174" i="4"/>
  <c r="H2174" i="4"/>
  <c r="C2175" i="4"/>
  <c r="D2175" i="4"/>
  <c r="E2175" i="4"/>
  <c r="F2175" i="4"/>
  <c r="G2175" i="4"/>
  <c r="H2175" i="4"/>
  <c r="C2176" i="4"/>
  <c r="D2176" i="4"/>
  <c r="E2176" i="4"/>
  <c r="F2176" i="4"/>
  <c r="G2176" i="4"/>
  <c r="H2176" i="4"/>
  <c r="C2177" i="4"/>
  <c r="D2177" i="4"/>
  <c r="E2177" i="4"/>
  <c r="F2177" i="4"/>
  <c r="G2177" i="4"/>
  <c r="H2177" i="4"/>
  <c r="C2178" i="4"/>
  <c r="D2178" i="4"/>
  <c r="E2178" i="4"/>
  <c r="F2178" i="4"/>
  <c r="G2178" i="4"/>
  <c r="H2178" i="4"/>
  <c r="C2179" i="4"/>
  <c r="D2179" i="4"/>
  <c r="E2179" i="4"/>
  <c r="F2179" i="4"/>
  <c r="G2179" i="4"/>
  <c r="H2179" i="4"/>
  <c r="C2180" i="4"/>
  <c r="D2180" i="4"/>
  <c r="E2180" i="4"/>
  <c r="F2180" i="4"/>
  <c r="G2180" i="4"/>
  <c r="H2180" i="4"/>
  <c r="C2181" i="4"/>
  <c r="D2181" i="4"/>
  <c r="E2181" i="4"/>
  <c r="F2181" i="4"/>
  <c r="G2181" i="4"/>
  <c r="H2181" i="4"/>
  <c r="C2182" i="4"/>
  <c r="D2182" i="4"/>
  <c r="E2182" i="4"/>
  <c r="F2182" i="4"/>
  <c r="G2182" i="4"/>
  <c r="H2182" i="4"/>
  <c r="C2183" i="4"/>
  <c r="D2183" i="4"/>
  <c r="E2183" i="4"/>
  <c r="F2183" i="4"/>
  <c r="G2183" i="4"/>
  <c r="H2183" i="4"/>
  <c r="C2184" i="4"/>
  <c r="D2184" i="4"/>
  <c r="E2184" i="4"/>
  <c r="F2184" i="4"/>
  <c r="G2184" i="4"/>
  <c r="H2184" i="4"/>
  <c r="C2185" i="4"/>
  <c r="D2185" i="4"/>
  <c r="E2185" i="4"/>
  <c r="F2185" i="4"/>
  <c r="G2185" i="4"/>
  <c r="H2185" i="4"/>
  <c r="C2186" i="4"/>
  <c r="D2186" i="4"/>
  <c r="E2186" i="4"/>
  <c r="F2186" i="4"/>
  <c r="G2186" i="4"/>
  <c r="H2186" i="4"/>
  <c r="C2187" i="4"/>
  <c r="D2187" i="4"/>
  <c r="E2187" i="4"/>
  <c r="F2187" i="4"/>
  <c r="G2187" i="4"/>
  <c r="H2187" i="4"/>
  <c r="C2188" i="4"/>
  <c r="D2188" i="4"/>
  <c r="E2188" i="4"/>
  <c r="F2188" i="4"/>
  <c r="G2188" i="4"/>
  <c r="H2188" i="4"/>
  <c r="C2189" i="4"/>
  <c r="D2189" i="4"/>
  <c r="E2189" i="4"/>
  <c r="F2189" i="4"/>
  <c r="G2189" i="4"/>
  <c r="H2189" i="4"/>
  <c r="C2190" i="4"/>
  <c r="D2190" i="4"/>
  <c r="E2190" i="4"/>
  <c r="F2190" i="4"/>
  <c r="G2190" i="4"/>
  <c r="H2190" i="4"/>
  <c r="C2191" i="4"/>
  <c r="D2191" i="4"/>
  <c r="E2191" i="4"/>
  <c r="F2191" i="4"/>
  <c r="G2191" i="4"/>
  <c r="H2191" i="4"/>
  <c r="C2192" i="4"/>
  <c r="D2192" i="4"/>
  <c r="E2192" i="4"/>
  <c r="F2192" i="4"/>
  <c r="G2192" i="4"/>
  <c r="H2192" i="4"/>
  <c r="D4" i="4"/>
  <c r="C4" i="4"/>
  <c r="E4" i="4"/>
  <c r="F4" i="4"/>
  <c r="D3" i="4"/>
  <c r="C3" i="4"/>
  <c r="E3" i="4"/>
  <c r="F3" i="4"/>
  <c r="D5" i="4"/>
  <c r="C5" i="4"/>
  <c r="E5" i="4"/>
  <c r="F5" i="4"/>
  <c r="D6" i="4"/>
  <c r="C6" i="4"/>
  <c r="E6" i="4"/>
  <c r="F6" i="4"/>
  <c r="D7" i="4"/>
  <c r="C7" i="4"/>
  <c r="E7" i="4"/>
  <c r="F7" i="4"/>
  <c r="D8" i="4"/>
  <c r="C8" i="4"/>
  <c r="E8" i="4"/>
  <c r="F8" i="4"/>
  <c r="D9" i="4"/>
  <c r="C9" i="4"/>
  <c r="E9" i="4"/>
  <c r="F9" i="4"/>
  <c r="D10" i="4"/>
  <c r="C10" i="4"/>
  <c r="E10" i="4"/>
  <c r="F10" i="4"/>
  <c r="D11" i="4"/>
  <c r="C11" i="4"/>
  <c r="E11" i="4"/>
  <c r="F11" i="4"/>
  <c r="D12" i="4"/>
  <c r="C12" i="4"/>
  <c r="E12" i="4"/>
  <c r="F12" i="4"/>
  <c r="D13" i="4"/>
  <c r="C13" i="4"/>
  <c r="E13" i="4"/>
  <c r="F13" i="4"/>
  <c r="D14" i="4"/>
  <c r="C14" i="4"/>
  <c r="E14" i="4"/>
  <c r="F14" i="4"/>
  <c r="D15" i="4"/>
  <c r="C15" i="4"/>
  <c r="E15" i="4"/>
  <c r="F15" i="4"/>
  <c r="D16" i="4"/>
  <c r="C16" i="4"/>
  <c r="E16" i="4"/>
  <c r="F16" i="4"/>
  <c r="D17" i="4"/>
  <c r="C17" i="4"/>
  <c r="E17" i="4"/>
  <c r="F17" i="4"/>
  <c r="D18" i="4"/>
  <c r="C18" i="4"/>
  <c r="E18" i="4"/>
  <c r="F18" i="4"/>
  <c r="D19" i="4"/>
  <c r="C19" i="4"/>
  <c r="E19" i="4"/>
  <c r="F19" i="4"/>
  <c r="D20" i="4"/>
  <c r="C20" i="4"/>
  <c r="E20" i="4"/>
  <c r="F20" i="4"/>
  <c r="D21" i="4"/>
  <c r="C21" i="4"/>
  <c r="E21" i="4"/>
  <c r="F21" i="4"/>
  <c r="D22" i="4"/>
  <c r="C22" i="4"/>
  <c r="E22" i="4"/>
  <c r="F22" i="4"/>
  <c r="D23" i="4"/>
  <c r="C23" i="4"/>
  <c r="E23" i="4"/>
  <c r="F23" i="4"/>
  <c r="D24" i="4"/>
  <c r="C24" i="4"/>
  <c r="E24" i="4"/>
  <c r="F24" i="4"/>
  <c r="D25" i="4"/>
  <c r="C25" i="4"/>
  <c r="E25" i="4"/>
  <c r="F25" i="4"/>
  <c r="D26" i="4"/>
  <c r="C26" i="4"/>
  <c r="E26" i="4"/>
  <c r="F26" i="4"/>
  <c r="D27" i="4"/>
  <c r="C27" i="4"/>
  <c r="E27" i="4"/>
  <c r="F27" i="4"/>
  <c r="D28" i="4"/>
  <c r="C28" i="4"/>
  <c r="E28" i="4"/>
  <c r="F28" i="4"/>
  <c r="D29" i="4"/>
  <c r="C29" i="4"/>
  <c r="E29" i="4"/>
  <c r="F29" i="4"/>
  <c r="D30" i="4"/>
  <c r="C30" i="4"/>
  <c r="E30" i="4"/>
  <c r="F30" i="4"/>
  <c r="D31" i="4"/>
  <c r="C31" i="4"/>
  <c r="E31" i="4"/>
  <c r="F31" i="4"/>
  <c r="D32" i="4"/>
  <c r="C32" i="4"/>
  <c r="E32" i="4"/>
  <c r="F32" i="4"/>
  <c r="D33" i="4"/>
  <c r="C33" i="4"/>
  <c r="E33" i="4"/>
  <c r="F33" i="4"/>
  <c r="D34" i="4"/>
  <c r="C34" i="4"/>
  <c r="E34" i="4"/>
  <c r="F34" i="4"/>
  <c r="D35" i="4"/>
  <c r="C35" i="4"/>
  <c r="E35" i="4"/>
  <c r="F35" i="4"/>
  <c r="D36" i="4"/>
  <c r="C36" i="4"/>
  <c r="E36" i="4"/>
  <c r="F36" i="4"/>
  <c r="D37" i="4"/>
  <c r="C37" i="4"/>
  <c r="E37" i="4"/>
  <c r="F37" i="4"/>
  <c r="D38" i="4"/>
  <c r="C38" i="4"/>
  <c r="E38" i="4"/>
  <c r="F38" i="4"/>
  <c r="D39" i="4"/>
  <c r="C39" i="4"/>
  <c r="E39" i="4"/>
  <c r="F39" i="4"/>
  <c r="D40" i="4"/>
  <c r="C40" i="4"/>
  <c r="E40" i="4"/>
  <c r="F40" i="4"/>
  <c r="D41" i="4"/>
  <c r="C41" i="4"/>
  <c r="E41" i="4"/>
  <c r="F41" i="4"/>
  <c r="D42" i="4"/>
  <c r="C42" i="4"/>
  <c r="E42" i="4"/>
  <c r="F42" i="4"/>
  <c r="D43" i="4"/>
  <c r="C43" i="4"/>
  <c r="E43" i="4"/>
  <c r="F43" i="4"/>
  <c r="D44" i="4"/>
  <c r="C44" i="4"/>
  <c r="E44" i="4"/>
  <c r="F44" i="4"/>
  <c r="D45" i="4"/>
  <c r="C45" i="4"/>
  <c r="E45" i="4"/>
  <c r="F45" i="4"/>
  <c r="D46" i="4"/>
  <c r="C46" i="4"/>
  <c r="E46" i="4"/>
  <c r="F46" i="4"/>
  <c r="D47" i="4"/>
  <c r="C47" i="4"/>
  <c r="E47" i="4"/>
  <c r="F47" i="4"/>
  <c r="D48" i="4"/>
  <c r="C48" i="4"/>
  <c r="E48" i="4"/>
  <c r="F48" i="4"/>
  <c r="D49" i="4"/>
  <c r="C49" i="4"/>
  <c r="E49" i="4"/>
  <c r="F49" i="4"/>
  <c r="D50" i="4"/>
  <c r="C50" i="4"/>
  <c r="E50" i="4"/>
  <c r="F50" i="4"/>
  <c r="D51" i="4"/>
  <c r="C51" i="4"/>
  <c r="E51" i="4"/>
  <c r="F51" i="4"/>
  <c r="D52" i="4"/>
  <c r="C52" i="4"/>
  <c r="E52" i="4"/>
  <c r="F52" i="4"/>
  <c r="D53" i="4"/>
  <c r="C53" i="4"/>
  <c r="E53" i="4"/>
  <c r="F53" i="4"/>
  <c r="D54" i="4"/>
  <c r="C54" i="4"/>
  <c r="E54" i="4"/>
  <c r="F54" i="4"/>
  <c r="D55" i="4"/>
  <c r="C55" i="4"/>
  <c r="E55" i="4"/>
  <c r="F55" i="4"/>
  <c r="D56" i="4"/>
  <c r="C56" i="4"/>
  <c r="E56" i="4"/>
  <c r="F56" i="4"/>
  <c r="D57" i="4"/>
  <c r="C57" i="4"/>
  <c r="E57" i="4"/>
  <c r="F57" i="4"/>
  <c r="D58" i="4"/>
  <c r="C58" i="4"/>
  <c r="E58" i="4"/>
  <c r="F58" i="4"/>
  <c r="D59" i="4"/>
  <c r="C59" i="4"/>
  <c r="E59" i="4"/>
  <c r="F59" i="4"/>
  <c r="D60" i="4"/>
  <c r="C60" i="4"/>
  <c r="E60" i="4"/>
  <c r="F60" i="4"/>
  <c r="D61" i="4"/>
  <c r="C61" i="4"/>
  <c r="E61" i="4"/>
  <c r="F61" i="4"/>
  <c r="D62" i="4"/>
  <c r="C62" i="4"/>
  <c r="E62" i="4"/>
  <c r="F62" i="4"/>
  <c r="D63" i="4"/>
  <c r="C63" i="4"/>
  <c r="E63" i="4"/>
  <c r="F63" i="4"/>
  <c r="D64" i="4"/>
  <c r="C64" i="4"/>
  <c r="E64" i="4"/>
  <c r="F64" i="4"/>
  <c r="D65" i="4"/>
  <c r="C65" i="4"/>
  <c r="E65" i="4"/>
  <c r="F65" i="4"/>
  <c r="D66" i="4"/>
  <c r="C66" i="4"/>
  <c r="E66" i="4"/>
  <c r="F66" i="4"/>
  <c r="D67" i="4"/>
  <c r="C67" i="4"/>
  <c r="E67" i="4"/>
  <c r="F67" i="4"/>
  <c r="D68" i="4"/>
  <c r="C68" i="4"/>
  <c r="E68" i="4"/>
  <c r="F68" i="4"/>
  <c r="D69" i="4"/>
  <c r="C69" i="4"/>
  <c r="E69" i="4"/>
  <c r="F69" i="4"/>
  <c r="D70" i="4"/>
  <c r="C70" i="4"/>
  <c r="E70" i="4"/>
  <c r="F70" i="4"/>
  <c r="D71" i="4"/>
  <c r="C71" i="4"/>
  <c r="E71" i="4"/>
  <c r="F71" i="4"/>
  <c r="D72" i="4"/>
  <c r="C72" i="4"/>
  <c r="E72" i="4"/>
  <c r="F72" i="4"/>
  <c r="D73" i="4"/>
  <c r="C73" i="4"/>
  <c r="E73" i="4"/>
  <c r="F73" i="4"/>
  <c r="D74" i="4"/>
  <c r="C74" i="4"/>
  <c r="E74" i="4"/>
  <c r="F74" i="4"/>
  <c r="D75" i="4"/>
  <c r="C75" i="4"/>
  <c r="E75" i="4"/>
  <c r="F75" i="4"/>
  <c r="D76" i="4"/>
  <c r="C76" i="4"/>
  <c r="E76" i="4"/>
  <c r="F76" i="4"/>
  <c r="D77" i="4"/>
  <c r="C77" i="4"/>
  <c r="E77" i="4"/>
  <c r="F77" i="4"/>
  <c r="D78" i="4"/>
  <c r="C78" i="4"/>
  <c r="E78" i="4"/>
  <c r="F78" i="4"/>
  <c r="D79" i="4"/>
  <c r="C79" i="4"/>
  <c r="E79" i="4"/>
  <c r="F79" i="4"/>
  <c r="D80" i="4"/>
  <c r="C80" i="4"/>
  <c r="E80" i="4"/>
  <c r="F80" i="4"/>
  <c r="D81" i="4"/>
  <c r="C81" i="4"/>
  <c r="E81" i="4"/>
  <c r="F81" i="4"/>
  <c r="D82" i="4"/>
  <c r="C82" i="4"/>
  <c r="E82" i="4"/>
  <c r="F82" i="4"/>
  <c r="D83" i="4"/>
  <c r="C83" i="4"/>
  <c r="E83" i="4"/>
  <c r="F83" i="4"/>
  <c r="D84" i="4"/>
  <c r="C84" i="4"/>
  <c r="E84" i="4"/>
  <c r="F84" i="4"/>
  <c r="D85" i="4"/>
  <c r="C85" i="4"/>
  <c r="E85" i="4"/>
  <c r="F85" i="4"/>
  <c r="D86" i="4"/>
  <c r="C86" i="4"/>
  <c r="E86" i="4"/>
  <c r="F86" i="4"/>
  <c r="D87" i="4"/>
  <c r="C87" i="4"/>
  <c r="E87" i="4"/>
  <c r="F87" i="4"/>
  <c r="D88" i="4"/>
  <c r="C88" i="4"/>
  <c r="E88" i="4"/>
  <c r="F88" i="4"/>
  <c r="D89" i="4"/>
  <c r="C89" i="4"/>
  <c r="E89" i="4"/>
  <c r="F89" i="4"/>
  <c r="D90" i="4"/>
  <c r="C90" i="4"/>
  <c r="E90" i="4"/>
  <c r="F90" i="4"/>
  <c r="D91" i="4"/>
  <c r="C91" i="4"/>
  <c r="E91" i="4"/>
  <c r="F91" i="4"/>
  <c r="D92" i="4"/>
  <c r="C92" i="4"/>
  <c r="E92" i="4"/>
  <c r="F92" i="4"/>
  <c r="D93" i="4"/>
  <c r="C93" i="4"/>
  <c r="E93" i="4"/>
  <c r="F93" i="4"/>
  <c r="D94" i="4"/>
  <c r="C94" i="4"/>
  <c r="E94" i="4"/>
  <c r="F94" i="4"/>
  <c r="D95" i="4"/>
  <c r="C95" i="4"/>
  <c r="E95" i="4"/>
  <c r="F95" i="4"/>
  <c r="D96" i="4"/>
  <c r="C96" i="4"/>
  <c r="E96" i="4"/>
  <c r="F96" i="4"/>
  <c r="D97" i="4"/>
  <c r="C97" i="4"/>
  <c r="E97" i="4"/>
  <c r="F97" i="4"/>
  <c r="D98" i="4"/>
  <c r="C98" i="4"/>
  <c r="E98" i="4"/>
  <c r="F98" i="4"/>
  <c r="D99" i="4"/>
  <c r="C99" i="4"/>
  <c r="E99" i="4"/>
  <c r="F99" i="4"/>
  <c r="D100" i="4"/>
  <c r="C100" i="4"/>
  <c r="E100" i="4"/>
  <c r="F100" i="4"/>
  <c r="D101" i="4"/>
  <c r="C101" i="4"/>
  <c r="E101" i="4"/>
  <c r="F101" i="4"/>
  <c r="D102" i="4"/>
  <c r="C102" i="4"/>
  <c r="E102" i="4"/>
  <c r="F102" i="4"/>
  <c r="D103" i="4"/>
  <c r="C103" i="4"/>
  <c r="E103" i="4"/>
  <c r="F103" i="4"/>
  <c r="D104" i="4"/>
  <c r="C104" i="4"/>
  <c r="E104" i="4"/>
  <c r="F104" i="4"/>
  <c r="D105" i="4"/>
  <c r="C105" i="4"/>
  <c r="E105" i="4"/>
  <c r="F105" i="4"/>
  <c r="D106" i="4"/>
  <c r="C106" i="4"/>
  <c r="E106" i="4"/>
  <c r="F106" i="4"/>
  <c r="D107" i="4"/>
  <c r="C107" i="4"/>
  <c r="E107" i="4"/>
  <c r="F107" i="4"/>
  <c r="D108" i="4"/>
  <c r="C108" i="4"/>
  <c r="E108" i="4"/>
  <c r="F108" i="4"/>
  <c r="D109" i="4"/>
  <c r="C109" i="4"/>
  <c r="E109" i="4"/>
  <c r="F109" i="4"/>
  <c r="D110" i="4"/>
  <c r="C110" i="4"/>
  <c r="E110" i="4"/>
  <c r="F110" i="4"/>
  <c r="D111" i="4"/>
  <c r="C111" i="4"/>
  <c r="E111" i="4"/>
  <c r="F111" i="4"/>
  <c r="D112" i="4"/>
  <c r="C112" i="4"/>
  <c r="E112" i="4"/>
  <c r="F112" i="4"/>
  <c r="D113" i="4"/>
  <c r="C113" i="4"/>
  <c r="E113" i="4"/>
  <c r="F113" i="4"/>
  <c r="D114" i="4"/>
  <c r="C114" i="4"/>
  <c r="E114" i="4"/>
  <c r="F114" i="4"/>
  <c r="D115" i="4"/>
  <c r="C115" i="4"/>
  <c r="E115" i="4"/>
  <c r="F115" i="4"/>
  <c r="D116" i="4"/>
  <c r="C116" i="4"/>
  <c r="E116" i="4"/>
  <c r="F116" i="4"/>
  <c r="D117" i="4"/>
  <c r="C117" i="4"/>
  <c r="E117" i="4"/>
  <c r="F117" i="4"/>
  <c r="D118" i="4"/>
  <c r="C118" i="4"/>
  <c r="E118" i="4"/>
  <c r="F118" i="4"/>
  <c r="D119" i="4"/>
  <c r="C119" i="4"/>
  <c r="E119" i="4"/>
  <c r="F119" i="4"/>
  <c r="D120" i="4"/>
  <c r="C120" i="4"/>
  <c r="E120" i="4"/>
  <c r="F120" i="4"/>
  <c r="D121" i="4"/>
  <c r="C121" i="4"/>
  <c r="E121" i="4"/>
  <c r="F121" i="4"/>
  <c r="D122" i="4"/>
  <c r="C122" i="4"/>
  <c r="E122" i="4"/>
  <c r="F122" i="4"/>
  <c r="D368" i="4"/>
  <c r="C368" i="4"/>
  <c r="E368" i="4"/>
  <c r="F368" i="4"/>
  <c r="D369" i="4"/>
  <c r="C369" i="4"/>
  <c r="E369" i="4"/>
  <c r="F369" i="4"/>
  <c r="D370" i="4"/>
  <c r="C370" i="4"/>
  <c r="E370" i="4"/>
  <c r="F370" i="4"/>
  <c r="D371" i="4"/>
  <c r="C371" i="4"/>
  <c r="E371" i="4"/>
  <c r="F371" i="4"/>
  <c r="D372" i="4"/>
  <c r="C372" i="4"/>
  <c r="E372" i="4"/>
  <c r="F372" i="4"/>
  <c r="D373" i="4"/>
  <c r="C373" i="4"/>
  <c r="E373" i="4"/>
  <c r="F373" i="4"/>
  <c r="D374" i="4"/>
  <c r="C374" i="4"/>
  <c r="E374" i="4"/>
  <c r="F374" i="4"/>
  <c r="D375" i="4"/>
  <c r="C375" i="4"/>
  <c r="E375" i="4"/>
  <c r="F375" i="4"/>
  <c r="D376" i="4"/>
  <c r="C376" i="4"/>
  <c r="E376" i="4"/>
  <c r="F376" i="4"/>
  <c r="D377" i="4"/>
  <c r="C377" i="4"/>
  <c r="E377" i="4"/>
  <c r="F377" i="4"/>
  <c r="D378" i="4"/>
  <c r="C378" i="4"/>
  <c r="E378" i="4"/>
  <c r="F378" i="4"/>
  <c r="D379" i="4"/>
  <c r="C379" i="4"/>
  <c r="E379" i="4"/>
  <c r="F379" i="4"/>
  <c r="D380" i="4"/>
  <c r="C380" i="4"/>
  <c r="E380" i="4"/>
  <c r="F380" i="4"/>
  <c r="D381" i="4"/>
  <c r="C381" i="4"/>
  <c r="E381" i="4"/>
  <c r="F381" i="4"/>
  <c r="D382" i="4"/>
  <c r="C382" i="4"/>
  <c r="E382" i="4"/>
  <c r="F382" i="4"/>
  <c r="D383" i="4"/>
  <c r="C383" i="4"/>
  <c r="E383" i="4"/>
  <c r="F383" i="4"/>
  <c r="D384" i="4"/>
  <c r="C384" i="4"/>
  <c r="E384" i="4"/>
  <c r="F384" i="4"/>
  <c r="D385" i="4"/>
  <c r="C385" i="4"/>
  <c r="E385" i="4"/>
  <c r="F385" i="4"/>
  <c r="D386" i="4"/>
  <c r="C386" i="4"/>
  <c r="E386" i="4"/>
  <c r="F386" i="4"/>
  <c r="D387" i="4"/>
  <c r="C387" i="4"/>
  <c r="E387" i="4"/>
  <c r="F387" i="4"/>
  <c r="D388" i="4"/>
  <c r="C388" i="4"/>
  <c r="E388" i="4"/>
  <c r="F388" i="4"/>
  <c r="D389" i="4"/>
  <c r="C389" i="4"/>
  <c r="E389" i="4"/>
  <c r="F389" i="4"/>
  <c r="D390" i="4"/>
  <c r="C390" i="4"/>
  <c r="E390" i="4"/>
  <c r="F390" i="4"/>
  <c r="D391" i="4"/>
  <c r="C391" i="4"/>
  <c r="E391" i="4"/>
  <c r="F391" i="4"/>
  <c r="D392" i="4"/>
  <c r="C392" i="4"/>
  <c r="E392" i="4"/>
  <c r="F392" i="4"/>
  <c r="D393" i="4"/>
  <c r="C393" i="4"/>
  <c r="E393" i="4"/>
  <c r="F393" i="4"/>
  <c r="D394" i="4"/>
  <c r="C394" i="4"/>
  <c r="E394" i="4"/>
  <c r="F394" i="4"/>
  <c r="D395" i="4"/>
  <c r="C395" i="4"/>
  <c r="E395" i="4"/>
  <c r="F395" i="4"/>
  <c r="D396" i="4"/>
  <c r="C396" i="4"/>
  <c r="E396" i="4"/>
  <c r="F396" i="4"/>
  <c r="D397" i="4"/>
  <c r="C397" i="4"/>
  <c r="E397" i="4"/>
  <c r="F397" i="4"/>
  <c r="D398" i="4"/>
  <c r="C398" i="4"/>
  <c r="E398" i="4"/>
  <c r="F398" i="4"/>
  <c r="D399" i="4"/>
  <c r="C399" i="4"/>
  <c r="E399" i="4"/>
  <c r="F399" i="4"/>
  <c r="D400" i="4"/>
  <c r="C400" i="4"/>
  <c r="E400" i="4"/>
  <c r="F400" i="4"/>
  <c r="D401" i="4"/>
  <c r="C401" i="4"/>
  <c r="E401" i="4"/>
  <c r="F401" i="4"/>
  <c r="D402" i="4"/>
  <c r="C402" i="4"/>
  <c r="E402" i="4"/>
  <c r="F402" i="4"/>
  <c r="D403" i="4"/>
  <c r="C403" i="4"/>
  <c r="E403" i="4"/>
  <c r="F403" i="4"/>
  <c r="D404" i="4"/>
  <c r="C404" i="4"/>
  <c r="E404" i="4"/>
  <c r="F404" i="4"/>
  <c r="D405" i="4"/>
  <c r="C405" i="4"/>
  <c r="E405" i="4"/>
  <c r="F405" i="4"/>
  <c r="D406" i="4"/>
  <c r="C406" i="4"/>
  <c r="E406" i="4"/>
  <c r="F406" i="4"/>
  <c r="D407" i="4"/>
  <c r="C407" i="4"/>
  <c r="E407" i="4"/>
  <c r="F407" i="4"/>
  <c r="D408" i="4"/>
  <c r="C408" i="4"/>
  <c r="E408" i="4"/>
  <c r="F408" i="4"/>
  <c r="D409" i="4"/>
  <c r="C409" i="4"/>
  <c r="E409" i="4"/>
  <c r="F409" i="4"/>
  <c r="D410" i="4"/>
  <c r="C410" i="4"/>
  <c r="E410" i="4"/>
  <c r="F410" i="4"/>
  <c r="D411" i="4"/>
  <c r="C411" i="4"/>
  <c r="E411" i="4"/>
  <c r="F411" i="4"/>
  <c r="D412" i="4"/>
  <c r="C412" i="4"/>
  <c r="E412" i="4"/>
  <c r="F412" i="4"/>
  <c r="D413" i="4"/>
  <c r="C413" i="4"/>
  <c r="E413" i="4"/>
  <c r="F413" i="4"/>
  <c r="D414" i="4"/>
  <c r="C414" i="4"/>
  <c r="E414" i="4"/>
  <c r="F414" i="4"/>
  <c r="D415" i="4"/>
  <c r="C415" i="4"/>
  <c r="E415" i="4"/>
  <c r="F415" i="4"/>
  <c r="D416" i="4"/>
  <c r="C416" i="4"/>
  <c r="E416" i="4"/>
  <c r="F416" i="4"/>
  <c r="D417" i="4"/>
  <c r="C417" i="4"/>
  <c r="E417" i="4"/>
  <c r="F417" i="4"/>
  <c r="D418" i="4"/>
  <c r="C418" i="4"/>
  <c r="E418" i="4"/>
  <c r="F418" i="4"/>
  <c r="D419" i="4"/>
  <c r="C419" i="4"/>
  <c r="E419" i="4"/>
  <c r="F419" i="4"/>
  <c r="D420" i="4"/>
  <c r="C420" i="4"/>
  <c r="E420" i="4"/>
  <c r="F420" i="4"/>
  <c r="D421" i="4"/>
  <c r="C421" i="4"/>
  <c r="E421" i="4"/>
  <c r="F421" i="4"/>
  <c r="D422" i="4"/>
  <c r="C422" i="4"/>
  <c r="E422" i="4"/>
  <c r="F422" i="4"/>
  <c r="D423" i="4"/>
  <c r="C423" i="4"/>
  <c r="E423" i="4"/>
  <c r="F423" i="4"/>
  <c r="D424" i="4"/>
  <c r="C424" i="4"/>
  <c r="E424" i="4"/>
  <c r="F424" i="4"/>
  <c r="D425" i="4"/>
  <c r="C425" i="4"/>
  <c r="E425" i="4"/>
  <c r="F425" i="4"/>
  <c r="D426" i="4"/>
  <c r="C426" i="4"/>
  <c r="E426" i="4"/>
  <c r="F426" i="4"/>
  <c r="D427" i="4"/>
  <c r="C427" i="4"/>
  <c r="E427" i="4"/>
  <c r="F427" i="4"/>
  <c r="D428" i="4"/>
  <c r="C428" i="4"/>
  <c r="E428" i="4"/>
  <c r="F428" i="4"/>
  <c r="D429" i="4"/>
  <c r="C429" i="4"/>
  <c r="E429" i="4"/>
  <c r="F429" i="4"/>
  <c r="D430" i="4"/>
  <c r="C430" i="4"/>
  <c r="E430" i="4"/>
  <c r="F430" i="4"/>
  <c r="D431" i="4"/>
  <c r="C431" i="4"/>
  <c r="E431" i="4"/>
  <c r="F431" i="4"/>
  <c r="D432" i="4"/>
  <c r="C432" i="4"/>
  <c r="E432" i="4"/>
  <c r="F432" i="4"/>
  <c r="D433" i="4"/>
  <c r="C433" i="4"/>
  <c r="E433" i="4"/>
  <c r="F433" i="4"/>
  <c r="D434" i="4"/>
  <c r="C434" i="4"/>
  <c r="E434" i="4"/>
  <c r="F434" i="4"/>
  <c r="D435" i="4"/>
  <c r="C435" i="4"/>
  <c r="E435" i="4"/>
  <c r="F435" i="4"/>
  <c r="D436" i="4"/>
  <c r="C436" i="4"/>
  <c r="E436" i="4"/>
  <c r="F436" i="4"/>
  <c r="D437" i="4"/>
  <c r="C437" i="4"/>
  <c r="E437" i="4"/>
  <c r="F437" i="4"/>
  <c r="D438" i="4"/>
  <c r="C438" i="4"/>
  <c r="E438" i="4"/>
  <c r="F438" i="4"/>
  <c r="D439" i="4"/>
  <c r="C439" i="4"/>
  <c r="E439" i="4"/>
  <c r="F439" i="4"/>
  <c r="D440" i="4"/>
  <c r="C440" i="4"/>
  <c r="E440" i="4"/>
  <c r="F440" i="4"/>
  <c r="D441" i="4"/>
  <c r="C441" i="4"/>
  <c r="E441" i="4"/>
  <c r="F441" i="4"/>
  <c r="D442" i="4"/>
  <c r="C442" i="4"/>
  <c r="E442" i="4"/>
  <c r="F442" i="4"/>
  <c r="D443" i="4"/>
  <c r="C443" i="4"/>
  <c r="E443" i="4"/>
  <c r="F443" i="4"/>
  <c r="D444" i="4"/>
  <c r="C444" i="4"/>
  <c r="E444" i="4"/>
  <c r="F444" i="4"/>
  <c r="D445" i="4"/>
  <c r="C445" i="4"/>
  <c r="E445" i="4"/>
  <c r="F445" i="4"/>
  <c r="D446" i="4"/>
  <c r="C446" i="4"/>
  <c r="E446" i="4"/>
  <c r="F446" i="4"/>
  <c r="D447" i="4"/>
  <c r="C447" i="4"/>
  <c r="E447" i="4"/>
  <c r="F447" i="4"/>
  <c r="D448" i="4"/>
  <c r="C448" i="4"/>
  <c r="E448" i="4"/>
  <c r="F448" i="4"/>
  <c r="D449" i="4"/>
  <c r="C449" i="4"/>
  <c r="E449" i="4"/>
  <c r="F449" i="4"/>
  <c r="D450" i="4"/>
  <c r="C450" i="4"/>
  <c r="E450" i="4"/>
  <c r="F450" i="4"/>
  <c r="D451" i="4"/>
  <c r="C451" i="4"/>
  <c r="E451" i="4"/>
  <c r="F451" i="4"/>
  <c r="D452" i="4"/>
  <c r="C452" i="4"/>
  <c r="E452" i="4"/>
  <c r="F452" i="4"/>
  <c r="D453" i="4"/>
  <c r="C453" i="4"/>
  <c r="E453" i="4"/>
  <c r="F453" i="4"/>
  <c r="D454" i="4"/>
  <c r="C454" i="4"/>
  <c r="E454" i="4"/>
  <c r="F454" i="4"/>
  <c r="D455" i="4"/>
  <c r="C455" i="4"/>
  <c r="E455" i="4"/>
  <c r="F455" i="4"/>
  <c r="D456" i="4"/>
  <c r="C456" i="4"/>
  <c r="E456" i="4"/>
  <c r="F456" i="4"/>
  <c r="D457" i="4"/>
  <c r="C457" i="4"/>
  <c r="E457" i="4"/>
  <c r="F457" i="4"/>
  <c r="D458" i="4"/>
  <c r="C458" i="4"/>
  <c r="E458" i="4"/>
  <c r="F458" i="4"/>
  <c r="D459" i="4"/>
  <c r="C459" i="4"/>
  <c r="E459" i="4"/>
  <c r="F459" i="4"/>
  <c r="D460" i="4"/>
  <c r="C460" i="4"/>
  <c r="E460" i="4"/>
  <c r="F460" i="4"/>
  <c r="D461" i="4"/>
  <c r="C461" i="4"/>
  <c r="E461" i="4"/>
  <c r="F461" i="4"/>
  <c r="D462" i="4"/>
  <c r="C462" i="4"/>
  <c r="E462" i="4"/>
  <c r="F462" i="4"/>
  <c r="D463" i="4"/>
  <c r="C463" i="4"/>
  <c r="E463" i="4"/>
  <c r="F463" i="4"/>
  <c r="D464" i="4"/>
  <c r="C464" i="4"/>
  <c r="E464" i="4"/>
  <c r="F464" i="4"/>
  <c r="D465" i="4"/>
  <c r="C465" i="4"/>
  <c r="E465" i="4"/>
  <c r="F465" i="4"/>
  <c r="D466" i="4"/>
  <c r="C466" i="4"/>
  <c r="E466" i="4"/>
  <c r="F466" i="4"/>
  <c r="D467" i="4"/>
  <c r="C467" i="4"/>
  <c r="E467" i="4"/>
  <c r="F467" i="4"/>
  <c r="D468" i="4"/>
  <c r="C468" i="4"/>
  <c r="E468" i="4"/>
  <c r="F468" i="4"/>
  <c r="D469" i="4"/>
  <c r="C469" i="4"/>
  <c r="E469" i="4"/>
  <c r="F469" i="4"/>
  <c r="D470" i="4"/>
  <c r="C470" i="4"/>
  <c r="E470" i="4"/>
  <c r="F470" i="4"/>
  <c r="D471" i="4"/>
  <c r="C471" i="4"/>
  <c r="E471" i="4"/>
  <c r="F471" i="4"/>
  <c r="D472" i="4"/>
  <c r="C472" i="4"/>
  <c r="E472" i="4"/>
  <c r="F472" i="4"/>
  <c r="D473" i="4"/>
  <c r="C473" i="4"/>
  <c r="E473" i="4"/>
  <c r="F473" i="4"/>
  <c r="D474" i="4"/>
  <c r="C474" i="4"/>
  <c r="E474" i="4"/>
  <c r="F474" i="4"/>
  <c r="D475" i="4"/>
  <c r="C475" i="4"/>
  <c r="E475" i="4"/>
  <c r="F475" i="4"/>
  <c r="D476" i="4"/>
  <c r="C476" i="4"/>
  <c r="E476" i="4"/>
  <c r="F476" i="4"/>
  <c r="D477" i="4"/>
  <c r="C477" i="4"/>
  <c r="E477" i="4"/>
  <c r="F477" i="4"/>
  <c r="D478" i="4"/>
  <c r="C478" i="4"/>
  <c r="E478" i="4"/>
  <c r="F478" i="4"/>
  <c r="D479" i="4"/>
  <c r="C479" i="4"/>
  <c r="E479" i="4"/>
  <c r="F479" i="4"/>
  <c r="D480" i="4"/>
  <c r="C480" i="4"/>
  <c r="E480" i="4"/>
  <c r="F480" i="4"/>
  <c r="D481" i="4"/>
  <c r="C481" i="4"/>
  <c r="E481" i="4"/>
  <c r="F481" i="4"/>
  <c r="D482" i="4"/>
  <c r="C482" i="4"/>
  <c r="E482" i="4"/>
  <c r="F482" i="4"/>
  <c r="D483" i="4"/>
  <c r="C483" i="4"/>
  <c r="E483" i="4"/>
  <c r="F483" i="4"/>
  <c r="D484" i="4"/>
  <c r="C484" i="4"/>
  <c r="E484" i="4"/>
  <c r="F484" i="4"/>
  <c r="D485" i="4"/>
  <c r="C485" i="4"/>
  <c r="E485" i="4"/>
  <c r="F485" i="4"/>
  <c r="D486" i="4"/>
  <c r="C486" i="4"/>
  <c r="E486" i="4"/>
  <c r="F486" i="4"/>
  <c r="D487" i="4"/>
  <c r="C487" i="4"/>
  <c r="E487" i="4"/>
  <c r="F487" i="4"/>
  <c r="D733" i="4"/>
  <c r="C733" i="4"/>
  <c r="E733" i="4"/>
  <c r="F733" i="4"/>
  <c r="D734" i="4"/>
  <c r="C734" i="4"/>
  <c r="E734" i="4"/>
  <c r="F734" i="4"/>
  <c r="D735" i="4"/>
  <c r="C735" i="4"/>
  <c r="E735" i="4"/>
  <c r="F735" i="4"/>
  <c r="D736" i="4"/>
  <c r="C736" i="4"/>
  <c r="E736" i="4"/>
  <c r="F736" i="4"/>
  <c r="D737" i="4"/>
  <c r="C737" i="4"/>
  <c r="E737" i="4"/>
  <c r="F737" i="4"/>
  <c r="D738" i="4"/>
  <c r="C738" i="4"/>
  <c r="E738" i="4"/>
  <c r="F738" i="4"/>
  <c r="D739" i="4"/>
  <c r="C739" i="4"/>
  <c r="E739" i="4"/>
  <c r="F739" i="4"/>
  <c r="D740" i="4"/>
  <c r="C740" i="4"/>
  <c r="E740" i="4"/>
  <c r="F740" i="4"/>
  <c r="D741" i="4"/>
  <c r="C741" i="4"/>
  <c r="E741" i="4"/>
  <c r="F741" i="4"/>
  <c r="D742" i="4"/>
  <c r="C742" i="4"/>
  <c r="E742" i="4"/>
  <c r="F742" i="4"/>
  <c r="D743" i="4"/>
  <c r="C743" i="4"/>
  <c r="E743" i="4"/>
  <c r="F743" i="4"/>
  <c r="D744" i="4"/>
  <c r="C744" i="4"/>
  <c r="E744" i="4"/>
  <c r="F744" i="4"/>
  <c r="D745" i="4"/>
  <c r="C745" i="4"/>
  <c r="E745" i="4"/>
  <c r="F745" i="4"/>
  <c r="D746" i="4"/>
  <c r="C746" i="4"/>
  <c r="E746" i="4"/>
  <c r="F746" i="4"/>
  <c r="D747" i="4"/>
  <c r="C747" i="4"/>
  <c r="E747" i="4"/>
  <c r="F747" i="4"/>
  <c r="D748" i="4"/>
  <c r="C748" i="4"/>
  <c r="E748" i="4"/>
  <c r="F748" i="4"/>
  <c r="D749" i="4"/>
  <c r="C749" i="4"/>
  <c r="E749" i="4"/>
  <c r="F749" i="4"/>
  <c r="D750" i="4"/>
  <c r="C750" i="4"/>
  <c r="E750" i="4"/>
  <c r="F750" i="4"/>
  <c r="D751" i="4"/>
  <c r="C751" i="4"/>
  <c r="E751" i="4"/>
  <c r="F751" i="4"/>
  <c r="D752" i="4"/>
  <c r="C752" i="4"/>
  <c r="E752" i="4"/>
  <c r="F752" i="4"/>
  <c r="D753" i="4"/>
  <c r="C753" i="4"/>
  <c r="E753" i="4"/>
  <c r="F753" i="4"/>
  <c r="D754" i="4"/>
  <c r="C754" i="4"/>
  <c r="E754" i="4"/>
  <c r="F754" i="4"/>
  <c r="D755" i="4"/>
  <c r="C755" i="4"/>
  <c r="E755" i="4"/>
  <c r="F755" i="4"/>
  <c r="D756" i="4"/>
  <c r="C756" i="4"/>
  <c r="E756" i="4"/>
  <c r="F756" i="4"/>
  <c r="D757" i="4"/>
  <c r="C757" i="4"/>
  <c r="E757" i="4"/>
  <c r="F757" i="4"/>
  <c r="D758" i="4"/>
  <c r="C758" i="4"/>
  <c r="E758" i="4"/>
  <c r="F758" i="4"/>
  <c r="D759" i="4"/>
  <c r="C759" i="4"/>
  <c r="E759" i="4"/>
  <c r="F759" i="4"/>
  <c r="D760" i="4"/>
  <c r="C760" i="4"/>
  <c r="E760" i="4"/>
  <c r="F760" i="4"/>
  <c r="D761" i="4"/>
  <c r="C761" i="4"/>
  <c r="E761" i="4"/>
  <c r="F761" i="4"/>
  <c r="D762" i="4"/>
  <c r="C762" i="4"/>
  <c r="E762" i="4"/>
  <c r="F762" i="4"/>
  <c r="D763" i="4"/>
  <c r="C763" i="4"/>
  <c r="E763" i="4"/>
  <c r="F763" i="4"/>
  <c r="D764" i="4"/>
  <c r="C764" i="4"/>
  <c r="E764" i="4"/>
  <c r="F764" i="4"/>
  <c r="D765" i="4"/>
  <c r="C765" i="4"/>
  <c r="E765" i="4"/>
  <c r="F765" i="4"/>
  <c r="D766" i="4"/>
  <c r="C766" i="4"/>
  <c r="E766" i="4"/>
  <c r="F766" i="4"/>
  <c r="D767" i="4"/>
  <c r="C767" i="4"/>
  <c r="E767" i="4"/>
  <c r="F767" i="4"/>
  <c r="D768" i="4"/>
  <c r="C768" i="4"/>
  <c r="E768" i="4"/>
  <c r="F768" i="4"/>
  <c r="D769" i="4"/>
  <c r="C769" i="4"/>
  <c r="E769" i="4"/>
  <c r="F769" i="4"/>
  <c r="D770" i="4"/>
  <c r="C770" i="4"/>
  <c r="E770" i="4"/>
  <c r="F770" i="4"/>
  <c r="D771" i="4"/>
  <c r="C771" i="4"/>
  <c r="E771" i="4"/>
  <c r="F771" i="4"/>
  <c r="D772" i="4"/>
  <c r="C772" i="4"/>
  <c r="E772" i="4"/>
  <c r="F772" i="4"/>
  <c r="D773" i="4"/>
  <c r="C773" i="4"/>
  <c r="E773" i="4"/>
  <c r="F773" i="4"/>
  <c r="D774" i="4"/>
  <c r="C774" i="4"/>
  <c r="E774" i="4"/>
  <c r="F774" i="4"/>
  <c r="D775" i="4"/>
  <c r="C775" i="4"/>
  <c r="E775" i="4"/>
  <c r="F775" i="4"/>
  <c r="D776" i="4"/>
  <c r="C776" i="4"/>
  <c r="E776" i="4"/>
  <c r="F776" i="4"/>
  <c r="D777" i="4"/>
  <c r="C777" i="4"/>
  <c r="E777" i="4"/>
  <c r="F777" i="4"/>
  <c r="D778" i="4"/>
  <c r="C778" i="4"/>
  <c r="E778" i="4"/>
  <c r="F778" i="4"/>
  <c r="D779" i="4"/>
  <c r="C779" i="4"/>
  <c r="E779" i="4"/>
  <c r="F779" i="4"/>
  <c r="D780" i="4"/>
  <c r="C780" i="4"/>
  <c r="E780" i="4"/>
  <c r="F780" i="4"/>
  <c r="D781" i="4"/>
  <c r="C781" i="4"/>
  <c r="E781" i="4"/>
  <c r="F781" i="4"/>
  <c r="D782" i="4"/>
  <c r="C782" i="4"/>
  <c r="E782" i="4"/>
  <c r="F782" i="4"/>
  <c r="D783" i="4"/>
  <c r="C783" i="4"/>
  <c r="E783" i="4"/>
  <c r="F783" i="4"/>
  <c r="D784" i="4"/>
  <c r="C784" i="4"/>
  <c r="E784" i="4"/>
  <c r="F784" i="4"/>
  <c r="D785" i="4"/>
  <c r="C785" i="4"/>
  <c r="E785" i="4"/>
  <c r="F785" i="4"/>
  <c r="D786" i="4"/>
  <c r="C786" i="4"/>
  <c r="E786" i="4"/>
  <c r="F786" i="4"/>
  <c r="D787" i="4"/>
  <c r="C787" i="4"/>
  <c r="E787" i="4"/>
  <c r="F787" i="4"/>
  <c r="D788" i="4"/>
  <c r="C788" i="4"/>
  <c r="E788" i="4"/>
  <c r="F788" i="4"/>
  <c r="D789" i="4"/>
  <c r="C789" i="4"/>
  <c r="E789" i="4"/>
  <c r="F789" i="4"/>
  <c r="D790" i="4"/>
  <c r="C790" i="4"/>
  <c r="E790" i="4"/>
  <c r="F790" i="4"/>
  <c r="D791" i="4"/>
  <c r="C791" i="4"/>
  <c r="E791" i="4"/>
  <c r="F791" i="4"/>
  <c r="D792" i="4"/>
  <c r="C792" i="4"/>
  <c r="E792" i="4"/>
  <c r="F792" i="4"/>
  <c r="D793" i="4"/>
  <c r="C793" i="4"/>
  <c r="E793" i="4"/>
  <c r="F793" i="4"/>
  <c r="D794" i="4"/>
  <c r="C794" i="4"/>
  <c r="E794" i="4"/>
  <c r="F794" i="4"/>
  <c r="D795" i="4"/>
  <c r="C795" i="4"/>
  <c r="E795" i="4"/>
  <c r="F795" i="4"/>
  <c r="D796" i="4"/>
  <c r="C796" i="4"/>
  <c r="E796" i="4"/>
  <c r="F796" i="4"/>
  <c r="D797" i="4"/>
  <c r="C797" i="4"/>
  <c r="E797" i="4"/>
  <c r="F797" i="4"/>
  <c r="D798" i="4"/>
  <c r="C798" i="4"/>
  <c r="E798" i="4"/>
  <c r="F798" i="4"/>
  <c r="D799" i="4"/>
  <c r="C799" i="4"/>
  <c r="E799" i="4"/>
  <c r="F799" i="4"/>
  <c r="D800" i="4"/>
  <c r="C800" i="4"/>
  <c r="E800" i="4"/>
  <c r="F800" i="4"/>
  <c r="D801" i="4"/>
  <c r="C801" i="4"/>
  <c r="E801" i="4"/>
  <c r="F801" i="4"/>
  <c r="D802" i="4"/>
  <c r="C802" i="4"/>
  <c r="E802" i="4"/>
  <c r="F802" i="4"/>
  <c r="D803" i="4"/>
  <c r="C803" i="4"/>
  <c r="E803" i="4"/>
  <c r="F803" i="4"/>
  <c r="D804" i="4"/>
  <c r="C804" i="4"/>
  <c r="E804" i="4"/>
  <c r="F804" i="4"/>
  <c r="D805" i="4"/>
  <c r="C805" i="4"/>
  <c r="E805" i="4"/>
  <c r="F805" i="4"/>
  <c r="D806" i="4"/>
  <c r="C806" i="4"/>
  <c r="E806" i="4"/>
  <c r="F806" i="4"/>
  <c r="D807" i="4"/>
  <c r="C807" i="4"/>
  <c r="E807" i="4"/>
  <c r="F807" i="4"/>
  <c r="D808" i="4"/>
  <c r="C808" i="4"/>
  <c r="E808" i="4"/>
  <c r="F808" i="4"/>
  <c r="D809" i="4"/>
  <c r="C809" i="4"/>
  <c r="E809" i="4"/>
  <c r="F809" i="4"/>
  <c r="D810" i="4"/>
  <c r="C810" i="4"/>
  <c r="E810" i="4"/>
  <c r="F810" i="4"/>
  <c r="D811" i="4"/>
  <c r="C811" i="4"/>
  <c r="E811" i="4"/>
  <c r="F811" i="4"/>
  <c r="D812" i="4"/>
  <c r="C812" i="4"/>
  <c r="E812" i="4"/>
  <c r="F812" i="4"/>
  <c r="D813" i="4"/>
  <c r="C813" i="4"/>
  <c r="E813" i="4"/>
  <c r="F813" i="4"/>
  <c r="D814" i="4"/>
  <c r="C814" i="4"/>
  <c r="E814" i="4"/>
  <c r="F814" i="4"/>
  <c r="D815" i="4"/>
  <c r="C815" i="4"/>
  <c r="E815" i="4"/>
  <c r="F815" i="4"/>
  <c r="D816" i="4"/>
  <c r="C816" i="4"/>
  <c r="E816" i="4"/>
  <c r="F816" i="4"/>
  <c r="D817" i="4"/>
  <c r="C817" i="4"/>
  <c r="E817" i="4"/>
  <c r="F817" i="4"/>
  <c r="D818" i="4"/>
  <c r="C818" i="4"/>
  <c r="E818" i="4"/>
  <c r="F818" i="4"/>
  <c r="D819" i="4"/>
  <c r="C819" i="4"/>
  <c r="E819" i="4"/>
  <c r="F819" i="4"/>
  <c r="D820" i="4"/>
  <c r="C820" i="4"/>
  <c r="E820" i="4"/>
  <c r="F820" i="4"/>
  <c r="D821" i="4"/>
  <c r="C821" i="4"/>
  <c r="E821" i="4"/>
  <c r="F821" i="4"/>
  <c r="D822" i="4"/>
  <c r="C822" i="4"/>
  <c r="E822" i="4"/>
  <c r="F822" i="4"/>
  <c r="D823" i="4"/>
  <c r="C823" i="4"/>
  <c r="E823" i="4"/>
  <c r="F823" i="4"/>
  <c r="D824" i="4"/>
  <c r="C824" i="4"/>
  <c r="E824" i="4"/>
  <c r="F824" i="4"/>
  <c r="D825" i="4"/>
  <c r="C825" i="4"/>
  <c r="E825" i="4"/>
  <c r="F825" i="4"/>
  <c r="D826" i="4"/>
  <c r="C826" i="4"/>
  <c r="E826" i="4"/>
  <c r="F826" i="4"/>
  <c r="D827" i="4"/>
  <c r="C827" i="4"/>
  <c r="E827" i="4"/>
  <c r="F827" i="4"/>
  <c r="D828" i="4"/>
  <c r="C828" i="4"/>
  <c r="E828" i="4"/>
  <c r="F828" i="4"/>
  <c r="D829" i="4"/>
  <c r="C829" i="4"/>
  <c r="E829" i="4"/>
  <c r="F829" i="4"/>
  <c r="D830" i="4"/>
  <c r="C830" i="4"/>
  <c r="E830" i="4"/>
  <c r="F830" i="4"/>
  <c r="D831" i="4"/>
  <c r="C831" i="4"/>
  <c r="E831" i="4"/>
  <c r="F831" i="4"/>
  <c r="D832" i="4"/>
  <c r="C832" i="4"/>
  <c r="E832" i="4"/>
  <c r="F832" i="4"/>
  <c r="D833" i="4"/>
  <c r="C833" i="4"/>
  <c r="E833" i="4"/>
  <c r="F833" i="4"/>
  <c r="D834" i="4"/>
  <c r="C834" i="4"/>
  <c r="E834" i="4"/>
  <c r="F834" i="4"/>
  <c r="D835" i="4"/>
  <c r="C835" i="4"/>
  <c r="E835" i="4"/>
  <c r="F835" i="4"/>
  <c r="D836" i="4"/>
  <c r="C836" i="4"/>
  <c r="E836" i="4"/>
  <c r="F836" i="4"/>
  <c r="D837" i="4"/>
  <c r="C837" i="4"/>
  <c r="E837" i="4"/>
  <c r="F837" i="4"/>
  <c r="D838" i="4"/>
  <c r="C838" i="4"/>
  <c r="E838" i="4"/>
  <c r="F838" i="4"/>
  <c r="D839" i="4"/>
  <c r="C839" i="4"/>
  <c r="E839" i="4"/>
  <c r="F839" i="4"/>
  <c r="D840" i="4"/>
  <c r="C840" i="4"/>
  <c r="E840" i="4"/>
  <c r="F840" i="4"/>
  <c r="D841" i="4"/>
  <c r="C841" i="4"/>
  <c r="E841" i="4"/>
  <c r="F841" i="4"/>
  <c r="D842" i="4"/>
  <c r="C842" i="4"/>
  <c r="E842" i="4"/>
  <c r="F842" i="4"/>
  <c r="D843" i="4"/>
  <c r="C843" i="4"/>
  <c r="E843" i="4"/>
  <c r="F843" i="4"/>
  <c r="D844" i="4"/>
  <c r="C844" i="4"/>
  <c r="E844" i="4"/>
  <c r="F844" i="4"/>
  <c r="D845" i="4"/>
  <c r="C845" i="4"/>
  <c r="E845" i="4"/>
  <c r="F845" i="4"/>
  <c r="D846" i="4"/>
  <c r="C846" i="4"/>
  <c r="E846" i="4"/>
  <c r="F846" i="4"/>
  <c r="D847" i="4"/>
  <c r="C847" i="4"/>
  <c r="E847" i="4"/>
  <c r="F847" i="4"/>
  <c r="D848" i="4"/>
  <c r="C848" i="4"/>
  <c r="E848" i="4"/>
  <c r="F848" i="4"/>
  <c r="D849" i="4"/>
  <c r="C849" i="4"/>
  <c r="E849" i="4"/>
  <c r="F849" i="4"/>
  <c r="D850" i="4"/>
  <c r="C850" i="4"/>
  <c r="E850" i="4"/>
  <c r="F850" i="4"/>
  <c r="D851" i="4"/>
  <c r="C851" i="4"/>
  <c r="E851" i="4"/>
  <c r="F851" i="4"/>
  <c r="D852" i="4"/>
  <c r="C852" i="4"/>
  <c r="E852" i="4"/>
  <c r="F852" i="4"/>
  <c r="D1098" i="4"/>
  <c r="C1098" i="4"/>
  <c r="E1098" i="4"/>
  <c r="F1098" i="4"/>
  <c r="D1099" i="4"/>
  <c r="C1099" i="4"/>
  <c r="E1099" i="4"/>
  <c r="F1099" i="4"/>
  <c r="D1100" i="4"/>
  <c r="C1100" i="4"/>
  <c r="E1100" i="4"/>
  <c r="F1100" i="4"/>
  <c r="D1101" i="4"/>
  <c r="C1101" i="4"/>
  <c r="E1101" i="4"/>
  <c r="F1101" i="4"/>
  <c r="D1102" i="4"/>
  <c r="C1102" i="4"/>
  <c r="E1102" i="4"/>
  <c r="F1102" i="4"/>
  <c r="D1103" i="4"/>
  <c r="C1103" i="4"/>
  <c r="E1103" i="4"/>
  <c r="F1103" i="4"/>
  <c r="D1104" i="4"/>
  <c r="C1104" i="4"/>
  <c r="E1104" i="4"/>
  <c r="F1104" i="4"/>
  <c r="D1105" i="4"/>
  <c r="C1105" i="4"/>
  <c r="E1105" i="4"/>
  <c r="F1105" i="4"/>
  <c r="D1106" i="4"/>
  <c r="C1106" i="4"/>
  <c r="E1106" i="4"/>
  <c r="F1106" i="4"/>
  <c r="D1107" i="4"/>
  <c r="C1107" i="4"/>
  <c r="E1107" i="4"/>
  <c r="F1107" i="4"/>
  <c r="D1108" i="4"/>
  <c r="C1108" i="4"/>
  <c r="E1108" i="4"/>
  <c r="F1108" i="4"/>
  <c r="D1109" i="4"/>
  <c r="C1109" i="4"/>
  <c r="E1109" i="4"/>
  <c r="F1109" i="4"/>
  <c r="D1110" i="4"/>
  <c r="C1110" i="4"/>
  <c r="E1110" i="4"/>
  <c r="F1110" i="4"/>
  <c r="D1111" i="4"/>
  <c r="C1111" i="4"/>
  <c r="E1111" i="4"/>
  <c r="F1111" i="4"/>
  <c r="D1112" i="4"/>
  <c r="C1112" i="4"/>
  <c r="E1112" i="4"/>
  <c r="F1112" i="4"/>
  <c r="D1113" i="4"/>
  <c r="C1113" i="4"/>
  <c r="E1113" i="4"/>
  <c r="F1113" i="4"/>
  <c r="D1114" i="4"/>
  <c r="C1114" i="4"/>
  <c r="E1114" i="4"/>
  <c r="F1114" i="4"/>
  <c r="D1115" i="4"/>
  <c r="C1115" i="4"/>
  <c r="E1115" i="4"/>
  <c r="F1115" i="4"/>
  <c r="D1116" i="4"/>
  <c r="C1116" i="4"/>
  <c r="E1116" i="4"/>
  <c r="F1116" i="4"/>
  <c r="D1117" i="4"/>
  <c r="C1117" i="4"/>
  <c r="E1117" i="4"/>
  <c r="F1117" i="4"/>
  <c r="D1118" i="4"/>
  <c r="C1118" i="4"/>
  <c r="E1118" i="4"/>
  <c r="F1118" i="4"/>
  <c r="D1119" i="4"/>
  <c r="C1119" i="4"/>
  <c r="E1119" i="4"/>
  <c r="F1119" i="4"/>
  <c r="D1120" i="4"/>
  <c r="C1120" i="4"/>
  <c r="E1120" i="4"/>
  <c r="F1120" i="4"/>
  <c r="D1121" i="4"/>
  <c r="C1121" i="4"/>
  <c r="E1121" i="4"/>
  <c r="F1121" i="4"/>
  <c r="D1122" i="4"/>
  <c r="C1122" i="4"/>
  <c r="E1122" i="4"/>
  <c r="F1122" i="4"/>
  <c r="D1123" i="4"/>
  <c r="C1123" i="4"/>
  <c r="E1123" i="4"/>
  <c r="F1123" i="4"/>
  <c r="D1124" i="4"/>
  <c r="C1124" i="4"/>
  <c r="E1124" i="4"/>
  <c r="F1124" i="4"/>
  <c r="D1125" i="4"/>
  <c r="C1125" i="4"/>
  <c r="E1125" i="4"/>
  <c r="F1125" i="4"/>
  <c r="D1126" i="4"/>
  <c r="C1126" i="4"/>
  <c r="E1126" i="4"/>
  <c r="F1126" i="4"/>
  <c r="D1127" i="4"/>
  <c r="C1127" i="4"/>
  <c r="E1127" i="4"/>
  <c r="F1127" i="4"/>
  <c r="D1128" i="4"/>
  <c r="C1128" i="4"/>
  <c r="E1128" i="4"/>
  <c r="F1128" i="4"/>
  <c r="D1129" i="4"/>
  <c r="C1129" i="4"/>
  <c r="E1129" i="4"/>
  <c r="F1129" i="4"/>
  <c r="D1130" i="4"/>
  <c r="C1130" i="4"/>
  <c r="E1130" i="4"/>
  <c r="F1130" i="4"/>
  <c r="D1131" i="4"/>
  <c r="C1131" i="4"/>
  <c r="E1131" i="4"/>
  <c r="F1131" i="4"/>
  <c r="D1132" i="4"/>
  <c r="C1132" i="4"/>
  <c r="E1132" i="4"/>
  <c r="F1132" i="4"/>
  <c r="D1133" i="4"/>
  <c r="C1133" i="4"/>
  <c r="E1133" i="4"/>
  <c r="F1133" i="4"/>
  <c r="D1134" i="4"/>
  <c r="C1134" i="4"/>
  <c r="E1134" i="4"/>
  <c r="F1134" i="4"/>
  <c r="D1135" i="4"/>
  <c r="C1135" i="4"/>
  <c r="E1135" i="4"/>
  <c r="F1135" i="4"/>
  <c r="D1136" i="4"/>
  <c r="C1136" i="4"/>
  <c r="E1136" i="4"/>
  <c r="F1136" i="4"/>
  <c r="D1137" i="4"/>
  <c r="C1137" i="4"/>
  <c r="E1137" i="4"/>
  <c r="F1137" i="4"/>
  <c r="D1138" i="4"/>
  <c r="C1138" i="4"/>
  <c r="E1138" i="4"/>
  <c r="F1138" i="4"/>
  <c r="D1139" i="4"/>
  <c r="C1139" i="4"/>
  <c r="E1139" i="4"/>
  <c r="F1139" i="4"/>
  <c r="D1140" i="4"/>
  <c r="C1140" i="4"/>
  <c r="E1140" i="4"/>
  <c r="F1140" i="4"/>
  <c r="D1141" i="4"/>
  <c r="C1141" i="4"/>
  <c r="E1141" i="4"/>
  <c r="F1141" i="4"/>
  <c r="D1142" i="4"/>
  <c r="C1142" i="4"/>
  <c r="E1142" i="4"/>
  <c r="F1142" i="4"/>
  <c r="D1143" i="4"/>
  <c r="C1143" i="4"/>
  <c r="E1143" i="4"/>
  <c r="F1143" i="4"/>
  <c r="D1144" i="4"/>
  <c r="C1144" i="4"/>
  <c r="E1144" i="4"/>
  <c r="F1144" i="4"/>
  <c r="D1145" i="4"/>
  <c r="C1145" i="4"/>
  <c r="E1145" i="4"/>
  <c r="F1145" i="4"/>
  <c r="D1146" i="4"/>
  <c r="C1146" i="4"/>
  <c r="E1146" i="4"/>
  <c r="F1146" i="4"/>
  <c r="D1147" i="4"/>
  <c r="C1147" i="4"/>
  <c r="E1147" i="4"/>
  <c r="F1147" i="4"/>
  <c r="D1148" i="4"/>
  <c r="C1148" i="4"/>
  <c r="E1148" i="4"/>
  <c r="F1148" i="4"/>
  <c r="D1149" i="4"/>
  <c r="C1149" i="4"/>
  <c r="E1149" i="4"/>
  <c r="F1149" i="4"/>
  <c r="D1150" i="4"/>
  <c r="C1150" i="4"/>
  <c r="E1150" i="4"/>
  <c r="F1150" i="4"/>
  <c r="D1151" i="4"/>
  <c r="C1151" i="4"/>
  <c r="E1151" i="4"/>
  <c r="F1151" i="4"/>
  <c r="D1152" i="4"/>
  <c r="C1152" i="4"/>
  <c r="E1152" i="4"/>
  <c r="F1152" i="4"/>
  <c r="D1153" i="4"/>
  <c r="C1153" i="4"/>
  <c r="E1153" i="4"/>
  <c r="F1153" i="4"/>
  <c r="D1154" i="4"/>
  <c r="C1154" i="4"/>
  <c r="E1154" i="4"/>
  <c r="F1154" i="4"/>
  <c r="D1155" i="4"/>
  <c r="C1155" i="4"/>
  <c r="E1155" i="4"/>
  <c r="F1155" i="4"/>
  <c r="D1156" i="4"/>
  <c r="C1156" i="4"/>
  <c r="E1156" i="4"/>
  <c r="F1156" i="4"/>
  <c r="D1157" i="4"/>
  <c r="C1157" i="4"/>
  <c r="E1157" i="4"/>
  <c r="F1157" i="4"/>
  <c r="D1158" i="4"/>
  <c r="C1158" i="4"/>
  <c r="E1158" i="4"/>
  <c r="F1158" i="4"/>
  <c r="D1159" i="4"/>
  <c r="C1159" i="4"/>
  <c r="E1159" i="4"/>
  <c r="F1159" i="4"/>
  <c r="D1160" i="4"/>
  <c r="C1160" i="4"/>
  <c r="E1160" i="4"/>
  <c r="F1160" i="4"/>
  <c r="D1161" i="4"/>
  <c r="C1161" i="4"/>
  <c r="E1161" i="4"/>
  <c r="F1161" i="4"/>
  <c r="D1162" i="4"/>
  <c r="C1162" i="4"/>
  <c r="E1162" i="4"/>
  <c r="F1162" i="4"/>
  <c r="D1163" i="4"/>
  <c r="C1163" i="4"/>
  <c r="E1163" i="4"/>
  <c r="F1163" i="4"/>
  <c r="D1164" i="4"/>
  <c r="C1164" i="4"/>
  <c r="E1164" i="4"/>
  <c r="F1164" i="4"/>
  <c r="D1165" i="4"/>
  <c r="C1165" i="4"/>
  <c r="E1165" i="4"/>
  <c r="F1165" i="4"/>
  <c r="D1166" i="4"/>
  <c r="C1166" i="4"/>
  <c r="E1166" i="4"/>
  <c r="F1166" i="4"/>
  <c r="D1167" i="4"/>
  <c r="C1167" i="4"/>
  <c r="E1167" i="4"/>
  <c r="F1167" i="4"/>
  <c r="D1168" i="4"/>
  <c r="C1168" i="4"/>
  <c r="E1168" i="4"/>
  <c r="F1168" i="4"/>
  <c r="D1169" i="4"/>
  <c r="C1169" i="4"/>
  <c r="E1169" i="4"/>
  <c r="F1169" i="4"/>
  <c r="D1170" i="4"/>
  <c r="C1170" i="4"/>
  <c r="E1170" i="4"/>
  <c r="F1170" i="4"/>
  <c r="D1171" i="4"/>
  <c r="C1171" i="4"/>
  <c r="E1171" i="4"/>
  <c r="F1171" i="4"/>
  <c r="D1172" i="4"/>
  <c r="C1172" i="4"/>
  <c r="E1172" i="4"/>
  <c r="F1172" i="4"/>
  <c r="D1173" i="4"/>
  <c r="C1173" i="4"/>
  <c r="E1173" i="4"/>
  <c r="F1173" i="4"/>
  <c r="D1174" i="4"/>
  <c r="C1174" i="4"/>
  <c r="E1174" i="4"/>
  <c r="F1174" i="4"/>
  <c r="D1175" i="4"/>
  <c r="C1175" i="4"/>
  <c r="E1175" i="4"/>
  <c r="F1175" i="4"/>
  <c r="D1176" i="4"/>
  <c r="C1176" i="4"/>
  <c r="E1176" i="4"/>
  <c r="F1176" i="4"/>
  <c r="D1177" i="4"/>
  <c r="C1177" i="4"/>
  <c r="E1177" i="4"/>
  <c r="F1177" i="4"/>
  <c r="D1178" i="4"/>
  <c r="C1178" i="4"/>
  <c r="E1178" i="4"/>
  <c r="F1178" i="4"/>
  <c r="D1179" i="4"/>
  <c r="C1179" i="4"/>
  <c r="E1179" i="4"/>
  <c r="F1179" i="4"/>
  <c r="D1180" i="4"/>
  <c r="C1180" i="4"/>
  <c r="E1180" i="4"/>
  <c r="F1180" i="4"/>
  <c r="D1181" i="4"/>
  <c r="C1181" i="4"/>
  <c r="E1181" i="4"/>
  <c r="F1181" i="4"/>
  <c r="D1182" i="4"/>
  <c r="C1182" i="4"/>
  <c r="E1182" i="4"/>
  <c r="F1182" i="4"/>
  <c r="D1183" i="4"/>
  <c r="C1183" i="4"/>
  <c r="E1183" i="4"/>
  <c r="F1183" i="4"/>
  <c r="D1184" i="4"/>
  <c r="C1184" i="4"/>
  <c r="E1184" i="4"/>
  <c r="F1184" i="4"/>
  <c r="D1185" i="4"/>
  <c r="C1185" i="4"/>
  <c r="E1185" i="4"/>
  <c r="F1185" i="4"/>
  <c r="D1186" i="4"/>
  <c r="C1186" i="4"/>
  <c r="E1186" i="4"/>
  <c r="F1186" i="4"/>
  <c r="D1187" i="4"/>
  <c r="C1187" i="4"/>
  <c r="E1187" i="4"/>
  <c r="F1187" i="4"/>
  <c r="D1188" i="4"/>
  <c r="C1188" i="4"/>
  <c r="E1188" i="4"/>
  <c r="F1188" i="4"/>
  <c r="D1189" i="4"/>
  <c r="C1189" i="4"/>
  <c r="E1189" i="4"/>
  <c r="F1189" i="4"/>
  <c r="D1190" i="4"/>
  <c r="C1190" i="4"/>
  <c r="E1190" i="4"/>
  <c r="F1190" i="4"/>
  <c r="D1191" i="4"/>
  <c r="C1191" i="4"/>
  <c r="E1191" i="4"/>
  <c r="F1191" i="4"/>
  <c r="D1192" i="4"/>
  <c r="C1192" i="4"/>
  <c r="E1192" i="4"/>
  <c r="F1192" i="4"/>
  <c r="D1193" i="4"/>
  <c r="C1193" i="4"/>
  <c r="E1193" i="4"/>
  <c r="F1193" i="4"/>
  <c r="D1194" i="4"/>
  <c r="C1194" i="4"/>
  <c r="E1194" i="4"/>
  <c r="F1194" i="4"/>
  <c r="D1195" i="4"/>
  <c r="C1195" i="4"/>
  <c r="E1195" i="4"/>
  <c r="F1195" i="4"/>
  <c r="D1196" i="4"/>
  <c r="C1196" i="4"/>
  <c r="E1196" i="4"/>
  <c r="F1196" i="4"/>
  <c r="D1197" i="4"/>
  <c r="C1197" i="4"/>
  <c r="E1197" i="4"/>
  <c r="F1197" i="4"/>
  <c r="D1198" i="4"/>
  <c r="C1198" i="4"/>
  <c r="E1198" i="4"/>
  <c r="F1198" i="4"/>
  <c r="D1199" i="4"/>
  <c r="C1199" i="4"/>
  <c r="E1199" i="4"/>
  <c r="F1199" i="4"/>
  <c r="D1200" i="4"/>
  <c r="C1200" i="4"/>
  <c r="E1200" i="4"/>
  <c r="F1200" i="4"/>
  <c r="D1201" i="4"/>
  <c r="C1201" i="4"/>
  <c r="E1201" i="4"/>
  <c r="F1201" i="4"/>
  <c r="D1202" i="4"/>
  <c r="C1202" i="4"/>
  <c r="E1202" i="4"/>
  <c r="F1202" i="4"/>
  <c r="D1203" i="4"/>
  <c r="C1203" i="4"/>
  <c r="E1203" i="4"/>
  <c r="F1203" i="4"/>
  <c r="D1204" i="4"/>
  <c r="C1204" i="4"/>
  <c r="E1204" i="4"/>
  <c r="F1204" i="4"/>
  <c r="D1205" i="4"/>
  <c r="C1205" i="4"/>
  <c r="E1205" i="4"/>
  <c r="F1205" i="4"/>
  <c r="D1206" i="4"/>
  <c r="C1206" i="4"/>
  <c r="E1206" i="4"/>
  <c r="F1206" i="4"/>
  <c r="D1207" i="4"/>
  <c r="C1207" i="4"/>
  <c r="E1207" i="4"/>
  <c r="F1207" i="4"/>
  <c r="D1208" i="4"/>
  <c r="C1208" i="4"/>
  <c r="E1208" i="4"/>
  <c r="F1208" i="4"/>
  <c r="D1209" i="4"/>
  <c r="C1209" i="4"/>
  <c r="E1209" i="4"/>
  <c r="F1209" i="4"/>
  <c r="D1210" i="4"/>
  <c r="C1210" i="4"/>
  <c r="E1210" i="4"/>
  <c r="F1210" i="4"/>
  <c r="D1211" i="4"/>
  <c r="C1211" i="4"/>
  <c r="E1211" i="4"/>
  <c r="F1211" i="4"/>
  <c r="D1212" i="4"/>
  <c r="C1212" i="4"/>
  <c r="E1212" i="4"/>
  <c r="F1212" i="4"/>
  <c r="D1213" i="4"/>
  <c r="C1213" i="4"/>
  <c r="E1213" i="4"/>
  <c r="F1213" i="4"/>
  <c r="D1214" i="4"/>
  <c r="C1214" i="4"/>
  <c r="E1214" i="4"/>
  <c r="F1214" i="4"/>
  <c r="D1215" i="4"/>
  <c r="C1215" i="4"/>
  <c r="E1215" i="4"/>
  <c r="F1215" i="4"/>
  <c r="D1216" i="4"/>
  <c r="C1216" i="4"/>
  <c r="E1216" i="4"/>
  <c r="F1216" i="4"/>
  <c r="D1217" i="4"/>
  <c r="C1217" i="4"/>
  <c r="E1217" i="4"/>
  <c r="F1217" i="4"/>
  <c r="D1463" i="4"/>
  <c r="C1463" i="4"/>
  <c r="E1463" i="4"/>
  <c r="F1463" i="4"/>
  <c r="D1464" i="4"/>
  <c r="C1464" i="4"/>
  <c r="E1464" i="4"/>
  <c r="F1464" i="4"/>
  <c r="D1465" i="4"/>
  <c r="C1465" i="4"/>
  <c r="E1465" i="4"/>
  <c r="F1465" i="4"/>
  <c r="D1466" i="4"/>
  <c r="C1466" i="4"/>
  <c r="E1466" i="4"/>
  <c r="F1466" i="4"/>
  <c r="D1467" i="4"/>
  <c r="C1467" i="4"/>
  <c r="E1467" i="4"/>
  <c r="F1467" i="4"/>
  <c r="D1468" i="4"/>
  <c r="C1468" i="4"/>
  <c r="E1468" i="4"/>
  <c r="F1468" i="4"/>
  <c r="D1469" i="4"/>
  <c r="C1469" i="4"/>
  <c r="E1469" i="4"/>
  <c r="F1469" i="4"/>
  <c r="D1470" i="4"/>
  <c r="C1470" i="4"/>
  <c r="E1470" i="4"/>
  <c r="F1470" i="4"/>
  <c r="D1471" i="4"/>
  <c r="C1471" i="4"/>
  <c r="E1471" i="4"/>
  <c r="F1471" i="4"/>
  <c r="D1472" i="4"/>
  <c r="C1472" i="4"/>
  <c r="E1472" i="4"/>
  <c r="F1472" i="4"/>
  <c r="D1473" i="4"/>
  <c r="C1473" i="4"/>
  <c r="E1473" i="4"/>
  <c r="F1473" i="4"/>
  <c r="D1474" i="4"/>
  <c r="C1474" i="4"/>
  <c r="E1474" i="4"/>
  <c r="F1474" i="4"/>
  <c r="D1475" i="4"/>
  <c r="C1475" i="4"/>
  <c r="E1475" i="4"/>
  <c r="F1475" i="4"/>
  <c r="D1476" i="4"/>
  <c r="C1476" i="4"/>
  <c r="E1476" i="4"/>
  <c r="F1476" i="4"/>
  <c r="D1477" i="4"/>
  <c r="C1477" i="4"/>
  <c r="E1477" i="4"/>
  <c r="F1477" i="4"/>
  <c r="D1478" i="4"/>
  <c r="C1478" i="4"/>
  <c r="E1478" i="4"/>
  <c r="F1478" i="4"/>
  <c r="D1479" i="4"/>
  <c r="C1479" i="4"/>
  <c r="E1479" i="4"/>
  <c r="F1479" i="4"/>
  <c r="D1480" i="4"/>
  <c r="C1480" i="4"/>
  <c r="E1480" i="4"/>
  <c r="F1480" i="4"/>
  <c r="D1481" i="4"/>
  <c r="C1481" i="4"/>
  <c r="E1481" i="4"/>
  <c r="F1481" i="4"/>
  <c r="D1482" i="4"/>
  <c r="C1482" i="4"/>
  <c r="E1482" i="4"/>
  <c r="F1482" i="4"/>
  <c r="D1483" i="4"/>
  <c r="C1483" i="4"/>
  <c r="E1483" i="4"/>
  <c r="F1483" i="4"/>
  <c r="D1484" i="4"/>
  <c r="C1484" i="4"/>
  <c r="E1484" i="4"/>
  <c r="F1484" i="4"/>
  <c r="D1485" i="4"/>
  <c r="C1485" i="4"/>
  <c r="E1485" i="4"/>
  <c r="F1485" i="4"/>
  <c r="D1486" i="4"/>
  <c r="C1486" i="4"/>
  <c r="E1486" i="4"/>
  <c r="F1486" i="4"/>
  <c r="D1487" i="4"/>
  <c r="C1487" i="4"/>
  <c r="E1487" i="4"/>
  <c r="F1487" i="4"/>
  <c r="D1488" i="4"/>
  <c r="C1488" i="4"/>
  <c r="E1488" i="4"/>
  <c r="F1488" i="4"/>
  <c r="D1489" i="4"/>
  <c r="C1489" i="4"/>
  <c r="E1489" i="4"/>
  <c r="F1489" i="4"/>
  <c r="D1490" i="4"/>
  <c r="C1490" i="4"/>
  <c r="E1490" i="4"/>
  <c r="F1490" i="4"/>
  <c r="D1491" i="4"/>
  <c r="C1491" i="4"/>
  <c r="E1491" i="4"/>
  <c r="F1491" i="4"/>
  <c r="D1492" i="4"/>
  <c r="C1492" i="4"/>
  <c r="E1492" i="4"/>
  <c r="F1492" i="4"/>
  <c r="D1493" i="4"/>
  <c r="C1493" i="4"/>
  <c r="E1493" i="4"/>
  <c r="F1493" i="4"/>
  <c r="D1494" i="4"/>
  <c r="C1494" i="4"/>
  <c r="E1494" i="4"/>
  <c r="F1494" i="4"/>
  <c r="D1495" i="4"/>
  <c r="C1495" i="4"/>
  <c r="E1495" i="4"/>
  <c r="F1495" i="4"/>
  <c r="D1496" i="4"/>
  <c r="C1496" i="4"/>
  <c r="E1496" i="4"/>
  <c r="F1496" i="4"/>
  <c r="D1497" i="4"/>
  <c r="C1497" i="4"/>
  <c r="E1497" i="4"/>
  <c r="F1497" i="4"/>
  <c r="D1498" i="4"/>
  <c r="C1498" i="4"/>
  <c r="E1498" i="4"/>
  <c r="F1498" i="4"/>
  <c r="D1499" i="4"/>
  <c r="C1499" i="4"/>
  <c r="E1499" i="4"/>
  <c r="F1499" i="4"/>
  <c r="D1500" i="4"/>
  <c r="C1500" i="4"/>
  <c r="E1500" i="4"/>
  <c r="F1500" i="4"/>
  <c r="D1501" i="4"/>
  <c r="C1501" i="4"/>
  <c r="E1501" i="4"/>
  <c r="F1501" i="4"/>
  <c r="D1502" i="4"/>
  <c r="C1502" i="4"/>
  <c r="E1502" i="4"/>
  <c r="F1502" i="4"/>
  <c r="D1503" i="4"/>
  <c r="C1503" i="4"/>
  <c r="E1503" i="4"/>
  <c r="F1503" i="4"/>
  <c r="D1504" i="4"/>
  <c r="C1504" i="4"/>
  <c r="E1504" i="4"/>
  <c r="F1504" i="4"/>
  <c r="D1505" i="4"/>
  <c r="C1505" i="4"/>
  <c r="E1505" i="4"/>
  <c r="F1505" i="4"/>
  <c r="D1506" i="4"/>
  <c r="C1506" i="4"/>
  <c r="E1506" i="4"/>
  <c r="F1506" i="4"/>
  <c r="D1507" i="4"/>
  <c r="C1507" i="4"/>
  <c r="E1507" i="4"/>
  <c r="F1507" i="4"/>
  <c r="D1508" i="4"/>
  <c r="C1508" i="4"/>
  <c r="E1508" i="4"/>
  <c r="F1508" i="4"/>
  <c r="D1509" i="4"/>
  <c r="C1509" i="4"/>
  <c r="E1509" i="4"/>
  <c r="F1509" i="4"/>
  <c r="D1510" i="4"/>
  <c r="C1510" i="4"/>
  <c r="E1510" i="4"/>
  <c r="F1510" i="4"/>
  <c r="D1511" i="4"/>
  <c r="C1511" i="4"/>
  <c r="E1511" i="4"/>
  <c r="F1511" i="4"/>
  <c r="D1512" i="4"/>
  <c r="C1512" i="4"/>
  <c r="E1512" i="4"/>
  <c r="F1512" i="4"/>
  <c r="D1513" i="4"/>
  <c r="C1513" i="4"/>
  <c r="E1513" i="4"/>
  <c r="F1513" i="4"/>
  <c r="D1514" i="4"/>
  <c r="C1514" i="4"/>
  <c r="E1514" i="4"/>
  <c r="F1514" i="4"/>
  <c r="D1515" i="4"/>
  <c r="C1515" i="4"/>
  <c r="E1515" i="4"/>
  <c r="F1515" i="4"/>
  <c r="D1516" i="4"/>
  <c r="C1516" i="4"/>
  <c r="E1516" i="4"/>
  <c r="F1516" i="4"/>
  <c r="D1517" i="4"/>
  <c r="C1517" i="4"/>
  <c r="E1517" i="4"/>
  <c r="F1517" i="4"/>
  <c r="D1518" i="4"/>
  <c r="C1518" i="4"/>
  <c r="E1518" i="4"/>
  <c r="F1518" i="4"/>
  <c r="D1519" i="4"/>
  <c r="C1519" i="4"/>
  <c r="E1519" i="4"/>
  <c r="F1519" i="4"/>
  <c r="D1520" i="4"/>
  <c r="C1520" i="4"/>
  <c r="E1520" i="4"/>
  <c r="F1520" i="4"/>
  <c r="D1521" i="4"/>
  <c r="C1521" i="4"/>
  <c r="E1521" i="4"/>
  <c r="F1521" i="4"/>
  <c r="D1522" i="4"/>
  <c r="C1522" i="4"/>
  <c r="E1522" i="4"/>
  <c r="F1522" i="4"/>
  <c r="D1523" i="4"/>
  <c r="C1523" i="4"/>
  <c r="E1523" i="4"/>
  <c r="F1523" i="4"/>
  <c r="D1524" i="4"/>
  <c r="C1524" i="4"/>
  <c r="E1524" i="4"/>
  <c r="F1524" i="4"/>
  <c r="D1525" i="4"/>
  <c r="C1525" i="4"/>
  <c r="E1525" i="4"/>
  <c r="F1525" i="4"/>
  <c r="D1526" i="4"/>
  <c r="C1526" i="4"/>
  <c r="E1526" i="4"/>
  <c r="F1526" i="4"/>
  <c r="D1527" i="4"/>
  <c r="C1527" i="4"/>
  <c r="E1527" i="4"/>
  <c r="F1527" i="4"/>
  <c r="D1528" i="4"/>
  <c r="C1528" i="4"/>
  <c r="E1528" i="4"/>
  <c r="F1528" i="4"/>
  <c r="D1529" i="4"/>
  <c r="C1529" i="4"/>
  <c r="E1529" i="4"/>
  <c r="F1529" i="4"/>
  <c r="D1530" i="4"/>
  <c r="C1530" i="4"/>
  <c r="E1530" i="4"/>
  <c r="F1530" i="4"/>
  <c r="D1531" i="4"/>
  <c r="C1531" i="4"/>
  <c r="E1531" i="4"/>
  <c r="F1531" i="4"/>
  <c r="D1532" i="4"/>
  <c r="C1532" i="4"/>
  <c r="E1532" i="4"/>
  <c r="F1532" i="4"/>
  <c r="D1533" i="4"/>
  <c r="C1533" i="4"/>
  <c r="E1533" i="4"/>
  <c r="F1533" i="4"/>
  <c r="D1534" i="4"/>
  <c r="C1534" i="4"/>
  <c r="E1534" i="4"/>
  <c r="F1534" i="4"/>
  <c r="D1535" i="4"/>
  <c r="C1535" i="4"/>
  <c r="E1535" i="4"/>
  <c r="F1535" i="4"/>
  <c r="D1536" i="4"/>
  <c r="C1536" i="4"/>
  <c r="E1536" i="4"/>
  <c r="F1536" i="4"/>
  <c r="D1537" i="4"/>
  <c r="C1537" i="4"/>
  <c r="E1537" i="4"/>
  <c r="F1537" i="4"/>
  <c r="D1538" i="4"/>
  <c r="C1538" i="4"/>
  <c r="E1538" i="4"/>
  <c r="F1538" i="4"/>
  <c r="D1539" i="4"/>
  <c r="C1539" i="4"/>
  <c r="E1539" i="4"/>
  <c r="F1539" i="4"/>
  <c r="D1540" i="4"/>
  <c r="C1540" i="4"/>
  <c r="E1540" i="4"/>
  <c r="F1540" i="4"/>
  <c r="D1541" i="4"/>
  <c r="C1541" i="4"/>
  <c r="E1541" i="4"/>
  <c r="F1541" i="4"/>
  <c r="D1542" i="4"/>
  <c r="C1542" i="4"/>
  <c r="E1542" i="4"/>
  <c r="F1542" i="4"/>
  <c r="D1543" i="4"/>
  <c r="C1543" i="4"/>
  <c r="E1543" i="4"/>
  <c r="F1543" i="4"/>
  <c r="D1544" i="4"/>
  <c r="C1544" i="4"/>
  <c r="E1544" i="4"/>
  <c r="F1544" i="4"/>
  <c r="D1545" i="4"/>
  <c r="C1545" i="4"/>
  <c r="E1545" i="4"/>
  <c r="F1545" i="4"/>
  <c r="D1546" i="4"/>
  <c r="C1546" i="4"/>
  <c r="E1546" i="4"/>
  <c r="F1546" i="4"/>
  <c r="D1547" i="4"/>
  <c r="C1547" i="4"/>
  <c r="E1547" i="4"/>
  <c r="F1547" i="4"/>
  <c r="D1548" i="4"/>
  <c r="C1548" i="4"/>
  <c r="E1548" i="4"/>
  <c r="F1548" i="4"/>
  <c r="D1549" i="4"/>
  <c r="C1549" i="4"/>
  <c r="E1549" i="4"/>
  <c r="F1549" i="4"/>
  <c r="D1550" i="4"/>
  <c r="C1550" i="4"/>
  <c r="E1550" i="4"/>
  <c r="F1550" i="4"/>
  <c r="D1551" i="4"/>
  <c r="C1551" i="4"/>
  <c r="E1551" i="4"/>
  <c r="F1551" i="4"/>
  <c r="D1552" i="4"/>
  <c r="C1552" i="4"/>
  <c r="E1552" i="4"/>
  <c r="F1552" i="4"/>
  <c r="D1553" i="4"/>
  <c r="C1553" i="4"/>
  <c r="E1553" i="4"/>
  <c r="F1553" i="4"/>
  <c r="D1554" i="4"/>
  <c r="C1554" i="4"/>
  <c r="E1554" i="4"/>
  <c r="F1554" i="4"/>
  <c r="D1555" i="4"/>
  <c r="C1555" i="4"/>
  <c r="E1555" i="4"/>
  <c r="F1555" i="4"/>
  <c r="D1556" i="4"/>
  <c r="C1556" i="4"/>
  <c r="E1556" i="4"/>
  <c r="F1556" i="4"/>
  <c r="D1557" i="4"/>
  <c r="C1557" i="4"/>
  <c r="E1557" i="4"/>
  <c r="F1557" i="4"/>
  <c r="D1558" i="4"/>
  <c r="C1558" i="4"/>
  <c r="E1558" i="4"/>
  <c r="F1558" i="4"/>
  <c r="D1559" i="4"/>
  <c r="C1559" i="4"/>
  <c r="E1559" i="4"/>
  <c r="F1559" i="4"/>
  <c r="D1560" i="4"/>
  <c r="C1560" i="4"/>
  <c r="E1560" i="4"/>
  <c r="F1560" i="4"/>
  <c r="D1561" i="4"/>
  <c r="C1561" i="4"/>
  <c r="E1561" i="4"/>
  <c r="F1561" i="4"/>
  <c r="D1562" i="4"/>
  <c r="C1562" i="4"/>
  <c r="E1562" i="4"/>
  <c r="F1562" i="4"/>
  <c r="D1563" i="4"/>
  <c r="C1563" i="4"/>
  <c r="E1563" i="4"/>
  <c r="F1563" i="4"/>
  <c r="D1564" i="4"/>
  <c r="C1564" i="4"/>
  <c r="E1564" i="4"/>
  <c r="F1564" i="4"/>
  <c r="D1565" i="4"/>
  <c r="C1565" i="4"/>
  <c r="E1565" i="4"/>
  <c r="F1565" i="4"/>
  <c r="D1566" i="4"/>
  <c r="C1566" i="4"/>
  <c r="E1566" i="4"/>
  <c r="F1566" i="4"/>
  <c r="D1567" i="4"/>
  <c r="C1567" i="4"/>
  <c r="E1567" i="4"/>
  <c r="F1567" i="4"/>
  <c r="D1568" i="4"/>
  <c r="C1568" i="4"/>
  <c r="E1568" i="4"/>
  <c r="F1568" i="4"/>
  <c r="D1569" i="4"/>
  <c r="C1569" i="4"/>
  <c r="E1569" i="4"/>
  <c r="F1569" i="4"/>
  <c r="D1570" i="4"/>
  <c r="C1570" i="4"/>
  <c r="E1570" i="4"/>
  <c r="F1570" i="4"/>
  <c r="D1571" i="4"/>
  <c r="C1571" i="4"/>
  <c r="E1571" i="4"/>
  <c r="F1571" i="4"/>
  <c r="D1572" i="4"/>
  <c r="C1572" i="4"/>
  <c r="E1572" i="4"/>
  <c r="F1572" i="4"/>
  <c r="D1573" i="4"/>
  <c r="C1573" i="4"/>
  <c r="E1573" i="4"/>
  <c r="F1573" i="4"/>
  <c r="D1574" i="4"/>
  <c r="C1574" i="4"/>
  <c r="E1574" i="4"/>
  <c r="F1574" i="4"/>
  <c r="D1575" i="4"/>
  <c r="C1575" i="4"/>
  <c r="E1575" i="4"/>
  <c r="F1575" i="4"/>
  <c r="D1576" i="4"/>
  <c r="C1576" i="4"/>
  <c r="E1576" i="4"/>
  <c r="F1576" i="4"/>
  <c r="D1577" i="4"/>
  <c r="C1577" i="4"/>
  <c r="E1577" i="4"/>
  <c r="F1577" i="4"/>
  <c r="D1578" i="4"/>
  <c r="C1578" i="4"/>
  <c r="E1578" i="4"/>
  <c r="F1578" i="4"/>
  <c r="D1579" i="4"/>
  <c r="C1579" i="4"/>
  <c r="E1579" i="4"/>
  <c r="F1579" i="4"/>
  <c r="D1580" i="4"/>
  <c r="C1580" i="4"/>
  <c r="E1580" i="4"/>
  <c r="F1580" i="4"/>
  <c r="D1581" i="4"/>
  <c r="C1581" i="4"/>
  <c r="E1581" i="4"/>
  <c r="F1581" i="4"/>
  <c r="D1582" i="4"/>
  <c r="C1582" i="4"/>
  <c r="E1582" i="4"/>
  <c r="F1582" i="4"/>
  <c r="D1828" i="4"/>
  <c r="C1828" i="4"/>
  <c r="E1828" i="4"/>
  <c r="F1828" i="4"/>
  <c r="D1829" i="4"/>
  <c r="C1829" i="4"/>
  <c r="E1829" i="4"/>
  <c r="F1829" i="4"/>
  <c r="D1830" i="4"/>
  <c r="C1830" i="4"/>
  <c r="E1830" i="4"/>
  <c r="F1830" i="4"/>
  <c r="D1831" i="4"/>
  <c r="C1831" i="4"/>
  <c r="E1831" i="4"/>
  <c r="F1831" i="4"/>
  <c r="D1832" i="4"/>
  <c r="C1832" i="4"/>
  <c r="E1832" i="4"/>
  <c r="F1832" i="4"/>
  <c r="D1833" i="4"/>
  <c r="C1833" i="4"/>
  <c r="E1833" i="4"/>
  <c r="F1833" i="4"/>
  <c r="D1834" i="4"/>
  <c r="C1834" i="4"/>
  <c r="E1834" i="4"/>
  <c r="F1834" i="4"/>
  <c r="D1835" i="4"/>
  <c r="C1835" i="4"/>
  <c r="E1835" i="4"/>
  <c r="F1835" i="4"/>
  <c r="D1836" i="4"/>
  <c r="C1836" i="4"/>
  <c r="E1836" i="4"/>
  <c r="F1836" i="4"/>
  <c r="D1837" i="4"/>
  <c r="C1837" i="4"/>
  <c r="E1837" i="4"/>
  <c r="F1837" i="4"/>
  <c r="D1838" i="4"/>
  <c r="C1838" i="4"/>
  <c r="E1838" i="4"/>
  <c r="F1838" i="4"/>
  <c r="D1839" i="4"/>
  <c r="C1839" i="4"/>
  <c r="E1839" i="4"/>
  <c r="F1839" i="4"/>
  <c r="D1840" i="4"/>
  <c r="C1840" i="4"/>
  <c r="E1840" i="4"/>
  <c r="F1840" i="4"/>
  <c r="D1841" i="4"/>
  <c r="C1841" i="4"/>
  <c r="E1841" i="4"/>
  <c r="F1841" i="4"/>
  <c r="D1842" i="4"/>
  <c r="C1842" i="4"/>
  <c r="E1842" i="4"/>
  <c r="F1842" i="4"/>
  <c r="D1843" i="4"/>
  <c r="C1843" i="4"/>
  <c r="E1843" i="4"/>
  <c r="F1843" i="4"/>
  <c r="D1844" i="4"/>
  <c r="C1844" i="4"/>
  <c r="E1844" i="4"/>
  <c r="F1844" i="4"/>
  <c r="D1845" i="4"/>
  <c r="C1845" i="4"/>
  <c r="E1845" i="4"/>
  <c r="F1845" i="4"/>
  <c r="D1846" i="4"/>
  <c r="C1846" i="4"/>
  <c r="E1846" i="4"/>
  <c r="F1846" i="4"/>
  <c r="D1847" i="4"/>
  <c r="C1847" i="4"/>
  <c r="E1847" i="4"/>
  <c r="F1847" i="4"/>
  <c r="D1848" i="4"/>
  <c r="C1848" i="4"/>
  <c r="E1848" i="4"/>
  <c r="F1848" i="4"/>
  <c r="D1849" i="4"/>
  <c r="C1849" i="4"/>
  <c r="E1849" i="4"/>
  <c r="F1849" i="4"/>
  <c r="D1850" i="4"/>
  <c r="C1850" i="4"/>
  <c r="E1850" i="4"/>
  <c r="F1850" i="4"/>
  <c r="D1851" i="4"/>
  <c r="C1851" i="4"/>
  <c r="E1851" i="4"/>
  <c r="F1851" i="4"/>
  <c r="D1852" i="4"/>
  <c r="C1852" i="4"/>
  <c r="E1852" i="4"/>
  <c r="F1852" i="4"/>
  <c r="D1853" i="4"/>
  <c r="C1853" i="4"/>
  <c r="E1853" i="4"/>
  <c r="F1853" i="4"/>
  <c r="D1854" i="4"/>
  <c r="C1854" i="4"/>
  <c r="E1854" i="4"/>
  <c r="F1854" i="4"/>
  <c r="D1855" i="4"/>
  <c r="C1855" i="4"/>
  <c r="E1855" i="4"/>
  <c r="F1855" i="4"/>
  <c r="D1856" i="4"/>
  <c r="C1856" i="4"/>
  <c r="E1856" i="4"/>
  <c r="F1856" i="4"/>
  <c r="D1857" i="4"/>
  <c r="C1857" i="4"/>
  <c r="E1857" i="4"/>
  <c r="F1857" i="4"/>
  <c r="D1858" i="4"/>
  <c r="C1858" i="4"/>
  <c r="E1858" i="4"/>
  <c r="F1858" i="4"/>
  <c r="D1859" i="4"/>
  <c r="C1859" i="4"/>
  <c r="E1859" i="4"/>
  <c r="F1859" i="4"/>
  <c r="D1860" i="4"/>
  <c r="C1860" i="4"/>
  <c r="E1860" i="4"/>
  <c r="F1860" i="4"/>
  <c r="D1861" i="4"/>
  <c r="C1861" i="4"/>
  <c r="E1861" i="4"/>
  <c r="F1861" i="4"/>
  <c r="D1862" i="4"/>
  <c r="C1862" i="4"/>
  <c r="E1862" i="4"/>
  <c r="F1862" i="4"/>
  <c r="D1863" i="4"/>
  <c r="C1863" i="4"/>
  <c r="E1863" i="4"/>
  <c r="F1863" i="4"/>
  <c r="D1864" i="4"/>
  <c r="C1864" i="4"/>
  <c r="E1864" i="4"/>
  <c r="F1864" i="4"/>
  <c r="D1865" i="4"/>
  <c r="C1865" i="4"/>
  <c r="E1865" i="4"/>
  <c r="F1865" i="4"/>
  <c r="D1866" i="4"/>
  <c r="C1866" i="4"/>
  <c r="E1866" i="4"/>
  <c r="F1866" i="4"/>
  <c r="D1867" i="4"/>
  <c r="C1867" i="4"/>
  <c r="E1867" i="4"/>
  <c r="F1867" i="4"/>
  <c r="D1868" i="4"/>
  <c r="C1868" i="4"/>
  <c r="E1868" i="4"/>
  <c r="F1868" i="4"/>
  <c r="D1869" i="4"/>
  <c r="C1869" i="4"/>
  <c r="E1869" i="4"/>
  <c r="F1869" i="4"/>
  <c r="D1870" i="4"/>
  <c r="C1870" i="4"/>
  <c r="E1870" i="4"/>
  <c r="F1870" i="4"/>
  <c r="D1871" i="4"/>
  <c r="C1871" i="4"/>
  <c r="E1871" i="4"/>
  <c r="F1871" i="4"/>
  <c r="D1872" i="4"/>
  <c r="C1872" i="4"/>
  <c r="E1872" i="4"/>
  <c r="F1872" i="4"/>
  <c r="D1873" i="4"/>
  <c r="C1873" i="4"/>
  <c r="E1873" i="4"/>
  <c r="F1873" i="4"/>
  <c r="D1874" i="4"/>
  <c r="C1874" i="4"/>
  <c r="E1874" i="4"/>
  <c r="F1874" i="4"/>
  <c r="D1875" i="4"/>
  <c r="C1875" i="4"/>
  <c r="E1875" i="4"/>
  <c r="F1875" i="4"/>
  <c r="D1876" i="4"/>
  <c r="C1876" i="4"/>
  <c r="E1876" i="4"/>
  <c r="F1876" i="4"/>
  <c r="D1877" i="4"/>
  <c r="C1877" i="4"/>
  <c r="E1877" i="4"/>
  <c r="F1877" i="4"/>
  <c r="D1878" i="4"/>
  <c r="C1878" i="4"/>
  <c r="E1878" i="4"/>
  <c r="F1878" i="4"/>
  <c r="D1879" i="4"/>
  <c r="C1879" i="4"/>
  <c r="E1879" i="4"/>
  <c r="F1879" i="4"/>
  <c r="D1880" i="4"/>
  <c r="C1880" i="4"/>
  <c r="E1880" i="4"/>
  <c r="F1880" i="4"/>
  <c r="D1881" i="4"/>
  <c r="C1881" i="4"/>
  <c r="E1881" i="4"/>
  <c r="F1881" i="4"/>
  <c r="D1882" i="4"/>
  <c r="C1882" i="4"/>
  <c r="E1882" i="4"/>
  <c r="F1882" i="4"/>
  <c r="D1883" i="4"/>
  <c r="C1883" i="4"/>
  <c r="E1883" i="4"/>
  <c r="F1883" i="4"/>
  <c r="D1884" i="4"/>
  <c r="C1884" i="4"/>
  <c r="E1884" i="4"/>
  <c r="F1884" i="4"/>
  <c r="D1885" i="4"/>
  <c r="C1885" i="4"/>
  <c r="E1885" i="4"/>
  <c r="F1885" i="4"/>
  <c r="D1886" i="4"/>
  <c r="C1886" i="4"/>
  <c r="E1886" i="4"/>
  <c r="F1886" i="4"/>
  <c r="D1887" i="4"/>
  <c r="C1887" i="4"/>
  <c r="E1887" i="4"/>
  <c r="F1887" i="4"/>
  <c r="D1888" i="4"/>
  <c r="C1888" i="4"/>
  <c r="E1888" i="4"/>
  <c r="F1888" i="4"/>
  <c r="D1889" i="4"/>
  <c r="C1889" i="4"/>
  <c r="E1889" i="4"/>
  <c r="F1889" i="4"/>
  <c r="D1890" i="4"/>
  <c r="C1890" i="4"/>
  <c r="E1890" i="4"/>
  <c r="F1890" i="4"/>
  <c r="D1891" i="4"/>
  <c r="C1891" i="4"/>
  <c r="E1891" i="4"/>
  <c r="F1891" i="4"/>
  <c r="D1892" i="4"/>
  <c r="C1892" i="4"/>
  <c r="E1892" i="4"/>
  <c r="F1892" i="4"/>
  <c r="D1893" i="4"/>
  <c r="C1893" i="4"/>
  <c r="E1893" i="4"/>
  <c r="F1893" i="4"/>
  <c r="D1894" i="4"/>
  <c r="C1894" i="4"/>
  <c r="E1894" i="4"/>
  <c r="F1894" i="4"/>
  <c r="D1895" i="4"/>
  <c r="C1895" i="4"/>
  <c r="E1895" i="4"/>
  <c r="F1895" i="4"/>
  <c r="D1896" i="4"/>
  <c r="C1896" i="4"/>
  <c r="E1896" i="4"/>
  <c r="F1896" i="4"/>
  <c r="D1897" i="4"/>
  <c r="C1897" i="4"/>
  <c r="E1897" i="4"/>
  <c r="F1897" i="4"/>
  <c r="D1898" i="4"/>
  <c r="C1898" i="4"/>
  <c r="E1898" i="4"/>
  <c r="F1898" i="4"/>
  <c r="D1899" i="4"/>
  <c r="C1899" i="4"/>
  <c r="E1899" i="4"/>
  <c r="F1899" i="4"/>
  <c r="D1900" i="4"/>
  <c r="C1900" i="4"/>
  <c r="E1900" i="4"/>
  <c r="F1900" i="4"/>
  <c r="D1901" i="4"/>
  <c r="C1901" i="4"/>
  <c r="E1901" i="4"/>
  <c r="F1901" i="4"/>
  <c r="D1902" i="4"/>
  <c r="C1902" i="4"/>
  <c r="E1902" i="4"/>
  <c r="F1902" i="4"/>
  <c r="D1903" i="4"/>
  <c r="C1903" i="4"/>
  <c r="E1903" i="4"/>
  <c r="F1903" i="4"/>
  <c r="D1904" i="4"/>
  <c r="C1904" i="4"/>
  <c r="E1904" i="4"/>
  <c r="F1904" i="4"/>
  <c r="D1905" i="4"/>
  <c r="C1905" i="4"/>
  <c r="E1905" i="4"/>
  <c r="F1905" i="4"/>
  <c r="D1906" i="4"/>
  <c r="C1906" i="4"/>
  <c r="E1906" i="4"/>
  <c r="F1906" i="4"/>
  <c r="D1907" i="4"/>
  <c r="C1907" i="4"/>
  <c r="E1907" i="4"/>
  <c r="F1907" i="4"/>
  <c r="D1908" i="4"/>
  <c r="C1908" i="4"/>
  <c r="E1908" i="4"/>
  <c r="F1908" i="4"/>
  <c r="D1909" i="4"/>
  <c r="C1909" i="4"/>
  <c r="E1909" i="4"/>
  <c r="F1909" i="4"/>
  <c r="D1910" i="4"/>
  <c r="C1910" i="4"/>
  <c r="E1910" i="4"/>
  <c r="F1910" i="4"/>
  <c r="D1911" i="4"/>
  <c r="C1911" i="4"/>
  <c r="E1911" i="4"/>
  <c r="F1911" i="4"/>
  <c r="D1912" i="4"/>
  <c r="C1912" i="4"/>
  <c r="E1912" i="4"/>
  <c r="F1912" i="4"/>
  <c r="D1913" i="4"/>
  <c r="C1913" i="4"/>
  <c r="E1913" i="4"/>
  <c r="F1913" i="4"/>
  <c r="D1914" i="4"/>
  <c r="C1914" i="4"/>
  <c r="E1914" i="4"/>
  <c r="F1914" i="4"/>
  <c r="D1915" i="4"/>
  <c r="C1915" i="4"/>
  <c r="E1915" i="4"/>
  <c r="F1915" i="4"/>
  <c r="D1916" i="4"/>
  <c r="C1916" i="4"/>
  <c r="E1916" i="4"/>
  <c r="F1916" i="4"/>
  <c r="D1917" i="4"/>
  <c r="C1917" i="4"/>
  <c r="E1917" i="4"/>
  <c r="F1917" i="4"/>
  <c r="D1918" i="4"/>
  <c r="C1918" i="4"/>
  <c r="E1918" i="4"/>
  <c r="F1918" i="4"/>
  <c r="D1919" i="4"/>
  <c r="C1919" i="4"/>
  <c r="E1919" i="4"/>
  <c r="F1919" i="4"/>
  <c r="D1920" i="4"/>
  <c r="C1920" i="4"/>
  <c r="E1920" i="4"/>
  <c r="F1920" i="4"/>
  <c r="D1921" i="4"/>
  <c r="C1921" i="4"/>
  <c r="E1921" i="4"/>
  <c r="F1921" i="4"/>
  <c r="D1922" i="4"/>
  <c r="C1922" i="4"/>
  <c r="E1922" i="4"/>
  <c r="F1922" i="4"/>
  <c r="D1923" i="4"/>
  <c r="C1923" i="4"/>
  <c r="E1923" i="4"/>
  <c r="F1923" i="4"/>
  <c r="D1924" i="4"/>
  <c r="C1924" i="4"/>
  <c r="E1924" i="4"/>
  <c r="F1924" i="4"/>
  <c r="D1925" i="4"/>
  <c r="C1925" i="4"/>
  <c r="E1925" i="4"/>
  <c r="F1925" i="4"/>
  <c r="D1926" i="4"/>
  <c r="C1926" i="4"/>
  <c r="E1926" i="4"/>
  <c r="F1926" i="4"/>
  <c r="D1927" i="4"/>
  <c r="C1927" i="4"/>
  <c r="E1927" i="4"/>
  <c r="F1927" i="4"/>
  <c r="D1928" i="4"/>
  <c r="C1928" i="4"/>
  <c r="E1928" i="4"/>
  <c r="F1928" i="4"/>
  <c r="D1929" i="4"/>
  <c r="C1929" i="4"/>
  <c r="E1929" i="4"/>
  <c r="F1929" i="4"/>
  <c r="D1930" i="4"/>
  <c r="C1930" i="4"/>
  <c r="E1930" i="4"/>
  <c r="F1930" i="4"/>
  <c r="D1931" i="4"/>
  <c r="C1931" i="4"/>
  <c r="E1931" i="4"/>
  <c r="F1931" i="4"/>
  <c r="D1932" i="4"/>
  <c r="C1932" i="4"/>
  <c r="E1932" i="4"/>
  <c r="F1932" i="4"/>
  <c r="D1933" i="4"/>
  <c r="C1933" i="4"/>
  <c r="E1933" i="4"/>
  <c r="F1933" i="4"/>
  <c r="D1934" i="4"/>
  <c r="C1934" i="4"/>
  <c r="E1934" i="4"/>
  <c r="F1934" i="4"/>
  <c r="D1935" i="4"/>
  <c r="C1935" i="4"/>
  <c r="E1935" i="4"/>
  <c r="F1935" i="4"/>
  <c r="D1936" i="4"/>
  <c r="C1936" i="4"/>
  <c r="E1936" i="4"/>
  <c r="F1936" i="4"/>
  <c r="D1937" i="4"/>
  <c r="C1937" i="4"/>
  <c r="E1937" i="4"/>
  <c r="F1937" i="4"/>
  <c r="D1938" i="4"/>
  <c r="C1938" i="4"/>
  <c r="E1938" i="4"/>
  <c r="F1938" i="4"/>
  <c r="D1939" i="4"/>
  <c r="C1939" i="4"/>
  <c r="E1939" i="4"/>
  <c r="F1939" i="4"/>
  <c r="D1940" i="4"/>
  <c r="C1940" i="4"/>
  <c r="E1940" i="4"/>
  <c r="F1940" i="4"/>
  <c r="D1941" i="4"/>
  <c r="C1941" i="4"/>
  <c r="E1941" i="4"/>
  <c r="F1941" i="4"/>
  <c r="D1942" i="4"/>
  <c r="C1942" i="4"/>
  <c r="E1942" i="4"/>
  <c r="F1942" i="4"/>
  <c r="D1943" i="4"/>
  <c r="C1943" i="4"/>
  <c r="E1943" i="4"/>
  <c r="F1943" i="4"/>
  <c r="D1944" i="4"/>
  <c r="C1944" i="4"/>
  <c r="E1944" i="4"/>
  <c r="F1944" i="4"/>
  <c r="D1945" i="4"/>
  <c r="C1945" i="4"/>
  <c r="E1945" i="4"/>
  <c r="F1945" i="4"/>
  <c r="D1946" i="4"/>
  <c r="C1946" i="4"/>
  <c r="E1946" i="4"/>
  <c r="F1946" i="4"/>
  <c r="D1947" i="4"/>
  <c r="C1947" i="4"/>
  <c r="E1947" i="4"/>
  <c r="F1947" i="4"/>
  <c r="D2193" i="4"/>
  <c r="C2193" i="4"/>
  <c r="E2193" i="4"/>
  <c r="F2193" i="4"/>
  <c r="D2194" i="4"/>
  <c r="C2194" i="4"/>
  <c r="E2194" i="4"/>
  <c r="F2194" i="4"/>
  <c r="D2195" i="4"/>
  <c r="C2195" i="4"/>
  <c r="E2195" i="4"/>
  <c r="F2195" i="4"/>
  <c r="D2196" i="4"/>
  <c r="C2196" i="4"/>
  <c r="E2196" i="4"/>
  <c r="F2196" i="4"/>
  <c r="D2197" i="4"/>
  <c r="C2197" i="4"/>
  <c r="E2197" i="4"/>
  <c r="F2197" i="4"/>
  <c r="D2198" i="4"/>
  <c r="C2198" i="4"/>
  <c r="E2198" i="4"/>
  <c r="F2198" i="4"/>
  <c r="D2199" i="4"/>
  <c r="C2199" i="4"/>
  <c r="E2199" i="4"/>
  <c r="F2199" i="4"/>
  <c r="D2200" i="4"/>
  <c r="C2200" i="4"/>
  <c r="E2200" i="4"/>
  <c r="F2200" i="4"/>
  <c r="D2201" i="4"/>
  <c r="C2201" i="4"/>
  <c r="E2201" i="4"/>
  <c r="F2201" i="4"/>
  <c r="D2202" i="4"/>
  <c r="C2202" i="4"/>
  <c r="E2202" i="4"/>
  <c r="F2202" i="4"/>
  <c r="D2203" i="4"/>
  <c r="C2203" i="4"/>
  <c r="E2203" i="4"/>
  <c r="F2203" i="4"/>
  <c r="D2204" i="4"/>
  <c r="C2204" i="4"/>
  <c r="E2204" i="4"/>
  <c r="F2204" i="4"/>
  <c r="D2205" i="4"/>
  <c r="C2205" i="4"/>
  <c r="E2205" i="4"/>
  <c r="F2205" i="4"/>
  <c r="D2206" i="4"/>
  <c r="C2206" i="4"/>
  <c r="E2206" i="4"/>
  <c r="F2206" i="4"/>
  <c r="D2207" i="4"/>
  <c r="C2207" i="4"/>
  <c r="E2207" i="4"/>
  <c r="F2207" i="4"/>
  <c r="D2208" i="4"/>
  <c r="C2208" i="4"/>
  <c r="E2208" i="4"/>
  <c r="F2208" i="4"/>
  <c r="D2209" i="4"/>
  <c r="C2209" i="4"/>
  <c r="E2209" i="4"/>
  <c r="F2209" i="4"/>
  <c r="D2210" i="4"/>
  <c r="C2210" i="4"/>
  <c r="E2210" i="4"/>
  <c r="F2210" i="4"/>
  <c r="D2211" i="4"/>
  <c r="C2211" i="4"/>
  <c r="E2211" i="4"/>
  <c r="F2211" i="4"/>
  <c r="D2212" i="4"/>
  <c r="C2212" i="4"/>
  <c r="E2212" i="4"/>
  <c r="F2212" i="4"/>
  <c r="D2213" i="4"/>
  <c r="C2213" i="4"/>
  <c r="E2213" i="4"/>
  <c r="F2213" i="4"/>
  <c r="D2214" i="4"/>
  <c r="C2214" i="4"/>
  <c r="E2214" i="4"/>
  <c r="F2214" i="4"/>
  <c r="D2215" i="4"/>
  <c r="C2215" i="4"/>
  <c r="E2215" i="4"/>
  <c r="F2215" i="4"/>
  <c r="D2216" i="4"/>
  <c r="C2216" i="4"/>
  <c r="E2216" i="4"/>
  <c r="F2216" i="4"/>
  <c r="D2217" i="4"/>
  <c r="C2217" i="4"/>
  <c r="E2217" i="4"/>
  <c r="F2217" i="4"/>
  <c r="D2218" i="4"/>
  <c r="C2218" i="4"/>
  <c r="E2218" i="4"/>
  <c r="F2218" i="4"/>
  <c r="D2219" i="4"/>
  <c r="C2219" i="4"/>
  <c r="E2219" i="4"/>
  <c r="F2219" i="4"/>
  <c r="D2220" i="4"/>
  <c r="C2220" i="4"/>
  <c r="E2220" i="4"/>
  <c r="F2220" i="4"/>
  <c r="D2221" i="4"/>
  <c r="C2221" i="4"/>
  <c r="E2221" i="4"/>
  <c r="F2221" i="4"/>
  <c r="D2222" i="4"/>
  <c r="C2222" i="4"/>
  <c r="E2222" i="4"/>
  <c r="F2222" i="4"/>
  <c r="D2223" i="4"/>
  <c r="C2223" i="4"/>
  <c r="E2223" i="4"/>
  <c r="F2223" i="4"/>
  <c r="D2224" i="4"/>
  <c r="C2224" i="4"/>
  <c r="E2224" i="4"/>
  <c r="F2224" i="4"/>
  <c r="D2225" i="4"/>
  <c r="C2225" i="4"/>
  <c r="E2225" i="4"/>
  <c r="F2225" i="4"/>
  <c r="D2226" i="4"/>
  <c r="C2226" i="4"/>
  <c r="E2226" i="4"/>
  <c r="F2226" i="4"/>
  <c r="D2227" i="4"/>
  <c r="C2227" i="4"/>
  <c r="E2227" i="4"/>
  <c r="F2227" i="4"/>
  <c r="D2228" i="4"/>
  <c r="C2228" i="4"/>
  <c r="E2228" i="4"/>
  <c r="F2228" i="4"/>
  <c r="D2229" i="4"/>
  <c r="C2229" i="4"/>
  <c r="E2229" i="4"/>
  <c r="F2229" i="4"/>
  <c r="D2230" i="4"/>
  <c r="C2230" i="4"/>
  <c r="E2230" i="4"/>
  <c r="F2230" i="4"/>
  <c r="D2231" i="4"/>
  <c r="C2231" i="4"/>
  <c r="E2231" i="4"/>
  <c r="F2231" i="4"/>
  <c r="D2232" i="4"/>
  <c r="C2232" i="4"/>
  <c r="E2232" i="4"/>
  <c r="F2232" i="4"/>
  <c r="D2233" i="4"/>
  <c r="C2233" i="4"/>
  <c r="E2233" i="4"/>
  <c r="F2233" i="4"/>
  <c r="D2234" i="4"/>
  <c r="C2234" i="4"/>
  <c r="E2234" i="4"/>
  <c r="F2234" i="4"/>
  <c r="D2235" i="4"/>
  <c r="C2235" i="4"/>
  <c r="E2235" i="4"/>
  <c r="F2235" i="4"/>
  <c r="D2236" i="4"/>
  <c r="C2236" i="4"/>
  <c r="E2236" i="4"/>
  <c r="F2236" i="4"/>
  <c r="D2237" i="4"/>
  <c r="C2237" i="4"/>
  <c r="E2237" i="4"/>
  <c r="F2237" i="4"/>
  <c r="D2238" i="4"/>
  <c r="C2238" i="4"/>
  <c r="E2238" i="4"/>
  <c r="F2238" i="4"/>
  <c r="D2239" i="4"/>
  <c r="C2239" i="4"/>
  <c r="E2239" i="4"/>
  <c r="F2239" i="4"/>
  <c r="D2240" i="4"/>
  <c r="C2240" i="4"/>
  <c r="E2240" i="4"/>
  <c r="F2240" i="4"/>
  <c r="D2241" i="4"/>
  <c r="C2241" i="4"/>
  <c r="E2241" i="4"/>
  <c r="F2241" i="4"/>
  <c r="D2242" i="4"/>
  <c r="C2242" i="4"/>
  <c r="E2242" i="4"/>
  <c r="F2242" i="4"/>
  <c r="D2243" i="4"/>
  <c r="C2243" i="4"/>
  <c r="E2243" i="4"/>
  <c r="F2243" i="4"/>
  <c r="D2244" i="4"/>
  <c r="C2244" i="4"/>
  <c r="E2244" i="4"/>
  <c r="F2244" i="4"/>
  <c r="D2245" i="4"/>
  <c r="C2245" i="4"/>
  <c r="E2245" i="4"/>
  <c r="F2245" i="4"/>
  <c r="D2246" i="4"/>
  <c r="C2246" i="4"/>
  <c r="E2246" i="4"/>
  <c r="F2246" i="4"/>
  <c r="D2247" i="4"/>
  <c r="C2247" i="4"/>
  <c r="E2247" i="4"/>
  <c r="F2247" i="4"/>
  <c r="D2248" i="4"/>
  <c r="C2248" i="4"/>
  <c r="E2248" i="4"/>
  <c r="F2248" i="4"/>
  <c r="D2249" i="4"/>
  <c r="C2249" i="4"/>
  <c r="E2249" i="4"/>
  <c r="F2249" i="4"/>
  <c r="D2250" i="4"/>
  <c r="C2250" i="4"/>
  <c r="E2250" i="4"/>
  <c r="F2250" i="4"/>
  <c r="D2251" i="4"/>
  <c r="C2251" i="4"/>
  <c r="E2251" i="4"/>
  <c r="F2251" i="4"/>
  <c r="D2252" i="4"/>
  <c r="C2252" i="4"/>
  <c r="E2252" i="4"/>
  <c r="F2252" i="4"/>
  <c r="D2253" i="4"/>
  <c r="C2253" i="4"/>
  <c r="E2253" i="4"/>
  <c r="F2253" i="4"/>
  <c r="D2254" i="4"/>
  <c r="C2254" i="4"/>
  <c r="E2254" i="4"/>
  <c r="F2254" i="4"/>
  <c r="D2255" i="4"/>
  <c r="C2255" i="4"/>
  <c r="E2255" i="4"/>
  <c r="F2255" i="4"/>
  <c r="D2256" i="4"/>
  <c r="C2256" i="4"/>
  <c r="E2256" i="4"/>
  <c r="F2256" i="4"/>
  <c r="D2257" i="4"/>
  <c r="C2257" i="4"/>
  <c r="E2257" i="4"/>
  <c r="F2257" i="4"/>
  <c r="D2258" i="4"/>
  <c r="C2258" i="4"/>
  <c r="E2258" i="4"/>
  <c r="F2258" i="4"/>
  <c r="D2259" i="4"/>
  <c r="C2259" i="4"/>
  <c r="E2259" i="4"/>
  <c r="F2259" i="4"/>
  <c r="D2260" i="4"/>
  <c r="C2260" i="4"/>
  <c r="E2260" i="4"/>
  <c r="F2260" i="4"/>
  <c r="D2261" i="4"/>
  <c r="C2261" i="4"/>
  <c r="E2261" i="4"/>
  <c r="F2261" i="4"/>
  <c r="D2262" i="4"/>
  <c r="C2262" i="4"/>
  <c r="E2262" i="4"/>
  <c r="F2262" i="4"/>
  <c r="D2263" i="4"/>
  <c r="C2263" i="4"/>
  <c r="E2263" i="4"/>
  <c r="F2263" i="4"/>
  <c r="D2264" i="4"/>
  <c r="C2264" i="4"/>
  <c r="E2264" i="4"/>
  <c r="F2264" i="4"/>
  <c r="D2265" i="4"/>
  <c r="C2265" i="4"/>
  <c r="E2265" i="4"/>
  <c r="F2265" i="4"/>
  <c r="D2266" i="4"/>
  <c r="C2266" i="4"/>
  <c r="E2266" i="4"/>
  <c r="F2266" i="4"/>
  <c r="D2267" i="4"/>
  <c r="C2267" i="4"/>
  <c r="E2267" i="4"/>
  <c r="F2267" i="4"/>
  <c r="D2268" i="4"/>
  <c r="C2268" i="4"/>
  <c r="E2268" i="4"/>
  <c r="F2268" i="4"/>
  <c r="D2269" i="4"/>
  <c r="C2269" i="4"/>
  <c r="E2269" i="4"/>
  <c r="F2269" i="4"/>
  <c r="D2270" i="4"/>
  <c r="C2270" i="4"/>
  <c r="E2270" i="4"/>
  <c r="F2270" i="4"/>
  <c r="D2271" i="4"/>
  <c r="C2271" i="4"/>
  <c r="E2271" i="4"/>
  <c r="F2271" i="4"/>
  <c r="D2272" i="4"/>
  <c r="C2272" i="4"/>
  <c r="E2272" i="4"/>
  <c r="F2272" i="4"/>
  <c r="D2273" i="4"/>
  <c r="C2273" i="4"/>
  <c r="E2273" i="4"/>
  <c r="F2273" i="4"/>
  <c r="D2274" i="4"/>
  <c r="C2274" i="4"/>
  <c r="E2274" i="4"/>
  <c r="F2274" i="4"/>
  <c r="D2275" i="4"/>
  <c r="C2275" i="4"/>
  <c r="E2275" i="4"/>
  <c r="F2275" i="4"/>
  <c r="D2276" i="4"/>
  <c r="C2276" i="4"/>
  <c r="E2276" i="4"/>
  <c r="F2276" i="4"/>
  <c r="D2277" i="4"/>
  <c r="C2277" i="4"/>
  <c r="E2277" i="4"/>
  <c r="F2277" i="4"/>
  <c r="D2278" i="4"/>
  <c r="C2278" i="4"/>
  <c r="E2278" i="4"/>
  <c r="F2278" i="4"/>
  <c r="D2279" i="4"/>
  <c r="C2279" i="4"/>
  <c r="E2279" i="4"/>
  <c r="F2279" i="4"/>
  <c r="D2280" i="4"/>
  <c r="C2280" i="4"/>
  <c r="E2280" i="4"/>
  <c r="F2280" i="4"/>
  <c r="D2281" i="4"/>
  <c r="C2281" i="4"/>
  <c r="E2281" i="4"/>
  <c r="F2281" i="4"/>
  <c r="D2282" i="4"/>
  <c r="C2282" i="4"/>
  <c r="E2282" i="4"/>
  <c r="F2282" i="4"/>
  <c r="D2283" i="4"/>
  <c r="C2283" i="4"/>
  <c r="E2283" i="4"/>
  <c r="F2283" i="4"/>
  <c r="D2284" i="4"/>
  <c r="C2284" i="4"/>
  <c r="E2284" i="4"/>
  <c r="F2284" i="4"/>
  <c r="D2285" i="4"/>
  <c r="C2285" i="4"/>
  <c r="E2285" i="4"/>
  <c r="F2285" i="4"/>
  <c r="D2286" i="4"/>
  <c r="C2286" i="4"/>
  <c r="E2286" i="4"/>
  <c r="F2286" i="4"/>
  <c r="D2287" i="4"/>
  <c r="C2287" i="4"/>
  <c r="E2287" i="4"/>
  <c r="F2287" i="4"/>
  <c r="D2288" i="4"/>
  <c r="C2288" i="4"/>
  <c r="E2288" i="4"/>
  <c r="F2288" i="4"/>
  <c r="D2289" i="4"/>
  <c r="C2289" i="4"/>
  <c r="E2289" i="4"/>
  <c r="F2289" i="4"/>
  <c r="D2290" i="4"/>
  <c r="C2290" i="4"/>
  <c r="E2290" i="4"/>
  <c r="F2290" i="4"/>
  <c r="D2291" i="4"/>
  <c r="C2291" i="4"/>
  <c r="E2291" i="4"/>
  <c r="F2291" i="4"/>
  <c r="D2292" i="4"/>
  <c r="C2292" i="4"/>
  <c r="E2292" i="4"/>
  <c r="F2292" i="4"/>
  <c r="D2293" i="4"/>
  <c r="C2293" i="4"/>
  <c r="E2293" i="4"/>
  <c r="F2293" i="4"/>
  <c r="D2294" i="4"/>
  <c r="C2294" i="4"/>
  <c r="E2294" i="4"/>
  <c r="F2294" i="4"/>
  <c r="D2295" i="4"/>
  <c r="C2295" i="4"/>
  <c r="E2295" i="4"/>
  <c r="F2295" i="4"/>
  <c r="D2296" i="4"/>
  <c r="C2296" i="4"/>
  <c r="E2296" i="4"/>
  <c r="F2296" i="4"/>
  <c r="D2297" i="4"/>
  <c r="C2297" i="4"/>
  <c r="E2297" i="4"/>
  <c r="F2297" i="4"/>
  <c r="D2298" i="4"/>
  <c r="C2298" i="4"/>
  <c r="E2298" i="4"/>
  <c r="F2298" i="4"/>
  <c r="D2299" i="4"/>
  <c r="C2299" i="4"/>
  <c r="E2299" i="4"/>
  <c r="F2299" i="4"/>
  <c r="D2300" i="4"/>
  <c r="C2300" i="4"/>
  <c r="E2300" i="4"/>
  <c r="F2300" i="4"/>
  <c r="D2301" i="4"/>
  <c r="C2301" i="4"/>
  <c r="E2301" i="4"/>
  <c r="F2301" i="4"/>
  <c r="D2302" i="4"/>
  <c r="C2302" i="4"/>
  <c r="E2302" i="4"/>
  <c r="F2302" i="4"/>
  <c r="D2303" i="4"/>
  <c r="C2303" i="4"/>
  <c r="E2303" i="4"/>
  <c r="F2303" i="4"/>
  <c r="D2304" i="4"/>
  <c r="C2304" i="4"/>
  <c r="E2304" i="4"/>
  <c r="F2304" i="4"/>
  <c r="D2305" i="4"/>
  <c r="C2305" i="4"/>
  <c r="E2305" i="4"/>
  <c r="F2305" i="4"/>
  <c r="D2306" i="4"/>
  <c r="C2306" i="4"/>
  <c r="E2306" i="4"/>
  <c r="F2306" i="4"/>
  <c r="D2307" i="4"/>
  <c r="C2307" i="4"/>
  <c r="E2307" i="4"/>
  <c r="F2307" i="4"/>
  <c r="D2308" i="4"/>
  <c r="C2308" i="4"/>
  <c r="E2308" i="4"/>
  <c r="F2308" i="4"/>
  <c r="D2309" i="4"/>
  <c r="C2309" i="4"/>
  <c r="E2309" i="4"/>
  <c r="F2309" i="4"/>
  <c r="D2310" i="4"/>
  <c r="C2310" i="4"/>
  <c r="E2310" i="4"/>
  <c r="F2310" i="4"/>
  <c r="D2311" i="4"/>
  <c r="C2311" i="4"/>
  <c r="E2311" i="4"/>
  <c r="F2311" i="4"/>
  <c r="D2312" i="4"/>
  <c r="C2312" i="4"/>
  <c r="E2312" i="4"/>
  <c r="F2312" i="4"/>
</calcChain>
</file>

<file path=xl/sharedStrings.xml><?xml version="1.0" encoding="utf-8"?>
<sst xmlns="http://schemas.openxmlformats.org/spreadsheetml/2006/main" count="61" uniqueCount="33">
  <si>
    <t>year</t>
  </si>
  <si>
    <t>jday</t>
  </si>
  <si>
    <t>high</t>
  </si>
  <si>
    <t>low</t>
  </si>
  <si>
    <t>Hday</t>
  </si>
  <si>
    <t>mj/m2</t>
  </si>
  <si>
    <t>=</t>
  </si>
  <si>
    <t>°C</t>
  </si>
  <si>
    <t>Tbase,mx(corn)</t>
  </si>
  <si>
    <t>Tbase,mn(corn)</t>
  </si>
  <si>
    <t>Thu</t>
  </si>
  <si>
    <t>Thu,min</t>
  </si>
  <si>
    <t>Thu,mx</t>
  </si>
  <si>
    <t>HU</t>
  </si>
  <si>
    <t>frPHU</t>
  </si>
  <si>
    <t>PHU(corn)</t>
  </si>
  <si>
    <t>sumHU</t>
  </si>
  <si>
    <t>plantdate(corn)</t>
  </si>
  <si>
    <t>frPHU,1 (corn)</t>
  </si>
  <si>
    <t>frPHU,2 (corn)</t>
  </si>
  <si>
    <t>frLAI,1 (corn)</t>
  </si>
  <si>
    <t>frLAI,2 (corn)</t>
  </si>
  <si>
    <t>frPHU,sen (corn)</t>
  </si>
  <si>
    <t>frLAImx</t>
  </si>
  <si>
    <t>ΔLAI</t>
  </si>
  <si>
    <t>LAImx (corn)</t>
  </si>
  <si>
    <t>LAI</t>
  </si>
  <si>
    <t>harvest (corn)</t>
  </si>
  <si>
    <t xml:space="preserve"> </t>
  </si>
  <si>
    <t>Hphosyn</t>
  </si>
  <si>
    <t>RUE (corn)</t>
  </si>
  <si>
    <t>Δbiomax</t>
  </si>
  <si>
    <t>kg/ha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</si>
</sst>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4" fontId="0" fillId="0" borderId="0" xfId="0" applyNumberFormat="1" applyFont="1"/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0</xdr:col>
      <xdr:colOff>114300</xdr:colOff>
      <xdr:row>14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114300</xdr:colOff>
      <xdr:row>15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133350</xdr:colOff>
      <xdr:row>18</xdr:row>
      <xdr:rowOff>190500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"/>
          <a:ext cx="1333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36"/>
  <sheetViews>
    <sheetView workbookViewId="0">
      <selection activeCell="G9" sqref="G9"/>
    </sheetView>
  </sheetViews>
  <sheetFormatPr baseColWidth="10" defaultColWidth="8.83203125" defaultRowHeight="15" x14ac:dyDescent="0.2"/>
  <cols>
    <col min="1" max="1" width="10.6640625" bestFit="1" customWidth="1"/>
  </cols>
  <sheetData>
    <row r="1" spans="1:5" x14ac:dyDescent="0.2">
      <c r="E1" t="s">
        <v>4</v>
      </c>
    </row>
    <row r="2" spans="1:5" x14ac:dyDescent="0.2">
      <c r="A2" t="s">
        <v>0</v>
      </c>
      <c r="B2" t="s">
        <v>1</v>
      </c>
      <c r="C2" t="s">
        <v>2</v>
      </c>
      <c r="D2" t="s">
        <v>3</v>
      </c>
      <c r="E2" t="s">
        <v>5</v>
      </c>
    </row>
    <row r="3" spans="1:5" x14ac:dyDescent="0.2">
      <c r="A3" s="1">
        <v>40179</v>
      </c>
      <c r="B3">
        <v>1</v>
      </c>
      <c r="C3">
        <v>-6.1111111111111116</v>
      </c>
      <c r="D3">
        <v>-20</v>
      </c>
      <c r="E3">
        <v>4.9911111111111106</v>
      </c>
    </row>
    <row r="4" spans="1:5" x14ac:dyDescent="0.2">
      <c r="A4" s="1">
        <v>40180</v>
      </c>
      <c r="B4">
        <v>2</v>
      </c>
      <c r="C4">
        <v>-8.8888888888888893</v>
      </c>
      <c r="D4">
        <v>-21.111111111111111</v>
      </c>
      <c r="E4">
        <v>5.0022222222222226</v>
      </c>
    </row>
    <row r="5" spans="1:5" x14ac:dyDescent="0.2">
      <c r="A5" s="1">
        <v>40181</v>
      </c>
      <c r="B5">
        <v>3</v>
      </c>
      <c r="C5">
        <v>-14.444444444444445</v>
      </c>
      <c r="D5">
        <v>-25.555555555555554</v>
      </c>
      <c r="E5">
        <v>5.4333333333333336</v>
      </c>
    </row>
    <row r="6" spans="1:5" x14ac:dyDescent="0.2">
      <c r="A6" s="1">
        <v>40182</v>
      </c>
      <c r="B6">
        <v>4</v>
      </c>
      <c r="C6">
        <v>-11.666666666666668</v>
      </c>
      <c r="D6">
        <v>-22.222222222222221</v>
      </c>
      <c r="E6">
        <v>5.8600000000000012</v>
      </c>
    </row>
    <row r="7" spans="1:5" x14ac:dyDescent="0.2">
      <c r="A7" s="1">
        <v>40183</v>
      </c>
      <c r="B7">
        <v>5</v>
      </c>
      <c r="C7">
        <v>-8.3333333333333339</v>
      </c>
      <c r="D7">
        <v>-20</v>
      </c>
      <c r="E7">
        <v>5.8844444444444459</v>
      </c>
    </row>
    <row r="8" spans="1:5" x14ac:dyDescent="0.2">
      <c r="A8" s="1">
        <v>40184</v>
      </c>
      <c r="B8">
        <v>6</v>
      </c>
      <c r="C8">
        <v>-6.6666666666666661</v>
      </c>
      <c r="D8">
        <v>-18.888888888888889</v>
      </c>
      <c r="E8">
        <v>5.9622222222222225</v>
      </c>
    </row>
    <row r="9" spans="1:5" x14ac:dyDescent="0.2">
      <c r="A9" s="1">
        <v>40185</v>
      </c>
      <c r="B9">
        <v>7</v>
      </c>
      <c r="C9">
        <v>-7.7777777777777777</v>
      </c>
      <c r="D9">
        <v>-17.222222222222221</v>
      </c>
      <c r="E9">
        <v>6.1066666666666682</v>
      </c>
    </row>
    <row r="10" spans="1:5" x14ac:dyDescent="0.2">
      <c r="A10" s="1">
        <v>40186</v>
      </c>
      <c r="B10">
        <v>8</v>
      </c>
      <c r="C10">
        <v>-3.333333333333333</v>
      </c>
      <c r="D10">
        <v>-9.4444444444444446</v>
      </c>
      <c r="E10">
        <v>6.2755555555555587</v>
      </c>
    </row>
    <row r="11" spans="1:5" x14ac:dyDescent="0.2">
      <c r="A11" s="1">
        <v>40187</v>
      </c>
      <c r="B11">
        <v>9</v>
      </c>
      <c r="C11">
        <v>-8.3333333333333339</v>
      </c>
      <c r="D11">
        <v>-27.222222222222221</v>
      </c>
      <c r="E11">
        <v>6.2377777777777776</v>
      </c>
    </row>
    <row r="12" spans="1:5" x14ac:dyDescent="0.2">
      <c r="A12" s="1">
        <v>40188</v>
      </c>
      <c r="B12">
        <v>10</v>
      </c>
      <c r="C12">
        <v>-8.8888888888888893</v>
      </c>
      <c r="D12">
        <v>-26.666666666666664</v>
      </c>
      <c r="E12">
        <v>6.6755555555555537</v>
      </c>
    </row>
    <row r="13" spans="1:5" x14ac:dyDescent="0.2">
      <c r="A13" s="1">
        <v>40189</v>
      </c>
      <c r="B13">
        <v>11</v>
      </c>
      <c r="C13">
        <v>-8.3333333333333339</v>
      </c>
      <c r="D13">
        <v>-16.666666666666668</v>
      </c>
      <c r="E13">
        <v>5.9155555555555575</v>
      </c>
    </row>
    <row r="14" spans="1:5" x14ac:dyDescent="0.2">
      <c r="A14" s="1">
        <v>40190</v>
      </c>
      <c r="B14">
        <v>12</v>
      </c>
      <c r="C14">
        <v>-3.333333333333333</v>
      </c>
      <c r="D14">
        <v>-17.777777777777779</v>
      </c>
      <c r="E14">
        <v>5.7666666666666666</v>
      </c>
    </row>
    <row r="15" spans="1:5" x14ac:dyDescent="0.2">
      <c r="A15" s="1">
        <v>40191</v>
      </c>
      <c r="B15">
        <v>13</v>
      </c>
      <c r="C15">
        <v>-2.7777777777777777</v>
      </c>
      <c r="D15">
        <v>-20</v>
      </c>
      <c r="E15">
        <v>6.44</v>
      </c>
    </row>
    <row r="16" spans="1:5" x14ac:dyDescent="0.2">
      <c r="A16" s="1">
        <v>40192</v>
      </c>
      <c r="B16">
        <v>14</v>
      </c>
      <c r="C16">
        <v>1.6666666666666665</v>
      </c>
      <c r="D16">
        <v>-7.7777777777777777</v>
      </c>
      <c r="E16">
        <v>6.0333333333333332</v>
      </c>
    </row>
    <row r="17" spans="1:5" x14ac:dyDescent="0.2">
      <c r="A17" s="1">
        <v>40193</v>
      </c>
      <c r="B17">
        <v>15</v>
      </c>
      <c r="C17">
        <v>3.333333333333333</v>
      </c>
      <c r="D17">
        <v>-3.8888888888888888</v>
      </c>
      <c r="E17">
        <v>6.6888888888888864</v>
      </c>
    </row>
    <row r="18" spans="1:5" x14ac:dyDescent="0.2">
      <c r="A18" s="1">
        <v>40194</v>
      </c>
      <c r="B18">
        <v>16</v>
      </c>
      <c r="C18">
        <v>-2.2222222222222223</v>
      </c>
      <c r="D18">
        <v>-6.1111111111111116</v>
      </c>
      <c r="E18">
        <v>6.5733333333333333</v>
      </c>
    </row>
    <row r="19" spans="1:5" x14ac:dyDescent="0.2">
      <c r="A19" s="1">
        <v>40195</v>
      </c>
      <c r="B19">
        <v>17</v>
      </c>
      <c r="C19">
        <v>-2.2222222222222223</v>
      </c>
      <c r="D19">
        <v>-6.1111111111111116</v>
      </c>
      <c r="E19">
        <v>6.46</v>
      </c>
    </row>
    <row r="20" spans="1:5" x14ac:dyDescent="0.2">
      <c r="A20" s="1">
        <v>40196</v>
      </c>
      <c r="B20">
        <v>18</v>
      </c>
      <c r="C20">
        <v>-1.6666666666666665</v>
      </c>
      <c r="D20">
        <v>-8.3333333333333339</v>
      </c>
      <c r="E20">
        <v>6.8355555555555547</v>
      </c>
    </row>
    <row r="21" spans="1:5" x14ac:dyDescent="0.2">
      <c r="A21" s="1">
        <v>40197</v>
      </c>
      <c r="B21">
        <v>19</v>
      </c>
      <c r="C21">
        <v>1.6666666666666665</v>
      </c>
      <c r="D21">
        <v>-9.4444444444444446</v>
      </c>
      <c r="E21">
        <v>6.5555555555555554</v>
      </c>
    </row>
    <row r="22" spans="1:5" x14ac:dyDescent="0.2">
      <c r="A22" s="1">
        <v>40198</v>
      </c>
      <c r="B22">
        <v>20</v>
      </c>
      <c r="C22">
        <v>-0.55555555555555558</v>
      </c>
      <c r="D22">
        <v>-13.333333333333332</v>
      </c>
      <c r="E22">
        <v>6.5533333333333337</v>
      </c>
    </row>
    <row r="23" spans="1:5" x14ac:dyDescent="0.2">
      <c r="A23" s="1">
        <v>40199</v>
      </c>
      <c r="B23">
        <v>21</v>
      </c>
      <c r="C23">
        <v>-1.1111111111111112</v>
      </c>
      <c r="D23">
        <v>-3.333333333333333</v>
      </c>
      <c r="E23">
        <v>6.5222222222222221</v>
      </c>
    </row>
    <row r="24" spans="1:5" x14ac:dyDescent="0.2">
      <c r="A24" s="1">
        <v>40200</v>
      </c>
      <c r="B24">
        <v>22</v>
      </c>
      <c r="C24">
        <v>-0.55555555555555558</v>
      </c>
      <c r="D24">
        <v>-2.2222222222222223</v>
      </c>
      <c r="E24">
        <v>6.1199999999999992</v>
      </c>
    </row>
    <row r="25" spans="1:5" x14ac:dyDescent="0.2">
      <c r="A25" s="1">
        <v>40201</v>
      </c>
      <c r="B25">
        <v>23</v>
      </c>
      <c r="C25">
        <v>1.1111111111111112</v>
      </c>
      <c r="D25">
        <v>-2.2222222222222223</v>
      </c>
      <c r="E25">
        <v>7.2466666666666661</v>
      </c>
    </row>
    <row r="26" spans="1:5" x14ac:dyDescent="0.2">
      <c r="A26" s="1">
        <v>40202</v>
      </c>
      <c r="B26">
        <v>24</v>
      </c>
      <c r="C26">
        <v>3.333333333333333</v>
      </c>
      <c r="D26">
        <v>-2.2222222222222223</v>
      </c>
      <c r="E26">
        <v>6.8688888888888879</v>
      </c>
    </row>
    <row r="27" spans="1:5" x14ac:dyDescent="0.2">
      <c r="A27" s="1">
        <v>40203</v>
      </c>
      <c r="B27">
        <v>25</v>
      </c>
      <c r="C27">
        <v>3.333333333333333</v>
      </c>
      <c r="D27">
        <v>-2.2222222222222223</v>
      </c>
      <c r="E27">
        <v>7.0244444444444447</v>
      </c>
    </row>
    <row r="28" spans="1:5" x14ac:dyDescent="0.2">
      <c r="A28" s="1">
        <v>40204</v>
      </c>
      <c r="B28">
        <v>26</v>
      </c>
      <c r="C28">
        <v>-1.1111111111111112</v>
      </c>
      <c r="D28">
        <v>-7.2222222222222223</v>
      </c>
      <c r="E28">
        <v>7.3288888888888888</v>
      </c>
    </row>
    <row r="29" spans="1:5" x14ac:dyDescent="0.2">
      <c r="A29" s="1">
        <v>40205</v>
      </c>
      <c r="B29">
        <v>27</v>
      </c>
      <c r="C29">
        <v>-6.6666666666666661</v>
      </c>
      <c r="D29">
        <v>-16.666666666666668</v>
      </c>
      <c r="E29">
        <v>7.4177777777777756</v>
      </c>
    </row>
    <row r="30" spans="1:5" x14ac:dyDescent="0.2">
      <c r="A30" s="1">
        <v>40206</v>
      </c>
      <c r="B30">
        <v>28</v>
      </c>
      <c r="C30">
        <v>-5.5555555555555554</v>
      </c>
      <c r="D30">
        <v>-16.666666666666668</v>
      </c>
      <c r="E30">
        <v>7.677777777777778</v>
      </c>
    </row>
    <row r="31" spans="1:5" x14ac:dyDescent="0.2">
      <c r="A31" s="1">
        <v>40207</v>
      </c>
      <c r="B31">
        <v>29</v>
      </c>
      <c r="C31">
        <v>-12.777777777777777</v>
      </c>
      <c r="D31">
        <v>-21.111111111111111</v>
      </c>
      <c r="E31">
        <v>7.3044444444444458</v>
      </c>
    </row>
    <row r="32" spans="1:5" x14ac:dyDescent="0.2">
      <c r="A32" s="1">
        <v>40208</v>
      </c>
      <c r="B32">
        <v>30</v>
      </c>
      <c r="C32">
        <v>-10</v>
      </c>
      <c r="D32">
        <v>-21.111111111111111</v>
      </c>
      <c r="E32">
        <v>8</v>
      </c>
    </row>
    <row r="33" spans="1:5" x14ac:dyDescent="0.2">
      <c r="A33" s="1">
        <v>40209</v>
      </c>
      <c r="B33">
        <v>31</v>
      </c>
      <c r="C33">
        <v>-5.5555555555555554</v>
      </c>
      <c r="D33">
        <v>-17.777777777777779</v>
      </c>
      <c r="E33">
        <v>7.6400000000000041</v>
      </c>
    </row>
    <row r="34" spans="1:5" x14ac:dyDescent="0.2">
      <c r="A34" s="1">
        <v>40210</v>
      </c>
      <c r="B34">
        <v>32</v>
      </c>
      <c r="C34">
        <v>-5</v>
      </c>
      <c r="D34">
        <v>-16.666666666666668</v>
      </c>
      <c r="E34">
        <v>7.5244444444444474</v>
      </c>
    </row>
    <row r="35" spans="1:5" x14ac:dyDescent="0.2">
      <c r="A35" s="1">
        <v>40211</v>
      </c>
      <c r="B35">
        <v>33</v>
      </c>
      <c r="C35">
        <v>-3.8888888888888888</v>
      </c>
      <c r="D35">
        <v>-11.666666666666668</v>
      </c>
      <c r="E35">
        <v>7.8222222222222237</v>
      </c>
    </row>
    <row r="36" spans="1:5" x14ac:dyDescent="0.2">
      <c r="A36" s="1">
        <v>40212</v>
      </c>
      <c r="B36">
        <v>34</v>
      </c>
      <c r="C36">
        <v>-0.55555555555555558</v>
      </c>
      <c r="D36">
        <v>-6.6666666666666661</v>
      </c>
      <c r="E36">
        <v>7.9933333333333367</v>
      </c>
    </row>
    <row r="37" spans="1:5" x14ac:dyDescent="0.2">
      <c r="A37" s="1">
        <v>40213</v>
      </c>
      <c r="B37">
        <v>35</v>
      </c>
      <c r="C37">
        <v>-1.6666666666666665</v>
      </c>
      <c r="D37">
        <v>-7.7777777777777777</v>
      </c>
      <c r="E37">
        <v>8.8044444444444458</v>
      </c>
    </row>
    <row r="38" spans="1:5" x14ac:dyDescent="0.2">
      <c r="A38" s="1">
        <v>40214</v>
      </c>
      <c r="B38">
        <v>36</v>
      </c>
      <c r="C38">
        <v>-0.55555555555555558</v>
      </c>
      <c r="D38">
        <v>-8.8888888888888893</v>
      </c>
      <c r="E38">
        <v>8.4622222222222199</v>
      </c>
    </row>
    <row r="39" spans="1:5" x14ac:dyDescent="0.2">
      <c r="A39" s="1">
        <v>40215</v>
      </c>
      <c r="B39">
        <v>37</v>
      </c>
      <c r="C39">
        <v>0.55555555555555558</v>
      </c>
      <c r="D39">
        <v>-6.1111111111111116</v>
      </c>
      <c r="E39">
        <v>8.9911111111111115</v>
      </c>
    </row>
    <row r="40" spans="1:5" x14ac:dyDescent="0.2">
      <c r="A40" s="1">
        <v>40216</v>
      </c>
      <c r="B40">
        <v>38</v>
      </c>
      <c r="C40">
        <v>-2.7777777777777777</v>
      </c>
      <c r="D40">
        <v>-11.666666666666668</v>
      </c>
      <c r="E40">
        <v>9.43333333333333</v>
      </c>
    </row>
    <row r="41" spans="1:5" x14ac:dyDescent="0.2">
      <c r="A41" s="1">
        <v>40217</v>
      </c>
      <c r="B41">
        <v>39</v>
      </c>
      <c r="C41">
        <v>-1.1111111111111112</v>
      </c>
      <c r="D41">
        <v>-8.8888888888888893</v>
      </c>
      <c r="E41">
        <v>9.0800000000000036</v>
      </c>
    </row>
    <row r="42" spans="1:5" x14ac:dyDescent="0.2">
      <c r="A42" s="1">
        <v>40218</v>
      </c>
      <c r="B42">
        <v>40</v>
      </c>
      <c r="C42">
        <v>-1.6666666666666665</v>
      </c>
      <c r="D42">
        <v>-8.8888888888888893</v>
      </c>
      <c r="E42">
        <v>9.9822222222222212</v>
      </c>
    </row>
    <row r="43" spans="1:5" x14ac:dyDescent="0.2">
      <c r="A43" s="1">
        <v>40219</v>
      </c>
      <c r="B43">
        <v>41</v>
      </c>
      <c r="C43">
        <v>-3.333333333333333</v>
      </c>
      <c r="D43">
        <v>-7.7777777777777777</v>
      </c>
      <c r="E43">
        <v>8.9066666666666627</v>
      </c>
    </row>
    <row r="44" spans="1:5" x14ac:dyDescent="0.2">
      <c r="A44" s="1">
        <v>40220</v>
      </c>
      <c r="B44">
        <v>42</v>
      </c>
      <c r="C44">
        <v>-2.2222222222222223</v>
      </c>
      <c r="D44">
        <v>-23.333333333333336</v>
      </c>
      <c r="E44">
        <v>9.7333333333333325</v>
      </c>
    </row>
    <row r="45" spans="1:5" x14ac:dyDescent="0.2">
      <c r="A45" s="1">
        <v>40221</v>
      </c>
      <c r="B45">
        <v>43</v>
      </c>
      <c r="C45">
        <v>-2.7777777777777777</v>
      </c>
      <c r="D45">
        <v>-21.111111111111111</v>
      </c>
      <c r="E45">
        <v>10.073333333333336</v>
      </c>
    </row>
    <row r="46" spans="1:5" x14ac:dyDescent="0.2">
      <c r="A46" s="1">
        <v>40222</v>
      </c>
      <c r="B46">
        <v>44</v>
      </c>
      <c r="C46">
        <v>-1.1111111111111112</v>
      </c>
      <c r="D46">
        <v>-21.111111111111111</v>
      </c>
      <c r="E46">
        <v>8.4711111111111101</v>
      </c>
    </row>
    <row r="47" spans="1:5" x14ac:dyDescent="0.2">
      <c r="A47" s="1">
        <v>40223</v>
      </c>
      <c r="B47">
        <v>45</v>
      </c>
      <c r="C47">
        <v>-1.1111111111111112</v>
      </c>
      <c r="D47">
        <v>-22.222222222222221</v>
      </c>
      <c r="E47">
        <v>9.2622222222222241</v>
      </c>
    </row>
    <row r="48" spans="1:5" x14ac:dyDescent="0.2">
      <c r="A48" s="1">
        <v>40224</v>
      </c>
      <c r="B48">
        <v>46</v>
      </c>
      <c r="C48">
        <v>-2.7777777777777777</v>
      </c>
      <c r="D48">
        <v>-17.777777777777779</v>
      </c>
      <c r="E48">
        <v>9.7844444444444445</v>
      </c>
    </row>
    <row r="49" spans="1:5" x14ac:dyDescent="0.2">
      <c r="A49" s="1">
        <v>40225</v>
      </c>
      <c r="B49">
        <v>47</v>
      </c>
      <c r="C49">
        <v>-2.2222222222222223</v>
      </c>
      <c r="D49">
        <v>-10</v>
      </c>
      <c r="E49">
        <v>10.419999999999996</v>
      </c>
    </row>
    <row r="50" spans="1:5" x14ac:dyDescent="0.2">
      <c r="A50" s="1">
        <v>40226</v>
      </c>
      <c r="B50">
        <v>48</v>
      </c>
      <c r="C50">
        <v>1.1111111111111112</v>
      </c>
      <c r="D50">
        <v>-7.2222222222222223</v>
      </c>
      <c r="E50">
        <v>10.89111111111111</v>
      </c>
    </row>
    <row r="51" spans="1:5" x14ac:dyDescent="0.2">
      <c r="A51" s="1">
        <v>40227</v>
      </c>
      <c r="B51">
        <v>49</v>
      </c>
      <c r="C51">
        <v>1.6666666666666665</v>
      </c>
      <c r="D51">
        <v>-12.222222222222223</v>
      </c>
      <c r="E51">
        <v>8.7977777777777799</v>
      </c>
    </row>
    <row r="52" spans="1:5" x14ac:dyDescent="0.2">
      <c r="A52" s="1">
        <v>40228</v>
      </c>
      <c r="B52">
        <v>50</v>
      </c>
      <c r="C52">
        <v>3.333333333333333</v>
      </c>
      <c r="D52">
        <v>-17.777777777777779</v>
      </c>
      <c r="E52">
        <v>9.6266666666666687</v>
      </c>
    </row>
    <row r="53" spans="1:5" x14ac:dyDescent="0.2">
      <c r="A53" s="1">
        <v>40229</v>
      </c>
      <c r="B53">
        <v>51</v>
      </c>
      <c r="C53">
        <v>3.333333333333333</v>
      </c>
      <c r="D53">
        <v>-18.333333333333332</v>
      </c>
      <c r="E53">
        <v>10.488888888888887</v>
      </c>
    </row>
    <row r="54" spans="1:5" x14ac:dyDescent="0.2">
      <c r="A54" s="1">
        <v>40230</v>
      </c>
      <c r="B54">
        <v>52</v>
      </c>
      <c r="C54">
        <v>0.55555555555555558</v>
      </c>
      <c r="D54">
        <v>-8.3333333333333339</v>
      </c>
      <c r="E54">
        <v>10.06</v>
      </c>
    </row>
    <row r="55" spans="1:5" x14ac:dyDescent="0.2">
      <c r="A55" s="1">
        <v>40231</v>
      </c>
      <c r="B55">
        <v>53</v>
      </c>
      <c r="C55">
        <v>1.6666666666666665</v>
      </c>
      <c r="D55">
        <v>-1.6666666666666665</v>
      </c>
      <c r="E55">
        <v>10.406666666666665</v>
      </c>
    </row>
    <row r="56" spans="1:5" x14ac:dyDescent="0.2">
      <c r="A56" s="1">
        <v>40232</v>
      </c>
      <c r="B56">
        <v>54</v>
      </c>
      <c r="C56">
        <v>1.1111111111111112</v>
      </c>
      <c r="D56">
        <v>-3.333333333333333</v>
      </c>
      <c r="E56">
        <v>10.113333333333337</v>
      </c>
    </row>
    <row r="57" spans="1:5" x14ac:dyDescent="0.2">
      <c r="A57" s="1">
        <v>40233</v>
      </c>
      <c r="B57">
        <v>55</v>
      </c>
      <c r="C57">
        <v>0</v>
      </c>
      <c r="D57">
        <v>-8.8888888888888893</v>
      </c>
      <c r="E57">
        <v>10.037777777777777</v>
      </c>
    </row>
    <row r="58" spans="1:5" x14ac:dyDescent="0.2">
      <c r="A58" s="1">
        <v>40234</v>
      </c>
      <c r="B58">
        <v>56</v>
      </c>
      <c r="C58">
        <v>-3.8888888888888888</v>
      </c>
      <c r="D58">
        <v>-17.777777777777779</v>
      </c>
      <c r="E58">
        <v>11.8</v>
      </c>
    </row>
    <row r="59" spans="1:5" x14ac:dyDescent="0.2">
      <c r="A59" s="1">
        <v>40235</v>
      </c>
      <c r="B59">
        <v>57</v>
      </c>
      <c r="C59">
        <v>-2.7777777777777777</v>
      </c>
      <c r="D59">
        <v>-18.888888888888889</v>
      </c>
      <c r="E59">
        <v>11.313333333333336</v>
      </c>
    </row>
    <row r="60" spans="1:5" x14ac:dyDescent="0.2">
      <c r="A60" s="1">
        <v>40236</v>
      </c>
      <c r="B60">
        <v>58</v>
      </c>
      <c r="C60">
        <v>0.55555555555555558</v>
      </c>
      <c r="D60">
        <v>-16.111111111111111</v>
      </c>
      <c r="E60">
        <v>11.128888888888891</v>
      </c>
    </row>
    <row r="61" spans="1:5" x14ac:dyDescent="0.2">
      <c r="A61" s="1">
        <v>40237</v>
      </c>
      <c r="B61">
        <v>59</v>
      </c>
      <c r="C61">
        <v>3.333333333333333</v>
      </c>
      <c r="D61">
        <v>-3.333333333333333</v>
      </c>
      <c r="E61">
        <v>11.87555555555555</v>
      </c>
    </row>
    <row r="62" spans="1:5" x14ac:dyDescent="0.2">
      <c r="A62" s="1">
        <v>40238</v>
      </c>
      <c r="B62">
        <v>60</v>
      </c>
      <c r="C62">
        <v>2.2222222222222223</v>
      </c>
      <c r="D62">
        <v>-1.1111111111111112</v>
      </c>
      <c r="E62">
        <v>11.59555555555556</v>
      </c>
    </row>
    <row r="63" spans="1:5" x14ac:dyDescent="0.2">
      <c r="A63" s="1">
        <v>40239</v>
      </c>
      <c r="B63">
        <v>61</v>
      </c>
      <c r="C63">
        <v>3.333333333333333</v>
      </c>
      <c r="D63">
        <v>-12.222222222222223</v>
      </c>
      <c r="E63">
        <v>11.271111111111111</v>
      </c>
    </row>
    <row r="64" spans="1:5" x14ac:dyDescent="0.2">
      <c r="A64" s="1">
        <v>40240</v>
      </c>
      <c r="B64">
        <v>62</v>
      </c>
      <c r="C64">
        <v>1.6666666666666665</v>
      </c>
      <c r="D64">
        <v>-15</v>
      </c>
      <c r="E64">
        <v>11.388888888888886</v>
      </c>
    </row>
    <row r="65" spans="1:5" x14ac:dyDescent="0.2">
      <c r="A65" s="1">
        <v>40241</v>
      </c>
      <c r="B65">
        <v>63</v>
      </c>
      <c r="C65">
        <v>4.4444444444444446</v>
      </c>
      <c r="D65">
        <v>-15</v>
      </c>
      <c r="E65">
        <v>10.191111111111111</v>
      </c>
    </row>
    <row r="66" spans="1:5" x14ac:dyDescent="0.2">
      <c r="A66" s="1">
        <v>40242</v>
      </c>
      <c r="B66">
        <v>64</v>
      </c>
      <c r="C66">
        <v>5.5555555555555554</v>
      </c>
      <c r="D66">
        <v>-12.777777777777777</v>
      </c>
      <c r="E66">
        <v>11.199999999999996</v>
      </c>
    </row>
    <row r="67" spans="1:5" x14ac:dyDescent="0.2">
      <c r="A67" s="1">
        <v>40243</v>
      </c>
      <c r="B67">
        <v>65</v>
      </c>
      <c r="C67">
        <v>4.4444444444444446</v>
      </c>
      <c r="D67">
        <v>-12.222222222222223</v>
      </c>
      <c r="E67">
        <v>12.780000000000003</v>
      </c>
    </row>
    <row r="68" spans="1:5" x14ac:dyDescent="0.2">
      <c r="A68" s="1">
        <v>40244</v>
      </c>
      <c r="B68">
        <v>66</v>
      </c>
      <c r="C68">
        <v>6.6666666666666661</v>
      </c>
      <c r="D68">
        <v>-5</v>
      </c>
      <c r="E68">
        <v>13.068888888888889</v>
      </c>
    </row>
    <row r="69" spans="1:5" x14ac:dyDescent="0.2">
      <c r="A69" s="1">
        <v>40245</v>
      </c>
      <c r="B69">
        <v>67</v>
      </c>
      <c r="C69">
        <v>7.7777777777777777</v>
      </c>
      <c r="D69">
        <v>-4.4444444444444446</v>
      </c>
      <c r="E69">
        <v>11.393333333333333</v>
      </c>
    </row>
    <row r="70" spans="1:5" x14ac:dyDescent="0.2">
      <c r="A70" s="1">
        <v>40246</v>
      </c>
      <c r="B70">
        <v>68</v>
      </c>
      <c r="C70">
        <v>6.6666666666666661</v>
      </c>
      <c r="D70">
        <v>-1.6666666666666665</v>
      </c>
      <c r="E70">
        <v>12.291111111111112</v>
      </c>
    </row>
    <row r="71" spans="1:5" x14ac:dyDescent="0.2">
      <c r="A71" s="1">
        <v>40247</v>
      </c>
      <c r="B71">
        <v>69</v>
      </c>
      <c r="C71">
        <v>5.5555555555555554</v>
      </c>
      <c r="D71">
        <v>1.6666666666666665</v>
      </c>
      <c r="E71">
        <v>13.813333333333336</v>
      </c>
    </row>
    <row r="72" spans="1:5" x14ac:dyDescent="0.2">
      <c r="A72" s="1">
        <v>40248</v>
      </c>
      <c r="B72">
        <v>70</v>
      </c>
      <c r="C72">
        <v>8.8888888888888893</v>
      </c>
      <c r="D72">
        <v>0.55555555555555558</v>
      </c>
      <c r="E72">
        <v>12.808888888888891</v>
      </c>
    </row>
    <row r="73" spans="1:5" x14ac:dyDescent="0.2">
      <c r="A73" s="1">
        <v>40249</v>
      </c>
      <c r="B73">
        <v>71</v>
      </c>
      <c r="C73">
        <v>10</v>
      </c>
      <c r="D73">
        <v>2.7777777777777777</v>
      </c>
      <c r="E73">
        <v>12.691111111111107</v>
      </c>
    </row>
    <row r="74" spans="1:5" x14ac:dyDescent="0.2">
      <c r="A74" s="1">
        <v>40250</v>
      </c>
      <c r="B74">
        <v>72</v>
      </c>
      <c r="C74">
        <v>9.4444444444444446</v>
      </c>
      <c r="D74">
        <v>4.4444444444444446</v>
      </c>
      <c r="E74">
        <v>11.371111111111109</v>
      </c>
    </row>
    <row r="75" spans="1:5" x14ac:dyDescent="0.2">
      <c r="A75" s="1">
        <v>40251</v>
      </c>
      <c r="B75">
        <v>73</v>
      </c>
      <c r="C75">
        <v>6.6666666666666661</v>
      </c>
      <c r="D75">
        <v>4.4444444444444446</v>
      </c>
      <c r="E75">
        <v>13.164444444444442</v>
      </c>
    </row>
    <row r="76" spans="1:5" x14ac:dyDescent="0.2">
      <c r="A76" s="1">
        <v>40252</v>
      </c>
      <c r="B76">
        <v>74</v>
      </c>
      <c r="C76">
        <v>15.555555555555555</v>
      </c>
      <c r="D76">
        <v>-1.6666666666666665</v>
      </c>
      <c r="E76">
        <v>12.719999999999995</v>
      </c>
    </row>
    <row r="77" spans="1:5" x14ac:dyDescent="0.2">
      <c r="A77" s="1">
        <v>40253</v>
      </c>
      <c r="B77">
        <v>75</v>
      </c>
      <c r="C77">
        <v>16.111111111111111</v>
      </c>
      <c r="D77">
        <v>-2.2222222222222223</v>
      </c>
      <c r="E77">
        <v>14.366666666666664</v>
      </c>
    </row>
    <row r="78" spans="1:5" x14ac:dyDescent="0.2">
      <c r="A78" s="1">
        <v>40254</v>
      </c>
      <c r="B78">
        <v>76</v>
      </c>
      <c r="C78">
        <v>17.222222222222221</v>
      </c>
      <c r="D78">
        <v>-2.7777777777777777</v>
      </c>
      <c r="E78">
        <v>13.237777777777776</v>
      </c>
    </row>
    <row r="79" spans="1:5" x14ac:dyDescent="0.2">
      <c r="A79" s="1">
        <v>40255</v>
      </c>
      <c r="B79">
        <v>77</v>
      </c>
      <c r="C79">
        <v>18.888888888888889</v>
      </c>
      <c r="D79">
        <v>-3.333333333333333</v>
      </c>
      <c r="E79">
        <v>12.584444444444451</v>
      </c>
    </row>
    <row r="80" spans="1:5" x14ac:dyDescent="0.2">
      <c r="A80" s="1">
        <v>40256</v>
      </c>
      <c r="B80">
        <v>78</v>
      </c>
      <c r="C80">
        <v>18.333333333333332</v>
      </c>
      <c r="D80">
        <v>3.8888888888888888</v>
      </c>
      <c r="E80">
        <v>12.284444444444446</v>
      </c>
    </row>
    <row r="81" spans="1:5" x14ac:dyDescent="0.2">
      <c r="A81" s="1">
        <v>40257</v>
      </c>
      <c r="B81">
        <v>79</v>
      </c>
      <c r="C81">
        <v>11.666666666666668</v>
      </c>
      <c r="D81">
        <v>-1.6666666666666665</v>
      </c>
      <c r="E81">
        <v>13.337777777777776</v>
      </c>
    </row>
    <row r="82" spans="1:5" x14ac:dyDescent="0.2">
      <c r="A82" s="1">
        <v>40258</v>
      </c>
      <c r="B82">
        <v>80</v>
      </c>
      <c r="C82">
        <v>5.5555555555555554</v>
      </c>
      <c r="D82">
        <v>-5</v>
      </c>
      <c r="E82">
        <v>15</v>
      </c>
    </row>
    <row r="83" spans="1:5" x14ac:dyDescent="0.2">
      <c r="A83" s="1">
        <v>40259</v>
      </c>
      <c r="B83">
        <v>81</v>
      </c>
      <c r="C83">
        <v>10.555555555555555</v>
      </c>
      <c r="D83">
        <v>-5.5555555555555554</v>
      </c>
      <c r="E83">
        <v>14.926666666666668</v>
      </c>
    </row>
    <row r="84" spans="1:5" x14ac:dyDescent="0.2">
      <c r="A84" s="1">
        <v>40260</v>
      </c>
      <c r="B84">
        <v>82</v>
      </c>
      <c r="C84">
        <v>12.777777777777777</v>
      </c>
      <c r="D84">
        <v>-5</v>
      </c>
      <c r="E84">
        <v>16.43333333333333</v>
      </c>
    </row>
    <row r="85" spans="1:5" x14ac:dyDescent="0.2">
      <c r="A85" s="1">
        <v>40261</v>
      </c>
      <c r="B85">
        <v>83</v>
      </c>
      <c r="C85">
        <v>15.555555555555555</v>
      </c>
      <c r="D85">
        <v>-4.4444444444444446</v>
      </c>
      <c r="E85">
        <v>14.304444444444442</v>
      </c>
    </row>
    <row r="86" spans="1:5" x14ac:dyDescent="0.2">
      <c r="A86" s="1">
        <v>40262</v>
      </c>
      <c r="B86">
        <v>84</v>
      </c>
      <c r="C86">
        <v>13.333333333333332</v>
      </c>
      <c r="D86">
        <v>-1.1111111111111112</v>
      </c>
      <c r="E86">
        <v>14.604444444444443</v>
      </c>
    </row>
    <row r="87" spans="1:5" x14ac:dyDescent="0.2">
      <c r="A87" s="1">
        <v>40263</v>
      </c>
      <c r="B87">
        <v>85</v>
      </c>
      <c r="C87">
        <v>6.6666666666666661</v>
      </c>
      <c r="D87">
        <v>-6.1111111111111116</v>
      </c>
      <c r="E87">
        <v>15.69777777777778</v>
      </c>
    </row>
    <row r="88" spans="1:5" x14ac:dyDescent="0.2">
      <c r="A88" s="1">
        <v>40264</v>
      </c>
      <c r="B88">
        <v>86</v>
      </c>
      <c r="C88">
        <v>7.2222222222222223</v>
      </c>
      <c r="D88">
        <v>-6.1111111111111116</v>
      </c>
      <c r="E88">
        <v>14.977777777777776</v>
      </c>
    </row>
    <row r="89" spans="1:5" x14ac:dyDescent="0.2">
      <c r="A89" s="1">
        <v>40265</v>
      </c>
      <c r="B89">
        <v>87</v>
      </c>
      <c r="C89">
        <v>9.4444444444444446</v>
      </c>
      <c r="D89">
        <v>-3.333333333333333</v>
      </c>
      <c r="E89">
        <v>12.684444444444447</v>
      </c>
    </row>
    <row r="90" spans="1:5" x14ac:dyDescent="0.2">
      <c r="A90" s="1">
        <v>40266</v>
      </c>
      <c r="B90">
        <v>88</v>
      </c>
      <c r="C90">
        <v>11.111111111111111</v>
      </c>
      <c r="D90">
        <v>-6.1111111111111116</v>
      </c>
      <c r="E90">
        <v>14.022222222222222</v>
      </c>
    </row>
    <row r="91" spans="1:5" x14ac:dyDescent="0.2">
      <c r="A91" s="1">
        <v>40267</v>
      </c>
      <c r="B91">
        <v>89</v>
      </c>
      <c r="C91">
        <v>12.222222222222223</v>
      </c>
      <c r="D91">
        <v>-6.1111111111111116</v>
      </c>
      <c r="E91">
        <v>15.895555555555557</v>
      </c>
    </row>
    <row r="92" spans="1:5" x14ac:dyDescent="0.2">
      <c r="A92" s="1">
        <v>40268</v>
      </c>
      <c r="B92">
        <v>90</v>
      </c>
      <c r="C92">
        <v>20</v>
      </c>
      <c r="D92">
        <v>3.333333333333333</v>
      </c>
      <c r="E92">
        <v>14.608888888888893</v>
      </c>
    </row>
    <row r="93" spans="1:5" x14ac:dyDescent="0.2">
      <c r="A93" s="1">
        <v>40269</v>
      </c>
      <c r="B93">
        <v>91</v>
      </c>
      <c r="C93">
        <v>23.333333333333336</v>
      </c>
      <c r="D93">
        <v>6.1111111111111116</v>
      </c>
      <c r="E93">
        <v>13.344444444444447</v>
      </c>
    </row>
    <row r="94" spans="1:5" x14ac:dyDescent="0.2">
      <c r="A94" s="1">
        <v>40270</v>
      </c>
      <c r="B94">
        <v>92</v>
      </c>
      <c r="C94">
        <v>27.222222222222221</v>
      </c>
      <c r="D94">
        <v>6.6666666666666661</v>
      </c>
      <c r="E94">
        <v>14.593333333333337</v>
      </c>
    </row>
    <row r="95" spans="1:5" x14ac:dyDescent="0.2">
      <c r="A95" s="1">
        <v>40271</v>
      </c>
      <c r="B95">
        <v>93</v>
      </c>
      <c r="C95">
        <v>23.333333333333336</v>
      </c>
      <c r="D95">
        <v>7.2222222222222223</v>
      </c>
      <c r="E95">
        <v>13.820000000000002</v>
      </c>
    </row>
    <row r="96" spans="1:5" x14ac:dyDescent="0.2">
      <c r="A96" s="1">
        <v>40272</v>
      </c>
      <c r="B96">
        <v>94</v>
      </c>
      <c r="C96">
        <v>18.888888888888889</v>
      </c>
      <c r="D96">
        <v>5.5555555555555554</v>
      </c>
      <c r="E96">
        <v>15.273333333333332</v>
      </c>
    </row>
    <row r="97" spans="1:5" x14ac:dyDescent="0.2">
      <c r="A97" s="1">
        <v>40273</v>
      </c>
      <c r="B97">
        <v>95</v>
      </c>
      <c r="C97">
        <v>18.888888888888889</v>
      </c>
      <c r="D97">
        <v>1.1111111111111112</v>
      </c>
      <c r="E97">
        <v>14.677777777777782</v>
      </c>
    </row>
    <row r="98" spans="1:5" x14ac:dyDescent="0.2">
      <c r="A98" s="1">
        <v>40274</v>
      </c>
      <c r="B98">
        <v>96</v>
      </c>
      <c r="C98">
        <v>20.555555555555554</v>
      </c>
      <c r="D98">
        <v>2.2222222222222223</v>
      </c>
      <c r="E98">
        <v>17.008888888888887</v>
      </c>
    </row>
    <row r="99" spans="1:5" x14ac:dyDescent="0.2">
      <c r="A99" s="1">
        <v>40275</v>
      </c>
      <c r="B99">
        <v>97</v>
      </c>
      <c r="C99">
        <v>12.777777777777777</v>
      </c>
      <c r="D99">
        <v>6.6666666666666661</v>
      </c>
      <c r="E99">
        <v>16.526666666666664</v>
      </c>
    </row>
    <row r="100" spans="1:5" x14ac:dyDescent="0.2">
      <c r="A100" s="1">
        <v>40276</v>
      </c>
      <c r="B100">
        <v>98</v>
      </c>
      <c r="C100">
        <v>9.4444444444444446</v>
      </c>
      <c r="D100">
        <v>0.55555555555555558</v>
      </c>
      <c r="E100">
        <v>14.875555555555552</v>
      </c>
    </row>
    <row r="101" spans="1:5" x14ac:dyDescent="0.2">
      <c r="A101" s="1">
        <v>40277</v>
      </c>
      <c r="B101">
        <v>99</v>
      </c>
      <c r="C101">
        <v>5</v>
      </c>
      <c r="D101">
        <v>-5</v>
      </c>
      <c r="E101">
        <v>17.475555555555555</v>
      </c>
    </row>
    <row r="102" spans="1:5" x14ac:dyDescent="0.2">
      <c r="A102" s="1">
        <v>40278</v>
      </c>
      <c r="B102">
        <v>100</v>
      </c>
      <c r="C102">
        <v>14.444444444444445</v>
      </c>
      <c r="D102">
        <v>-4.4444444444444446</v>
      </c>
      <c r="E102">
        <v>17.055555555555557</v>
      </c>
    </row>
    <row r="103" spans="1:5" x14ac:dyDescent="0.2">
      <c r="A103" s="1">
        <v>40279</v>
      </c>
      <c r="B103">
        <v>101</v>
      </c>
      <c r="C103">
        <v>17.777777777777779</v>
      </c>
      <c r="D103">
        <v>4.4444444444444446</v>
      </c>
      <c r="E103">
        <v>15.882222222222218</v>
      </c>
    </row>
    <row r="104" spans="1:5" x14ac:dyDescent="0.2">
      <c r="A104" s="1">
        <v>40280</v>
      </c>
      <c r="B104">
        <v>102</v>
      </c>
      <c r="C104">
        <v>19.444444444444443</v>
      </c>
      <c r="D104">
        <v>2.7777777777777777</v>
      </c>
      <c r="E104">
        <v>15.497777777777774</v>
      </c>
    </row>
    <row r="105" spans="1:5" x14ac:dyDescent="0.2">
      <c r="A105" s="1">
        <v>40281</v>
      </c>
      <c r="B105">
        <v>103</v>
      </c>
      <c r="C105">
        <v>16.111111111111111</v>
      </c>
      <c r="D105">
        <v>7.2222222222222223</v>
      </c>
      <c r="E105">
        <v>18.066666666666666</v>
      </c>
    </row>
    <row r="106" spans="1:5" x14ac:dyDescent="0.2">
      <c r="A106" s="1">
        <v>40282</v>
      </c>
      <c r="B106">
        <v>104</v>
      </c>
      <c r="C106">
        <v>17.222222222222221</v>
      </c>
      <c r="D106">
        <v>7.7777777777777777</v>
      </c>
      <c r="E106">
        <v>17.306666666666665</v>
      </c>
    </row>
    <row r="107" spans="1:5" x14ac:dyDescent="0.2">
      <c r="A107" s="1">
        <v>40283</v>
      </c>
      <c r="B107">
        <v>105</v>
      </c>
      <c r="C107">
        <v>26.666666666666664</v>
      </c>
      <c r="D107">
        <v>7.7777777777777777</v>
      </c>
      <c r="E107">
        <v>18.091111111111108</v>
      </c>
    </row>
    <row r="108" spans="1:5" x14ac:dyDescent="0.2">
      <c r="A108" s="1">
        <v>40284</v>
      </c>
      <c r="B108">
        <v>106</v>
      </c>
      <c r="C108">
        <v>26.111111111111111</v>
      </c>
      <c r="D108">
        <v>10</v>
      </c>
      <c r="E108">
        <v>15.755555555555551</v>
      </c>
    </row>
    <row r="109" spans="1:5" x14ac:dyDescent="0.2">
      <c r="A109" s="1">
        <v>40285</v>
      </c>
      <c r="B109">
        <v>107</v>
      </c>
      <c r="C109">
        <v>16.111111111111111</v>
      </c>
      <c r="D109">
        <v>2.2222222222222223</v>
      </c>
      <c r="E109">
        <v>18.606666666666669</v>
      </c>
    </row>
    <row r="110" spans="1:5" x14ac:dyDescent="0.2">
      <c r="A110" s="1">
        <v>40286</v>
      </c>
      <c r="B110">
        <v>108</v>
      </c>
      <c r="C110">
        <v>16.111111111111111</v>
      </c>
      <c r="D110">
        <v>-2.7777777777777777</v>
      </c>
      <c r="E110">
        <v>17.028888888888886</v>
      </c>
    </row>
    <row r="111" spans="1:5" x14ac:dyDescent="0.2">
      <c r="A111" s="1">
        <v>40287</v>
      </c>
      <c r="B111">
        <v>109</v>
      </c>
      <c r="C111">
        <v>16.666666666666668</v>
      </c>
      <c r="D111">
        <v>0.55555555555555558</v>
      </c>
      <c r="E111">
        <v>16.00888888888889</v>
      </c>
    </row>
    <row r="112" spans="1:5" x14ac:dyDescent="0.2">
      <c r="A112" s="1">
        <v>40288</v>
      </c>
      <c r="B112">
        <v>110</v>
      </c>
      <c r="C112">
        <v>16.666666666666668</v>
      </c>
      <c r="D112">
        <v>1.1111111111111112</v>
      </c>
      <c r="E112">
        <v>14.822222222222214</v>
      </c>
    </row>
    <row r="113" spans="1:5" x14ac:dyDescent="0.2">
      <c r="A113" s="1">
        <v>40289</v>
      </c>
      <c r="B113">
        <v>111</v>
      </c>
      <c r="C113">
        <v>19.444444444444443</v>
      </c>
      <c r="D113">
        <v>1.6666666666666665</v>
      </c>
      <c r="E113">
        <v>16.506666666666668</v>
      </c>
    </row>
    <row r="114" spans="1:5" x14ac:dyDescent="0.2">
      <c r="A114" s="1">
        <v>40290</v>
      </c>
      <c r="B114">
        <v>112</v>
      </c>
      <c r="C114">
        <v>17.777777777777779</v>
      </c>
      <c r="D114">
        <v>1.1111111111111112</v>
      </c>
      <c r="E114">
        <v>16.88</v>
      </c>
    </row>
    <row r="115" spans="1:5" x14ac:dyDescent="0.2">
      <c r="A115" s="1">
        <v>40291</v>
      </c>
      <c r="B115">
        <v>113</v>
      </c>
      <c r="C115">
        <v>17.777777777777779</v>
      </c>
      <c r="D115">
        <v>1.1111111111111112</v>
      </c>
      <c r="E115">
        <v>17.740000000000009</v>
      </c>
    </row>
    <row r="116" spans="1:5" x14ac:dyDescent="0.2">
      <c r="A116" s="1">
        <v>40292</v>
      </c>
      <c r="B116">
        <v>114</v>
      </c>
      <c r="C116">
        <v>17.777777777777779</v>
      </c>
      <c r="D116">
        <v>3.8888888888888888</v>
      </c>
      <c r="E116">
        <v>19.917777777777768</v>
      </c>
    </row>
    <row r="117" spans="1:5" x14ac:dyDescent="0.2">
      <c r="A117" s="1">
        <v>40293</v>
      </c>
      <c r="B117">
        <v>115</v>
      </c>
      <c r="C117">
        <v>11.111111111111111</v>
      </c>
      <c r="D117">
        <v>7.7777777777777777</v>
      </c>
      <c r="E117">
        <v>19.82888888888888</v>
      </c>
    </row>
    <row r="118" spans="1:5" x14ac:dyDescent="0.2">
      <c r="A118" s="1">
        <v>40294</v>
      </c>
      <c r="B118">
        <v>116</v>
      </c>
      <c r="C118">
        <v>10</v>
      </c>
      <c r="D118">
        <v>3.8888888888888888</v>
      </c>
      <c r="E118">
        <v>19.919999999999998</v>
      </c>
    </row>
    <row r="119" spans="1:5" x14ac:dyDescent="0.2">
      <c r="A119" s="1">
        <v>40295</v>
      </c>
      <c r="B119">
        <v>117</v>
      </c>
      <c r="C119">
        <v>17.777777777777779</v>
      </c>
      <c r="D119">
        <v>3.8888888888888888</v>
      </c>
      <c r="E119">
        <v>18.355555555555554</v>
      </c>
    </row>
    <row r="120" spans="1:5" x14ac:dyDescent="0.2">
      <c r="A120" s="1">
        <v>40296</v>
      </c>
      <c r="B120">
        <v>118</v>
      </c>
      <c r="C120">
        <v>14.444444444444445</v>
      </c>
      <c r="D120">
        <v>-2.2222222222222223</v>
      </c>
      <c r="E120">
        <v>18.562222222222225</v>
      </c>
    </row>
    <row r="121" spans="1:5" x14ac:dyDescent="0.2">
      <c r="A121" s="1">
        <v>40297</v>
      </c>
      <c r="B121">
        <v>119</v>
      </c>
      <c r="C121">
        <v>17.222222222222221</v>
      </c>
      <c r="D121">
        <v>-1.1111111111111112</v>
      </c>
      <c r="E121">
        <v>18.202222222222229</v>
      </c>
    </row>
    <row r="122" spans="1:5" x14ac:dyDescent="0.2">
      <c r="A122" s="1">
        <v>40298</v>
      </c>
      <c r="B122">
        <v>120</v>
      </c>
      <c r="C122">
        <v>24.444444444444446</v>
      </c>
      <c r="D122">
        <v>12.222222222222223</v>
      </c>
      <c r="E122">
        <v>17.571111111111119</v>
      </c>
    </row>
    <row r="123" spans="1:5" x14ac:dyDescent="0.2">
      <c r="A123" s="1">
        <v>40299</v>
      </c>
      <c r="B123">
        <v>121</v>
      </c>
      <c r="C123">
        <v>24.444444444444446</v>
      </c>
      <c r="D123">
        <v>12.777777777777777</v>
      </c>
      <c r="E123">
        <v>19.524444444444448</v>
      </c>
    </row>
    <row r="124" spans="1:5" x14ac:dyDescent="0.2">
      <c r="A124" s="1">
        <v>40300</v>
      </c>
      <c r="B124">
        <v>122</v>
      </c>
      <c r="C124">
        <v>20</v>
      </c>
      <c r="D124">
        <v>11.666666666666668</v>
      </c>
      <c r="E124">
        <v>19.262222222222217</v>
      </c>
    </row>
    <row r="125" spans="1:5" x14ac:dyDescent="0.2">
      <c r="A125" s="1">
        <v>40301</v>
      </c>
      <c r="B125">
        <v>123</v>
      </c>
      <c r="C125">
        <v>21.666666666666664</v>
      </c>
      <c r="D125">
        <v>6.6666666666666661</v>
      </c>
      <c r="E125">
        <v>21.293333333333326</v>
      </c>
    </row>
    <row r="126" spans="1:5" x14ac:dyDescent="0.2">
      <c r="A126" s="1">
        <v>40302</v>
      </c>
      <c r="B126">
        <v>124</v>
      </c>
      <c r="C126">
        <v>18.888888888888889</v>
      </c>
      <c r="D126">
        <v>4.4444444444444446</v>
      </c>
      <c r="E126">
        <v>20.195555555555561</v>
      </c>
    </row>
    <row r="127" spans="1:5" x14ac:dyDescent="0.2">
      <c r="A127" s="1">
        <v>40303</v>
      </c>
      <c r="B127">
        <v>125</v>
      </c>
      <c r="C127">
        <v>26.111111111111111</v>
      </c>
      <c r="D127">
        <v>8.8888888888888893</v>
      </c>
      <c r="E127">
        <v>19.100000000000005</v>
      </c>
    </row>
    <row r="128" spans="1:5" x14ac:dyDescent="0.2">
      <c r="A128" s="1">
        <v>40304</v>
      </c>
      <c r="B128">
        <v>126</v>
      </c>
      <c r="C128">
        <v>18.888888888888889</v>
      </c>
      <c r="D128">
        <v>3.333333333333333</v>
      </c>
      <c r="E128">
        <v>20.082222222222224</v>
      </c>
    </row>
    <row r="129" spans="1:5" x14ac:dyDescent="0.2">
      <c r="A129" s="1">
        <v>40305</v>
      </c>
      <c r="B129">
        <v>127</v>
      </c>
      <c r="C129">
        <v>16.111111111111111</v>
      </c>
      <c r="D129">
        <v>6.6666666666666661</v>
      </c>
      <c r="E129">
        <v>17.606666666666673</v>
      </c>
    </row>
    <row r="130" spans="1:5" x14ac:dyDescent="0.2">
      <c r="A130" s="1">
        <v>40306</v>
      </c>
      <c r="B130">
        <v>128</v>
      </c>
      <c r="C130">
        <v>7.2222222222222223</v>
      </c>
      <c r="D130">
        <v>2.7777777777777777</v>
      </c>
      <c r="E130">
        <v>18.580000000000002</v>
      </c>
    </row>
    <row r="131" spans="1:5" x14ac:dyDescent="0.2">
      <c r="A131" s="1">
        <v>40307</v>
      </c>
      <c r="B131">
        <v>129</v>
      </c>
      <c r="C131">
        <v>9.4444444444444446</v>
      </c>
      <c r="D131">
        <v>-1.6666666666666665</v>
      </c>
      <c r="E131">
        <v>20.891111111111112</v>
      </c>
    </row>
    <row r="132" spans="1:5" x14ac:dyDescent="0.2">
      <c r="A132" s="1">
        <v>40308</v>
      </c>
      <c r="B132">
        <v>130</v>
      </c>
      <c r="C132">
        <v>14.444444444444445</v>
      </c>
      <c r="D132">
        <v>0</v>
      </c>
      <c r="E132">
        <v>21.2911111111111</v>
      </c>
    </row>
    <row r="133" spans="1:5" x14ac:dyDescent="0.2">
      <c r="A133" s="1">
        <v>40309</v>
      </c>
      <c r="B133">
        <v>131</v>
      </c>
      <c r="C133">
        <v>15</v>
      </c>
      <c r="D133">
        <v>3.333333333333333</v>
      </c>
      <c r="E133">
        <v>17.644444444444446</v>
      </c>
    </row>
    <row r="134" spans="1:5" x14ac:dyDescent="0.2">
      <c r="A134" s="1">
        <v>40310</v>
      </c>
      <c r="B134">
        <v>132</v>
      </c>
      <c r="C134">
        <v>15</v>
      </c>
      <c r="D134">
        <v>3.333333333333333</v>
      </c>
      <c r="E134">
        <v>19.975555555555552</v>
      </c>
    </row>
    <row r="135" spans="1:5" x14ac:dyDescent="0.2">
      <c r="A135" s="1">
        <v>40311</v>
      </c>
      <c r="B135">
        <v>133</v>
      </c>
      <c r="C135">
        <v>8.8888888888888893</v>
      </c>
      <c r="D135">
        <v>6.6666666666666661</v>
      </c>
      <c r="E135">
        <v>19.571111111111115</v>
      </c>
    </row>
    <row r="136" spans="1:5" x14ac:dyDescent="0.2">
      <c r="A136" s="1">
        <v>40312</v>
      </c>
      <c r="B136">
        <v>134</v>
      </c>
      <c r="C136">
        <v>18.333333333333332</v>
      </c>
      <c r="D136">
        <v>7.2222222222222223</v>
      </c>
      <c r="E136">
        <v>18.477777777777774</v>
      </c>
    </row>
    <row r="137" spans="1:5" x14ac:dyDescent="0.2">
      <c r="A137" s="1">
        <v>40313</v>
      </c>
      <c r="B137">
        <v>135</v>
      </c>
      <c r="C137">
        <v>18.333333333333332</v>
      </c>
      <c r="D137">
        <v>3.8888888888888888</v>
      </c>
      <c r="E137">
        <v>19.902222222222221</v>
      </c>
    </row>
    <row r="138" spans="1:5" x14ac:dyDescent="0.2">
      <c r="A138" s="1">
        <v>40314</v>
      </c>
      <c r="B138">
        <v>136</v>
      </c>
      <c r="C138">
        <v>19.444444444444443</v>
      </c>
      <c r="D138">
        <v>5</v>
      </c>
      <c r="E138">
        <v>20.839999999999996</v>
      </c>
    </row>
    <row r="139" spans="1:5" x14ac:dyDescent="0.2">
      <c r="A139" s="1">
        <v>40315</v>
      </c>
      <c r="B139">
        <v>137</v>
      </c>
      <c r="C139">
        <v>18.333333333333332</v>
      </c>
      <c r="D139">
        <v>7.7777777777777777</v>
      </c>
      <c r="E139">
        <v>20.335555555555548</v>
      </c>
    </row>
    <row r="140" spans="1:5" x14ac:dyDescent="0.2">
      <c r="A140" s="1">
        <v>40316</v>
      </c>
      <c r="B140">
        <v>138</v>
      </c>
      <c r="C140">
        <v>20.555555555555554</v>
      </c>
      <c r="D140">
        <v>3.8888888888888888</v>
      </c>
      <c r="E140">
        <v>19.555555555555557</v>
      </c>
    </row>
    <row r="141" spans="1:5" x14ac:dyDescent="0.2">
      <c r="A141" s="1">
        <v>40317</v>
      </c>
      <c r="B141">
        <v>139</v>
      </c>
      <c r="C141">
        <v>22.777777777777779</v>
      </c>
      <c r="D141">
        <v>4.4444444444444446</v>
      </c>
      <c r="E141">
        <v>21.506666666666671</v>
      </c>
    </row>
    <row r="142" spans="1:5" x14ac:dyDescent="0.2">
      <c r="A142" s="1">
        <v>40318</v>
      </c>
      <c r="B142">
        <v>140</v>
      </c>
      <c r="C142">
        <v>26.111111111111111</v>
      </c>
      <c r="D142">
        <v>5</v>
      </c>
      <c r="E142">
        <v>22.404444444444444</v>
      </c>
    </row>
    <row r="143" spans="1:5" x14ac:dyDescent="0.2">
      <c r="A143" s="1">
        <v>40319</v>
      </c>
      <c r="B143">
        <v>141</v>
      </c>
      <c r="C143">
        <v>25.555555555555554</v>
      </c>
      <c r="D143">
        <v>10</v>
      </c>
      <c r="E143">
        <v>22.526666666666674</v>
      </c>
    </row>
    <row r="144" spans="1:5" x14ac:dyDescent="0.2">
      <c r="A144" s="1">
        <v>40320</v>
      </c>
      <c r="B144">
        <v>142</v>
      </c>
      <c r="C144">
        <v>18.333333333333332</v>
      </c>
      <c r="D144">
        <v>12.777777777777777</v>
      </c>
      <c r="E144">
        <v>20.664444444444445</v>
      </c>
    </row>
    <row r="145" spans="1:5" x14ac:dyDescent="0.2">
      <c r="A145" s="1">
        <v>40321</v>
      </c>
      <c r="B145">
        <v>143</v>
      </c>
      <c r="C145">
        <v>25.555555555555554</v>
      </c>
      <c r="D145">
        <v>13.888888888888889</v>
      </c>
      <c r="E145">
        <v>19.966666666666665</v>
      </c>
    </row>
    <row r="146" spans="1:5" x14ac:dyDescent="0.2">
      <c r="A146" s="1">
        <v>40322</v>
      </c>
      <c r="B146">
        <v>144</v>
      </c>
      <c r="C146">
        <v>32.222222222222221</v>
      </c>
      <c r="D146">
        <v>21.111111111111111</v>
      </c>
      <c r="E146">
        <v>21.091111111111118</v>
      </c>
    </row>
    <row r="147" spans="1:5" x14ac:dyDescent="0.2">
      <c r="A147" s="1">
        <v>40323</v>
      </c>
      <c r="B147">
        <v>145</v>
      </c>
      <c r="C147">
        <v>32.777777777777779</v>
      </c>
      <c r="D147">
        <v>20.555555555555554</v>
      </c>
      <c r="E147">
        <v>21.435555555555553</v>
      </c>
    </row>
    <row r="148" spans="1:5" x14ac:dyDescent="0.2">
      <c r="A148" s="1">
        <v>40324</v>
      </c>
      <c r="B148">
        <v>146</v>
      </c>
      <c r="C148">
        <v>28.333333333333336</v>
      </c>
      <c r="D148">
        <v>16.666666666666668</v>
      </c>
      <c r="E148">
        <v>22.319999999999986</v>
      </c>
    </row>
    <row r="149" spans="1:5" x14ac:dyDescent="0.2">
      <c r="A149" s="1">
        <v>40325</v>
      </c>
      <c r="B149">
        <v>147</v>
      </c>
      <c r="C149">
        <v>29.444444444444446</v>
      </c>
      <c r="D149">
        <v>16.666666666666668</v>
      </c>
      <c r="E149">
        <v>21.086666666666666</v>
      </c>
    </row>
    <row r="150" spans="1:5" x14ac:dyDescent="0.2">
      <c r="A150" s="1">
        <v>40326</v>
      </c>
      <c r="B150">
        <v>148</v>
      </c>
      <c r="C150">
        <v>28.333333333333336</v>
      </c>
      <c r="D150">
        <v>9.4444444444444446</v>
      </c>
      <c r="E150">
        <v>19.986666666666665</v>
      </c>
    </row>
    <row r="151" spans="1:5" x14ac:dyDescent="0.2">
      <c r="A151" s="1">
        <v>40327</v>
      </c>
      <c r="B151">
        <v>149</v>
      </c>
      <c r="C151">
        <v>28.333333333333336</v>
      </c>
      <c r="D151">
        <v>12.222222222222223</v>
      </c>
      <c r="E151">
        <v>20.988888888888894</v>
      </c>
    </row>
    <row r="152" spans="1:5" x14ac:dyDescent="0.2">
      <c r="A152" s="1">
        <v>40328</v>
      </c>
      <c r="B152">
        <v>150</v>
      </c>
      <c r="C152">
        <v>30.555555555555554</v>
      </c>
      <c r="D152">
        <v>16.666666666666668</v>
      </c>
      <c r="E152">
        <v>21.175555555555562</v>
      </c>
    </row>
    <row r="153" spans="1:5" x14ac:dyDescent="0.2">
      <c r="A153" s="1">
        <v>40329</v>
      </c>
      <c r="B153">
        <v>151</v>
      </c>
      <c r="C153">
        <v>31.666666666666664</v>
      </c>
      <c r="D153">
        <v>17.222222222222221</v>
      </c>
      <c r="E153">
        <v>21.524444444444448</v>
      </c>
    </row>
    <row r="154" spans="1:5" x14ac:dyDescent="0.2">
      <c r="A154" s="1">
        <v>40330</v>
      </c>
      <c r="B154">
        <v>152</v>
      </c>
      <c r="C154">
        <v>26.666666666666664</v>
      </c>
      <c r="D154">
        <v>9.4444444444444446</v>
      </c>
      <c r="E154">
        <v>22.935555555555549</v>
      </c>
    </row>
    <row r="155" spans="1:5" x14ac:dyDescent="0.2">
      <c r="A155" s="1">
        <v>40331</v>
      </c>
      <c r="B155">
        <v>153</v>
      </c>
      <c r="C155">
        <v>28.888888888888889</v>
      </c>
      <c r="D155">
        <v>13.888888888888889</v>
      </c>
      <c r="E155">
        <v>22.097777777777782</v>
      </c>
    </row>
    <row r="156" spans="1:5" x14ac:dyDescent="0.2">
      <c r="A156" s="1">
        <v>40332</v>
      </c>
      <c r="B156">
        <v>154</v>
      </c>
      <c r="C156">
        <v>26.111111111111111</v>
      </c>
      <c r="D156">
        <v>12.222222222222223</v>
      </c>
      <c r="E156">
        <v>23.393333333333331</v>
      </c>
    </row>
    <row r="157" spans="1:5" x14ac:dyDescent="0.2">
      <c r="A157" s="1">
        <v>40333</v>
      </c>
      <c r="B157">
        <v>155</v>
      </c>
      <c r="C157">
        <v>23.333333333333336</v>
      </c>
      <c r="D157">
        <v>13.333333333333332</v>
      </c>
      <c r="E157">
        <v>22.279999999999998</v>
      </c>
    </row>
    <row r="158" spans="1:5" x14ac:dyDescent="0.2">
      <c r="A158" s="1">
        <v>40334</v>
      </c>
      <c r="B158">
        <v>156</v>
      </c>
      <c r="C158">
        <v>26.666666666666664</v>
      </c>
      <c r="D158">
        <v>13.888888888888889</v>
      </c>
      <c r="E158">
        <v>21.313333333333325</v>
      </c>
    </row>
    <row r="159" spans="1:5" x14ac:dyDescent="0.2">
      <c r="A159" s="1">
        <v>40335</v>
      </c>
      <c r="B159">
        <v>157</v>
      </c>
      <c r="C159">
        <v>26.111111111111111</v>
      </c>
      <c r="D159">
        <v>11.111111111111111</v>
      </c>
      <c r="E159">
        <v>22.002222222222226</v>
      </c>
    </row>
    <row r="160" spans="1:5" x14ac:dyDescent="0.2">
      <c r="A160" s="1">
        <v>40336</v>
      </c>
      <c r="B160">
        <v>158</v>
      </c>
      <c r="C160">
        <v>23.333333333333336</v>
      </c>
      <c r="D160">
        <v>11.666666666666668</v>
      </c>
      <c r="E160">
        <v>22.086666666666659</v>
      </c>
    </row>
    <row r="161" spans="1:5" x14ac:dyDescent="0.2">
      <c r="A161" s="1">
        <v>40337</v>
      </c>
      <c r="B161">
        <v>159</v>
      </c>
      <c r="C161">
        <v>23.333333333333336</v>
      </c>
      <c r="D161">
        <v>11.666666666666668</v>
      </c>
      <c r="E161">
        <v>23.813333333333325</v>
      </c>
    </row>
    <row r="162" spans="1:5" x14ac:dyDescent="0.2">
      <c r="A162" s="1">
        <v>40338</v>
      </c>
      <c r="B162">
        <v>160</v>
      </c>
      <c r="C162">
        <v>17.222222222222221</v>
      </c>
      <c r="D162">
        <v>12.222222222222223</v>
      </c>
      <c r="E162">
        <v>21.76222222222221</v>
      </c>
    </row>
    <row r="163" spans="1:5" x14ac:dyDescent="0.2">
      <c r="A163" s="1">
        <v>40339</v>
      </c>
      <c r="B163">
        <v>161</v>
      </c>
      <c r="C163">
        <v>25.555555555555554</v>
      </c>
      <c r="D163">
        <v>11.111111111111111</v>
      </c>
      <c r="E163">
        <v>23.468888888888888</v>
      </c>
    </row>
    <row r="164" spans="1:5" x14ac:dyDescent="0.2">
      <c r="A164" s="1">
        <v>40340</v>
      </c>
      <c r="B164">
        <v>162</v>
      </c>
      <c r="C164">
        <v>21.111111111111111</v>
      </c>
      <c r="D164">
        <v>13.888888888888889</v>
      </c>
      <c r="E164">
        <v>20.566666666666666</v>
      </c>
    </row>
    <row r="165" spans="1:5" x14ac:dyDescent="0.2">
      <c r="A165" s="1">
        <v>40341</v>
      </c>
      <c r="B165">
        <v>163</v>
      </c>
      <c r="C165">
        <v>29.444444444444446</v>
      </c>
      <c r="D165">
        <v>15.555555555555555</v>
      </c>
      <c r="E165">
        <v>21.984444444444435</v>
      </c>
    </row>
    <row r="166" spans="1:5" x14ac:dyDescent="0.2">
      <c r="A166" s="1">
        <v>40342</v>
      </c>
      <c r="B166">
        <v>164</v>
      </c>
      <c r="C166">
        <v>22.777777777777779</v>
      </c>
      <c r="D166">
        <v>16.666666666666668</v>
      </c>
      <c r="E166">
        <v>23.388888888888882</v>
      </c>
    </row>
    <row r="167" spans="1:5" x14ac:dyDescent="0.2">
      <c r="A167" s="1">
        <v>40343</v>
      </c>
      <c r="B167">
        <v>165</v>
      </c>
      <c r="C167">
        <v>22.777777777777779</v>
      </c>
      <c r="D167">
        <v>17.222222222222221</v>
      </c>
      <c r="E167">
        <v>21.657777777777785</v>
      </c>
    </row>
    <row r="168" spans="1:5" x14ac:dyDescent="0.2">
      <c r="A168" s="1">
        <v>40344</v>
      </c>
      <c r="B168">
        <v>166</v>
      </c>
      <c r="C168">
        <v>20.555555555555554</v>
      </c>
      <c r="D168">
        <v>15</v>
      </c>
      <c r="E168">
        <v>20.875555555555547</v>
      </c>
    </row>
    <row r="169" spans="1:5" x14ac:dyDescent="0.2">
      <c r="A169" s="1">
        <v>40345</v>
      </c>
      <c r="B169">
        <v>167</v>
      </c>
      <c r="C169">
        <v>22.222222222222221</v>
      </c>
      <c r="D169">
        <v>15</v>
      </c>
      <c r="E169">
        <v>21.88</v>
      </c>
    </row>
    <row r="170" spans="1:5" x14ac:dyDescent="0.2">
      <c r="A170" s="1">
        <v>40346</v>
      </c>
      <c r="B170">
        <v>168</v>
      </c>
      <c r="C170">
        <v>26.111111111111111</v>
      </c>
      <c r="D170">
        <v>13.888888888888889</v>
      </c>
      <c r="E170">
        <v>23.36666666666666</v>
      </c>
    </row>
    <row r="171" spans="1:5" x14ac:dyDescent="0.2">
      <c r="A171" s="1">
        <v>40347</v>
      </c>
      <c r="B171">
        <v>169</v>
      </c>
      <c r="C171">
        <v>28.333333333333336</v>
      </c>
      <c r="D171">
        <v>17.222222222222221</v>
      </c>
      <c r="E171">
        <v>21.613333333333337</v>
      </c>
    </row>
    <row r="172" spans="1:5" x14ac:dyDescent="0.2">
      <c r="A172" s="1">
        <v>40348</v>
      </c>
      <c r="B172">
        <v>170</v>
      </c>
      <c r="C172">
        <v>28.888888888888889</v>
      </c>
      <c r="D172">
        <v>16.666666666666668</v>
      </c>
      <c r="E172">
        <v>23.11333333333333</v>
      </c>
    </row>
    <row r="173" spans="1:5" x14ac:dyDescent="0.2">
      <c r="A173" s="1">
        <v>40349</v>
      </c>
      <c r="B173">
        <v>171</v>
      </c>
      <c r="C173">
        <v>27.222222222222221</v>
      </c>
      <c r="D173">
        <v>15</v>
      </c>
      <c r="E173">
        <v>23.373333333333328</v>
      </c>
    </row>
    <row r="174" spans="1:5" x14ac:dyDescent="0.2">
      <c r="A174" s="1">
        <v>40350</v>
      </c>
      <c r="B174">
        <v>172</v>
      </c>
      <c r="C174">
        <v>26.111111111111111</v>
      </c>
      <c r="D174">
        <v>16.666666666666668</v>
      </c>
      <c r="E174">
        <v>22.980000000000004</v>
      </c>
    </row>
    <row r="175" spans="1:5" x14ac:dyDescent="0.2">
      <c r="A175" s="1">
        <v>40351</v>
      </c>
      <c r="B175">
        <v>173</v>
      </c>
      <c r="C175">
        <v>26.111111111111111</v>
      </c>
      <c r="D175">
        <v>17.777777777777779</v>
      </c>
      <c r="E175">
        <v>22.42444444444444</v>
      </c>
    </row>
    <row r="176" spans="1:5" x14ac:dyDescent="0.2">
      <c r="A176" s="1">
        <v>40352</v>
      </c>
      <c r="B176">
        <v>174</v>
      </c>
      <c r="C176">
        <v>30</v>
      </c>
      <c r="D176">
        <v>18.888888888888889</v>
      </c>
      <c r="E176">
        <v>22.90444444444444</v>
      </c>
    </row>
    <row r="177" spans="1:5" x14ac:dyDescent="0.2">
      <c r="A177" s="1">
        <v>40353</v>
      </c>
      <c r="B177">
        <v>175</v>
      </c>
      <c r="C177">
        <v>27.777777777777779</v>
      </c>
      <c r="D177">
        <v>15.555555555555555</v>
      </c>
      <c r="E177">
        <v>23.068888888888885</v>
      </c>
    </row>
    <row r="178" spans="1:5" x14ac:dyDescent="0.2">
      <c r="A178" s="1">
        <v>40354</v>
      </c>
      <c r="B178">
        <v>176</v>
      </c>
      <c r="C178">
        <v>27.777777777777779</v>
      </c>
      <c r="D178">
        <v>15</v>
      </c>
      <c r="E178">
        <v>23.437777777777779</v>
      </c>
    </row>
    <row r="179" spans="1:5" x14ac:dyDescent="0.2">
      <c r="A179" s="1">
        <v>40355</v>
      </c>
      <c r="B179">
        <v>177</v>
      </c>
      <c r="C179">
        <v>28.888888888888889</v>
      </c>
      <c r="D179">
        <v>16.111111111111111</v>
      </c>
      <c r="E179">
        <v>24.166666666666679</v>
      </c>
    </row>
    <row r="180" spans="1:5" x14ac:dyDescent="0.2">
      <c r="A180" s="1">
        <v>40356</v>
      </c>
      <c r="B180">
        <v>178</v>
      </c>
      <c r="C180">
        <v>28.888888888888889</v>
      </c>
      <c r="D180">
        <v>19.444444444444443</v>
      </c>
      <c r="E180">
        <v>24.371111111111112</v>
      </c>
    </row>
    <row r="181" spans="1:5" x14ac:dyDescent="0.2">
      <c r="A181" s="1">
        <v>40357</v>
      </c>
      <c r="B181">
        <v>179</v>
      </c>
      <c r="C181">
        <v>28.333333333333336</v>
      </c>
      <c r="D181">
        <v>16.666666666666668</v>
      </c>
      <c r="E181">
        <v>22.171111111111113</v>
      </c>
    </row>
    <row r="182" spans="1:5" x14ac:dyDescent="0.2">
      <c r="A182" s="1">
        <v>40358</v>
      </c>
      <c r="B182">
        <v>180</v>
      </c>
      <c r="C182">
        <v>25</v>
      </c>
      <c r="D182">
        <v>12.222222222222223</v>
      </c>
      <c r="E182">
        <v>22.31111111111111</v>
      </c>
    </row>
    <row r="183" spans="1:5" x14ac:dyDescent="0.2">
      <c r="A183" s="1">
        <v>40359</v>
      </c>
      <c r="B183">
        <v>181</v>
      </c>
      <c r="C183">
        <v>23.333333333333336</v>
      </c>
      <c r="D183">
        <v>9.4444444444444446</v>
      </c>
      <c r="E183">
        <v>25.455555555555552</v>
      </c>
    </row>
    <row r="184" spans="1:5" x14ac:dyDescent="0.2">
      <c r="A184" s="1">
        <v>40360</v>
      </c>
      <c r="B184">
        <v>182</v>
      </c>
      <c r="C184">
        <v>24.444444444444446</v>
      </c>
      <c r="D184">
        <v>12.222222222222223</v>
      </c>
      <c r="E184">
        <v>25.371111111111109</v>
      </c>
    </row>
    <row r="185" spans="1:5" x14ac:dyDescent="0.2">
      <c r="A185" s="1">
        <v>40361</v>
      </c>
      <c r="B185">
        <v>183</v>
      </c>
      <c r="C185">
        <v>25.555555555555554</v>
      </c>
      <c r="D185">
        <v>12.777777777777777</v>
      </c>
      <c r="E185">
        <v>23.746666666666659</v>
      </c>
    </row>
    <row r="186" spans="1:5" x14ac:dyDescent="0.2">
      <c r="A186" s="1">
        <v>40362</v>
      </c>
      <c r="B186">
        <v>184</v>
      </c>
      <c r="C186">
        <v>27.222222222222221</v>
      </c>
      <c r="D186">
        <v>13.888888888888889</v>
      </c>
      <c r="E186">
        <v>22.228888888888893</v>
      </c>
    </row>
    <row r="187" spans="1:5" x14ac:dyDescent="0.2">
      <c r="A187" s="1">
        <v>40363</v>
      </c>
      <c r="B187">
        <v>185</v>
      </c>
      <c r="C187">
        <v>30</v>
      </c>
      <c r="D187">
        <v>18.888888888888889</v>
      </c>
      <c r="E187">
        <v>22.664444444444449</v>
      </c>
    </row>
    <row r="188" spans="1:5" x14ac:dyDescent="0.2">
      <c r="A188" s="1">
        <v>40364</v>
      </c>
      <c r="B188">
        <v>186</v>
      </c>
      <c r="C188">
        <v>30</v>
      </c>
      <c r="D188">
        <v>21.111111111111111</v>
      </c>
      <c r="E188">
        <v>24.606666666666666</v>
      </c>
    </row>
    <row r="189" spans="1:5" x14ac:dyDescent="0.2">
      <c r="A189" s="1">
        <v>40365</v>
      </c>
      <c r="B189">
        <v>187</v>
      </c>
      <c r="C189">
        <v>26.111111111111111</v>
      </c>
      <c r="D189">
        <v>21.666666666666664</v>
      </c>
      <c r="E189">
        <v>23.071111111111112</v>
      </c>
    </row>
    <row r="190" spans="1:5" x14ac:dyDescent="0.2">
      <c r="A190" s="1">
        <v>40366</v>
      </c>
      <c r="B190">
        <v>188</v>
      </c>
      <c r="C190">
        <v>28.333333333333336</v>
      </c>
      <c r="D190">
        <v>21.111111111111111</v>
      </c>
      <c r="E190">
        <v>23.468888888888888</v>
      </c>
    </row>
    <row r="191" spans="1:5" x14ac:dyDescent="0.2">
      <c r="A191" s="1">
        <v>40367</v>
      </c>
      <c r="B191">
        <v>189</v>
      </c>
      <c r="C191">
        <v>28.888888888888889</v>
      </c>
      <c r="D191">
        <v>20</v>
      </c>
      <c r="E191">
        <v>22.911111111111111</v>
      </c>
    </row>
    <row r="192" spans="1:5" x14ac:dyDescent="0.2">
      <c r="A192" s="1">
        <v>40368</v>
      </c>
      <c r="B192">
        <v>190</v>
      </c>
      <c r="C192">
        <v>28.888888888888889</v>
      </c>
      <c r="D192">
        <v>17.222222222222221</v>
      </c>
      <c r="E192">
        <v>22.133333333333333</v>
      </c>
    </row>
    <row r="193" spans="1:5" x14ac:dyDescent="0.2">
      <c r="A193" s="1">
        <v>40369</v>
      </c>
      <c r="B193">
        <v>191</v>
      </c>
      <c r="C193">
        <v>28.888888888888889</v>
      </c>
      <c r="D193">
        <v>16.666666666666668</v>
      </c>
      <c r="E193">
        <v>23.479999999999993</v>
      </c>
    </row>
    <row r="194" spans="1:5" x14ac:dyDescent="0.2">
      <c r="A194" s="1">
        <v>40370</v>
      </c>
      <c r="B194">
        <v>192</v>
      </c>
      <c r="C194">
        <v>29.444444444444446</v>
      </c>
      <c r="D194">
        <v>16.111111111111111</v>
      </c>
      <c r="E194">
        <v>23.637777777777778</v>
      </c>
    </row>
    <row r="195" spans="1:5" x14ac:dyDescent="0.2">
      <c r="A195" s="1">
        <v>40371</v>
      </c>
      <c r="B195">
        <v>193</v>
      </c>
      <c r="C195">
        <v>26.666666666666664</v>
      </c>
      <c r="D195">
        <v>17.222222222222221</v>
      </c>
      <c r="E195">
        <v>22.757777777777775</v>
      </c>
    </row>
    <row r="196" spans="1:5" x14ac:dyDescent="0.2">
      <c r="A196" s="1">
        <v>40372</v>
      </c>
      <c r="B196">
        <v>194</v>
      </c>
      <c r="C196">
        <v>25.555555555555554</v>
      </c>
      <c r="D196">
        <v>16.666666666666668</v>
      </c>
      <c r="E196">
        <v>22.486666666666665</v>
      </c>
    </row>
    <row r="197" spans="1:5" x14ac:dyDescent="0.2">
      <c r="A197" s="1">
        <v>40373</v>
      </c>
      <c r="B197">
        <v>195</v>
      </c>
      <c r="C197">
        <v>28.888888888888889</v>
      </c>
      <c r="D197">
        <v>19.444444444444443</v>
      </c>
      <c r="E197">
        <v>23.213333333333335</v>
      </c>
    </row>
    <row r="198" spans="1:5" x14ac:dyDescent="0.2">
      <c r="A198" s="1">
        <v>40374</v>
      </c>
      <c r="B198">
        <v>196</v>
      </c>
      <c r="C198">
        <v>32.222222222222221</v>
      </c>
      <c r="D198">
        <v>19.444444444444443</v>
      </c>
      <c r="E198">
        <v>23.213333333333335</v>
      </c>
    </row>
    <row r="199" spans="1:5" x14ac:dyDescent="0.2">
      <c r="A199" s="1">
        <v>40375</v>
      </c>
      <c r="B199">
        <v>197</v>
      </c>
      <c r="C199">
        <v>27.222222222222221</v>
      </c>
      <c r="D199">
        <v>16.666666666666668</v>
      </c>
      <c r="E199">
        <v>24.926666666666669</v>
      </c>
    </row>
    <row r="200" spans="1:5" x14ac:dyDescent="0.2">
      <c r="A200" s="1">
        <v>40376</v>
      </c>
      <c r="B200">
        <v>198</v>
      </c>
      <c r="C200">
        <v>30</v>
      </c>
      <c r="D200">
        <v>18.888888888888889</v>
      </c>
      <c r="E200">
        <v>22.395555555555553</v>
      </c>
    </row>
    <row r="201" spans="1:5" x14ac:dyDescent="0.2">
      <c r="A201" s="1">
        <v>40377</v>
      </c>
      <c r="B201">
        <v>199</v>
      </c>
      <c r="C201">
        <v>31.111111111111111</v>
      </c>
      <c r="D201">
        <v>20</v>
      </c>
      <c r="E201">
        <v>20.604444444444447</v>
      </c>
    </row>
    <row r="202" spans="1:5" x14ac:dyDescent="0.2">
      <c r="A202" s="1">
        <v>40378</v>
      </c>
      <c r="B202">
        <v>200</v>
      </c>
      <c r="C202">
        <v>28.888888888888889</v>
      </c>
      <c r="D202">
        <v>18.333333333333332</v>
      </c>
      <c r="E202">
        <v>19.959999999999997</v>
      </c>
    </row>
    <row r="203" spans="1:5" x14ac:dyDescent="0.2">
      <c r="A203" s="1">
        <v>40379</v>
      </c>
      <c r="B203">
        <v>201</v>
      </c>
      <c r="C203">
        <v>27.777777777777779</v>
      </c>
      <c r="D203">
        <v>17.777777777777779</v>
      </c>
      <c r="E203">
        <v>21.315555555555552</v>
      </c>
    </row>
    <row r="204" spans="1:5" x14ac:dyDescent="0.2">
      <c r="A204" s="1">
        <v>40380</v>
      </c>
      <c r="B204">
        <v>202</v>
      </c>
      <c r="C204">
        <v>29.444444444444446</v>
      </c>
      <c r="D204">
        <v>17.777777777777779</v>
      </c>
      <c r="E204">
        <v>21.008888888888883</v>
      </c>
    </row>
    <row r="205" spans="1:5" x14ac:dyDescent="0.2">
      <c r="A205" s="1">
        <v>40381</v>
      </c>
      <c r="B205">
        <v>203</v>
      </c>
      <c r="C205">
        <v>28.888888888888889</v>
      </c>
      <c r="D205">
        <v>17.222222222222221</v>
      </c>
      <c r="E205">
        <v>22.064444444444447</v>
      </c>
    </row>
    <row r="206" spans="1:5" x14ac:dyDescent="0.2">
      <c r="A206" s="1">
        <v>40382</v>
      </c>
      <c r="B206">
        <v>204</v>
      </c>
      <c r="C206">
        <v>27.222222222222221</v>
      </c>
      <c r="D206">
        <v>18.888888888888889</v>
      </c>
      <c r="E206">
        <v>21.877777777777776</v>
      </c>
    </row>
    <row r="207" spans="1:5" x14ac:dyDescent="0.2">
      <c r="A207" s="1">
        <v>40383</v>
      </c>
      <c r="B207">
        <v>205</v>
      </c>
      <c r="C207">
        <v>28.333333333333336</v>
      </c>
      <c r="D207">
        <v>20</v>
      </c>
      <c r="E207">
        <v>23.522222222222226</v>
      </c>
    </row>
    <row r="208" spans="1:5" x14ac:dyDescent="0.2">
      <c r="A208" s="1">
        <v>40384</v>
      </c>
      <c r="B208">
        <v>206</v>
      </c>
      <c r="C208">
        <v>27.777777777777779</v>
      </c>
      <c r="D208">
        <v>17.777777777777779</v>
      </c>
      <c r="E208">
        <v>21.008888888888887</v>
      </c>
    </row>
    <row r="209" spans="1:5" x14ac:dyDescent="0.2">
      <c r="A209" s="1">
        <v>40385</v>
      </c>
      <c r="B209">
        <v>207</v>
      </c>
      <c r="C209">
        <v>27.777777777777779</v>
      </c>
      <c r="D209">
        <v>14.444444444444445</v>
      </c>
      <c r="E209">
        <v>20.684444444444445</v>
      </c>
    </row>
    <row r="210" spans="1:5" x14ac:dyDescent="0.2">
      <c r="A210" s="1">
        <v>40386</v>
      </c>
      <c r="B210">
        <v>208</v>
      </c>
      <c r="C210">
        <v>28.333333333333336</v>
      </c>
      <c r="D210">
        <v>16.666666666666668</v>
      </c>
      <c r="E210">
        <v>21.106666666666669</v>
      </c>
    </row>
    <row r="211" spans="1:5" x14ac:dyDescent="0.2">
      <c r="A211" s="1">
        <v>40387</v>
      </c>
      <c r="B211">
        <v>209</v>
      </c>
      <c r="C211">
        <v>30.555555555555554</v>
      </c>
      <c r="D211">
        <v>20</v>
      </c>
      <c r="E211">
        <v>20.757777777777772</v>
      </c>
    </row>
    <row r="212" spans="1:5" x14ac:dyDescent="0.2">
      <c r="A212" s="1">
        <v>40388</v>
      </c>
      <c r="B212">
        <v>210</v>
      </c>
      <c r="C212">
        <v>28.333333333333336</v>
      </c>
      <c r="D212">
        <v>14.444444444444445</v>
      </c>
      <c r="E212">
        <v>21.942222222222224</v>
      </c>
    </row>
    <row r="213" spans="1:5" x14ac:dyDescent="0.2">
      <c r="A213" s="1">
        <v>40389</v>
      </c>
      <c r="B213">
        <v>211</v>
      </c>
      <c r="C213">
        <v>27.222222222222221</v>
      </c>
      <c r="D213">
        <v>15.555555555555555</v>
      </c>
      <c r="E213">
        <v>21.31999999999999</v>
      </c>
    </row>
    <row r="214" spans="1:5" x14ac:dyDescent="0.2">
      <c r="A214" s="1">
        <v>40390</v>
      </c>
      <c r="B214">
        <v>212</v>
      </c>
      <c r="C214">
        <v>22.222222222222221</v>
      </c>
      <c r="D214">
        <v>18.333333333333332</v>
      </c>
      <c r="E214">
        <v>21.69777777777778</v>
      </c>
    </row>
    <row r="215" spans="1:5" x14ac:dyDescent="0.2">
      <c r="A215" s="1">
        <v>40391</v>
      </c>
      <c r="B215">
        <v>213</v>
      </c>
      <c r="C215">
        <v>28.333333333333336</v>
      </c>
      <c r="D215">
        <v>17.777777777777779</v>
      </c>
      <c r="E215">
        <v>21.27999999999999</v>
      </c>
    </row>
    <row r="216" spans="1:5" x14ac:dyDescent="0.2">
      <c r="A216" s="1">
        <v>40392</v>
      </c>
      <c r="B216">
        <v>214</v>
      </c>
      <c r="C216">
        <v>28.888888888888889</v>
      </c>
      <c r="D216">
        <v>17.777777777777779</v>
      </c>
      <c r="E216">
        <v>22.631111111111117</v>
      </c>
    </row>
    <row r="217" spans="1:5" x14ac:dyDescent="0.2">
      <c r="A217" s="1">
        <v>40393</v>
      </c>
      <c r="B217">
        <v>215</v>
      </c>
      <c r="C217">
        <v>27.222222222222221</v>
      </c>
      <c r="D217">
        <v>19.444444444444443</v>
      </c>
      <c r="E217">
        <v>21.322222222222216</v>
      </c>
    </row>
    <row r="218" spans="1:5" x14ac:dyDescent="0.2">
      <c r="A218" s="1">
        <v>40394</v>
      </c>
      <c r="B218">
        <v>216</v>
      </c>
      <c r="C218">
        <v>32.222222222222221</v>
      </c>
      <c r="D218">
        <v>20.555555555555554</v>
      </c>
      <c r="E218">
        <v>19.813333333333325</v>
      </c>
    </row>
    <row r="219" spans="1:5" x14ac:dyDescent="0.2">
      <c r="A219" s="1">
        <v>40395</v>
      </c>
      <c r="B219">
        <v>217</v>
      </c>
      <c r="C219">
        <v>30.555555555555554</v>
      </c>
      <c r="D219">
        <v>18.333333333333332</v>
      </c>
      <c r="E219">
        <v>19.868888888888886</v>
      </c>
    </row>
    <row r="220" spans="1:5" x14ac:dyDescent="0.2">
      <c r="A220" s="1">
        <v>40396</v>
      </c>
      <c r="B220">
        <v>218</v>
      </c>
      <c r="C220">
        <v>27.222222222222221</v>
      </c>
      <c r="D220">
        <v>15.555555555555555</v>
      </c>
      <c r="E220">
        <v>20.691111111111113</v>
      </c>
    </row>
    <row r="221" spans="1:5" x14ac:dyDescent="0.2">
      <c r="A221" s="1">
        <v>40397</v>
      </c>
      <c r="B221">
        <v>219</v>
      </c>
      <c r="C221">
        <v>28.333333333333336</v>
      </c>
      <c r="D221">
        <v>13.333333333333332</v>
      </c>
      <c r="E221">
        <v>21.084444444444447</v>
      </c>
    </row>
    <row r="222" spans="1:5" x14ac:dyDescent="0.2">
      <c r="A222" s="1">
        <v>40398</v>
      </c>
      <c r="B222">
        <v>220</v>
      </c>
      <c r="C222">
        <v>28.333333333333336</v>
      </c>
      <c r="D222">
        <v>19.444444444444443</v>
      </c>
      <c r="E222">
        <v>20.291111111111103</v>
      </c>
    </row>
    <row r="223" spans="1:5" x14ac:dyDescent="0.2">
      <c r="A223" s="1">
        <v>40399</v>
      </c>
      <c r="B223">
        <v>221</v>
      </c>
      <c r="C223">
        <v>28.888888888888889</v>
      </c>
      <c r="D223">
        <v>21.111111111111111</v>
      </c>
      <c r="E223">
        <v>20.335555555555551</v>
      </c>
    </row>
    <row r="224" spans="1:5" x14ac:dyDescent="0.2">
      <c r="A224" s="1">
        <v>40400</v>
      </c>
      <c r="B224">
        <v>222</v>
      </c>
      <c r="C224">
        <v>32.222222222222221</v>
      </c>
      <c r="D224">
        <v>21.666666666666664</v>
      </c>
      <c r="E224">
        <v>20.286666666666665</v>
      </c>
    </row>
    <row r="225" spans="1:5" x14ac:dyDescent="0.2">
      <c r="A225" s="1">
        <v>40401</v>
      </c>
      <c r="B225">
        <v>223</v>
      </c>
      <c r="C225">
        <v>31.666666666666664</v>
      </c>
      <c r="D225">
        <v>21.666666666666664</v>
      </c>
      <c r="E225">
        <v>19.695555555555561</v>
      </c>
    </row>
    <row r="226" spans="1:5" x14ac:dyDescent="0.2">
      <c r="A226" s="1">
        <v>40402</v>
      </c>
      <c r="B226">
        <v>224</v>
      </c>
      <c r="C226">
        <v>30.555555555555554</v>
      </c>
      <c r="D226">
        <v>21.111111111111111</v>
      </c>
      <c r="E226">
        <v>19.864444444444441</v>
      </c>
    </row>
    <row r="227" spans="1:5" x14ac:dyDescent="0.2">
      <c r="A227" s="1">
        <v>40403</v>
      </c>
      <c r="B227">
        <v>225</v>
      </c>
      <c r="C227">
        <v>33.333333333333336</v>
      </c>
      <c r="D227">
        <v>21.111111111111111</v>
      </c>
      <c r="E227">
        <v>19.211111111111116</v>
      </c>
    </row>
    <row r="228" spans="1:5" x14ac:dyDescent="0.2">
      <c r="A228" s="1">
        <v>40404</v>
      </c>
      <c r="B228">
        <v>226</v>
      </c>
      <c r="C228">
        <v>26.666666666666664</v>
      </c>
      <c r="D228">
        <v>19.444444444444443</v>
      </c>
      <c r="E228">
        <v>19.971111111111117</v>
      </c>
    </row>
    <row r="229" spans="1:5" x14ac:dyDescent="0.2">
      <c r="A229" s="1">
        <v>40405</v>
      </c>
      <c r="B229">
        <v>227</v>
      </c>
      <c r="C229">
        <v>28.888888888888889</v>
      </c>
      <c r="D229">
        <v>18.333333333333332</v>
      </c>
      <c r="E229">
        <v>19.895555555555553</v>
      </c>
    </row>
    <row r="230" spans="1:5" x14ac:dyDescent="0.2">
      <c r="A230" s="1">
        <v>40406</v>
      </c>
      <c r="B230">
        <v>228</v>
      </c>
      <c r="C230">
        <v>25.555555555555554</v>
      </c>
      <c r="D230">
        <v>13.888888888888889</v>
      </c>
      <c r="E230">
        <v>19.86</v>
      </c>
    </row>
    <row r="231" spans="1:5" x14ac:dyDescent="0.2">
      <c r="A231" s="1">
        <v>40407</v>
      </c>
      <c r="B231">
        <v>229</v>
      </c>
      <c r="C231">
        <v>26.111111111111111</v>
      </c>
      <c r="D231">
        <v>13.888888888888889</v>
      </c>
      <c r="E231">
        <v>19.584444444444447</v>
      </c>
    </row>
    <row r="232" spans="1:5" x14ac:dyDescent="0.2">
      <c r="A232" s="1">
        <v>40408</v>
      </c>
      <c r="B232">
        <v>230</v>
      </c>
      <c r="C232">
        <v>22.222222222222221</v>
      </c>
      <c r="D232">
        <v>14.444444444444445</v>
      </c>
      <c r="E232">
        <v>18.513333333333335</v>
      </c>
    </row>
    <row r="233" spans="1:5" x14ac:dyDescent="0.2">
      <c r="A233" s="1">
        <v>40409</v>
      </c>
      <c r="B233">
        <v>231</v>
      </c>
      <c r="C233">
        <v>26.666666666666664</v>
      </c>
      <c r="D233">
        <v>16.111111111111111</v>
      </c>
      <c r="E233">
        <v>18.513333333333335</v>
      </c>
    </row>
    <row r="234" spans="1:5" x14ac:dyDescent="0.2">
      <c r="A234" s="1">
        <v>40410</v>
      </c>
      <c r="B234">
        <v>232</v>
      </c>
      <c r="C234">
        <v>29.444444444444446</v>
      </c>
      <c r="D234">
        <v>17.222222222222221</v>
      </c>
      <c r="E234">
        <v>20.05777777777778</v>
      </c>
    </row>
    <row r="235" spans="1:5" x14ac:dyDescent="0.2">
      <c r="A235" s="1">
        <v>40411</v>
      </c>
      <c r="B235">
        <v>233</v>
      </c>
      <c r="C235">
        <v>30</v>
      </c>
      <c r="D235">
        <v>20</v>
      </c>
      <c r="E235">
        <v>18.846666666666664</v>
      </c>
    </row>
    <row r="236" spans="1:5" x14ac:dyDescent="0.2">
      <c r="A236" s="1">
        <v>40412</v>
      </c>
      <c r="B236">
        <v>234</v>
      </c>
      <c r="C236">
        <v>28.333333333333336</v>
      </c>
      <c r="D236">
        <v>18.333333333333332</v>
      </c>
      <c r="E236">
        <v>16.657777777777788</v>
      </c>
    </row>
    <row r="237" spans="1:5" x14ac:dyDescent="0.2">
      <c r="A237" s="1">
        <v>40413</v>
      </c>
      <c r="B237">
        <v>235</v>
      </c>
      <c r="C237">
        <v>28.888888888888889</v>
      </c>
      <c r="D237">
        <v>14.444444444444445</v>
      </c>
      <c r="E237">
        <v>17.182222222222222</v>
      </c>
    </row>
    <row r="238" spans="1:5" x14ac:dyDescent="0.2">
      <c r="A238" s="1">
        <v>40414</v>
      </c>
      <c r="B238">
        <v>236</v>
      </c>
      <c r="C238">
        <v>28.888888888888889</v>
      </c>
      <c r="D238">
        <v>15.555555555555555</v>
      </c>
      <c r="E238">
        <v>17.515555555555554</v>
      </c>
    </row>
    <row r="239" spans="1:5" x14ac:dyDescent="0.2">
      <c r="A239" s="1">
        <v>40415</v>
      </c>
      <c r="B239">
        <v>237</v>
      </c>
      <c r="C239">
        <v>25</v>
      </c>
      <c r="D239">
        <v>11.666666666666668</v>
      </c>
      <c r="E239">
        <v>17.753333333333327</v>
      </c>
    </row>
    <row r="240" spans="1:5" x14ac:dyDescent="0.2">
      <c r="A240" s="1">
        <v>40416</v>
      </c>
      <c r="B240">
        <v>238</v>
      </c>
      <c r="C240">
        <v>23.333333333333336</v>
      </c>
      <c r="D240">
        <v>10</v>
      </c>
      <c r="E240">
        <v>17.366666666666664</v>
      </c>
    </row>
    <row r="241" spans="1:5" x14ac:dyDescent="0.2">
      <c r="A241" s="1">
        <v>40417</v>
      </c>
      <c r="B241">
        <v>239</v>
      </c>
      <c r="C241">
        <v>24.444444444444446</v>
      </c>
      <c r="D241">
        <v>10</v>
      </c>
      <c r="E241">
        <v>17.388888888888886</v>
      </c>
    </row>
    <row r="242" spans="1:5" x14ac:dyDescent="0.2">
      <c r="A242" s="1">
        <v>40418</v>
      </c>
      <c r="B242">
        <v>240</v>
      </c>
      <c r="C242">
        <v>28.333333333333336</v>
      </c>
      <c r="D242">
        <v>13.333333333333332</v>
      </c>
      <c r="E242">
        <v>18.282222222222217</v>
      </c>
    </row>
    <row r="243" spans="1:5" x14ac:dyDescent="0.2">
      <c r="A243" s="1">
        <v>40419</v>
      </c>
      <c r="B243">
        <v>241</v>
      </c>
      <c r="C243">
        <v>28.333333333333336</v>
      </c>
      <c r="D243">
        <v>12.777777777777777</v>
      </c>
      <c r="E243">
        <v>19.166666666666675</v>
      </c>
    </row>
    <row r="244" spans="1:5" x14ac:dyDescent="0.2">
      <c r="A244" s="1">
        <v>40420</v>
      </c>
      <c r="B244">
        <v>242</v>
      </c>
      <c r="C244">
        <v>31.666666666666664</v>
      </c>
      <c r="D244">
        <v>15.555555555555555</v>
      </c>
      <c r="E244">
        <v>17.893333333333331</v>
      </c>
    </row>
    <row r="245" spans="1:5" x14ac:dyDescent="0.2">
      <c r="A245" s="1">
        <v>40421</v>
      </c>
      <c r="B245">
        <v>243</v>
      </c>
      <c r="C245">
        <v>28.888888888888889</v>
      </c>
      <c r="D245">
        <v>22.222222222222221</v>
      </c>
      <c r="E245">
        <v>18.108888888888892</v>
      </c>
    </row>
    <row r="246" spans="1:5" x14ac:dyDescent="0.2">
      <c r="A246" s="1">
        <v>40422</v>
      </c>
      <c r="B246">
        <v>244</v>
      </c>
      <c r="C246">
        <v>26.111111111111111</v>
      </c>
      <c r="D246">
        <v>19.444444444444443</v>
      </c>
      <c r="E246">
        <v>18.124444444444446</v>
      </c>
    </row>
    <row r="247" spans="1:5" x14ac:dyDescent="0.2">
      <c r="A247" s="1">
        <v>40423</v>
      </c>
      <c r="B247">
        <v>245</v>
      </c>
      <c r="C247">
        <v>26.666666666666664</v>
      </c>
      <c r="D247">
        <v>18.333333333333332</v>
      </c>
      <c r="E247">
        <v>17.782222222222217</v>
      </c>
    </row>
    <row r="248" spans="1:5" x14ac:dyDescent="0.2">
      <c r="A248" s="1">
        <v>40424</v>
      </c>
      <c r="B248">
        <v>246</v>
      </c>
      <c r="C248">
        <v>27.222222222222221</v>
      </c>
      <c r="D248">
        <v>13.888888888888889</v>
      </c>
      <c r="E248">
        <v>18.233333333333341</v>
      </c>
    </row>
    <row r="249" spans="1:5" x14ac:dyDescent="0.2">
      <c r="A249" s="1">
        <v>40425</v>
      </c>
      <c r="B249">
        <v>247</v>
      </c>
      <c r="C249">
        <v>16.111111111111111</v>
      </c>
      <c r="D249">
        <v>7.2222222222222223</v>
      </c>
      <c r="E249">
        <v>17.279999999999994</v>
      </c>
    </row>
    <row r="250" spans="1:5" x14ac:dyDescent="0.2">
      <c r="A250" s="1">
        <v>40426</v>
      </c>
      <c r="B250">
        <v>248</v>
      </c>
      <c r="C250">
        <v>19.444444444444443</v>
      </c>
      <c r="D250">
        <v>7.2222222222222223</v>
      </c>
      <c r="E250">
        <v>17.504444444444449</v>
      </c>
    </row>
    <row r="251" spans="1:5" x14ac:dyDescent="0.2">
      <c r="A251" s="1">
        <v>40427</v>
      </c>
      <c r="B251">
        <v>249</v>
      </c>
      <c r="C251">
        <v>22.777777777777779</v>
      </c>
      <c r="D251">
        <v>7.7777777777777777</v>
      </c>
      <c r="E251">
        <v>17.331111111111102</v>
      </c>
    </row>
    <row r="252" spans="1:5" x14ac:dyDescent="0.2">
      <c r="A252" s="1">
        <v>40428</v>
      </c>
      <c r="B252">
        <v>250</v>
      </c>
      <c r="C252">
        <v>25</v>
      </c>
      <c r="D252">
        <v>13.888888888888889</v>
      </c>
      <c r="E252">
        <v>16.582222222222228</v>
      </c>
    </row>
    <row r="253" spans="1:5" x14ac:dyDescent="0.2">
      <c r="A253" s="1">
        <v>40429</v>
      </c>
      <c r="B253">
        <v>251</v>
      </c>
      <c r="C253">
        <v>18.333333333333332</v>
      </c>
      <c r="D253">
        <v>6.1111111111111116</v>
      </c>
      <c r="E253">
        <v>15.802222222222218</v>
      </c>
    </row>
    <row r="254" spans="1:5" x14ac:dyDescent="0.2">
      <c r="A254" s="1">
        <v>40430</v>
      </c>
      <c r="B254">
        <v>252</v>
      </c>
      <c r="C254">
        <v>20</v>
      </c>
      <c r="D254">
        <v>7.2222222222222223</v>
      </c>
      <c r="E254">
        <v>16.022222222222219</v>
      </c>
    </row>
    <row r="255" spans="1:5" x14ac:dyDescent="0.2">
      <c r="A255" s="1">
        <v>40431</v>
      </c>
      <c r="B255">
        <v>253</v>
      </c>
      <c r="C255">
        <v>18.333333333333332</v>
      </c>
      <c r="D255">
        <v>10</v>
      </c>
      <c r="E255">
        <v>15.893333333333333</v>
      </c>
    </row>
    <row r="256" spans="1:5" x14ac:dyDescent="0.2">
      <c r="A256" s="1">
        <v>40432</v>
      </c>
      <c r="B256">
        <v>254</v>
      </c>
      <c r="C256">
        <v>23.888888888888889</v>
      </c>
      <c r="D256">
        <v>11.111111111111111</v>
      </c>
      <c r="E256">
        <v>17.87555555555555</v>
      </c>
    </row>
    <row r="257" spans="1:5" x14ac:dyDescent="0.2">
      <c r="A257" s="1">
        <v>40433</v>
      </c>
      <c r="B257">
        <v>255</v>
      </c>
      <c r="C257">
        <v>26.111111111111111</v>
      </c>
      <c r="D257">
        <v>10</v>
      </c>
      <c r="E257">
        <v>15.27777777777778</v>
      </c>
    </row>
    <row r="258" spans="1:5" x14ac:dyDescent="0.2">
      <c r="A258" s="1">
        <v>40434</v>
      </c>
      <c r="B258">
        <v>256</v>
      </c>
      <c r="C258">
        <v>27.777777777777779</v>
      </c>
      <c r="D258">
        <v>8.8888888888888893</v>
      </c>
      <c r="E258">
        <v>14.684444444444448</v>
      </c>
    </row>
    <row r="259" spans="1:5" x14ac:dyDescent="0.2">
      <c r="A259" s="1">
        <v>40435</v>
      </c>
      <c r="B259">
        <v>257</v>
      </c>
      <c r="C259">
        <v>24.444444444444446</v>
      </c>
      <c r="D259">
        <v>6.6666666666666661</v>
      </c>
      <c r="E259">
        <v>14.008888888888889</v>
      </c>
    </row>
    <row r="260" spans="1:5" x14ac:dyDescent="0.2">
      <c r="A260" s="1">
        <v>40436</v>
      </c>
      <c r="B260">
        <v>258</v>
      </c>
      <c r="C260">
        <v>23.888888888888889</v>
      </c>
      <c r="D260">
        <v>9.4444444444444446</v>
      </c>
      <c r="E260">
        <v>14.540000000000001</v>
      </c>
    </row>
    <row r="261" spans="1:5" x14ac:dyDescent="0.2">
      <c r="A261" s="1">
        <v>40437</v>
      </c>
      <c r="B261">
        <v>259</v>
      </c>
      <c r="C261">
        <v>25.555555555555554</v>
      </c>
      <c r="D261">
        <v>12.777777777777777</v>
      </c>
      <c r="E261">
        <v>14.833333333333339</v>
      </c>
    </row>
    <row r="262" spans="1:5" x14ac:dyDescent="0.2">
      <c r="A262" s="1">
        <v>40438</v>
      </c>
      <c r="B262">
        <v>260</v>
      </c>
      <c r="C262">
        <v>18.333333333333332</v>
      </c>
      <c r="D262">
        <v>8.8888888888888893</v>
      </c>
      <c r="E262">
        <v>14.604444444444445</v>
      </c>
    </row>
    <row r="263" spans="1:5" x14ac:dyDescent="0.2">
      <c r="A263" s="1">
        <v>40439</v>
      </c>
      <c r="B263">
        <v>261</v>
      </c>
      <c r="C263">
        <v>23.888888888888889</v>
      </c>
      <c r="D263">
        <v>8.8888888888888893</v>
      </c>
      <c r="E263">
        <v>14.57555555555556</v>
      </c>
    </row>
    <row r="264" spans="1:5" x14ac:dyDescent="0.2">
      <c r="A264" s="1">
        <v>40440</v>
      </c>
      <c r="B264">
        <v>262</v>
      </c>
      <c r="C264">
        <v>16.666666666666668</v>
      </c>
      <c r="D264">
        <v>8.3333333333333339</v>
      </c>
      <c r="E264">
        <v>13.008888888888889</v>
      </c>
    </row>
    <row r="265" spans="1:5" x14ac:dyDescent="0.2">
      <c r="A265" s="1">
        <v>40441</v>
      </c>
      <c r="B265">
        <v>263</v>
      </c>
      <c r="C265">
        <v>14.444444444444445</v>
      </c>
      <c r="D265">
        <v>10.555555555555555</v>
      </c>
      <c r="E265">
        <v>13.331111111111113</v>
      </c>
    </row>
    <row r="266" spans="1:5" x14ac:dyDescent="0.2">
      <c r="A266" s="1">
        <v>40442</v>
      </c>
      <c r="B266">
        <v>264</v>
      </c>
      <c r="C266">
        <v>24.444444444444446</v>
      </c>
      <c r="D266">
        <v>12.222222222222223</v>
      </c>
      <c r="E266">
        <v>13.533333333333333</v>
      </c>
    </row>
    <row r="267" spans="1:5" x14ac:dyDescent="0.2">
      <c r="A267" s="1">
        <v>40443</v>
      </c>
      <c r="B267">
        <v>265</v>
      </c>
      <c r="C267">
        <v>24.444444444444446</v>
      </c>
      <c r="D267">
        <v>14.444444444444445</v>
      </c>
      <c r="E267">
        <v>13.317777777777776</v>
      </c>
    </row>
    <row r="268" spans="1:5" x14ac:dyDescent="0.2">
      <c r="A268" s="1">
        <v>40444</v>
      </c>
      <c r="B268">
        <v>266</v>
      </c>
      <c r="C268">
        <v>23.333333333333336</v>
      </c>
      <c r="D268">
        <v>13.888888888888889</v>
      </c>
      <c r="E268">
        <v>13.562222222222227</v>
      </c>
    </row>
    <row r="269" spans="1:5" x14ac:dyDescent="0.2">
      <c r="A269" s="1">
        <v>40445</v>
      </c>
      <c r="B269">
        <v>267</v>
      </c>
      <c r="C269">
        <v>29.444444444444446</v>
      </c>
      <c r="D269">
        <v>11.666666666666668</v>
      </c>
      <c r="E269">
        <v>13.764444444444443</v>
      </c>
    </row>
    <row r="270" spans="1:5" x14ac:dyDescent="0.2">
      <c r="A270" s="1">
        <v>40446</v>
      </c>
      <c r="B270">
        <v>268</v>
      </c>
      <c r="C270">
        <v>18.333333333333332</v>
      </c>
      <c r="D270">
        <v>8.3333333333333339</v>
      </c>
      <c r="E270">
        <v>13.388888888888891</v>
      </c>
    </row>
    <row r="271" spans="1:5" x14ac:dyDescent="0.2">
      <c r="A271" s="1">
        <v>40447</v>
      </c>
      <c r="B271">
        <v>269</v>
      </c>
      <c r="C271">
        <v>15</v>
      </c>
      <c r="D271">
        <v>3.8888888888888888</v>
      </c>
      <c r="E271">
        <v>13.502222222222223</v>
      </c>
    </row>
    <row r="272" spans="1:5" x14ac:dyDescent="0.2">
      <c r="A272" s="1">
        <v>40448</v>
      </c>
      <c r="B272">
        <v>270</v>
      </c>
      <c r="C272">
        <v>16.111111111111111</v>
      </c>
      <c r="D272">
        <v>2.7777777777777777</v>
      </c>
      <c r="E272">
        <v>14.011111111111109</v>
      </c>
    </row>
    <row r="273" spans="1:5" x14ac:dyDescent="0.2">
      <c r="A273" s="1">
        <v>40449</v>
      </c>
      <c r="B273">
        <v>271</v>
      </c>
      <c r="C273">
        <v>18.888888888888889</v>
      </c>
      <c r="D273">
        <v>2.7777777777777777</v>
      </c>
      <c r="E273">
        <v>12.597777777777782</v>
      </c>
    </row>
    <row r="274" spans="1:5" x14ac:dyDescent="0.2">
      <c r="A274" s="1">
        <v>40450</v>
      </c>
      <c r="B274">
        <v>272</v>
      </c>
      <c r="C274">
        <v>20.555555555555554</v>
      </c>
      <c r="D274">
        <v>7.7777777777777777</v>
      </c>
      <c r="E274">
        <v>13.12666666666667</v>
      </c>
    </row>
    <row r="275" spans="1:5" x14ac:dyDescent="0.2">
      <c r="A275" s="1">
        <v>40451</v>
      </c>
      <c r="B275">
        <v>273</v>
      </c>
      <c r="C275">
        <v>23.888888888888889</v>
      </c>
      <c r="D275">
        <v>8.3333333333333339</v>
      </c>
      <c r="E275">
        <v>13.026666666666667</v>
      </c>
    </row>
    <row r="276" spans="1:5" x14ac:dyDescent="0.2">
      <c r="A276" s="1">
        <v>40452</v>
      </c>
      <c r="B276">
        <v>274</v>
      </c>
      <c r="C276">
        <v>20.555555555555554</v>
      </c>
      <c r="D276">
        <v>4.4444444444444446</v>
      </c>
      <c r="E276">
        <v>13.155555555555559</v>
      </c>
    </row>
    <row r="277" spans="1:5" x14ac:dyDescent="0.2">
      <c r="A277" s="1">
        <v>40453</v>
      </c>
      <c r="B277">
        <v>275</v>
      </c>
      <c r="C277">
        <v>22.777777777777779</v>
      </c>
      <c r="D277">
        <v>5</v>
      </c>
      <c r="E277">
        <v>13.037777777777777</v>
      </c>
    </row>
    <row r="278" spans="1:5" x14ac:dyDescent="0.2">
      <c r="A278" s="1">
        <v>40454</v>
      </c>
      <c r="B278">
        <v>276</v>
      </c>
      <c r="C278">
        <v>12.222222222222223</v>
      </c>
      <c r="D278">
        <v>-0.55555555555555558</v>
      </c>
      <c r="E278">
        <v>12.082222222222223</v>
      </c>
    </row>
    <row r="279" spans="1:5" x14ac:dyDescent="0.2">
      <c r="A279" s="1">
        <v>40455</v>
      </c>
      <c r="B279">
        <v>277</v>
      </c>
      <c r="C279">
        <v>13.333333333333332</v>
      </c>
      <c r="D279">
        <v>-1.6666666666666665</v>
      </c>
      <c r="E279">
        <v>12.068888888888893</v>
      </c>
    </row>
    <row r="280" spans="1:5" x14ac:dyDescent="0.2">
      <c r="A280" s="1">
        <v>40456</v>
      </c>
      <c r="B280">
        <v>278</v>
      </c>
      <c r="C280">
        <v>16.666666666666668</v>
      </c>
      <c r="D280">
        <v>-0.55555555555555558</v>
      </c>
      <c r="E280">
        <v>12.471111111111115</v>
      </c>
    </row>
    <row r="281" spans="1:5" x14ac:dyDescent="0.2">
      <c r="A281" s="1">
        <v>40457</v>
      </c>
      <c r="B281">
        <v>279</v>
      </c>
      <c r="C281">
        <v>20</v>
      </c>
      <c r="D281">
        <v>-0.55555555555555558</v>
      </c>
      <c r="E281">
        <v>11.631111111111114</v>
      </c>
    </row>
    <row r="282" spans="1:5" x14ac:dyDescent="0.2">
      <c r="A282" s="1">
        <v>40458</v>
      </c>
      <c r="B282">
        <v>280</v>
      </c>
      <c r="C282">
        <v>24.444444444444446</v>
      </c>
      <c r="D282">
        <v>2.2222222222222223</v>
      </c>
      <c r="E282">
        <v>11.757777777777779</v>
      </c>
    </row>
    <row r="283" spans="1:5" x14ac:dyDescent="0.2">
      <c r="A283" s="1">
        <v>40459</v>
      </c>
      <c r="B283">
        <v>281</v>
      </c>
      <c r="C283">
        <v>24.444444444444446</v>
      </c>
      <c r="D283">
        <v>2.7777777777777777</v>
      </c>
      <c r="E283">
        <v>10.711111111111109</v>
      </c>
    </row>
    <row r="284" spans="1:5" x14ac:dyDescent="0.2">
      <c r="A284" s="1">
        <v>40460</v>
      </c>
      <c r="B284">
        <v>282</v>
      </c>
      <c r="C284">
        <v>26.111111111111111</v>
      </c>
      <c r="D284">
        <v>3.333333333333333</v>
      </c>
      <c r="E284">
        <v>11.008888888888887</v>
      </c>
    </row>
    <row r="285" spans="1:5" x14ac:dyDescent="0.2">
      <c r="A285" s="1">
        <v>40461</v>
      </c>
      <c r="B285">
        <v>283</v>
      </c>
      <c r="C285">
        <v>30</v>
      </c>
      <c r="D285">
        <v>8.3333333333333339</v>
      </c>
      <c r="E285">
        <v>11.120000000000003</v>
      </c>
    </row>
    <row r="286" spans="1:5" x14ac:dyDescent="0.2">
      <c r="A286" s="1">
        <v>40462</v>
      </c>
      <c r="B286">
        <v>284</v>
      </c>
      <c r="C286">
        <v>28.333333333333336</v>
      </c>
      <c r="D286">
        <v>7.7777777777777777</v>
      </c>
      <c r="E286">
        <v>11.48</v>
      </c>
    </row>
    <row r="287" spans="1:5" x14ac:dyDescent="0.2">
      <c r="A287" s="1">
        <v>40463</v>
      </c>
      <c r="B287">
        <v>285</v>
      </c>
      <c r="C287">
        <v>26.111111111111111</v>
      </c>
      <c r="D287">
        <v>7.2222222222222223</v>
      </c>
      <c r="E287">
        <v>10.637777777777782</v>
      </c>
    </row>
    <row r="288" spans="1:5" x14ac:dyDescent="0.2">
      <c r="A288" s="1">
        <v>40464</v>
      </c>
      <c r="B288">
        <v>286</v>
      </c>
      <c r="C288">
        <v>26.666666666666664</v>
      </c>
      <c r="D288">
        <v>7.2222222222222223</v>
      </c>
      <c r="E288">
        <v>10.895555555555555</v>
      </c>
    </row>
    <row r="289" spans="1:5" x14ac:dyDescent="0.2">
      <c r="A289" s="1">
        <v>40465</v>
      </c>
      <c r="B289">
        <v>287</v>
      </c>
      <c r="C289">
        <v>17.777777777777779</v>
      </c>
      <c r="D289">
        <v>1.6666666666666665</v>
      </c>
      <c r="E289">
        <v>10.784444444444448</v>
      </c>
    </row>
    <row r="290" spans="1:5" x14ac:dyDescent="0.2">
      <c r="A290" s="1">
        <v>40466</v>
      </c>
      <c r="B290">
        <v>288</v>
      </c>
      <c r="C290">
        <v>18.888888888888889</v>
      </c>
      <c r="D290">
        <v>3.8888888888888888</v>
      </c>
      <c r="E290">
        <v>10.637777777777782</v>
      </c>
    </row>
    <row r="291" spans="1:5" x14ac:dyDescent="0.2">
      <c r="A291" s="1">
        <v>40467</v>
      </c>
      <c r="B291">
        <v>289</v>
      </c>
      <c r="C291">
        <v>16.111111111111111</v>
      </c>
      <c r="D291">
        <v>-1.1111111111111112</v>
      </c>
      <c r="E291">
        <v>10.64666666666667</v>
      </c>
    </row>
    <row r="292" spans="1:5" x14ac:dyDescent="0.2">
      <c r="A292" s="1">
        <v>40468</v>
      </c>
      <c r="B292">
        <v>290</v>
      </c>
      <c r="C292">
        <v>21.666666666666664</v>
      </c>
      <c r="D292">
        <v>-1.1111111111111112</v>
      </c>
      <c r="E292">
        <v>10.311111111111112</v>
      </c>
    </row>
    <row r="293" spans="1:5" x14ac:dyDescent="0.2">
      <c r="A293" s="1">
        <v>40469</v>
      </c>
      <c r="B293">
        <v>291</v>
      </c>
      <c r="C293">
        <v>16.111111111111111</v>
      </c>
      <c r="D293">
        <v>5</v>
      </c>
      <c r="E293">
        <v>9.4244444444444415</v>
      </c>
    </row>
    <row r="294" spans="1:5" x14ac:dyDescent="0.2">
      <c r="A294" s="1">
        <v>40470</v>
      </c>
      <c r="B294">
        <v>292</v>
      </c>
      <c r="C294">
        <v>15.555555555555555</v>
      </c>
      <c r="D294">
        <v>-1.6666666666666665</v>
      </c>
      <c r="E294">
        <v>9.5977777777777806</v>
      </c>
    </row>
    <row r="295" spans="1:5" x14ac:dyDescent="0.2">
      <c r="A295" s="1">
        <v>40471</v>
      </c>
      <c r="B295">
        <v>293</v>
      </c>
      <c r="C295">
        <v>15.555555555555555</v>
      </c>
      <c r="D295">
        <v>0</v>
      </c>
      <c r="E295">
        <v>9.0800000000000036</v>
      </c>
    </row>
    <row r="296" spans="1:5" x14ac:dyDescent="0.2">
      <c r="A296" s="1">
        <v>40472</v>
      </c>
      <c r="B296">
        <v>294</v>
      </c>
      <c r="C296">
        <v>21.666666666666664</v>
      </c>
      <c r="D296">
        <v>-1.6666666666666665</v>
      </c>
      <c r="E296">
        <v>8.8311111111111114</v>
      </c>
    </row>
    <row r="297" spans="1:5" x14ac:dyDescent="0.2">
      <c r="A297" s="1">
        <v>40473</v>
      </c>
      <c r="B297">
        <v>295</v>
      </c>
      <c r="C297">
        <v>11.666666666666668</v>
      </c>
      <c r="D297">
        <v>-4.4444444444444446</v>
      </c>
      <c r="E297">
        <v>8.6733333333333285</v>
      </c>
    </row>
    <row r="298" spans="1:5" x14ac:dyDescent="0.2">
      <c r="A298" s="1">
        <v>40474</v>
      </c>
      <c r="B298">
        <v>296</v>
      </c>
      <c r="C298">
        <v>18.333333333333332</v>
      </c>
      <c r="D298">
        <v>-4.4444444444444446</v>
      </c>
      <c r="E298">
        <v>7.8955555555555543</v>
      </c>
    </row>
    <row r="299" spans="1:5" x14ac:dyDescent="0.2">
      <c r="A299" s="1">
        <v>40475</v>
      </c>
      <c r="B299">
        <v>297</v>
      </c>
      <c r="C299">
        <v>16.666666666666668</v>
      </c>
      <c r="D299">
        <v>11.111111111111111</v>
      </c>
      <c r="E299">
        <v>8.4711111111111119</v>
      </c>
    </row>
    <row r="300" spans="1:5" x14ac:dyDescent="0.2">
      <c r="A300" s="1">
        <v>40476</v>
      </c>
      <c r="B300">
        <v>298</v>
      </c>
      <c r="C300">
        <v>17.777777777777779</v>
      </c>
      <c r="D300">
        <v>13.333333333333332</v>
      </c>
      <c r="E300">
        <v>8.9599999999999991</v>
      </c>
    </row>
    <row r="301" spans="1:5" x14ac:dyDescent="0.2">
      <c r="A301" s="1">
        <v>40477</v>
      </c>
      <c r="B301">
        <v>299</v>
      </c>
      <c r="C301">
        <v>19.444444444444443</v>
      </c>
      <c r="D301">
        <v>12.777777777777777</v>
      </c>
      <c r="E301">
        <v>9.0155555555555544</v>
      </c>
    </row>
    <row r="302" spans="1:5" x14ac:dyDescent="0.2">
      <c r="A302" s="1">
        <v>40478</v>
      </c>
      <c r="B302">
        <v>300</v>
      </c>
      <c r="C302">
        <v>13.333333333333332</v>
      </c>
      <c r="D302">
        <v>7.7777777777777777</v>
      </c>
      <c r="E302">
        <v>8.5622222222222231</v>
      </c>
    </row>
    <row r="303" spans="1:5" x14ac:dyDescent="0.2">
      <c r="A303" s="1">
        <v>40479</v>
      </c>
      <c r="B303">
        <v>301</v>
      </c>
      <c r="C303">
        <v>11.111111111111111</v>
      </c>
      <c r="D303">
        <v>3.8888888888888888</v>
      </c>
      <c r="E303">
        <v>9.3444444444444468</v>
      </c>
    </row>
    <row r="304" spans="1:5" x14ac:dyDescent="0.2">
      <c r="A304" s="1">
        <v>40480</v>
      </c>
      <c r="B304">
        <v>302</v>
      </c>
      <c r="C304">
        <v>7.2222222222222223</v>
      </c>
      <c r="D304">
        <v>-3.8888888888888888</v>
      </c>
      <c r="E304">
        <v>8.6866666666666656</v>
      </c>
    </row>
    <row r="305" spans="1:5" x14ac:dyDescent="0.2">
      <c r="A305" s="1">
        <v>40481</v>
      </c>
      <c r="B305">
        <v>303</v>
      </c>
      <c r="C305">
        <v>10</v>
      </c>
      <c r="D305">
        <v>-2.7777777777777777</v>
      </c>
      <c r="E305">
        <v>8.1999999999999975</v>
      </c>
    </row>
    <row r="306" spans="1:5" x14ac:dyDescent="0.2">
      <c r="A306" s="1">
        <v>40482</v>
      </c>
      <c r="B306">
        <v>304</v>
      </c>
      <c r="C306">
        <v>17.777777777777779</v>
      </c>
      <c r="D306">
        <v>-4.4444444444444446</v>
      </c>
      <c r="E306">
        <v>7.120000000000001</v>
      </c>
    </row>
    <row r="307" spans="1:5" x14ac:dyDescent="0.2">
      <c r="A307" s="1">
        <v>40483</v>
      </c>
      <c r="B307">
        <v>305</v>
      </c>
      <c r="C307">
        <v>10.555555555555555</v>
      </c>
      <c r="D307">
        <v>-5.5555555555555554</v>
      </c>
      <c r="E307">
        <v>6.913333333333334</v>
      </c>
    </row>
    <row r="308" spans="1:5" x14ac:dyDescent="0.2">
      <c r="A308" s="1">
        <v>40484</v>
      </c>
      <c r="B308">
        <v>306</v>
      </c>
      <c r="C308">
        <v>10.555555555555555</v>
      </c>
      <c r="D308">
        <v>-5.5555555555555554</v>
      </c>
      <c r="E308">
        <v>7.6555555555555559</v>
      </c>
    </row>
    <row r="309" spans="1:5" x14ac:dyDescent="0.2">
      <c r="A309" s="1">
        <v>40485</v>
      </c>
      <c r="B309">
        <v>307</v>
      </c>
      <c r="C309">
        <v>11.666666666666668</v>
      </c>
      <c r="D309">
        <v>-3.333333333333333</v>
      </c>
      <c r="E309">
        <v>7.1822222222222205</v>
      </c>
    </row>
    <row r="310" spans="1:5" x14ac:dyDescent="0.2">
      <c r="A310" s="1">
        <v>40486</v>
      </c>
      <c r="B310">
        <v>308</v>
      </c>
      <c r="C310">
        <v>15</v>
      </c>
      <c r="D310">
        <v>2.7777777777777777</v>
      </c>
      <c r="E310">
        <v>7.5955555555555545</v>
      </c>
    </row>
    <row r="311" spans="1:5" x14ac:dyDescent="0.2">
      <c r="A311" s="1">
        <v>40487</v>
      </c>
      <c r="B311">
        <v>309</v>
      </c>
      <c r="C311">
        <v>7.7777777777777777</v>
      </c>
      <c r="D311">
        <v>-3.333333333333333</v>
      </c>
      <c r="E311">
        <v>6.7955555555555573</v>
      </c>
    </row>
    <row r="312" spans="1:5" x14ac:dyDescent="0.2">
      <c r="A312" s="1">
        <v>40488</v>
      </c>
      <c r="B312">
        <v>310</v>
      </c>
      <c r="C312">
        <v>4.4444444444444446</v>
      </c>
      <c r="D312">
        <v>-6.1111111111111116</v>
      </c>
      <c r="E312">
        <v>6.6288888888888904</v>
      </c>
    </row>
    <row r="313" spans="1:5" x14ac:dyDescent="0.2">
      <c r="A313" s="1">
        <v>40489</v>
      </c>
      <c r="B313">
        <v>311</v>
      </c>
      <c r="C313">
        <v>8.8888888888888893</v>
      </c>
      <c r="D313">
        <v>-6.6666666666666661</v>
      </c>
      <c r="E313">
        <v>7.4622222222222225</v>
      </c>
    </row>
    <row r="314" spans="1:5" x14ac:dyDescent="0.2">
      <c r="A314" s="1">
        <v>40490</v>
      </c>
      <c r="B314">
        <v>312</v>
      </c>
      <c r="C314">
        <v>15.555555555555555</v>
      </c>
      <c r="D314">
        <v>-2.7777777777777777</v>
      </c>
      <c r="E314">
        <v>6.4088888888888897</v>
      </c>
    </row>
    <row r="315" spans="1:5" x14ac:dyDescent="0.2">
      <c r="A315" s="1">
        <v>40491</v>
      </c>
      <c r="B315">
        <v>313</v>
      </c>
      <c r="C315">
        <v>20</v>
      </c>
      <c r="D315">
        <v>-1.6666666666666665</v>
      </c>
      <c r="E315">
        <v>6.8622222222222238</v>
      </c>
    </row>
    <row r="316" spans="1:5" x14ac:dyDescent="0.2">
      <c r="A316" s="1">
        <v>40492</v>
      </c>
      <c r="B316">
        <v>314</v>
      </c>
      <c r="C316">
        <v>21.111111111111111</v>
      </c>
      <c r="D316">
        <v>-0.55555555555555558</v>
      </c>
      <c r="E316">
        <v>6.8200000000000012</v>
      </c>
    </row>
    <row r="317" spans="1:5" x14ac:dyDescent="0.2">
      <c r="A317" s="1">
        <v>40493</v>
      </c>
      <c r="B317">
        <v>315</v>
      </c>
      <c r="C317">
        <v>19.444444444444443</v>
      </c>
      <c r="D317">
        <v>5.5555555555555554</v>
      </c>
      <c r="E317">
        <v>7.075555555555554</v>
      </c>
    </row>
    <row r="318" spans="1:5" x14ac:dyDescent="0.2">
      <c r="A318" s="1">
        <v>40494</v>
      </c>
      <c r="B318">
        <v>316</v>
      </c>
      <c r="C318">
        <v>13.333333333333332</v>
      </c>
      <c r="D318">
        <v>5</v>
      </c>
      <c r="E318">
        <v>6.7977777777777781</v>
      </c>
    </row>
    <row r="319" spans="1:5" x14ac:dyDescent="0.2">
      <c r="A319" s="1">
        <v>40495</v>
      </c>
      <c r="B319">
        <v>317</v>
      </c>
      <c r="C319">
        <v>7.2222222222222223</v>
      </c>
      <c r="D319">
        <v>4.4444444444444446</v>
      </c>
      <c r="E319">
        <v>6.2888888888888914</v>
      </c>
    </row>
    <row r="320" spans="1:5" x14ac:dyDescent="0.2">
      <c r="A320" s="1">
        <v>40496</v>
      </c>
      <c r="B320">
        <v>318</v>
      </c>
      <c r="C320">
        <v>8.8888888888888893</v>
      </c>
      <c r="D320">
        <v>1.6666666666666665</v>
      </c>
      <c r="E320">
        <v>6.3822222222222242</v>
      </c>
    </row>
    <row r="321" spans="1:5" x14ac:dyDescent="0.2">
      <c r="A321" s="1">
        <v>40497</v>
      </c>
      <c r="B321">
        <v>319</v>
      </c>
      <c r="C321">
        <v>5</v>
      </c>
      <c r="D321">
        <v>-3.333333333333333</v>
      </c>
      <c r="E321">
        <v>5.5888888888888895</v>
      </c>
    </row>
    <row r="322" spans="1:5" x14ac:dyDescent="0.2">
      <c r="A322" s="1">
        <v>40498</v>
      </c>
      <c r="B322">
        <v>320</v>
      </c>
      <c r="C322">
        <v>10.555555555555555</v>
      </c>
      <c r="D322">
        <v>-3.333333333333333</v>
      </c>
      <c r="E322">
        <v>6.2133333333333303</v>
      </c>
    </row>
    <row r="323" spans="1:5" x14ac:dyDescent="0.2">
      <c r="A323" s="1">
        <v>40499</v>
      </c>
      <c r="B323">
        <v>321</v>
      </c>
      <c r="C323">
        <v>10.555555555555555</v>
      </c>
      <c r="D323">
        <v>-2.7777777777777777</v>
      </c>
      <c r="E323">
        <v>6.3666666666666654</v>
      </c>
    </row>
    <row r="324" spans="1:5" x14ac:dyDescent="0.2">
      <c r="A324" s="1">
        <v>40500</v>
      </c>
      <c r="B324">
        <v>322</v>
      </c>
      <c r="C324">
        <v>4.4444444444444446</v>
      </c>
      <c r="D324">
        <v>-2.2222222222222223</v>
      </c>
      <c r="E324">
        <v>6.0955555555555545</v>
      </c>
    </row>
    <row r="325" spans="1:5" x14ac:dyDescent="0.2">
      <c r="A325" s="1">
        <v>40501</v>
      </c>
      <c r="B325">
        <v>323</v>
      </c>
      <c r="C325">
        <v>2.2222222222222223</v>
      </c>
      <c r="D325">
        <v>-2.7777777777777777</v>
      </c>
      <c r="E325">
        <v>5.8177777777777795</v>
      </c>
    </row>
    <row r="326" spans="1:5" x14ac:dyDescent="0.2">
      <c r="A326" s="1">
        <v>40502</v>
      </c>
      <c r="B326">
        <v>324</v>
      </c>
      <c r="C326">
        <v>4.4444444444444446</v>
      </c>
      <c r="D326">
        <v>-3.8888888888888888</v>
      </c>
      <c r="E326">
        <v>5.0466666666666669</v>
      </c>
    </row>
    <row r="327" spans="1:5" x14ac:dyDescent="0.2">
      <c r="A327" s="1">
        <v>40503</v>
      </c>
      <c r="B327">
        <v>325</v>
      </c>
      <c r="C327">
        <v>2.7777777777777777</v>
      </c>
      <c r="D327">
        <v>-4.4444444444444446</v>
      </c>
      <c r="E327">
        <v>6.0044444444444434</v>
      </c>
    </row>
    <row r="328" spans="1:5" x14ac:dyDescent="0.2">
      <c r="A328" s="1">
        <v>40504</v>
      </c>
      <c r="B328">
        <v>326</v>
      </c>
      <c r="C328">
        <v>12.777777777777777</v>
      </c>
      <c r="D328">
        <v>2.7777777777777777</v>
      </c>
      <c r="E328">
        <v>6.1799999999999979</v>
      </c>
    </row>
    <row r="329" spans="1:5" x14ac:dyDescent="0.2">
      <c r="A329" s="1">
        <v>40505</v>
      </c>
      <c r="B329">
        <v>327</v>
      </c>
      <c r="C329">
        <v>13.333333333333332</v>
      </c>
      <c r="D329">
        <v>-8.3333333333333339</v>
      </c>
      <c r="E329">
        <v>5.3200000000000021</v>
      </c>
    </row>
    <row r="330" spans="1:5" x14ac:dyDescent="0.2">
      <c r="A330" s="1">
        <v>40506</v>
      </c>
      <c r="B330">
        <v>328</v>
      </c>
      <c r="C330">
        <v>-1.1111111111111112</v>
      </c>
      <c r="D330">
        <v>-8.3333333333333339</v>
      </c>
      <c r="E330">
        <v>5.6422222222222205</v>
      </c>
    </row>
    <row r="331" spans="1:5" x14ac:dyDescent="0.2">
      <c r="A331" s="1">
        <v>40507</v>
      </c>
      <c r="B331">
        <v>329</v>
      </c>
      <c r="C331">
        <v>2.2222222222222223</v>
      </c>
      <c r="D331">
        <v>-3.8888888888888888</v>
      </c>
      <c r="E331">
        <v>5.8155555555555578</v>
      </c>
    </row>
    <row r="332" spans="1:5" x14ac:dyDescent="0.2">
      <c r="A332" s="1">
        <v>40508</v>
      </c>
      <c r="B332">
        <v>330</v>
      </c>
      <c r="C332">
        <v>0.55555555555555558</v>
      </c>
      <c r="D332">
        <v>-10</v>
      </c>
      <c r="E332">
        <v>4.8911111111111119</v>
      </c>
    </row>
    <row r="333" spans="1:5" x14ac:dyDescent="0.2">
      <c r="A333" s="1">
        <v>40509</v>
      </c>
      <c r="B333">
        <v>331</v>
      </c>
      <c r="C333">
        <v>-1.1111111111111112</v>
      </c>
      <c r="D333">
        <v>-10</v>
      </c>
      <c r="E333">
        <v>4.6599999999999984</v>
      </c>
    </row>
    <row r="334" spans="1:5" x14ac:dyDescent="0.2">
      <c r="A334" s="1">
        <v>40510</v>
      </c>
      <c r="B334">
        <v>332</v>
      </c>
      <c r="C334">
        <v>0.55555555555555558</v>
      </c>
      <c r="D334">
        <v>-10</v>
      </c>
      <c r="E334">
        <v>5.6022222222222222</v>
      </c>
    </row>
    <row r="335" spans="1:5" x14ac:dyDescent="0.2">
      <c r="A335" s="1">
        <v>40511</v>
      </c>
      <c r="B335">
        <v>333</v>
      </c>
      <c r="C335">
        <v>8.8888888888888893</v>
      </c>
      <c r="D335">
        <v>-1.6666666666666665</v>
      </c>
      <c r="E335">
        <v>5.1000000000000005</v>
      </c>
    </row>
    <row r="336" spans="1:5" x14ac:dyDescent="0.2">
      <c r="A336" s="1">
        <v>40512</v>
      </c>
      <c r="B336">
        <v>334</v>
      </c>
      <c r="C336">
        <v>7.7777777777777777</v>
      </c>
      <c r="D336">
        <v>-1.1111111111111112</v>
      </c>
      <c r="E336">
        <v>5.0266666666666673</v>
      </c>
    </row>
    <row r="337" spans="1:5" x14ac:dyDescent="0.2">
      <c r="A337" s="1">
        <v>40513</v>
      </c>
      <c r="B337">
        <v>335</v>
      </c>
      <c r="C337">
        <v>-1.1111111111111112</v>
      </c>
      <c r="D337">
        <v>-6.6666666666666661</v>
      </c>
      <c r="E337">
        <v>5.1866666666666648</v>
      </c>
    </row>
    <row r="338" spans="1:5" x14ac:dyDescent="0.2">
      <c r="A338" s="1">
        <v>40514</v>
      </c>
      <c r="B338">
        <v>336</v>
      </c>
      <c r="C338">
        <v>-4.4444444444444446</v>
      </c>
      <c r="D338">
        <v>-11.666666666666668</v>
      </c>
      <c r="E338">
        <v>5.5222222222222221</v>
      </c>
    </row>
    <row r="339" spans="1:5" x14ac:dyDescent="0.2">
      <c r="A339" s="1">
        <v>40515</v>
      </c>
      <c r="B339">
        <v>337</v>
      </c>
      <c r="C339">
        <v>-1.1111111111111112</v>
      </c>
      <c r="D339">
        <v>-13.333333333333332</v>
      </c>
      <c r="E339">
        <v>4.9666666666666659</v>
      </c>
    </row>
    <row r="340" spans="1:5" x14ac:dyDescent="0.2">
      <c r="A340" s="1">
        <v>40516</v>
      </c>
      <c r="B340">
        <v>338</v>
      </c>
      <c r="C340">
        <v>-5</v>
      </c>
      <c r="D340">
        <v>-10</v>
      </c>
      <c r="E340">
        <v>5.1911111111111108</v>
      </c>
    </row>
    <row r="341" spans="1:5" x14ac:dyDescent="0.2">
      <c r="A341" s="1">
        <v>40517</v>
      </c>
      <c r="B341">
        <v>339</v>
      </c>
      <c r="C341">
        <v>-2.2222222222222223</v>
      </c>
      <c r="D341">
        <v>-11.111111111111111</v>
      </c>
      <c r="E341">
        <v>5.08</v>
      </c>
    </row>
    <row r="342" spans="1:5" x14ac:dyDescent="0.2">
      <c r="A342" s="1">
        <v>40518</v>
      </c>
      <c r="B342">
        <v>340</v>
      </c>
      <c r="C342">
        <v>-6.1111111111111116</v>
      </c>
      <c r="D342">
        <v>-16.111111111111111</v>
      </c>
      <c r="E342">
        <v>5.3800000000000008</v>
      </c>
    </row>
    <row r="343" spans="1:5" x14ac:dyDescent="0.2">
      <c r="A343" s="1">
        <v>40519</v>
      </c>
      <c r="B343">
        <v>341</v>
      </c>
      <c r="C343">
        <v>-7.2222222222222223</v>
      </c>
      <c r="D343">
        <v>-16.111111111111111</v>
      </c>
      <c r="E343">
        <v>5.1688888888888878</v>
      </c>
    </row>
    <row r="344" spans="1:5" x14ac:dyDescent="0.2">
      <c r="A344" s="1">
        <v>40520</v>
      </c>
      <c r="B344">
        <v>342</v>
      </c>
      <c r="C344">
        <v>-6.6666666666666661</v>
      </c>
      <c r="D344">
        <v>-16.111111111111111</v>
      </c>
      <c r="E344">
        <v>5.0244444444444447</v>
      </c>
    </row>
    <row r="345" spans="1:5" x14ac:dyDescent="0.2">
      <c r="A345" s="1">
        <v>40521</v>
      </c>
      <c r="B345">
        <v>343</v>
      </c>
      <c r="C345">
        <v>-5.5555555555555554</v>
      </c>
      <c r="D345">
        <v>-15.555555555555555</v>
      </c>
      <c r="E345">
        <v>4.9955555555555549</v>
      </c>
    </row>
    <row r="346" spans="1:5" x14ac:dyDescent="0.2">
      <c r="A346" s="1">
        <v>40522</v>
      </c>
      <c r="B346">
        <v>344</v>
      </c>
      <c r="C346">
        <v>-1.6666666666666665</v>
      </c>
      <c r="D346">
        <v>-10</v>
      </c>
      <c r="E346">
        <v>4.9866666666666664</v>
      </c>
    </row>
    <row r="347" spans="1:5" x14ac:dyDescent="0.2">
      <c r="A347" s="1">
        <v>40523</v>
      </c>
      <c r="B347">
        <v>345</v>
      </c>
      <c r="C347">
        <v>-0.55555555555555558</v>
      </c>
      <c r="D347">
        <v>-8.3333333333333339</v>
      </c>
      <c r="E347">
        <v>5.0311111111111106</v>
      </c>
    </row>
    <row r="348" spans="1:5" x14ac:dyDescent="0.2">
      <c r="A348" s="1">
        <v>40524</v>
      </c>
      <c r="B348">
        <v>346</v>
      </c>
      <c r="C348">
        <v>-2.2222222222222223</v>
      </c>
      <c r="D348">
        <v>-7.2222222222222223</v>
      </c>
      <c r="E348">
        <v>4.826666666666668</v>
      </c>
    </row>
    <row r="349" spans="1:5" x14ac:dyDescent="0.2">
      <c r="A349" s="1">
        <v>40525</v>
      </c>
      <c r="B349">
        <v>347</v>
      </c>
      <c r="C349">
        <v>-7.2222222222222223</v>
      </c>
      <c r="D349">
        <v>-21.111111111111111</v>
      </c>
      <c r="E349">
        <v>5.126666666666666</v>
      </c>
    </row>
    <row r="350" spans="1:5" x14ac:dyDescent="0.2">
      <c r="A350" s="1">
        <v>40526</v>
      </c>
      <c r="B350">
        <v>348</v>
      </c>
      <c r="C350">
        <v>-12.222222222222223</v>
      </c>
      <c r="D350">
        <v>-27.777777777777779</v>
      </c>
      <c r="E350">
        <v>4.9755555555555553</v>
      </c>
    </row>
    <row r="351" spans="1:5" x14ac:dyDescent="0.2">
      <c r="A351" s="1">
        <v>40527</v>
      </c>
      <c r="B351">
        <v>349</v>
      </c>
      <c r="C351">
        <v>-9.4444444444444446</v>
      </c>
      <c r="D351">
        <v>-27.777777777777779</v>
      </c>
      <c r="E351">
        <v>4.8177777777777795</v>
      </c>
    </row>
    <row r="352" spans="1:5" x14ac:dyDescent="0.2">
      <c r="A352" s="1">
        <v>40528</v>
      </c>
      <c r="B352">
        <v>350</v>
      </c>
      <c r="C352">
        <v>-8.8888888888888893</v>
      </c>
      <c r="D352">
        <v>-25</v>
      </c>
      <c r="E352">
        <v>5.1622222222222209</v>
      </c>
    </row>
    <row r="353" spans="1:5" x14ac:dyDescent="0.2">
      <c r="A353" s="1">
        <v>40529</v>
      </c>
      <c r="B353">
        <v>351</v>
      </c>
      <c r="C353">
        <v>-6.6666666666666661</v>
      </c>
      <c r="D353">
        <v>-13.333333333333332</v>
      </c>
      <c r="E353">
        <v>5.1977777777777758</v>
      </c>
    </row>
    <row r="354" spans="1:5" x14ac:dyDescent="0.2">
      <c r="A354" s="1">
        <v>40530</v>
      </c>
      <c r="B354">
        <v>352</v>
      </c>
      <c r="C354">
        <v>-6.6666666666666661</v>
      </c>
      <c r="D354">
        <v>-17.222222222222221</v>
      </c>
      <c r="E354">
        <v>5.0222222222222221</v>
      </c>
    </row>
    <row r="355" spans="1:5" x14ac:dyDescent="0.2">
      <c r="A355" s="1">
        <v>40531</v>
      </c>
      <c r="B355">
        <v>353</v>
      </c>
      <c r="C355">
        <v>-7.7777777777777777</v>
      </c>
      <c r="D355">
        <v>-18.888888888888889</v>
      </c>
      <c r="E355">
        <v>4.9799999999999986</v>
      </c>
    </row>
    <row r="356" spans="1:5" x14ac:dyDescent="0.2">
      <c r="A356" s="1">
        <v>40532</v>
      </c>
      <c r="B356">
        <v>354</v>
      </c>
      <c r="C356">
        <v>-6.6666666666666661</v>
      </c>
      <c r="D356">
        <v>-19.444444444444443</v>
      </c>
      <c r="E356">
        <v>5.408888888888888</v>
      </c>
    </row>
    <row r="357" spans="1:5" x14ac:dyDescent="0.2">
      <c r="A357" s="1">
        <v>40533</v>
      </c>
      <c r="B357">
        <v>355</v>
      </c>
      <c r="C357">
        <v>-2.2222222222222223</v>
      </c>
      <c r="D357">
        <v>-11.111111111111111</v>
      </c>
      <c r="E357">
        <v>5.52</v>
      </c>
    </row>
    <row r="358" spans="1:5" x14ac:dyDescent="0.2">
      <c r="A358" s="1">
        <v>40534</v>
      </c>
      <c r="B358">
        <v>356</v>
      </c>
      <c r="C358">
        <v>-0.55555555555555558</v>
      </c>
      <c r="D358">
        <v>-7.2222222222222223</v>
      </c>
      <c r="E358">
        <v>4.9644444444444442</v>
      </c>
    </row>
    <row r="359" spans="1:5" x14ac:dyDescent="0.2">
      <c r="A359" s="1">
        <v>40535</v>
      </c>
      <c r="B359">
        <v>357</v>
      </c>
      <c r="C359">
        <v>0.55555555555555558</v>
      </c>
      <c r="D359">
        <v>-15</v>
      </c>
      <c r="E359">
        <v>4.83777777777778</v>
      </c>
    </row>
    <row r="360" spans="1:5" x14ac:dyDescent="0.2">
      <c r="A360" s="1">
        <v>40536</v>
      </c>
      <c r="B360">
        <v>358</v>
      </c>
      <c r="C360">
        <v>-4.4444444444444446</v>
      </c>
      <c r="D360">
        <v>-12.222222222222223</v>
      </c>
      <c r="E360">
        <v>5.028888888888889</v>
      </c>
    </row>
    <row r="361" spans="1:5" x14ac:dyDescent="0.2">
      <c r="A361" s="1">
        <v>40537</v>
      </c>
      <c r="B361">
        <v>359</v>
      </c>
      <c r="C361">
        <v>-3.333333333333333</v>
      </c>
      <c r="D361">
        <v>-8.8888888888888893</v>
      </c>
      <c r="E361">
        <v>5.6022222222222213</v>
      </c>
    </row>
    <row r="362" spans="1:5" x14ac:dyDescent="0.2">
      <c r="A362" s="1">
        <v>40538</v>
      </c>
      <c r="B362">
        <v>360</v>
      </c>
      <c r="C362">
        <v>-1.6666666666666665</v>
      </c>
      <c r="D362">
        <v>-11.666666666666668</v>
      </c>
      <c r="E362">
        <v>5.1066666666666656</v>
      </c>
    </row>
    <row r="363" spans="1:5" x14ac:dyDescent="0.2">
      <c r="A363" s="1">
        <v>40539</v>
      </c>
      <c r="B363">
        <v>361</v>
      </c>
      <c r="C363">
        <v>-4.4444444444444446</v>
      </c>
      <c r="D363">
        <v>-15.555555555555555</v>
      </c>
      <c r="E363">
        <v>5.1711111111111112</v>
      </c>
    </row>
    <row r="364" spans="1:5" x14ac:dyDescent="0.2">
      <c r="A364" s="1">
        <v>40540</v>
      </c>
      <c r="B364">
        <v>362</v>
      </c>
      <c r="C364">
        <v>-5</v>
      </c>
      <c r="D364">
        <v>-16.666666666666668</v>
      </c>
      <c r="E364">
        <v>4.5044444444444451</v>
      </c>
    </row>
    <row r="365" spans="1:5" x14ac:dyDescent="0.2">
      <c r="A365" s="1">
        <v>40541</v>
      </c>
      <c r="B365">
        <v>363</v>
      </c>
      <c r="C365">
        <v>-2.7777777777777777</v>
      </c>
      <c r="D365">
        <v>-20.555555555555554</v>
      </c>
      <c r="E365">
        <v>5.0888888888888868</v>
      </c>
    </row>
    <row r="366" spans="1:5" x14ac:dyDescent="0.2">
      <c r="A366" s="1">
        <v>40542</v>
      </c>
      <c r="B366">
        <v>364</v>
      </c>
      <c r="C366">
        <v>3.8888888888888888</v>
      </c>
      <c r="D366">
        <v>-7.7777777777777777</v>
      </c>
      <c r="E366">
        <v>4.8688888888888897</v>
      </c>
    </row>
    <row r="367" spans="1:5" x14ac:dyDescent="0.2">
      <c r="A367" s="1">
        <v>40543</v>
      </c>
      <c r="B367">
        <v>365</v>
      </c>
      <c r="C367">
        <v>7.2222222222222223</v>
      </c>
      <c r="D367">
        <v>0.55555555555555558</v>
      </c>
      <c r="E367">
        <v>5.3977777777777805</v>
      </c>
    </row>
    <row r="368" spans="1:5" x14ac:dyDescent="0.2">
      <c r="A368" s="1">
        <v>40544</v>
      </c>
      <c r="B368">
        <v>1</v>
      </c>
      <c r="C368">
        <v>8.3333333333333339</v>
      </c>
      <c r="D368">
        <v>-12.777777777777777</v>
      </c>
      <c r="E368">
        <v>4.9911111111111106</v>
      </c>
    </row>
    <row r="369" spans="1:5" x14ac:dyDescent="0.2">
      <c r="A369" s="1">
        <v>40545</v>
      </c>
      <c r="B369">
        <v>2</v>
      </c>
      <c r="C369">
        <v>8.3333333333333339</v>
      </c>
      <c r="D369">
        <v>-13.888888888888889</v>
      </c>
      <c r="E369">
        <v>5.0022222222222226</v>
      </c>
    </row>
    <row r="370" spans="1:5" x14ac:dyDescent="0.2">
      <c r="A370" s="1">
        <v>40546</v>
      </c>
      <c r="B370">
        <v>3</v>
      </c>
      <c r="C370">
        <v>-5</v>
      </c>
      <c r="D370">
        <v>-13.333333333333332</v>
      </c>
      <c r="E370">
        <v>5.4333333333333336</v>
      </c>
    </row>
    <row r="371" spans="1:5" x14ac:dyDescent="0.2">
      <c r="A371" s="1">
        <v>40547</v>
      </c>
      <c r="B371">
        <v>4</v>
      </c>
      <c r="C371">
        <v>-1.1111111111111112</v>
      </c>
      <c r="D371">
        <v>-8.3333333333333339</v>
      </c>
      <c r="E371">
        <v>5.8600000000000012</v>
      </c>
    </row>
    <row r="372" spans="1:5" x14ac:dyDescent="0.2">
      <c r="A372" s="1">
        <v>40548</v>
      </c>
      <c r="B372">
        <v>5</v>
      </c>
      <c r="C372">
        <v>-7.7777777777777777</v>
      </c>
      <c r="D372">
        <v>-17.222222222222221</v>
      </c>
      <c r="E372">
        <v>5.8844444444444459</v>
      </c>
    </row>
    <row r="373" spans="1:5" x14ac:dyDescent="0.2">
      <c r="A373" s="1">
        <v>40549</v>
      </c>
      <c r="B373">
        <v>6</v>
      </c>
      <c r="C373">
        <v>-4.4444444444444446</v>
      </c>
      <c r="D373">
        <v>-15</v>
      </c>
      <c r="E373">
        <v>5.9622222222222225</v>
      </c>
    </row>
    <row r="374" spans="1:5" x14ac:dyDescent="0.2">
      <c r="A374" s="1">
        <v>40550</v>
      </c>
      <c r="B374">
        <v>7</v>
      </c>
      <c r="C374">
        <v>-6.1111111111111116</v>
      </c>
      <c r="D374">
        <v>-11.666666666666668</v>
      </c>
      <c r="E374">
        <v>6.1066666666666682</v>
      </c>
    </row>
    <row r="375" spans="1:5" x14ac:dyDescent="0.2">
      <c r="A375" s="1">
        <v>40551</v>
      </c>
      <c r="B375">
        <v>8</v>
      </c>
      <c r="C375">
        <v>-7.7777777777777777</v>
      </c>
      <c r="D375">
        <v>-13.333333333333332</v>
      </c>
      <c r="E375">
        <v>6.2755555555555587</v>
      </c>
    </row>
    <row r="376" spans="1:5" x14ac:dyDescent="0.2">
      <c r="A376" s="1">
        <v>40552</v>
      </c>
      <c r="B376">
        <v>9</v>
      </c>
      <c r="C376">
        <v>-6.6666666666666661</v>
      </c>
      <c r="D376">
        <v>-18.333333333333332</v>
      </c>
      <c r="E376">
        <v>6.2377777777777776</v>
      </c>
    </row>
    <row r="377" spans="1:5" x14ac:dyDescent="0.2">
      <c r="A377" s="1">
        <v>40553</v>
      </c>
      <c r="B377">
        <v>10</v>
      </c>
      <c r="C377">
        <v>-5</v>
      </c>
      <c r="D377">
        <v>-15.555555555555555</v>
      </c>
      <c r="E377">
        <v>6.6755555555555537</v>
      </c>
    </row>
    <row r="378" spans="1:5" x14ac:dyDescent="0.2">
      <c r="A378" s="1">
        <v>40554</v>
      </c>
      <c r="B378">
        <v>11</v>
      </c>
      <c r="C378">
        <v>-2.2222222222222223</v>
      </c>
      <c r="D378">
        <v>-11.111111111111111</v>
      </c>
      <c r="E378">
        <v>5.9155555555555575</v>
      </c>
    </row>
    <row r="379" spans="1:5" x14ac:dyDescent="0.2">
      <c r="A379" s="1">
        <v>40555</v>
      </c>
      <c r="B379">
        <v>12</v>
      </c>
      <c r="C379">
        <v>-4.4444444444444446</v>
      </c>
      <c r="D379">
        <v>-7.2222222222222223</v>
      </c>
      <c r="E379">
        <v>5.7666666666666666</v>
      </c>
    </row>
    <row r="380" spans="1:5" x14ac:dyDescent="0.2">
      <c r="A380" s="1">
        <v>40556</v>
      </c>
      <c r="B380">
        <v>13</v>
      </c>
      <c r="C380">
        <v>-3.8888888888888888</v>
      </c>
      <c r="D380">
        <v>-13.888888888888889</v>
      </c>
      <c r="E380">
        <v>6.44</v>
      </c>
    </row>
    <row r="381" spans="1:5" x14ac:dyDescent="0.2">
      <c r="A381" s="1">
        <v>40557</v>
      </c>
      <c r="B381">
        <v>14</v>
      </c>
      <c r="C381">
        <v>-5</v>
      </c>
      <c r="D381">
        <v>-13.888888888888889</v>
      </c>
      <c r="E381">
        <v>6.0333333333333332</v>
      </c>
    </row>
    <row r="382" spans="1:5" x14ac:dyDescent="0.2">
      <c r="A382" s="1">
        <v>40558</v>
      </c>
      <c r="B382">
        <v>15</v>
      </c>
      <c r="C382">
        <v>-6.1111111111111116</v>
      </c>
      <c r="D382">
        <v>-9.4444444444444446</v>
      </c>
      <c r="E382">
        <v>6.6888888888888864</v>
      </c>
    </row>
    <row r="383" spans="1:5" x14ac:dyDescent="0.2">
      <c r="A383" s="1">
        <v>40559</v>
      </c>
      <c r="B383">
        <v>16</v>
      </c>
      <c r="C383">
        <v>-5.5555555555555554</v>
      </c>
      <c r="D383">
        <v>-18.888888888888889</v>
      </c>
      <c r="E383">
        <v>6.5733333333333333</v>
      </c>
    </row>
    <row r="384" spans="1:5" x14ac:dyDescent="0.2">
      <c r="A384" s="1">
        <v>40560</v>
      </c>
      <c r="B384">
        <v>17</v>
      </c>
      <c r="C384">
        <v>-6.6666666666666661</v>
      </c>
      <c r="D384">
        <v>-15</v>
      </c>
      <c r="E384">
        <v>6.46</v>
      </c>
    </row>
    <row r="385" spans="1:5" x14ac:dyDescent="0.2">
      <c r="A385" s="1">
        <v>40561</v>
      </c>
      <c r="B385">
        <v>18</v>
      </c>
      <c r="C385">
        <v>-2.2222222222222223</v>
      </c>
      <c r="D385">
        <v>-6.6666666666666661</v>
      </c>
      <c r="E385">
        <v>6.8355555555555547</v>
      </c>
    </row>
    <row r="386" spans="1:5" x14ac:dyDescent="0.2">
      <c r="A386" s="1">
        <v>40562</v>
      </c>
      <c r="B386">
        <v>19</v>
      </c>
      <c r="C386">
        <v>-5.5555555555555554</v>
      </c>
      <c r="D386">
        <v>-12.222222222222223</v>
      </c>
      <c r="E386">
        <v>6.5555555555555554</v>
      </c>
    </row>
    <row r="387" spans="1:5" x14ac:dyDescent="0.2">
      <c r="A387" s="1">
        <v>40563</v>
      </c>
      <c r="B387">
        <v>20</v>
      </c>
      <c r="C387">
        <v>-7.2222222222222223</v>
      </c>
      <c r="D387">
        <v>-13.888888888888889</v>
      </c>
      <c r="E387">
        <v>6.5533333333333337</v>
      </c>
    </row>
    <row r="388" spans="1:5" x14ac:dyDescent="0.2">
      <c r="A388" s="1">
        <v>40564</v>
      </c>
      <c r="B388">
        <v>21</v>
      </c>
      <c r="C388">
        <v>-9.4444444444444446</v>
      </c>
      <c r="D388">
        <v>-25.555555555555554</v>
      </c>
      <c r="E388">
        <v>6.5222222222222221</v>
      </c>
    </row>
    <row r="389" spans="1:5" x14ac:dyDescent="0.2">
      <c r="A389" s="1">
        <v>40565</v>
      </c>
      <c r="B389">
        <v>22</v>
      </c>
      <c r="C389">
        <v>-13.888888888888889</v>
      </c>
      <c r="D389">
        <v>-27.222222222222221</v>
      </c>
      <c r="E389">
        <v>6.1199999999999992</v>
      </c>
    </row>
    <row r="390" spans="1:5" x14ac:dyDescent="0.2">
      <c r="A390" s="1">
        <v>40566</v>
      </c>
      <c r="B390">
        <v>23</v>
      </c>
      <c r="C390">
        <v>-11.111111111111111</v>
      </c>
      <c r="D390">
        <v>-30.555555555555554</v>
      </c>
      <c r="E390">
        <v>7.2466666666666661</v>
      </c>
    </row>
    <row r="391" spans="1:5" x14ac:dyDescent="0.2">
      <c r="A391" s="1">
        <v>40567</v>
      </c>
      <c r="B391">
        <v>24</v>
      </c>
      <c r="C391">
        <v>-8.3333333333333339</v>
      </c>
      <c r="D391">
        <v>-22.777777777777779</v>
      </c>
      <c r="E391">
        <v>6.8688888888888879</v>
      </c>
    </row>
    <row r="392" spans="1:5" x14ac:dyDescent="0.2">
      <c r="A392" s="1">
        <v>40568</v>
      </c>
      <c r="B392">
        <v>25</v>
      </c>
      <c r="C392">
        <v>-4.4444444444444446</v>
      </c>
      <c r="D392">
        <v>-8.8888888888888893</v>
      </c>
      <c r="E392">
        <v>7.0244444444444447</v>
      </c>
    </row>
    <row r="393" spans="1:5" x14ac:dyDescent="0.2">
      <c r="A393" s="1">
        <v>40569</v>
      </c>
      <c r="B393">
        <v>26</v>
      </c>
      <c r="C393">
        <v>-3.333333333333333</v>
      </c>
      <c r="D393">
        <v>-10</v>
      </c>
      <c r="E393">
        <v>7.3288888888888888</v>
      </c>
    </row>
    <row r="394" spans="1:5" x14ac:dyDescent="0.2">
      <c r="A394" s="1">
        <v>40570</v>
      </c>
      <c r="B394">
        <v>27</v>
      </c>
      <c r="C394">
        <v>-6.1111111111111116</v>
      </c>
      <c r="D394">
        <v>-9.4444444444444446</v>
      </c>
      <c r="E394">
        <v>7.4177777777777756</v>
      </c>
    </row>
    <row r="395" spans="1:5" x14ac:dyDescent="0.2">
      <c r="A395" s="1">
        <v>40571</v>
      </c>
      <c r="B395">
        <v>28</v>
      </c>
      <c r="C395">
        <v>-3.333333333333333</v>
      </c>
      <c r="D395">
        <v>-7.7777777777777777</v>
      </c>
      <c r="E395">
        <v>7.677777777777778</v>
      </c>
    </row>
    <row r="396" spans="1:5" x14ac:dyDescent="0.2">
      <c r="A396" s="1">
        <v>40572</v>
      </c>
      <c r="B396">
        <v>29</v>
      </c>
      <c r="C396">
        <v>-0.55555555555555558</v>
      </c>
      <c r="D396">
        <v>-5.5555555555555554</v>
      </c>
      <c r="E396">
        <v>7.3044444444444458</v>
      </c>
    </row>
    <row r="397" spans="1:5" x14ac:dyDescent="0.2">
      <c r="A397" s="1">
        <v>40573</v>
      </c>
      <c r="B397">
        <v>30</v>
      </c>
      <c r="C397">
        <v>1.1111111111111112</v>
      </c>
      <c r="D397">
        <v>-6.1111111111111116</v>
      </c>
      <c r="E397">
        <v>8</v>
      </c>
    </row>
    <row r="398" spans="1:5" x14ac:dyDescent="0.2">
      <c r="A398" s="1">
        <v>40574</v>
      </c>
      <c r="B398">
        <v>31</v>
      </c>
      <c r="C398">
        <v>-2.7777777777777777</v>
      </c>
      <c r="D398">
        <v>-10.555555555555555</v>
      </c>
      <c r="E398">
        <v>7.6400000000000041</v>
      </c>
    </row>
    <row r="399" spans="1:5" x14ac:dyDescent="0.2">
      <c r="A399" s="1">
        <v>40575</v>
      </c>
      <c r="B399">
        <v>32</v>
      </c>
      <c r="C399">
        <v>-7.2222222222222223</v>
      </c>
      <c r="D399">
        <v>-10.555555555555555</v>
      </c>
      <c r="E399">
        <v>7.5244444444444474</v>
      </c>
    </row>
    <row r="400" spans="1:5" x14ac:dyDescent="0.2">
      <c r="A400" s="1">
        <v>40576</v>
      </c>
      <c r="B400">
        <v>33</v>
      </c>
      <c r="C400">
        <v>-7.2222222222222223</v>
      </c>
      <c r="D400">
        <v>-10.555555555555555</v>
      </c>
      <c r="E400">
        <v>7.8222222222222237</v>
      </c>
    </row>
    <row r="401" spans="1:5" x14ac:dyDescent="0.2">
      <c r="A401" s="1">
        <v>40577</v>
      </c>
      <c r="B401">
        <v>34</v>
      </c>
      <c r="C401">
        <v>-8.3333333333333339</v>
      </c>
      <c r="D401">
        <v>-22.777777777777779</v>
      </c>
      <c r="E401">
        <v>7.9933333333333367</v>
      </c>
    </row>
    <row r="402" spans="1:5" x14ac:dyDescent="0.2">
      <c r="A402" s="1">
        <v>40578</v>
      </c>
      <c r="B402">
        <v>35</v>
      </c>
      <c r="C402">
        <v>-7.2222222222222223</v>
      </c>
      <c r="D402">
        <v>-23.333333333333336</v>
      </c>
      <c r="E402">
        <v>8.8044444444444458</v>
      </c>
    </row>
    <row r="403" spans="1:5" x14ac:dyDescent="0.2">
      <c r="A403" s="1">
        <v>40579</v>
      </c>
      <c r="B403">
        <v>36</v>
      </c>
      <c r="C403">
        <v>-3.333333333333333</v>
      </c>
      <c r="D403">
        <v>-17.777777777777779</v>
      </c>
      <c r="E403">
        <v>8.4622222222222199</v>
      </c>
    </row>
    <row r="404" spans="1:5" x14ac:dyDescent="0.2">
      <c r="A404" s="1">
        <v>40580</v>
      </c>
      <c r="B404">
        <v>37</v>
      </c>
      <c r="C404">
        <v>-1.6666666666666665</v>
      </c>
      <c r="D404">
        <v>-18.333333333333332</v>
      </c>
      <c r="E404">
        <v>8.9911111111111115</v>
      </c>
    </row>
    <row r="405" spans="1:5" x14ac:dyDescent="0.2">
      <c r="A405" s="1">
        <v>40581</v>
      </c>
      <c r="B405">
        <v>38</v>
      </c>
      <c r="C405">
        <v>-1.1111111111111112</v>
      </c>
      <c r="D405">
        <v>-8.8888888888888893</v>
      </c>
      <c r="E405">
        <v>9.43333333333333</v>
      </c>
    </row>
    <row r="406" spans="1:5" x14ac:dyDescent="0.2">
      <c r="A406" s="1">
        <v>40582</v>
      </c>
      <c r="B406">
        <v>39</v>
      </c>
      <c r="C406">
        <v>-3.333333333333333</v>
      </c>
      <c r="D406">
        <v>-18.888888888888889</v>
      </c>
      <c r="E406">
        <v>9.0800000000000036</v>
      </c>
    </row>
    <row r="407" spans="1:5" x14ac:dyDescent="0.2">
      <c r="A407" s="1">
        <v>40583</v>
      </c>
      <c r="B407">
        <v>40</v>
      </c>
      <c r="C407">
        <v>-12.222222222222223</v>
      </c>
      <c r="D407">
        <v>-22.777777777777779</v>
      </c>
      <c r="E407">
        <v>9.9822222222222212</v>
      </c>
    </row>
    <row r="408" spans="1:5" x14ac:dyDescent="0.2">
      <c r="A408" s="1">
        <v>40584</v>
      </c>
      <c r="B408">
        <v>41</v>
      </c>
      <c r="C408">
        <v>-11.666666666666668</v>
      </c>
      <c r="D408">
        <v>-29.444444444444446</v>
      </c>
      <c r="E408">
        <v>8.9066666666666627</v>
      </c>
    </row>
    <row r="409" spans="1:5" x14ac:dyDescent="0.2">
      <c r="A409" s="1">
        <v>40585</v>
      </c>
      <c r="B409">
        <v>42</v>
      </c>
      <c r="C409">
        <v>-11.111111111111111</v>
      </c>
      <c r="D409">
        <v>-32.222222222222221</v>
      </c>
      <c r="E409">
        <v>9.7333333333333325</v>
      </c>
    </row>
    <row r="410" spans="1:5" x14ac:dyDescent="0.2">
      <c r="A410" s="1">
        <v>40586</v>
      </c>
      <c r="B410">
        <v>43</v>
      </c>
      <c r="C410">
        <v>-1.6666666666666665</v>
      </c>
      <c r="D410">
        <v>-25.555555555555554</v>
      </c>
      <c r="E410">
        <v>10.073333333333336</v>
      </c>
    </row>
    <row r="411" spans="1:5" x14ac:dyDescent="0.2">
      <c r="A411" s="1">
        <v>40587</v>
      </c>
      <c r="B411">
        <v>44</v>
      </c>
      <c r="C411">
        <v>1.6666666666666665</v>
      </c>
      <c r="D411">
        <v>-11.111111111111111</v>
      </c>
      <c r="E411">
        <v>8.4711111111111101</v>
      </c>
    </row>
    <row r="412" spans="1:5" x14ac:dyDescent="0.2">
      <c r="A412" s="1">
        <v>40588</v>
      </c>
      <c r="B412">
        <v>45</v>
      </c>
      <c r="C412">
        <v>8.3333333333333339</v>
      </c>
      <c r="D412">
        <v>-5.5555555555555554</v>
      </c>
      <c r="E412">
        <v>9.2622222222222241</v>
      </c>
    </row>
    <row r="413" spans="1:5" x14ac:dyDescent="0.2">
      <c r="A413" s="1">
        <v>40589</v>
      </c>
      <c r="B413">
        <v>46</v>
      </c>
      <c r="C413">
        <v>5.5555555555555554</v>
      </c>
      <c r="D413">
        <v>-8.8888888888888893</v>
      </c>
      <c r="E413">
        <v>9.7844444444444445</v>
      </c>
    </row>
    <row r="414" spans="1:5" x14ac:dyDescent="0.2">
      <c r="A414" s="1">
        <v>40590</v>
      </c>
      <c r="B414">
        <v>47</v>
      </c>
      <c r="C414">
        <v>5</v>
      </c>
      <c r="D414">
        <v>-2.7777777777777777</v>
      </c>
      <c r="E414">
        <v>10.419999999999996</v>
      </c>
    </row>
    <row r="415" spans="1:5" x14ac:dyDescent="0.2">
      <c r="A415" s="1">
        <v>40591</v>
      </c>
      <c r="B415">
        <v>48</v>
      </c>
      <c r="C415">
        <v>8.8888888888888893</v>
      </c>
      <c r="D415">
        <v>-3.8888888888888888</v>
      </c>
      <c r="E415">
        <v>10.89111111111111</v>
      </c>
    </row>
    <row r="416" spans="1:5" x14ac:dyDescent="0.2">
      <c r="A416" s="1">
        <v>40592</v>
      </c>
      <c r="B416">
        <v>49</v>
      </c>
      <c r="C416">
        <v>10.555555555555555</v>
      </c>
      <c r="D416">
        <v>-1.1111111111111112</v>
      </c>
      <c r="E416">
        <v>8.7977777777777799</v>
      </c>
    </row>
    <row r="417" spans="1:5" x14ac:dyDescent="0.2">
      <c r="A417" s="1">
        <v>40593</v>
      </c>
      <c r="B417">
        <v>50</v>
      </c>
      <c r="C417">
        <v>5</v>
      </c>
      <c r="D417">
        <v>-8.3333333333333339</v>
      </c>
      <c r="E417">
        <v>9.6266666666666687</v>
      </c>
    </row>
    <row r="418" spans="1:5" x14ac:dyDescent="0.2">
      <c r="A418" s="1">
        <v>40594</v>
      </c>
      <c r="B418">
        <v>51</v>
      </c>
      <c r="C418">
        <v>1.1111111111111112</v>
      </c>
      <c r="D418">
        <v>-5</v>
      </c>
      <c r="E418">
        <v>10.488888888888887</v>
      </c>
    </row>
    <row r="419" spans="1:5" x14ac:dyDescent="0.2">
      <c r="A419" s="1">
        <v>40595</v>
      </c>
      <c r="B419">
        <v>52</v>
      </c>
      <c r="C419">
        <v>0.55555555555555558</v>
      </c>
      <c r="D419">
        <v>-2.7777777777777777</v>
      </c>
      <c r="E419">
        <v>10.06</v>
      </c>
    </row>
    <row r="420" spans="1:5" x14ac:dyDescent="0.2">
      <c r="A420" s="1">
        <v>40596</v>
      </c>
      <c r="B420">
        <v>53</v>
      </c>
      <c r="C420">
        <v>-2.7777777777777777</v>
      </c>
      <c r="D420">
        <v>-9.4444444444444446</v>
      </c>
      <c r="E420">
        <v>10.406666666666665</v>
      </c>
    </row>
    <row r="421" spans="1:5" x14ac:dyDescent="0.2">
      <c r="A421" s="1">
        <v>40597</v>
      </c>
      <c r="B421">
        <v>54</v>
      </c>
      <c r="C421">
        <v>-2.2222222222222223</v>
      </c>
      <c r="D421">
        <v>-9.4444444444444446</v>
      </c>
      <c r="E421">
        <v>10.113333333333337</v>
      </c>
    </row>
    <row r="422" spans="1:5" x14ac:dyDescent="0.2">
      <c r="A422" s="1">
        <v>40598</v>
      </c>
      <c r="B422">
        <v>55</v>
      </c>
      <c r="C422">
        <v>-0.55555555555555558</v>
      </c>
      <c r="D422">
        <v>-4.4444444444444446</v>
      </c>
      <c r="E422">
        <v>10.037777777777777</v>
      </c>
    </row>
    <row r="423" spans="1:5" x14ac:dyDescent="0.2">
      <c r="A423" s="1">
        <v>40599</v>
      </c>
      <c r="B423">
        <v>56</v>
      </c>
      <c r="C423">
        <v>0.55555555555555558</v>
      </c>
      <c r="D423">
        <v>-5</v>
      </c>
      <c r="E423">
        <v>11.8</v>
      </c>
    </row>
    <row r="424" spans="1:5" x14ac:dyDescent="0.2">
      <c r="A424" s="1">
        <v>40600</v>
      </c>
      <c r="B424">
        <v>57</v>
      </c>
      <c r="C424">
        <v>-2.7777777777777777</v>
      </c>
      <c r="D424">
        <v>-13.333333333333332</v>
      </c>
      <c r="E424">
        <v>11.313333333333336</v>
      </c>
    </row>
    <row r="425" spans="1:5" x14ac:dyDescent="0.2">
      <c r="A425" s="1">
        <v>40601</v>
      </c>
      <c r="B425">
        <v>58</v>
      </c>
      <c r="C425">
        <v>-8.8888888888888893</v>
      </c>
      <c r="D425">
        <v>-13.888888888888889</v>
      </c>
      <c r="E425">
        <v>11.128888888888891</v>
      </c>
    </row>
    <row r="426" spans="1:5" x14ac:dyDescent="0.2">
      <c r="A426" s="1">
        <v>40602</v>
      </c>
      <c r="B426">
        <v>59</v>
      </c>
      <c r="C426">
        <v>-1.6666666666666665</v>
      </c>
      <c r="D426">
        <v>-9.4444444444444446</v>
      </c>
      <c r="E426">
        <v>11.87555555555555</v>
      </c>
    </row>
    <row r="427" spans="1:5" x14ac:dyDescent="0.2">
      <c r="A427" s="1">
        <v>40603</v>
      </c>
      <c r="B427">
        <v>60</v>
      </c>
      <c r="C427">
        <v>0</v>
      </c>
      <c r="D427">
        <v>-12.777777777777777</v>
      </c>
      <c r="E427">
        <v>11.59555555555556</v>
      </c>
    </row>
    <row r="428" spans="1:5" x14ac:dyDescent="0.2">
      <c r="A428" s="1">
        <v>40604</v>
      </c>
      <c r="B428">
        <v>61</v>
      </c>
      <c r="C428">
        <v>5</v>
      </c>
      <c r="D428">
        <v>-10.555555555555555</v>
      </c>
      <c r="E428">
        <v>11.271111111111111</v>
      </c>
    </row>
    <row r="429" spans="1:5" x14ac:dyDescent="0.2">
      <c r="A429" s="1">
        <v>40605</v>
      </c>
      <c r="B429">
        <v>62</v>
      </c>
      <c r="C429">
        <v>-3.8888888888888888</v>
      </c>
      <c r="D429">
        <v>-9.4444444444444446</v>
      </c>
      <c r="E429">
        <v>11.388888888888886</v>
      </c>
    </row>
    <row r="430" spans="1:5" x14ac:dyDescent="0.2">
      <c r="A430" s="1">
        <v>40606</v>
      </c>
      <c r="B430">
        <v>63</v>
      </c>
      <c r="C430">
        <v>4.4444444444444446</v>
      </c>
      <c r="D430">
        <v>-3.8888888888888888</v>
      </c>
      <c r="E430">
        <v>10.191111111111111</v>
      </c>
    </row>
    <row r="431" spans="1:5" x14ac:dyDescent="0.2">
      <c r="A431" s="1">
        <v>40607</v>
      </c>
      <c r="B431">
        <v>64</v>
      </c>
      <c r="C431">
        <v>5</v>
      </c>
      <c r="D431">
        <v>-0.55555555555555558</v>
      </c>
      <c r="E431">
        <v>11.199999999999996</v>
      </c>
    </row>
    <row r="432" spans="1:5" x14ac:dyDescent="0.2">
      <c r="A432" s="1">
        <v>40608</v>
      </c>
      <c r="B432">
        <v>65</v>
      </c>
      <c r="C432">
        <v>-0.55555555555555558</v>
      </c>
      <c r="D432">
        <v>-9.4444444444444446</v>
      </c>
      <c r="E432">
        <v>12.780000000000003</v>
      </c>
    </row>
    <row r="433" spans="1:5" x14ac:dyDescent="0.2">
      <c r="A433" s="1">
        <v>40609</v>
      </c>
      <c r="B433">
        <v>66</v>
      </c>
      <c r="C433">
        <v>0</v>
      </c>
      <c r="D433">
        <v>-3.8888888888888888</v>
      </c>
      <c r="E433">
        <v>13.068888888888889</v>
      </c>
    </row>
    <row r="434" spans="1:5" x14ac:dyDescent="0.2">
      <c r="A434" s="1">
        <v>40610</v>
      </c>
      <c r="B434">
        <v>67</v>
      </c>
      <c r="C434">
        <v>1.1111111111111112</v>
      </c>
      <c r="D434">
        <v>-3.333333333333333</v>
      </c>
      <c r="E434">
        <v>11.393333333333333</v>
      </c>
    </row>
    <row r="435" spans="1:5" x14ac:dyDescent="0.2">
      <c r="A435" s="1">
        <v>40611</v>
      </c>
      <c r="B435">
        <v>68</v>
      </c>
      <c r="C435">
        <v>4.4444444444444446</v>
      </c>
      <c r="D435">
        <v>-0.55555555555555558</v>
      </c>
      <c r="E435">
        <v>12.291111111111112</v>
      </c>
    </row>
    <row r="436" spans="1:5" x14ac:dyDescent="0.2">
      <c r="A436" s="1">
        <v>40612</v>
      </c>
      <c r="B436">
        <v>69</v>
      </c>
      <c r="C436">
        <v>1.1111111111111112</v>
      </c>
      <c r="D436">
        <v>-1.1111111111111112</v>
      </c>
      <c r="E436">
        <v>13.813333333333336</v>
      </c>
    </row>
    <row r="437" spans="1:5" x14ac:dyDescent="0.2">
      <c r="A437" s="1">
        <v>40613</v>
      </c>
      <c r="B437">
        <v>70</v>
      </c>
      <c r="C437">
        <v>4.4444444444444446</v>
      </c>
      <c r="D437">
        <v>-6.6666666666666661</v>
      </c>
      <c r="E437">
        <v>12.808888888888891</v>
      </c>
    </row>
    <row r="438" spans="1:5" x14ac:dyDescent="0.2">
      <c r="A438" s="1">
        <v>40614</v>
      </c>
      <c r="B438">
        <v>71</v>
      </c>
      <c r="C438">
        <v>7.7777777777777777</v>
      </c>
      <c r="D438">
        <v>-6.1111111111111116</v>
      </c>
      <c r="E438">
        <v>12.691111111111107</v>
      </c>
    </row>
    <row r="439" spans="1:5" x14ac:dyDescent="0.2">
      <c r="A439" s="1">
        <v>40615</v>
      </c>
      <c r="B439">
        <v>72</v>
      </c>
      <c r="C439">
        <v>1.1111111111111112</v>
      </c>
      <c r="D439">
        <v>-5</v>
      </c>
      <c r="E439">
        <v>11.371111111111109</v>
      </c>
    </row>
    <row r="440" spans="1:5" x14ac:dyDescent="0.2">
      <c r="A440" s="1">
        <v>40616</v>
      </c>
      <c r="B440">
        <v>73</v>
      </c>
      <c r="C440">
        <v>4.4444444444444446</v>
      </c>
      <c r="D440">
        <v>-7.7777777777777777</v>
      </c>
      <c r="E440">
        <v>13.164444444444442</v>
      </c>
    </row>
    <row r="441" spans="1:5" x14ac:dyDescent="0.2">
      <c r="A441" s="1">
        <v>40617</v>
      </c>
      <c r="B441">
        <v>74</v>
      </c>
      <c r="C441">
        <v>6.6666666666666661</v>
      </c>
      <c r="D441">
        <v>-7.2222222222222223</v>
      </c>
      <c r="E441">
        <v>12.719999999999995</v>
      </c>
    </row>
    <row r="442" spans="1:5" x14ac:dyDescent="0.2">
      <c r="A442" s="1">
        <v>40618</v>
      </c>
      <c r="B442">
        <v>75</v>
      </c>
      <c r="C442">
        <v>10.555555555555555</v>
      </c>
      <c r="D442">
        <v>-6.1111111111111116</v>
      </c>
      <c r="E442">
        <v>14.366666666666664</v>
      </c>
    </row>
    <row r="443" spans="1:5" x14ac:dyDescent="0.2">
      <c r="A443" s="1">
        <v>40619</v>
      </c>
      <c r="B443">
        <v>76</v>
      </c>
      <c r="C443">
        <v>15</v>
      </c>
      <c r="D443">
        <v>-3.333333333333333</v>
      </c>
      <c r="E443">
        <v>13.237777777777776</v>
      </c>
    </row>
    <row r="444" spans="1:5" x14ac:dyDescent="0.2">
      <c r="A444" s="1">
        <v>40620</v>
      </c>
      <c r="B444">
        <v>77</v>
      </c>
      <c r="C444">
        <v>15</v>
      </c>
      <c r="D444">
        <v>0.55555555555555558</v>
      </c>
      <c r="E444">
        <v>12.584444444444451</v>
      </c>
    </row>
    <row r="445" spans="1:5" x14ac:dyDescent="0.2">
      <c r="A445" s="1">
        <v>40621</v>
      </c>
      <c r="B445">
        <v>78</v>
      </c>
      <c r="C445">
        <v>10</v>
      </c>
      <c r="D445">
        <v>-5.5555555555555554</v>
      </c>
      <c r="E445">
        <v>12.284444444444446</v>
      </c>
    </row>
    <row r="446" spans="1:5" x14ac:dyDescent="0.2">
      <c r="A446" s="1">
        <v>40622</v>
      </c>
      <c r="B446">
        <v>79</v>
      </c>
      <c r="C446">
        <v>12.222222222222223</v>
      </c>
      <c r="D446">
        <v>2.7777777777777777</v>
      </c>
      <c r="E446">
        <v>13.337777777777776</v>
      </c>
    </row>
    <row r="447" spans="1:5" x14ac:dyDescent="0.2">
      <c r="A447" s="1">
        <v>40623</v>
      </c>
      <c r="B447">
        <v>80</v>
      </c>
      <c r="C447">
        <v>12.222222222222223</v>
      </c>
      <c r="D447">
        <v>2.7777777777777777</v>
      </c>
      <c r="E447">
        <v>15</v>
      </c>
    </row>
    <row r="448" spans="1:5" x14ac:dyDescent="0.2">
      <c r="A448" s="1">
        <v>40624</v>
      </c>
      <c r="B448">
        <v>81</v>
      </c>
      <c r="C448">
        <v>8.8888888888888893</v>
      </c>
      <c r="D448">
        <v>1.1111111111111112</v>
      </c>
      <c r="E448">
        <v>14.926666666666668</v>
      </c>
    </row>
    <row r="449" spans="1:5" x14ac:dyDescent="0.2">
      <c r="A449" s="1">
        <v>40625</v>
      </c>
      <c r="B449">
        <v>82</v>
      </c>
      <c r="C449">
        <v>2.2222222222222223</v>
      </c>
      <c r="D449">
        <v>-0.55555555555555558</v>
      </c>
      <c r="E449">
        <v>16.43333333333333</v>
      </c>
    </row>
    <row r="450" spans="1:5" x14ac:dyDescent="0.2">
      <c r="A450" s="1">
        <v>40626</v>
      </c>
      <c r="B450">
        <v>83</v>
      </c>
      <c r="C450">
        <v>0</v>
      </c>
      <c r="D450">
        <v>-8.3333333333333339</v>
      </c>
      <c r="E450">
        <v>14.304444444444442</v>
      </c>
    </row>
    <row r="451" spans="1:5" x14ac:dyDescent="0.2">
      <c r="A451" s="1">
        <v>40627</v>
      </c>
      <c r="B451">
        <v>84</v>
      </c>
      <c r="C451">
        <v>1.1111111111111112</v>
      </c>
      <c r="D451">
        <v>-8.3333333333333339</v>
      </c>
      <c r="E451">
        <v>14.604444444444443</v>
      </c>
    </row>
    <row r="452" spans="1:5" x14ac:dyDescent="0.2">
      <c r="A452" s="1">
        <v>40628</v>
      </c>
      <c r="B452">
        <v>85</v>
      </c>
      <c r="C452">
        <v>1.6666666666666665</v>
      </c>
      <c r="D452">
        <v>-8.3333333333333339</v>
      </c>
      <c r="E452">
        <v>15.69777777777778</v>
      </c>
    </row>
    <row r="453" spans="1:5" x14ac:dyDescent="0.2">
      <c r="A453" s="1">
        <v>40629</v>
      </c>
      <c r="B453">
        <v>86</v>
      </c>
      <c r="C453">
        <v>-0.55555555555555558</v>
      </c>
      <c r="D453">
        <v>-8.8888888888888893</v>
      </c>
      <c r="E453">
        <v>14.977777777777776</v>
      </c>
    </row>
    <row r="454" spans="1:5" x14ac:dyDescent="0.2">
      <c r="A454" s="1">
        <v>40630</v>
      </c>
      <c r="B454">
        <v>87</v>
      </c>
      <c r="C454">
        <v>1.6666666666666665</v>
      </c>
      <c r="D454">
        <v>-10</v>
      </c>
      <c r="E454">
        <v>12.684444444444447</v>
      </c>
    </row>
    <row r="455" spans="1:5" x14ac:dyDescent="0.2">
      <c r="A455" s="1">
        <v>40631</v>
      </c>
      <c r="B455">
        <v>88</v>
      </c>
      <c r="C455">
        <v>3.8888888888888888</v>
      </c>
      <c r="D455">
        <v>-9.4444444444444446</v>
      </c>
      <c r="E455">
        <v>14.022222222222222</v>
      </c>
    </row>
    <row r="456" spans="1:5" x14ac:dyDescent="0.2">
      <c r="A456" s="1">
        <v>40632</v>
      </c>
      <c r="B456">
        <v>89</v>
      </c>
      <c r="C456">
        <v>7.2222222222222223</v>
      </c>
      <c r="D456">
        <v>-7.7777777777777777</v>
      </c>
      <c r="E456">
        <v>15.895555555555557</v>
      </c>
    </row>
    <row r="457" spans="1:5" x14ac:dyDescent="0.2">
      <c r="A457" s="1">
        <v>40633</v>
      </c>
      <c r="B457">
        <v>90</v>
      </c>
      <c r="C457">
        <v>8.8888888888888893</v>
      </c>
      <c r="D457">
        <v>-7.7777777777777777</v>
      </c>
      <c r="E457">
        <v>14.608888888888893</v>
      </c>
    </row>
    <row r="458" spans="1:5" x14ac:dyDescent="0.2">
      <c r="A458" s="1">
        <v>40634</v>
      </c>
      <c r="B458">
        <v>91</v>
      </c>
      <c r="C458">
        <v>10</v>
      </c>
      <c r="D458">
        <v>-7.2222222222222223</v>
      </c>
      <c r="E458">
        <v>13.344444444444447</v>
      </c>
    </row>
    <row r="459" spans="1:5" x14ac:dyDescent="0.2">
      <c r="A459" s="1">
        <v>40635</v>
      </c>
      <c r="B459">
        <v>92</v>
      </c>
      <c r="C459">
        <v>8.3333333333333339</v>
      </c>
      <c r="D459">
        <v>-1.1111111111111112</v>
      </c>
      <c r="E459">
        <v>14.593333333333337</v>
      </c>
    </row>
    <row r="460" spans="1:5" x14ac:dyDescent="0.2">
      <c r="A460" s="1">
        <v>40636</v>
      </c>
      <c r="B460">
        <v>93</v>
      </c>
      <c r="C460">
        <v>12.222222222222223</v>
      </c>
      <c r="D460">
        <v>2.2222222222222223</v>
      </c>
      <c r="E460">
        <v>13.820000000000002</v>
      </c>
    </row>
    <row r="461" spans="1:5" x14ac:dyDescent="0.2">
      <c r="A461" s="1">
        <v>40637</v>
      </c>
      <c r="B461">
        <v>94</v>
      </c>
      <c r="C461">
        <v>8.3333333333333339</v>
      </c>
      <c r="D461">
        <v>3.333333333333333</v>
      </c>
      <c r="E461">
        <v>15.273333333333332</v>
      </c>
    </row>
    <row r="462" spans="1:5" x14ac:dyDescent="0.2">
      <c r="A462" s="1">
        <v>40638</v>
      </c>
      <c r="B462">
        <v>95</v>
      </c>
      <c r="C462">
        <v>8.3333333333333339</v>
      </c>
      <c r="D462">
        <v>-2.7777777777777777</v>
      </c>
      <c r="E462">
        <v>14.677777777777782</v>
      </c>
    </row>
    <row r="463" spans="1:5" x14ac:dyDescent="0.2">
      <c r="A463" s="1">
        <v>40639</v>
      </c>
      <c r="B463">
        <v>96</v>
      </c>
      <c r="C463">
        <v>11.666666666666668</v>
      </c>
      <c r="D463">
        <v>-1.1111111111111112</v>
      </c>
      <c r="E463">
        <v>17.008888888888887</v>
      </c>
    </row>
    <row r="464" spans="1:5" x14ac:dyDescent="0.2">
      <c r="A464" s="1">
        <v>40640</v>
      </c>
      <c r="B464">
        <v>97</v>
      </c>
      <c r="C464">
        <v>14.444444444444445</v>
      </c>
      <c r="D464">
        <v>0</v>
      </c>
      <c r="E464">
        <v>16.526666666666664</v>
      </c>
    </row>
    <row r="465" spans="1:5" x14ac:dyDescent="0.2">
      <c r="A465" s="1">
        <v>40641</v>
      </c>
      <c r="B465">
        <v>98</v>
      </c>
      <c r="C465">
        <v>13.888888888888889</v>
      </c>
      <c r="D465">
        <v>3.8888888888888888</v>
      </c>
      <c r="E465">
        <v>14.875555555555552</v>
      </c>
    </row>
    <row r="466" spans="1:5" x14ac:dyDescent="0.2">
      <c r="A466" s="1">
        <v>40642</v>
      </c>
      <c r="B466">
        <v>99</v>
      </c>
      <c r="C466">
        <v>13.333333333333332</v>
      </c>
      <c r="D466">
        <v>6.1111111111111116</v>
      </c>
      <c r="E466">
        <v>17.475555555555555</v>
      </c>
    </row>
    <row r="467" spans="1:5" x14ac:dyDescent="0.2">
      <c r="A467" s="1">
        <v>40643</v>
      </c>
      <c r="B467">
        <v>100</v>
      </c>
      <c r="C467">
        <v>18.333333333333332</v>
      </c>
      <c r="D467">
        <v>8.3333333333333339</v>
      </c>
      <c r="E467">
        <v>17.055555555555557</v>
      </c>
    </row>
    <row r="468" spans="1:5" x14ac:dyDescent="0.2">
      <c r="A468" s="1">
        <v>40644</v>
      </c>
      <c r="B468">
        <v>101</v>
      </c>
      <c r="C468">
        <v>26.666666666666664</v>
      </c>
      <c r="D468">
        <v>9.4444444444444446</v>
      </c>
      <c r="E468">
        <v>15.882222222222218</v>
      </c>
    </row>
    <row r="469" spans="1:5" x14ac:dyDescent="0.2">
      <c r="A469" s="1">
        <v>40645</v>
      </c>
      <c r="B469">
        <v>102</v>
      </c>
      <c r="C469">
        <v>16.111111111111111</v>
      </c>
      <c r="D469">
        <v>0</v>
      </c>
      <c r="E469">
        <v>15.497777777777774</v>
      </c>
    </row>
    <row r="470" spans="1:5" x14ac:dyDescent="0.2">
      <c r="A470" s="1">
        <v>40646</v>
      </c>
      <c r="B470">
        <v>103</v>
      </c>
      <c r="C470">
        <v>17.222222222222221</v>
      </c>
      <c r="D470">
        <v>0.55555555555555558</v>
      </c>
      <c r="E470">
        <v>18.066666666666666</v>
      </c>
    </row>
    <row r="471" spans="1:5" x14ac:dyDescent="0.2">
      <c r="A471" s="1">
        <v>40647</v>
      </c>
      <c r="B471">
        <v>104</v>
      </c>
      <c r="C471">
        <v>22.222222222222221</v>
      </c>
      <c r="D471">
        <v>1.6666666666666665</v>
      </c>
      <c r="E471">
        <v>17.306666666666665</v>
      </c>
    </row>
    <row r="472" spans="1:5" x14ac:dyDescent="0.2">
      <c r="A472" s="1">
        <v>40648</v>
      </c>
      <c r="B472">
        <v>105</v>
      </c>
      <c r="C472">
        <v>5</v>
      </c>
      <c r="D472">
        <v>1.6666666666666665</v>
      </c>
      <c r="E472">
        <v>18.091111111111108</v>
      </c>
    </row>
    <row r="473" spans="1:5" x14ac:dyDescent="0.2">
      <c r="A473" s="1">
        <v>40649</v>
      </c>
      <c r="B473">
        <v>106</v>
      </c>
      <c r="C473">
        <v>7.2222222222222223</v>
      </c>
      <c r="D473">
        <v>1.6666666666666665</v>
      </c>
      <c r="E473">
        <v>15.755555555555551</v>
      </c>
    </row>
    <row r="474" spans="1:5" x14ac:dyDescent="0.2">
      <c r="A474" s="1">
        <v>40650</v>
      </c>
      <c r="B474">
        <v>107</v>
      </c>
      <c r="C474">
        <v>5.5555555555555554</v>
      </c>
      <c r="D474">
        <v>0.55555555555555558</v>
      </c>
      <c r="E474">
        <v>18.606666666666669</v>
      </c>
    </row>
    <row r="475" spans="1:5" x14ac:dyDescent="0.2">
      <c r="A475" s="1">
        <v>40651</v>
      </c>
      <c r="B475">
        <v>108</v>
      </c>
      <c r="C475">
        <v>10.555555555555555</v>
      </c>
      <c r="D475">
        <v>1.1111111111111112</v>
      </c>
      <c r="E475">
        <v>17.028888888888886</v>
      </c>
    </row>
    <row r="476" spans="1:5" x14ac:dyDescent="0.2">
      <c r="A476" s="1">
        <v>40652</v>
      </c>
      <c r="B476">
        <v>109</v>
      </c>
      <c r="C476">
        <v>8.8888888888888893</v>
      </c>
      <c r="D476">
        <v>0</v>
      </c>
      <c r="E476">
        <v>16.00888888888889</v>
      </c>
    </row>
    <row r="477" spans="1:5" x14ac:dyDescent="0.2">
      <c r="A477" s="1">
        <v>40653</v>
      </c>
      <c r="B477">
        <v>110</v>
      </c>
      <c r="C477">
        <v>1.1111111111111112</v>
      </c>
      <c r="D477">
        <v>-0.55555555555555558</v>
      </c>
      <c r="E477">
        <v>14.822222222222214</v>
      </c>
    </row>
    <row r="478" spans="1:5" x14ac:dyDescent="0.2">
      <c r="A478" s="1">
        <v>40654</v>
      </c>
      <c r="B478">
        <v>111</v>
      </c>
      <c r="C478">
        <v>5</v>
      </c>
      <c r="D478">
        <v>-3.8888888888888888</v>
      </c>
      <c r="E478">
        <v>16.506666666666668</v>
      </c>
    </row>
    <row r="479" spans="1:5" x14ac:dyDescent="0.2">
      <c r="A479" s="1">
        <v>40655</v>
      </c>
      <c r="B479">
        <v>112</v>
      </c>
      <c r="C479">
        <v>11.666666666666668</v>
      </c>
      <c r="D479">
        <v>-2.7777777777777777</v>
      </c>
      <c r="E479">
        <v>16.88</v>
      </c>
    </row>
    <row r="480" spans="1:5" x14ac:dyDescent="0.2">
      <c r="A480" s="1">
        <v>40656</v>
      </c>
      <c r="B480">
        <v>113</v>
      </c>
      <c r="C480">
        <v>7.2222222222222223</v>
      </c>
      <c r="D480">
        <v>3.8888888888888888</v>
      </c>
      <c r="E480">
        <v>17.740000000000009</v>
      </c>
    </row>
    <row r="481" spans="1:5" x14ac:dyDescent="0.2">
      <c r="A481" s="1">
        <v>40657</v>
      </c>
      <c r="B481">
        <v>114</v>
      </c>
      <c r="C481">
        <v>14.444444444444445</v>
      </c>
      <c r="D481">
        <v>5</v>
      </c>
      <c r="E481">
        <v>19.917777777777768</v>
      </c>
    </row>
    <row r="482" spans="1:5" x14ac:dyDescent="0.2">
      <c r="A482" s="1">
        <v>40658</v>
      </c>
      <c r="B482">
        <v>115</v>
      </c>
      <c r="C482">
        <v>14.444444444444445</v>
      </c>
      <c r="D482">
        <v>2.2222222222222223</v>
      </c>
      <c r="E482">
        <v>19.82888888888888</v>
      </c>
    </row>
    <row r="483" spans="1:5" x14ac:dyDescent="0.2">
      <c r="A483" s="1">
        <v>40659</v>
      </c>
      <c r="B483">
        <v>116</v>
      </c>
      <c r="C483">
        <v>17.777777777777779</v>
      </c>
      <c r="D483">
        <v>3.333333333333333</v>
      </c>
      <c r="E483">
        <v>19.919999999999998</v>
      </c>
    </row>
    <row r="484" spans="1:5" x14ac:dyDescent="0.2">
      <c r="A484" s="1">
        <v>40660</v>
      </c>
      <c r="B484">
        <v>117</v>
      </c>
      <c r="C484">
        <v>11.666666666666668</v>
      </c>
      <c r="D484">
        <v>5.5555555555555554</v>
      </c>
      <c r="E484">
        <v>18.355555555555554</v>
      </c>
    </row>
    <row r="485" spans="1:5" x14ac:dyDescent="0.2">
      <c r="A485" s="1">
        <v>40661</v>
      </c>
      <c r="B485">
        <v>118</v>
      </c>
      <c r="C485">
        <v>7.2222222222222223</v>
      </c>
      <c r="D485">
        <v>3.333333333333333</v>
      </c>
      <c r="E485">
        <v>18.562222222222225</v>
      </c>
    </row>
    <row r="486" spans="1:5" x14ac:dyDescent="0.2">
      <c r="A486" s="1">
        <v>40662</v>
      </c>
      <c r="B486">
        <v>119</v>
      </c>
      <c r="C486">
        <v>6.1111111111111116</v>
      </c>
      <c r="D486">
        <v>-1.6666666666666665</v>
      </c>
      <c r="E486">
        <v>18.202222222222229</v>
      </c>
    </row>
    <row r="487" spans="1:5" x14ac:dyDescent="0.2">
      <c r="A487" s="1">
        <v>40663</v>
      </c>
      <c r="B487">
        <v>120</v>
      </c>
      <c r="C487">
        <v>17.777777777777779</v>
      </c>
      <c r="D487">
        <v>0.55555555555555558</v>
      </c>
      <c r="E487">
        <v>17.571111111111119</v>
      </c>
    </row>
    <row r="488" spans="1:5" x14ac:dyDescent="0.2">
      <c r="A488" s="1">
        <v>40664</v>
      </c>
      <c r="B488">
        <v>121</v>
      </c>
      <c r="C488">
        <v>20.555555555555554</v>
      </c>
      <c r="D488">
        <v>5</v>
      </c>
      <c r="E488">
        <v>19.524444444444448</v>
      </c>
    </row>
    <row r="489" spans="1:5" x14ac:dyDescent="0.2">
      <c r="A489" s="1">
        <v>40665</v>
      </c>
      <c r="B489">
        <v>122</v>
      </c>
      <c r="C489">
        <v>11.111111111111111</v>
      </c>
      <c r="D489">
        <v>-1.1111111111111112</v>
      </c>
      <c r="E489">
        <v>19.262222222222217</v>
      </c>
    </row>
    <row r="490" spans="1:5" x14ac:dyDescent="0.2">
      <c r="A490" s="1">
        <v>40666</v>
      </c>
      <c r="B490">
        <v>123</v>
      </c>
      <c r="C490">
        <v>11.111111111111111</v>
      </c>
      <c r="D490">
        <v>0.55555555555555558</v>
      </c>
      <c r="E490">
        <v>21.293333333333326</v>
      </c>
    </row>
    <row r="491" spans="1:5" x14ac:dyDescent="0.2">
      <c r="A491" s="1">
        <v>40667</v>
      </c>
      <c r="B491">
        <v>124</v>
      </c>
      <c r="C491">
        <v>7.2222222222222223</v>
      </c>
      <c r="D491">
        <v>-3.8888888888888888</v>
      </c>
      <c r="E491">
        <v>20.195555555555561</v>
      </c>
    </row>
    <row r="492" spans="1:5" x14ac:dyDescent="0.2">
      <c r="A492" s="1">
        <v>40668</v>
      </c>
      <c r="B492">
        <v>125</v>
      </c>
      <c r="C492">
        <v>16.666666666666668</v>
      </c>
      <c r="D492">
        <v>-0.55555555555555558</v>
      </c>
      <c r="E492">
        <v>19.100000000000005</v>
      </c>
    </row>
    <row r="493" spans="1:5" x14ac:dyDescent="0.2">
      <c r="A493" s="1">
        <v>40669</v>
      </c>
      <c r="B493">
        <v>126</v>
      </c>
      <c r="C493">
        <v>14.444444444444445</v>
      </c>
      <c r="D493">
        <v>0.55555555555555558</v>
      </c>
      <c r="E493">
        <v>20.082222222222224</v>
      </c>
    </row>
    <row r="494" spans="1:5" x14ac:dyDescent="0.2">
      <c r="A494" s="1">
        <v>40670</v>
      </c>
      <c r="B494">
        <v>127</v>
      </c>
      <c r="C494">
        <v>20</v>
      </c>
      <c r="D494">
        <v>3.333333333333333</v>
      </c>
      <c r="E494">
        <v>17.606666666666673</v>
      </c>
    </row>
    <row r="495" spans="1:5" x14ac:dyDescent="0.2">
      <c r="A495" s="1">
        <v>40671</v>
      </c>
      <c r="B495">
        <v>128</v>
      </c>
      <c r="C495">
        <v>18.888888888888889</v>
      </c>
      <c r="D495">
        <v>1.6666666666666665</v>
      </c>
      <c r="E495">
        <v>18.580000000000002</v>
      </c>
    </row>
    <row r="496" spans="1:5" x14ac:dyDescent="0.2">
      <c r="A496" s="1">
        <v>40672</v>
      </c>
      <c r="B496">
        <v>129</v>
      </c>
      <c r="C496">
        <v>21.666666666666664</v>
      </c>
      <c r="D496">
        <v>10</v>
      </c>
      <c r="E496">
        <v>20.891111111111112</v>
      </c>
    </row>
    <row r="497" spans="1:5" x14ac:dyDescent="0.2">
      <c r="A497" s="1">
        <v>40673</v>
      </c>
      <c r="B497">
        <v>130</v>
      </c>
      <c r="C497">
        <v>19.444444444444443</v>
      </c>
      <c r="D497">
        <v>10.555555555555555</v>
      </c>
      <c r="E497">
        <v>21.2911111111111</v>
      </c>
    </row>
    <row r="498" spans="1:5" x14ac:dyDescent="0.2">
      <c r="A498" s="1">
        <v>40674</v>
      </c>
      <c r="B498">
        <v>131</v>
      </c>
      <c r="C498">
        <v>31.111111111111111</v>
      </c>
      <c r="D498">
        <v>13.333333333333332</v>
      </c>
      <c r="E498">
        <v>17.644444444444446</v>
      </c>
    </row>
    <row r="499" spans="1:5" x14ac:dyDescent="0.2">
      <c r="A499" s="1">
        <v>40675</v>
      </c>
      <c r="B499">
        <v>132</v>
      </c>
      <c r="C499">
        <v>27.777777777777779</v>
      </c>
      <c r="D499">
        <v>13.888888888888889</v>
      </c>
      <c r="E499">
        <v>19.975555555555552</v>
      </c>
    </row>
    <row r="500" spans="1:5" x14ac:dyDescent="0.2">
      <c r="A500" s="1">
        <v>40676</v>
      </c>
      <c r="B500">
        <v>133</v>
      </c>
      <c r="C500">
        <v>29.444444444444446</v>
      </c>
      <c r="D500">
        <v>13.333333333333332</v>
      </c>
      <c r="E500">
        <v>19.571111111111115</v>
      </c>
    </row>
    <row r="501" spans="1:5" x14ac:dyDescent="0.2">
      <c r="A501" s="1">
        <v>40677</v>
      </c>
      <c r="B501">
        <v>134</v>
      </c>
      <c r="C501">
        <v>17.222222222222221</v>
      </c>
      <c r="D501">
        <v>8.3333333333333339</v>
      </c>
      <c r="E501">
        <v>18.477777777777774</v>
      </c>
    </row>
    <row r="502" spans="1:5" x14ac:dyDescent="0.2">
      <c r="A502" s="1">
        <v>40678</v>
      </c>
      <c r="B502">
        <v>135</v>
      </c>
      <c r="C502">
        <v>17.222222222222221</v>
      </c>
      <c r="D502">
        <v>8.3333333333333339</v>
      </c>
      <c r="E502">
        <v>19.902222222222221</v>
      </c>
    </row>
    <row r="503" spans="1:5" x14ac:dyDescent="0.2">
      <c r="A503" s="1">
        <v>40679</v>
      </c>
      <c r="B503">
        <v>136</v>
      </c>
      <c r="C503">
        <v>17.222222222222221</v>
      </c>
      <c r="D503">
        <v>3.8888888888888888</v>
      </c>
      <c r="E503">
        <v>20.839999999999996</v>
      </c>
    </row>
    <row r="504" spans="1:5" x14ac:dyDescent="0.2">
      <c r="A504" s="1">
        <v>40680</v>
      </c>
      <c r="B504">
        <v>137</v>
      </c>
      <c r="C504">
        <v>16.666666666666668</v>
      </c>
      <c r="D504">
        <v>-1.1111111111111112</v>
      </c>
      <c r="E504">
        <v>20.335555555555548</v>
      </c>
    </row>
    <row r="505" spans="1:5" x14ac:dyDescent="0.2">
      <c r="A505" s="1">
        <v>40681</v>
      </c>
      <c r="B505">
        <v>138</v>
      </c>
      <c r="C505">
        <v>18.333333333333332</v>
      </c>
      <c r="D505">
        <v>1.6666666666666665</v>
      </c>
      <c r="E505">
        <v>19.555555555555557</v>
      </c>
    </row>
    <row r="506" spans="1:5" x14ac:dyDescent="0.2">
      <c r="A506" s="1">
        <v>40682</v>
      </c>
      <c r="B506">
        <v>139</v>
      </c>
      <c r="C506">
        <v>14.444444444444445</v>
      </c>
      <c r="D506">
        <v>9.4444444444444446</v>
      </c>
      <c r="E506">
        <v>21.506666666666671</v>
      </c>
    </row>
    <row r="507" spans="1:5" x14ac:dyDescent="0.2">
      <c r="A507" s="1">
        <v>40683</v>
      </c>
      <c r="B507">
        <v>140</v>
      </c>
      <c r="C507">
        <v>22.222222222222221</v>
      </c>
      <c r="D507">
        <v>7.2222222222222223</v>
      </c>
      <c r="E507">
        <v>22.404444444444444</v>
      </c>
    </row>
    <row r="508" spans="1:5" x14ac:dyDescent="0.2">
      <c r="A508" s="1">
        <v>40684</v>
      </c>
      <c r="B508">
        <v>141</v>
      </c>
      <c r="C508">
        <v>25.555555555555554</v>
      </c>
      <c r="D508">
        <v>11.111111111111111</v>
      </c>
      <c r="E508">
        <v>22.526666666666674</v>
      </c>
    </row>
    <row r="509" spans="1:5" x14ac:dyDescent="0.2">
      <c r="A509" s="1">
        <v>40685</v>
      </c>
      <c r="B509">
        <v>142</v>
      </c>
      <c r="C509">
        <v>23.888888888888889</v>
      </c>
      <c r="D509">
        <v>15.555555555555555</v>
      </c>
      <c r="E509">
        <v>20.664444444444445</v>
      </c>
    </row>
    <row r="510" spans="1:5" x14ac:dyDescent="0.2">
      <c r="A510" s="1">
        <v>40686</v>
      </c>
      <c r="B510">
        <v>143</v>
      </c>
      <c r="C510">
        <v>28.333333333333336</v>
      </c>
      <c r="D510">
        <v>14.444444444444445</v>
      </c>
      <c r="E510">
        <v>19.966666666666665</v>
      </c>
    </row>
    <row r="511" spans="1:5" x14ac:dyDescent="0.2">
      <c r="A511" s="1">
        <v>40687</v>
      </c>
      <c r="B511">
        <v>144</v>
      </c>
      <c r="C511">
        <v>23.333333333333336</v>
      </c>
      <c r="D511">
        <v>10.555555555555555</v>
      </c>
      <c r="E511">
        <v>21.091111111111118</v>
      </c>
    </row>
    <row r="512" spans="1:5" x14ac:dyDescent="0.2">
      <c r="A512" s="1">
        <v>40688</v>
      </c>
      <c r="B512">
        <v>145</v>
      </c>
      <c r="C512">
        <v>18.888888888888889</v>
      </c>
      <c r="D512">
        <v>8.3333333333333339</v>
      </c>
      <c r="E512">
        <v>21.435555555555553</v>
      </c>
    </row>
    <row r="513" spans="1:5" x14ac:dyDescent="0.2">
      <c r="A513" s="1">
        <v>40689</v>
      </c>
      <c r="B513">
        <v>146</v>
      </c>
      <c r="C513">
        <v>10.555555555555555</v>
      </c>
      <c r="D513">
        <v>7.2222222222222223</v>
      </c>
      <c r="E513">
        <v>22.319999999999986</v>
      </c>
    </row>
    <row r="514" spans="1:5" x14ac:dyDescent="0.2">
      <c r="A514" s="1">
        <v>40690</v>
      </c>
      <c r="B514">
        <v>147</v>
      </c>
      <c r="C514">
        <v>17.222222222222221</v>
      </c>
      <c r="D514">
        <v>1.1111111111111112</v>
      </c>
      <c r="E514">
        <v>21.086666666666666</v>
      </c>
    </row>
    <row r="515" spans="1:5" x14ac:dyDescent="0.2">
      <c r="A515" s="1">
        <v>40691</v>
      </c>
      <c r="B515">
        <v>148</v>
      </c>
      <c r="C515">
        <v>17.777777777777779</v>
      </c>
      <c r="D515">
        <v>5.5555555555555554</v>
      </c>
      <c r="E515">
        <v>19.986666666666665</v>
      </c>
    </row>
    <row r="516" spans="1:5" x14ac:dyDescent="0.2">
      <c r="A516" s="1">
        <v>40692</v>
      </c>
      <c r="B516">
        <v>149</v>
      </c>
      <c r="C516">
        <v>21.111111111111111</v>
      </c>
      <c r="D516">
        <v>10</v>
      </c>
      <c r="E516">
        <v>20.988888888888894</v>
      </c>
    </row>
    <row r="517" spans="1:5" x14ac:dyDescent="0.2">
      <c r="A517" s="1">
        <v>40693</v>
      </c>
      <c r="B517">
        <v>150</v>
      </c>
      <c r="C517">
        <v>19.444444444444443</v>
      </c>
      <c r="D517">
        <v>13.888888888888889</v>
      </c>
      <c r="E517">
        <v>21.175555555555562</v>
      </c>
    </row>
    <row r="518" spans="1:5" x14ac:dyDescent="0.2">
      <c r="A518" s="1">
        <v>40694</v>
      </c>
      <c r="B518">
        <v>151</v>
      </c>
      <c r="C518">
        <v>31.111111111111111</v>
      </c>
      <c r="D518">
        <v>15</v>
      </c>
      <c r="E518">
        <v>21.524444444444448</v>
      </c>
    </row>
    <row r="519" spans="1:5" x14ac:dyDescent="0.2">
      <c r="A519" s="1">
        <v>40695</v>
      </c>
      <c r="B519">
        <v>152</v>
      </c>
      <c r="C519">
        <v>27.777777777777779</v>
      </c>
      <c r="D519">
        <v>11.666666666666668</v>
      </c>
      <c r="E519">
        <v>22.935555555555549</v>
      </c>
    </row>
    <row r="520" spans="1:5" x14ac:dyDescent="0.2">
      <c r="A520" s="1">
        <v>40696</v>
      </c>
      <c r="B520">
        <v>153</v>
      </c>
      <c r="C520">
        <v>25</v>
      </c>
      <c r="D520">
        <v>11.666666666666668</v>
      </c>
      <c r="E520">
        <v>22.097777777777782</v>
      </c>
    </row>
    <row r="521" spans="1:5" x14ac:dyDescent="0.2">
      <c r="A521" s="1">
        <v>40697</v>
      </c>
      <c r="B521">
        <v>154</v>
      </c>
      <c r="C521">
        <v>22.777777777777779</v>
      </c>
      <c r="D521">
        <v>12.777777777777777</v>
      </c>
      <c r="E521">
        <v>23.393333333333331</v>
      </c>
    </row>
    <row r="522" spans="1:5" x14ac:dyDescent="0.2">
      <c r="A522" s="1">
        <v>40698</v>
      </c>
      <c r="B522">
        <v>155</v>
      </c>
      <c r="C522">
        <v>32.777777777777779</v>
      </c>
      <c r="D522">
        <v>20</v>
      </c>
      <c r="E522">
        <v>22.279999999999998</v>
      </c>
    </row>
    <row r="523" spans="1:5" x14ac:dyDescent="0.2">
      <c r="A523" s="1">
        <v>40699</v>
      </c>
      <c r="B523">
        <v>156</v>
      </c>
      <c r="C523">
        <v>31.111111111111111</v>
      </c>
      <c r="D523">
        <v>12.777777777777777</v>
      </c>
      <c r="E523">
        <v>21.313333333333325</v>
      </c>
    </row>
    <row r="524" spans="1:5" x14ac:dyDescent="0.2">
      <c r="A524" s="1">
        <v>40700</v>
      </c>
      <c r="B524">
        <v>157</v>
      </c>
      <c r="C524">
        <v>30.555555555555554</v>
      </c>
      <c r="D524">
        <v>16.111111111111111</v>
      </c>
      <c r="E524">
        <v>22.002222222222226</v>
      </c>
    </row>
    <row r="525" spans="1:5" x14ac:dyDescent="0.2">
      <c r="A525" s="1">
        <v>40701</v>
      </c>
      <c r="B525">
        <v>158</v>
      </c>
      <c r="C525">
        <v>33.888888888888886</v>
      </c>
      <c r="D525">
        <v>16.666666666666668</v>
      </c>
      <c r="E525">
        <v>22.086666666666659</v>
      </c>
    </row>
    <row r="526" spans="1:5" x14ac:dyDescent="0.2">
      <c r="A526" s="1">
        <v>40702</v>
      </c>
      <c r="B526">
        <v>159</v>
      </c>
      <c r="C526">
        <v>34.444444444444443</v>
      </c>
      <c r="D526">
        <v>22.777777777777779</v>
      </c>
      <c r="E526">
        <v>23.813333333333325</v>
      </c>
    </row>
    <row r="527" spans="1:5" x14ac:dyDescent="0.2">
      <c r="A527" s="1">
        <v>40703</v>
      </c>
      <c r="B527">
        <v>160</v>
      </c>
      <c r="C527">
        <v>31.666666666666664</v>
      </c>
      <c r="D527">
        <v>16.111111111111111</v>
      </c>
      <c r="E527">
        <v>21.76222222222221</v>
      </c>
    </row>
    <row r="528" spans="1:5" x14ac:dyDescent="0.2">
      <c r="A528" s="1">
        <v>40704</v>
      </c>
      <c r="B528">
        <v>161</v>
      </c>
      <c r="C528">
        <v>16.666666666666668</v>
      </c>
      <c r="D528">
        <v>9.4444444444444446</v>
      </c>
      <c r="E528">
        <v>23.468888888888888</v>
      </c>
    </row>
    <row r="529" spans="1:5" x14ac:dyDescent="0.2">
      <c r="A529" s="1">
        <v>40705</v>
      </c>
      <c r="B529">
        <v>162</v>
      </c>
      <c r="C529">
        <v>16.666666666666668</v>
      </c>
      <c r="D529">
        <v>10</v>
      </c>
      <c r="E529">
        <v>20.566666666666666</v>
      </c>
    </row>
    <row r="530" spans="1:5" x14ac:dyDescent="0.2">
      <c r="A530" s="1">
        <v>40706</v>
      </c>
      <c r="B530">
        <v>163</v>
      </c>
      <c r="C530">
        <v>17.777777777777779</v>
      </c>
      <c r="D530">
        <v>7.7777777777777777</v>
      </c>
      <c r="E530">
        <v>21.984444444444435</v>
      </c>
    </row>
    <row r="531" spans="1:5" x14ac:dyDescent="0.2">
      <c r="A531" s="1">
        <v>40707</v>
      </c>
      <c r="B531">
        <v>164</v>
      </c>
      <c r="C531">
        <v>20</v>
      </c>
      <c r="D531">
        <v>12.777777777777777</v>
      </c>
      <c r="E531">
        <v>23.388888888888882</v>
      </c>
    </row>
    <row r="532" spans="1:5" x14ac:dyDescent="0.2">
      <c r="A532" s="1">
        <v>40708</v>
      </c>
      <c r="B532">
        <v>165</v>
      </c>
      <c r="C532">
        <v>23.888888888888889</v>
      </c>
      <c r="D532">
        <v>8.3333333333333339</v>
      </c>
      <c r="E532">
        <v>21.657777777777785</v>
      </c>
    </row>
    <row r="533" spans="1:5" x14ac:dyDescent="0.2">
      <c r="A533" s="1">
        <v>40709</v>
      </c>
      <c r="B533">
        <v>166</v>
      </c>
      <c r="C533">
        <v>25.555555555555554</v>
      </c>
      <c r="D533">
        <v>11.111111111111111</v>
      </c>
      <c r="E533">
        <v>20.875555555555547</v>
      </c>
    </row>
    <row r="534" spans="1:5" x14ac:dyDescent="0.2">
      <c r="A534" s="1">
        <v>40710</v>
      </c>
      <c r="B534">
        <v>167</v>
      </c>
      <c r="C534">
        <v>18.888888888888889</v>
      </c>
      <c r="D534">
        <v>11.111111111111111</v>
      </c>
      <c r="E534">
        <v>21.88</v>
      </c>
    </row>
    <row r="535" spans="1:5" x14ac:dyDescent="0.2">
      <c r="A535" s="1">
        <v>40711</v>
      </c>
      <c r="B535">
        <v>168</v>
      </c>
      <c r="C535">
        <v>27.777777777777779</v>
      </c>
      <c r="D535">
        <v>13.333333333333332</v>
      </c>
      <c r="E535">
        <v>23.36666666666666</v>
      </c>
    </row>
    <row r="536" spans="1:5" x14ac:dyDescent="0.2">
      <c r="A536" s="1">
        <v>40712</v>
      </c>
      <c r="B536">
        <v>169</v>
      </c>
      <c r="C536">
        <v>27.777777777777779</v>
      </c>
      <c r="D536">
        <v>17.222222222222221</v>
      </c>
      <c r="E536">
        <v>21.613333333333337</v>
      </c>
    </row>
    <row r="537" spans="1:5" x14ac:dyDescent="0.2">
      <c r="A537" s="1">
        <v>40713</v>
      </c>
      <c r="B537">
        <v>170</v>
      </c>
      <c r="C537">
        <v>27.222222222222221</v>
      </c>
      <c r="D537">
        <v>16.666666666666668</v>
      </c>
      <c r="E537">
        <v>23.11333333333333</v>
      </c>
    </row>
    <row r="538" spans="1:5" x14ac:dyDescent="0.2">
      <c r="A538" s="1">
        <v>40714</v>
      </c>
      <c r="B538">
        <v>171</v>
      </c>
      <c r="C538">
        <v>26.111111111111111</v>
      </c>
      <c r="D538">
        <v>17.222222222222221</v>
      </c>
      <c r="E538">
        <v>23.373333333333328</v>
      </c>
    </row>
    <row r="539" spans="1:5" x14ac:dyDescent="0.2">
      <c r="A539" s="1">
        <v>40715</v>
      </c>
      <c r="B539">
        <v>172</v>
      </c>
      <c r="C539">
        <v>22.777777777777779</v>
      </c>
      <c r="D539">
        <v>17.222222222222221</v>
      </c>
      <c r="E539">
        <v>22.980000000000004</v>
      </c>
    </row>
    <row r="540" spans="1:5" x14ac:dyDescent="0.2">
      <c r="A540" s="1">
        <v>40716</v>
      </c>
      <c r="B540">
        <v>173</v>
      </c>
      <c r="C540">
        <v>30</v>
      </c>
      <c r="D540">
        <v>18.888888888888889</v>
      </c>
      <c r="E540">
        <v>22.42444444444444</v>
      </c>
    </row>
    <row r="541" spans="1:5" x14ac:dyDescent="0.2">
      <c r="A541" s="1">
        <v>40717</v>
      </c>
      <c r="B541">
        <v>174</v>
      </c>
      <c r="C541">
        <v>23.333333333333336</v>
      </c>
      <c r="D541">
        <v>17.222222222222221</v>
      </c>
      <c r="E541">
        <v>22.90444444444444</v>
      </c>
    </row>
    <row r="542" spans="1:5" x14ac:dyDescent="0.2">
      <c r="A542" s="1">
        <v>40718</v>
      </c>
      <c r="B542">
        <v>175</v>
      </c>
      <c r="C542">
        <v>17.222222222222221</v>
      </c>
      <c r="D542">
        <v>13.888888888888889</v>
      </c>
      <c r="E542">
        <v>23.068888888888885</v>
      </c>
    </row>
    <row r="543" spans="1:5" x14ac:dyDescent="0.2">
      <c r="A543" s="1">
        <v>40719</v>
      </c>
      <c r="B543">
        <v>176</v>
      </c>
      <c r="C543">
        <v>22.777777777777779</v>
      </c>
      <c r="D543">
        <v>11.666666666666668</v>
      </c>
      <c r="E543">
        <v>23.437777777777779</v>
      </c>
    </row>
    <row r="544" spans="1:5" x14ac:dyDescent="0.2">
      <c r="A544" s="1">
        <v>40720</v>
      </c>
      <c r="B544">
        <v>177</v>
      </c>
      <c r="C544">
        <v>24.444444444444446</v>
      </c>
      <c r="D544">
        <v>12.777777777777777</v>
      </c>
      <c r="E544">
        <v>24.166666666666679</v>
      </c>
    </row>
    <row r="545" spans="1:5" x14ac:dyDescent="0.2">
      <c r="A545" s="1">
        <v>40721</v>
      </c>
      <c r="B545">
        <v>178</v>
      </c>
      <c r="C545">
        <v>27.222222222222221</v>
      </c>
      <c r="D545">
        <v>18.888888888888889</v>
      </c>
      <c r="E545">
        <v>24.371111111111112</v>
      </c>
    </row>
    <row r="546" spans="1:5" x14ac:dyDescent="0.2">
      <c r="A546" s="1">
        <v>40722</v>
      </c>
      <c r="B546">
        <v>179</v>
      </c>
      <c r="C546">
        <v>28.333333333333336</v>
      </c>
      <c r="D546">
        <v>12.777777777777777</v>
      </c>
      <c r="E546">
        <v>22.171111111111113</v>
      </c>
    </row>
    <row r="547" spans="1:5" x14ac:dyDescent="0.2">
      <c r="A547" s="1">
        <v>40723</v>
      </c>
      <c r="B547">
        <v>180</v>
      </c>
      <c r="C547">
        <v>26.111111111111111</v>
      </c>
      <c r="D547">
        <v>11.111111111111111</v>
      </c>
      <c r="E547">
        <v>22.31111111111111</v>
      </c>
    </row>
    <row r="548" spans="1:5" x14ac:dyDescent="0.2">
      <c r="A548" s="1">
        <v>40724</v>
      </c>
      <c r="B548">
        <v>181</v>
      </c>
      <c r="C548">
        <v>27.777777777777779</v>
      </c>
      <c r="D548">
        <v>13.333333333333332</v>
      </c>
      <c r="E548">
        <v>25.455555555555552</v>
      </c>
    </row>
    <row r="549" spans="1:5" x14ac:dyDescent="0.2">
      <c r="A549" s="1">
        <v>40725</v>
      </c>
      <c r="B549">
        <v>182</v>
      </c>
      <c r="C549">
        <v>31.666666666666664</v>
      </c>
      <c r="D549">
        <v>22.777777777777779</v>
      </c>
      <c r="E549">
        <v>25.371111111111109</v>
      </c>
    </row>
    <row r="550" spans="1:5" x14ac:dyDescent="0.2">
      <c r="A550" s="1">
        <v>40726</v>
      </c>
      <c r="B550">
        <v>183</v>
      </c>
      <c r="C550">
        <v>33.333333333333336</v>
      </c>
      <c r="D550">
        <v>22.222222222222221</v>
      </c>
      <c r="E550">
        <v>23.746666666666659</v>
      </c>
    </row>
    <row r="551" spans="1:5" x14ac:dyDescent="0.2">
      <c r="A551" s="1">
        <v>40727</v>
      </c>
      <c r="B551">
        <v>184</v>
      </c>
      <c r="C551">
        <v>31.111111111111111</v>
      </c>
      <c r="D551">
        <v>13.888888888888889</v>
      </c>
      <c r="E551">
        <v>22.228888888888893</v>
      </c>
    </row>
    <row r="552" spans="1:5" x14ac:dyDescent="0.2">
      <c r="A552" s="1">
        <v>40728</v>
      </c>
      <c r="B552">
        <v>185</v>
      </c>
      <c r="C552">
        <v>28.333333333333336</v>
      </c>
      <c r="D552">
        <v>15</v>
      </c>
      <c r="E552">
        <v>22.664444444444449</v>
      </c>
    </row>
    <row r="553" spans="1:5" x14ac:dyDescent="0.2">
      <c r="A553" s="1">
        <v>40729</v>
      </c>
      <c r="B553">
        <v>186</v>
      </c>
      <c r="C553">
        <v>30.555555555555554</v>
      </c>
      <c r="D553">
        <v>15</v>
      </c>
      <c r="E553">
        <v>24.606666666666666</v>
      </c>
    </row>
    <row r="554" spans="1:5" x14ac:dyDescent="0.2">
      <c r="A554" s="1">
        <v>40730</v>
      </c>
      <c r="B554">
        <v>187</v>
      </c>
      <c r="C554">
        <v>32.222222222222221</v>
      </c>
      <c r="D554">
        <v>17.777777777777779</v>
      </c>
      <c r="E554">
        <v>23.071111111111112</v>
      </c>
    </row>
    <row r="555" spans="1:5" x14ac:dyDescent="0.2">
      <c r="A555" s="1">
        <v>40731</v>
      </c>
      <c r="B555">
        <v>188</v>
      </c>
      <c r="C555">
        <v>29.444444444444446</v>
      </c>
      <c r="D555">
        <v>15</v>
      </c>
      <c r="E555">
        <v>23.468888888888888</v>
      </c>
    </row>
    <row r="556" spans="1:5" x14ac:dyDescent="0.2">
      <c r="A556" s="1">
        <v>40732</v>
      </c>
      <c r="B556">
        <v>189</v>
      </c>
      <c r="C556">
        <v>28.888888888888889</v>
      </c>
      <c r="D556">
        <v>14.444444444444445</v>
      </c>
      <c r="E556">
        <v>22.911111111111111</v>
      </c>
    </row>
    <row r="557" spans="1:5" x14ac:dyDescent="0.2">
      <c r="A557" s="1">
        <v>40733</v>
      </c>
      <c r="B557">
        <v>190</v>
      </c>
      <c r="C557">
        <v>30.555555555555554</v>
      </c>
      <c r="D557">
        <v>15.555555555555555</v>
      </c>
      <c r="E557">
        <v>22.133333333333333</v>
      </c>
    </row>
    <row r="558" spans="1:5" x14ac:dyDescent="0.2">
      <c r="A558" s="1">
        <v>40734</v>
      </c>
      <c r="B558">
        <v>191</v>
      </c>
      <c r="C558">
        <v>31.111111111111111</v>
      </c>
      <c r="D558">
        <v>19.444444444444443</v>
      </c>
      <c r="E558">
        <v>23.479999999999993</v>
      </c>
    </row>
    <row r="559" spans="1:5" x14ac:dyDescent="0.2">
      <c r="A559" s="1">
        <v>40735</v>
      </c>
      <c r="B559">
        <v>192</v>
      </c>
      <c r="C559">
        <v>31.666666666666664</v>
      </c>
      <c r="D559">
        <v>21.111111111111111</v>
      </c>
      <c r="E559">
        <v>23.637777777777778</v>
      </c>
    </row>
    <row r="560" spans="1:5" x14ac:dyDescent="0.2">
      <c r="A560" s="1">
        <v>40736</v>
      </c>
      <c r="B560">
        <v>193</v>
      </c>
      <c r="C560">
        <v>30.555555555555554</v>
      </c>
      <c r="D560">
        <v>17.222222222222221</v>
      </c>
      <c r="E560">
        <v>22.757777777777775</v>
      </c>
    </row>
    <row r="561" spans="1:5" x14ac:dyDescent="0.2">
      <c r="A561" s="1">
        <v>40737</v>
      </c>
      <c r="B561">
        <v>194</v>
      </c>
      <c r="C561">
        <v>27.222222222222221</v>
      </c>
      <c r="D561">
        <v>14.444444444444445</v>
      </c>
      <c r="E561">
        <v>22.486666666666665</v>
      </c>
    </row>
    <row r="562" spans="1:5" x14ac:dyDescent="0.2">
      <c r="A562" s="1">
        <v>40738</v>
      </c>
      <c r="B562">
        <v>195</v>
      </c>
      <c r="C562">
        <v>23.888888888888889</v>
      </c>
      <c r="D562">
        <v>11.666666666666668</v>
      </c>
      <c r="E562">
        <v>23.213333333333335</v>
      </c>
    </row>
    <row r="563" spans="1:5" x14ac:dyDescent="0.2">
      <c r="A563" s="1">
        <v>40739</v>
      </c>
      <c r="B563">
        <v>196</v>
      </c>
      <c r="C563">
        <v>26.666666666666664</v>
      </c>
      <c r="D563">
        <v>14.444444444444445</v>
      </c>
      <c r="E563">
        <v>23.213333333333335</v>
      </c>
    </row>
    <row r="564" spans="1:5" x14ac:dyDescent="0.2">
      <c r="A564" s="1">
        <v>40740</v>
      </c>
      <c r="B564">
        <v>197</v>
      </c>
      <c r="C564">
        <v>27.777777777777779</v>
      </c>
      <c r="D564">
        <v>20.555555555555554</v>
      </c>
      <c r="E564">
        <v>24.926666666666669</v>
      </c>
    </row>
    <row r="565" spans="1:5" x14ac:dyDescent="0.2">
      <c r="A565" s="1">
        <v>40741</v>
      </c>
      <c r="B565">
        <v>198</v>
      </c>
      <c r="C565">
        <v>30.555555555555554</v>
      </c>
      <c r="D565">
        <v>20.555555555555554</v>
      </c>
      <c r="E565">
        <v>22.395555555555553</v>
      </c>
    </row>
    <row r="566" spans="1:5" x14ac:dyDescent="0.2">
      <c r="A566" s="1">
        <v>40742</v>
      </c>
      <c r="B566">
        <v>199</v>
      </c>
      <c r="C566">
        <v>35</v>
      </c>
      <c r="D566">
        <v>22.777777777777779</v>
      </c>
      <c r="E566">
        <v>20.604444444444447</v>
      </c>
    </row>
    <row r="567" spans="1:5" x14ac:dyDescent="0.2">
      <c r="A567" s="1">
        <v>40743</v>
      </c>
      <c r="B567">
        <v>200</v>
      </c>
      <c r="C567">
        <v>33.888888888888886</v>
      </c>
      <c r="D567">
        <v>22.222222222222221</v>
      </c>
      <c r="E567">
        <v>19.959999999999997</v>
      </c>
    </row>
    <row r="568" spans="1:5" x14ac:dyDescent="0.2">
      <c r="A568" s="1">
        <v>40744</v>
      </c>
      <c r="B568">
        <v>201</v>
      </c>
      <c r="C568">
        <v>33.888888888888886</v>
      </c>
      <c r="D568">
        <v>21.666666666666664</v>
      </c>
      <c r="E568">
        <v>21.315555555555552</v>
      </c>
    </row>
    <row r="569" spans="1:5" x14ac:dyDescent="0.2">
      <c r="A569" s="1">
        <v>40745</v>
      </c>
      <c r="B569">
        <v>202</v>
      </c>
      <c r="C569">
        <v>36.111111111111114</v>
      </c>
      <c r="D569">
        <v>23.888888888888889</v>
      </c>
      <c r="E569">
        <v>21.008888888888883</v>
      </c>
    </row>
    <row r="570" spans="1:5" x14ac:dyDescent="0.2">
      <c r="A570" s="1">
        <v>40746</v>
      </c>
      <c r="B570">
        <v>203</v>
      </c>
      <c r="C570">
        <v>30.555555555555554</v>
      </c>
      <c r="D570">
        <v>18.888888888888889</v>
      </c>
      <c r="E570">
        <v>22.064444444444447</v>
      </c>
    </row>
    <row r="571" spans="1:5" x14ac:dyDescent="0.2">
      <c r="A571" s="1">
        <v>40747</v>
      </c>
      <c r="B571">
        <v>204</v>
      </c>
      <c r="C571">
        <v>31.666666666666664</v>
      </c>
      <c r="D571">
        <v>20</v>
      </c>
      <c r="E571">
        <v>21.877777777777776</v>
      </c>
    </row>
    <row r="572" spans="1:5" x14ac:dyDescent="0.2">
      <c r="A572" s="1">
        <v>40748</v>
      </c>
      <c r="B572">
        <v>205</v>
      </c>
      <c r="C572">
        <v>32.222222222222221</v>
      </c>
      <c r="D572">
        <v>20.555555555555554</v>
      </c>
      <c r="E572">
        <v>23.522222222222226</v>
      </c>
    </row>
    <row r="573" spans="1:5" x14ac:dyDescent="0.2">
      <c r="A573" s="1">
        <v>40749</v>
      </c>
      <c r="B573">
        <v>206</v>
      </c>
      <c r="C573">
        <v>28.888888888888889</v>
      </c>
      <c r="D573">
        <v>15.555555555555555</v>
      </c>
      <c r="E573">
        <v>21.008888888888887</v>
      </c>
    </row>
    <row r="574" spans="1:5" x14ac:dyDescent="0.2">
      <c r="A574" s="1">
        <v>40750</v>
      </c>
      <c r="B574">
        <v>207</v>
      </c>
      <c r="C574">
        <v>30</v>
      </c>
      <c r="D574">
        <v>17.777777777777779</v>
      </c>
      <c r="E574">
        <v>20.684444444444445</v>
      </c>
    </row>
    <row r="575" spans="1:5" x14ac:dyDescent="0.2">
      <c r="A575" s="1">
        <v>40751</v>
      </c>
      <c r="B575">
        <v>208</v>
      </c>
      <c r="C575">
        <v>30.555555555555554</v>
      </c>
      <c r="D575">
        <v>16.666666666666668</v>
      </c>
      <c r="E575">
        <v>21.106666666666669</v>
      </c>
    </row>
    <row r="576" spans="1:5" x14ac:dyDescent="0.2">
      <c r="A576" s="1">
        <v>40752</v>
      </c>
      <c r="B576">
        <v>209</v>
      </c>
      <c r="C576">
        <v>24.444444444444446</v>
      </c>
      <c r="D576">
        <v>17.777777777777779</v>
      </c>
      <c r="E576">
        <v>20.757777777777772</v>
      </c>
    </row>
    <row r="577" spans="1:5" x14ac:dyDescent="0.2">
      <c r="A577" s="1">
        <v>40753</v>
      </c>
      <c r="B577">
        <v>210</v>
      </c>
      <c r="C577">
        <v>27.777777777777779</v>
      </c>
      <c r="D577">
        <v>17.222222222222221</v>
      </c>
      <c r="E577">
        <v>21.942222222222224</v>
      </c>
    </row>
    <row r="578" spans="1:5" x14ac:dyDescent="0.2">
      <c r="A578" s="1">
        <v>40754</v>
      </c>
      <c r="B578">
        <v>211</v>
      </c>
      <c r="C578">
        <v>31.111111111111111</v>
      </c>
      <c r="D578">
        <v>17.222222222222221</v>
      </c>
      <c r="E578">
        <v>21.31999999999999</v>
      </c>
    </row>
    <row r="579" spans="1:5" x14ac:dyDescent="0.2">
      <c r="A579" s="1">
        <v>40755</v>
      </c>
      <c r="B579">
        <v>212</v>
      </c>
      <c r="C579">
        <v>31.666666666666664</v>
      </c>
      <c r="D579">
        <v>17.777777777777779</v>
      </c>
      <c r="E579">
        <v>21.69777777777778</v>
      </c>
    </row>
    <row r="580" spans="1:5" x14ac:dyDescent="0.2">
      <c r="A580" s="1">
        <v>40756</v>
      </c>
      <c r="B580">
        <v>213</v>
      </c>
      <c r="C580">
        <v>32.222222222222221</v>
      </c>
      <c r="D580">
        <v>19.444444444444443</v>
      </c>
      <c r="E580">
        <v>21.27999999999999</v>
      </c>
    </row>
    <row r="581" spans="1:5" x14ac:dyDescent="0.2">
      <c r="A581" s="1">
        <v>40757</v>
      </c>
      <c r="B581">
        <v>214</v>
      </c>
      <c r="C581">
        <v>31.111111111111111</v>
      </c>
      <c r="D581">
        <v>21.666666666666664</v>
      </c>
      <c r="E581">
        <v>22.631111111111117</v>
      </c>
    </row>
    <row r="582" spans="1:5" x14ac:dyDescent="0.2">
      <c r="A582" s="1">
        <v>40758</v>
      </c>
      <c r="B582">
        <v>215</v>
      </c>
      <c r="C582">
        <v>33.333333333333336</v>
      </c>
      <c r="D582">
        <v>20.555555555555554</v>
      </c>
      <c r="E582">
        <v>21.322222222222216</v>
      </c>
    </row>
    <row r="583" spans="1:5" x14ac:dyDescent="0.2">
      <c r="A583" s="1">
        <v>40759</v>
      </c>
      <c r="B583">
        <v>216</v>
      </c>
      <c r="C583">
        <v>31.666666666666664</v>
      </c>
      <c r="D583">
        <v>15.555555555555555</v>
      </c>
      <c r="E583">
        <v>19.813333333333325</v>
      </c>
    </row>
    <row r="584" spans="1:5" x14ac:dyDescent="0.2">
      <c r="A584" s="1">
        <v>40760</v>
      </c>
      <c r="B584">
        <v>217</v>
      </c>
      <c r="C584">
        <v>29.444444444444446</v>
      </c>
      <c r="D584">
        <v>16.666666666666668</v>
      </c>
      <c r="E584">
        <v>19.868888888888886</v>
      </c>
    </row>
    <row r="585" spans="1:5" x14ac:dyDescent="0.2">
      <c r="A585" s="1">
        <v>40761</v>
      </c>
      <c r="B585">
        <v>218</v>
      </c>
      <c r="C585">
        <v>30</v>
      </c>
      <c r="D585">
        <v>18.333333333333332</v>
      </c>
      <c r="E585">
        <v>20.691111111111113</v>
      </c>
    </row>
    <row r="586" spans="1:5" x14ac:dyDescent="0.2">
      <c r="A586" s="1">
        <v>40762</v>
      </c>
      <c r="B586">
        <v>219</v>
      </c>
      <c r="C586">
        <v>31.666666666666664</v>
      </c>
      <c r="D586">
        <v>20</v>
      </c>
      <c r="E586">
        <v>21.084444444444447</v>
      </c>
    </row>
    <row r="587" spans="1:5" x14ac:dyDescent="0.2">
      <c r="A587" s="1">
        <v>40763</v>
      </c>
      <c r="B587">
        <v>220</v>
      </c>
      <c r="C587">
        <v>30.555555555555554</v>
      </c>
      <c r="D587">
        <v>16.666666666666668</v>
      </c>
      <c r="E587">
        <v>20.291111111111103</v>
      </c>
    </row>
    <row r="588" spans="1:5" x14ac:dyDescent="0.2">
      <c r="A588" s="1">
        <v>40764</v>
      </c>
      <c r="B588">
        <v>221</v>
      </c>
      <c r="C588">
        <v>25.555555555555554</v>
      </c>
      <c r="D588">
        <v>17.222222222222221</v>
      </c>
      <c r="E588">
        <v>20.335555555555551</v>
      </c>
    </row>
    <row r="589" spans="1:5" x14ac:dyDescent="0.2">
      <c r="A589" s="1">
        <v>40765</v>
      </c>
      <c r="B589">
        <v>222</v>
      </c>
      <c r="C589">
        <v>26.666666666666664</v>
      </c>
      <c r="D589">
        <v>11.111111111111111</v>
      </c>
      <c r="E589">
        <v>20.286666666666665</v>
      </c>
    </row>
    <row r="590" spans="1:5" x14ac:dyDescent="0.2">
      <c r="A590" s="1">
        <v>40766</v>
      </c>
      <c r="B590">
        <v>223</v>
      </c>
      <c r="C590">
        <v>26.111111111111111</v>
      </c>
      <c r="D590">
        <v>8.8888888888888893</v>
      </c>
      <c r="E590">
        <v>19.695555555555561</v>
      </c>
    </row>
    <row r="591" spans="1:5" x14ac:dyDescent="0.2">
      <c r="A591" s="1">
        <v>40767</v>
      </c>
      <c r="B591">
        <v>224</v>
      </c>
      <c r="C591">
        <v>28.888888888888889</v>
      </c>
      <c r="D591">
        <v>11.111111111111111</v>
      </c>
      <c r="E591">
        <v>19.864444444444441</v>
      </c>
    </row>
    <row r="592" spans="1:5" x14ac:dyDescent="0.2">
      <c r="A592" s="1">
        <v>40768</v>
      </c>
      <c r="B592">
        <v>225</v>
      </c>
      <c r="C592">
        <v>26.666666666666664</v>
      </c>
      <c r="D592">
        <v>13.888888888888889</v>
      </c>
      <c r="E592">
        <v>19.211111111111116</v>
      </c>
    </row>
    <row r="593" spans="1:5" x14ac:dyDescent="0.2">
      <c r="A593" s="1">
        <v>40769</v>
      </c>
      <c r="B593">
        <v>226</v>
      </c>
      <c r="C593">
        <v>24.444444444444446</v>
      </c>
      <c r="D593">
        <v>13.333333333333332</v>
      </c>
      <c r="E593">
        <v>19.971111111111117</v>
      </c>
    </row>
    <row r="594" spans="1:5" x14ac:dyDescent="0.2">
      <c r="A594" s="1">
        <v>40770</v>
      </c>
      <c r="B594">
        <v>227</v>
      </c>
      <c r="C594">
        <v>26.666666666666664</v>
      </c>
      <c r="D594">
        <v>11.111111111111111</v>
      </c>
      <c r="E594">
        <v>19.895555555555553</v>
      </c>
    </row>
    <row r="595" spans="1:5" x14ac:dyDescent="0.2">
      <c r="A595" s="1">
        <v>40771</v>
      </c>
      <c r="B595">
        <v>228</v>
      </c>
      <c r="C595">
        <v>28.888888888888889</v>
      </c>
      <c r="D595">
        <v>11.666666666666668</v>
      </c>
      <c r="E595">
        <v>19.86</v>
      </c>
    </row>
    <row r="596" spans="1:5" x14ac:dyDescent="0.2">
      <c r="A596" s="1">
        <v>40772</v>
      </c>
      <c r="B596">
        <v>229</v>
      </c>
      <c r="C596">
        <v>28.888888888888889</v>
      </c>
      <c r="D596">
        <v>13.888888888888889</v>
      </c>
      <c r="E596">
        <v>19.584444444444447</v>
      </c>
    </row>
    <row r="597" spans="1:5" x14ac:dyDescent="0.2">
      <c r="A597" s="1">
        <v>40773</v>
      </c>
      <c r="B597">
        <v>230</v>
      </c>
      <c r="C597">
        <v>30</v>
      </c>
      <c r="D597">
        <v>10.555555555555555</v>
      </c>
      <c r="E597">
        <v>18.513333333333335</v>
      </c>
    </row>
    <row r="598" spans="1:5" x14ac:dyDescent="0.2">
      <c r="A598" s="1">
        <v>40774</v>
      </c>
      <c r="B598">
        <v>231</v>
      </c>
      <c r="C598">
        <v>28.888888888888889</v>
      </c>
      <c r="D598">
        <v>11.111111111111111</v>
      </c>
      <c r="E598">
        <v>18.513333333333335</v>
      </c>
    </row>
    <row r="599" spans="1:5" x14ac:dyDescent="0.2">
      <c r="A599" s="1">
        <v>40775</v>
      </c>
      <c r="B599">
        <v>232</v>
      </c>
      <c r="C599">
        <v>31.666666666666664</v>
      </c>
      <c r="D599">
        <v>12.777777777777777</v>
      </c>
      <c r="E599">
        <v>20.05777777777778</v>
      </c>
    </row>
    <row r="600" spans="1:5" x14ac:dyDescent="0.2">
      <c r="A600" s="1">
        <v>40776</v>
      </c>
      <c r="B600">
        <v>233</v>
      </c>
      <c r="C600">
        <v>27.222222222222221</v>
      </c>
      <c r="D600">
        <v>17.222222222222221</v>
      </c>
      <c r="E600">
        <v>18.846666666666664</v>
      </c>
    </row>
    <row r="601" spans="1:5" x14ac:dyDescent="0.2">
      <c r="A601" s="1">
        <v>40777</v>
      </c>
      <c r="B601">
        <v>234</v>
      </c>
      <c r="C601">
        <v>25.555555555555554</v>
      </c>
      <c r="D601">
        <v>11.111111111111111</v>
      </c>
      <c r="E601">
        <v>16.657777777777788</v>
      </c>
    </row>
    <row r="602" spans="1:5" x14ac:dyDescent="0.2">
      <c r="A602" s="1">
        <v>40778</v>
      </c>
      <c r="B602">
        <v>235</v>
      </c>
      <c r="C602">
        <v>30</v>
      </c>
      <c r="D602">
        <v>12.777777777777777</v>
      </c>
      <c r="E602">
        <v>17.182222222222222</v>
      </c>
    </row>
    <row r="603" spans="1:5" x14ac:dyDescent="0.2">
      <c r="A603" s="1">
        <v>40779</v>
      </c>
      <c r="B603">
        <v>236</v>
      </c>
      <c r="C603">
        <v>26.666666666666664</v>
      </c>
      <c r="D603">
        <v>17.777777777777779</v>
      </c>
      <c r="E603">
        <v>17.515555555555554</v>
      </c>
    </row>
    <row r="604" spans="1:5" x14ac:dyDescent="0.2">
      <c r="A604" s="1">
        <v>40780</v>
      </c>
      <c r="B604">
        <v>237</v>
      </c>
      <c r="C604">
        <v>30.555555555555554</v>
      </c>
      <c r="D604">
        <v>12.777777777777777</v>
      </c>
      <c r="E604">
        <v>17.753333333333327</v>
      </c>
    </row>
    <row r="605" spans="1:5" x14ac:dyDescent="0.2">
      <c r="A605" s="1">
        <v>40781</v>
      </c>
      <c r="B605">
        <v>238</v>
      </c>
      <c r="C605">
        <v>27.777777777777779</v>
      </c>
      <c r="D605">
        <v>10.555555555555555</v>
      </c>
      <c r="E605">
        <v>17.366666666666664</v>
      </c>
    </row>
    <row r="606" spans="1:5" x14ac:dyDescent="0.2">
      <c r="A606" s="1">
        <v>40782</v>
      </c>
      <c r="B606">
        <v>239</v>
      </c>
      <c r="C606">
        <v>28.333333333333336</v>
      </c>
      <c r="D606">
        <v>10.555555555555555</v>
      </c>
      <c r="E606">
        <v>17.388888888888886</v>
      </c>
    </row>
    <row r="607" spans="1:5" x14ac:dyDescent="0.2">
      <c r="A607" s="1">
        <v>40783</v>
      </c>
      <c r="B607">
        <v>240</v>
      </c>
      <c r="C607">
        <v>27.777777777777779</v>
      </c>
      <c r="D607">
        <v>10.555555555555555</v>
      </c>
      <c r="E607">
        <v>18.282222222222217</v>
      </c>
    </row>
    <row r="608" spans="1:5" x14ac:dyDescent="0.2">
      <c r="A608" s="1">
        <v>40784</v>
      </c>
      <c r="B608">
        <v>241</v>
      </c>
      <c r="C608">
        <v>25</v>
      </c>
      <c r="D608">
        <v>8.8888888888888893</v>
      </c>
      <c r="E608">
        <v>19.166666666666675</v>
      </c>
    </row>
    <row r="609" spans="1:5" x14ac:dyDescent="0.2">
      <c r="A609" s="1">
        <v>40785</v>
      </c>
      <c r="B609">
        <v>242</v>
      </c>
      <c r="C609">
        <v>27.222222222222221</v>
      </c>
      <c r="D609">
        <v>10.555555555555555</v>
      </c>
      <c r="E609">
        <v>17.893333333333331</v>
      </c>
    </row>
    <row r="610" spans="1:5" x14ac:dyDescent="0.2">
      <c r="A610" s="1">
        <v>40786</v>
      </c>
      <c r="B610">
        <v>243</v>
      </c>
      <c r="C610">
        <v>21.111111111111111</v>
      </c>
      <c r="D610">
        <v>13.888888888888889</v>
      </c>
      <c r="E610">
        <v>18.108888888888892</v>
      </c>
    </row>
    <row r="611" spans="1:5" x14ac:dyDescent="0.2">
      <c r="A611" s="1">
        <v>40787</v>
      </c>
      <c r="B611">
        <v>244</v>
      </c>
      <c r="C611">
        <v>28.888888888888889</v>
      </c>
      <c r="D611">
        <v>15.555555555555555</v>
      </c>
      <c r="E611">
        <v>18.124444444444446</v>
      </c>
    </row>
    <row r="612" spans="1:5" x14ac:dyDescent="0.2">
      <c r="A612" s="1">
        <v>40788</v>
      </c>
      <c r="B612">
        <v>245</v>
      </c>
      <c r="C612">
        <v>33.888888888888886</v>
      </c>
      <c r="D612">
        <v>17.222222222222221</v>
      </c>
      <c r="E612">
        <v>17.782222222222217</v>
      </c>
    </row>
    <row r="613" spans="1:5" x14ac:dyDescent="0.2">
      <c r="A613" s="1">
        <v>40789</v>
      </c>
      <c r="B613">
        <v>246</v>
      </c>
      <c r="C613">
        <v>30</v>
      </c>
      <c r="D613">
        <v>20</v>
      </c>
      <c r="E613">
        <v>18.233333333333341</v>
      </c>
    </row>
    <row r="614" spans="1:5" x14ac:dyDescent="0.2">
      <c r="A614" s="1">
        <v>40790</v>
      </c>
      <c r="B614">
        <v>247</v>
      </c>
      <c r="C614">
        <v>23.888888888888889</v>
      </c>
      <c r="D614">
        <v>11.111111111111111</v>
      </c>
      <c r="E614">
        <v>17.279999999999994</v>
      </c>
    </row>
    <row r="615" spans="1:5" x14ac:dyDescent="0.2">
      <c r="A615" s="1">
        <v>40791</v>
      </c>
      <c r="B615">
        <v>248</v>
      </c>
      <c r="C615">
        <v>21.666666666666664</v>
      </c>
      <c r="D615">
        <v>10</v>
      </c>
      <c r="E615">
        <v>17.504444444444449</v>
      </c>
    </row>
    <row r="616" spans="1:5" x14ac:dyDescent="0.2">
      <c r="A616" s="1">
        <v>40792</v>
      </c>
      <c r="B616">
        <v>249</v>
      </c>
      <c r="C616">
        <v>20.555555555555554</v>
      </c>
      <c r="D616">
        <v>4.4444444444444446</v>
      </c>
      <c r="E616">
        <v>17.331111111111102</v>
      </c>
    </row>
    <row r="617" spans="1:5" x14ac:dyDescent="0.2">
      <c r="A617" s="1">
        <v>40793</v>
      </c>
      <c r="B617">
        <v>250</v>
      </c>
      <c r="C617">
        <v>20.555555555555554</v>
      </c>
      <c r="D617">
        <v>4.4444444444444446</v>
      </c>
      <c r="E617">
        <v>16.582222222222228</v>
      </c>
    </row>
    <row r="618" spans="1:5" x14ac:dyDescent="0.2">
      <c r="A618" s="1">
        <v>40794</v>
      </c>
      <c r="B618">
        <v>251</v>
      </c>
      <c r="C618">
        <v>22.777777777777779</v>
      </c>
      <c r="D618">
        <v>6.1111111111111116</v>
      </c>
      <c r="E618">
        <v>15.802222222222218</v>
      </c>
    </row>
    <row r="619" spans="1:5" x14ac:dyDescent="0.2">
      <c r="A619" s="1">
        <v>40795</v>
      </c>
      <c r="B619">
        <v>252</v>
      </c>
      <c r="C619">
        <v>26.111111111111111</v>
      </c>
      <c r="D619">
        <v>8.3333333333333339</v>
      </c>
      <c r="E619">
        <v>16.022222222222219</v>
      </c>
    </row>
    <row r="620" spans="1:5" x14ac:dyDescent="0.2">
      <c r="A620" s="1">
        <v>40796</v>
      </c>
      <c r="B620">
        <v>253</v>
      </c>
      <c r="C620">
        <v>25.555555555555554</v>
      </c>
      <c r="D620">
        <v>8.8888888888888893</v>
      </c>
      <c r="E620">
        <v>15.893333333333333</v>
      </c>
    </row>
    <row r="621" spans="1:5" x14ac:dyDescent="0.2">
      <c r="A621" s="1">
        <v>40797</v>
      </c>
      <c r="B621">
        <v>254</v>
      </c>
      <c r="C621">
        <v>27.777777777777779</v>
      </c>
      <c r="D621">
        <v>11.111111111111111</v>
      </c>
      <c r="E621">
        <v>17.87555555555555</v>
      </c>
    </row>
    <row r="622" spans="1:5" x14ac:dyDescent="0.2">
      <c r="A622" s="1">
        <v>40798</v>
      </c>
      <c r="B622">
        <v>255</v>
      </c>
      <c r="C622">
        <v>29.444444444444446</v>
      </c>
      <c r="D622">
        <v>11.111111111111111</v>
      </c>
      <c r="E622">
        <v>15.27777777777778</v>
      </c>
    </row>
    <row r="623" spans="1:5" x14ac:dyDescent="0.2">
      <c r="A623" s="1">
        <v>40799</v>
      </c>
      <c r="B623">
        <v>256</v>
      </c>
      <c r="C623">
        <v>30</v>
      </c>
      <c r="D623">
        <v>11.111111111111111</v>
      </c>
      <c r="E623">
        <v>14.684444444444448</v>
      </c>
    </row>
    <row r="624" spans="1:5" x14ac:dyDescent="0.2">
      <c r="A624" s="1">
        <v>40800</v>
      </c>
      <c r="B624">
        <v>257</v>
      </c>
      <c r="C624">
        <v>21.666666666666664</v>
      </c>
      <c r="D624">
        <v>6.1111111111111116</v>
      </c>
      <c r="E624">
        <v>14.008888888888889</v>
      </c>
    </row>
    <row r="625" spans="1:5" x14ac:dyDescent="0.2">
      <c r="A625" s="1">
        <v>40801</v>
      </c>
      <c r="B625">
        <v>258</v>
      </c>
      <c r="C625">
        <v>15</v>
      </c>
      <c r="D625">
        <v>0.55555555555555558</v>
      </c>
      <c r="E625">
        <v>14.540000000000001</v>
      </c>
    </row>
    <row r="626" spans="1:5" x14ac:dyDescent="0.2">
      <c r="A626" s="1">
        <v>40802</v>
      </c>
      <c r="B626">
        <v>259</v>
      </c>
      <c r="C626">
        <v>15.555555555555555</v>
      </c>
      <c r="D626">
        <v>0.55555555555555558</v>
      </c>
      <c r="E626">
        <v>14.833333333333339</v>
      </c>
    </row>
    <row r="627" spans="1:5" x14ac:dyDescent="0.2">
      <c r="A627" s="1">
        <v>40803</v>
      </c>
      <c r="B627">
        <v>260</v>
      </c>
      <c r="C627">
        <v>13.888888888888889</v>
      </c>
      <c r="D627">
        <v>2.2222222222222223</v>
      </c>
      <c r="E627">
        <v>14.604444444444445</v>
      </c>
    </row>
    <row r="628" spans="1:5" x14ac:dyDescent="0.2">
      <c r="A628" s="1">
        <v>40804</v>
      </c>
      <c r="B628">
        <v>261</v>
      </c>
      <c r="C628">
        <v>20</v>
      </c>
      <c r="D628">
        <v>10.555555555555555</v>
      </c>
      <c r="E628">
        <v>14.57555555555556</v>
      </c>
    </row>
    <row r="629" spans="1:5" x14ac:dyDescent="0.2">
      <c r="A629" s="1">
        <v>40805</v>
      </c>
      <c r="B629">
        <v>262</v>
      </c>
      <c r="C629">
        <v>15</v>
      </c>
      <c r="D629">
        <v>14.444444444444445</v>
      </c>
      <c r="E629">
        <v>13.008888888888889</v>
      </c>
    </row>
    <row r="630" spans="1:5" x14ac:dyDescent="0.2">
      <c r="A630" s="1">
        <v>40806</v>
      </c>
      <c r="B630">
        <v>263</v>
      </c>
      <c r="C630">
        <v>21.666666666666664</v>
      </c>
      <c r="D630">
        <v>5.5555555555555554</v>
      </c>
      <c r="E630">
        <v>13.331111111111113</v>
      </c>
    </row>
    <row r="631" spans="1:5" x14ac:dyDescent="0.2">
      <c r="A631" s="1">
        <v>40807</v>
      </c>
      <c r="B631">
        <v>264</v>
      </c>
      <c r="C631">
        <v>23.888888888888889</v>
      </c>
      <c r="D631">
        <v>5.5555555555555554</v>
      </c>
      <c r="E631">
        <v>13.533333333333333</v>
      </c>
    </row>
    <row r="632" spans="1:5" x14ac:dyDescent="0.2">
      <c r="A632" s="1">
        <v>40808</v>
      </c>
      <c r="B632">
        <v>265</v>
      </c>
      <c r="C632">
        <v>16.666666666666668</v>
      </c>
      <c r="D632">
        <v>10</v>
      </c>
      <c r="E632">
        <v>13.317777777777776</v>
      </c>
    </row>
    <row r="633" spans="1:5" x14ac:dyDescent="0.2">
      <c r="A633" s="1">
        <v>40809</v>
      </c>
      <c r="B633">
        <v>266</v>
      </c>
      <c r="C633">
        <v>16.666666666666668</v>
      </c>
      <c r="D633">
        <v>3.333333333333333</v>
      </c>
      <c r="E633">
        <v>13.562222222222227</v>
      </c>
    </row>
    <row r="634" spans="1:5" x14ac:dyDescent="0.2">
      <c r="A634" s="1">
        <v>40810</v>
      </c>
      <c r="B634">
        <v>267</v>
      </c>
      <c r="C634">
        <v>13.333333333333332</v>
      </c>
      <c r="D634">
        <v>5.5555555555555554</v>
      </c>
      <c r="E634">
        <v>13.764444444444443</v>
      </c>
    </row>
    <row r="635" spans="1:5" x14ac:dyDescent="0.2">
      <c r="A635" s="1">
        <v>40811</v>
      </c>
      <c r="B635">
        <v>268</v>
      </c>
      <c r="C635">
        <v>16.111111111111111</v>
      </c>
      <c r="D635">
        <v>7.7777777777777777</v>
      </c>
      <c r="E635">
        <v>13.388888888888891</v>
      </c>
    </row>
    <row r="636" spans="1:5" x14ac:dyDescent="0.2">
      <c r="A636" s="1">
        <v>40812</v>
      </c>
      <c r="B636">
        <v>269</v>
      </c>
      <c r="C636">
        <v>16.666666666666668</v>
      </c>
      <c r="D636">
        <v>7.7777777777777777</v>
      </c>
      <c r="E636">
        <v>13.502222222222223</v>
      </c>
    </row>
    <row r="637" spans="1:5" x14ac:dyDescent="0.2">
      <c r="A637" s="1">
        <v>40813</v>
      </c>
      <c r="B637">
        <v>270</v>
      </c>
      <c r="C637">
        <v>16.666666666666668</v>
      </c>
      <c r="D637">
        <v>11.111111111111111</v>
      </c>
      <c r="E637">
        <v>14.011111111111109</v>
      </c>
    </row>
    <row r="638" spans="1:5" x14ac:dyDescent="0.2">
      <c r="A638" s="1">
        <v>40814</v>
      </c>
      <c r="B638">
        <v>271</v>
      </c>
      <c r="C638">
        <v>17.777777777777779</v>
      </c>
      <c r="D638">
        <v>7.2222222222222223</v>
      </c>
      <c r="E638">
        <v>12.597777777777782</v>
      </c>
    </row>
    <row r="639" spans="1:5" x14ac:dyDescent="0.2">
      <c r="A639" s="1">
        <v>40815</v>
      </c>
      <c r="B639">
        <v>272</v>
      </c>
      <c r="C639">
        <v>21.666666666666664</v>
      </c>
      <c r="D639">
        <v>8.3333333333333339</v>
      </c>
      <c r="E639">
        <v>13.12666666666667</v>
      </c>
    </row>
    <row r="640" spans="1:5" x14ac:dyDescent="0.2">
      <c r="A640" s="1">
        <v>40816</v>
      </c>
      <c r="B640">
        <v>273</v>
      </c>
      <c r="C640">
        <v>21.111111111111111</v>
      </c>
      <c r="D640">
        <v>7.7777777777777777</v>
      </c>
      <c r="E640">
        <v>13.026666666666667</v>
      </c>
    </row>
    <row r="641" spans="1:5" x14ac:dyDescent="0.2">
      <c r="A641" s="1">
        <v>40817</v>
      </c>
      <c r="B641">
        <v>274</v>
      </c>
      <c r="C641">
        <v>16.111111111111111</v>
      </c>
      <c r="D641">
        <v>0</v>
      </c>
      <c r="E641">
        <v>13.155555555555559</v>
      </c>
    </row>
    <row r="642" spans="1:5" x14ac:dyDescent="0.2">
      <c r="A642" s="1">
        <v>40818</v>
      </c>
      <c r="B642">
        <v>275</v>
      </c>
      <c r="C642">
        <v>15</v>
      </c>
      <c r="D642">
        <v>-1.1111111111111112</v>
      </c>
      <c r="E642">
        <v>13.037777777777777</v>
      </c>
    </row>
    <row r="643" spans="1:5" x14ac:dyDescent="0.2">
      <c r="A643" s="1">
        <v>40819</v>
      </c>
      <c r="B643">
        <v>276</v>
      </c>
      <c r="C643">
        <v>20.555555555555554</v>
      </c>
      <c r="D643">
        <v>3.333333333333333</v>
      </c>
      <c r="E643">
        <v>12.082222222222223</v>
      </c>
    </row>
    <row r="644" spans="1:5" x14ac:dyDescent="0.2">
      <c r="A644" s="1">
        <v>40820</v>
      </c>
      <c r="B644">
        <v>277</v>
      </c>
      <c r="C644">
        <v>23.333333333333336</v>
      </c>
      <c r="D644">
        <v>3.333333333333333</v>
      </c>
      <c r="E644">
        <v>12.068888888888893</v>
      </c>
    </row>
    <row r="645" spans="1:5" x14ac:dyDescent="0.2">
      <c r="A645" s="1">
        <v>40821</v>
      </c>
      <c r="B645">
        <v>278</v>
      </c>
      <c r="C645">
        <v>25.555555555555554</v>
      </c>
      <c r="D645">
        <v>3.333333333333333</v>
      </c>
      <c r="E645">
        <v>12.471111111111115</v>
      </c>
    </row>
    <row r="646" spans="1:5" x14ac:dyDescent="0.2">
      <c r="A646" s="1">
        <v>40822</v>
      </c>
      <c r="B646">
        <v>279</v>
      </c>
      <c r="C646">
        <v>27.222222222222221</v>
      </c>
      <c r="D646">
        <v>4.4444444444444446</v>
      </c>
      <c r="E646">
        <v>11.631111111111114</v>
      </c>
    </row>
    <row r="647" spans="1:5" x14ac:dyDescent="0.2">
      <c r="A647" s="1">
        <v>40823</v>
      </c>
      <c r="B647">
        <v>280</v>
      </c>
      <c r="C647">
        <v>26.666666666666664</v>
      </c>
      <c r="D647">
        <v>11.666666666666668</v>
      </c>
      <c r="E647">
        <v>11.757777777777779</v>
      </c>
    </row>
    <row r="648" spans="1:5" x14ac:dyDescent="0.2">
      <c r="A648" s="1">
        <v>40824</v>
      </c>
      <c r="B648">
        <v>281</v>
      </c>
      <c r="C648">
        <v>27.777777777777779</v>
      </c>
      <c r="D648">
        <v>17.777777777777779</v>
      </c>
      <c r="E648">
        <v>10.711111111111109</v>
      </c>
    </row>
    <row r="649" spans="1:5" x14ac:dyDescent="0.2">
      <c r="A649" s="1">
        <v>40825</v>
      </c>
      <c r="B649">
        <v>282</v>
      </c>
      <c r="C649">
        <v>27.777777777777779</v>
      </c>
      <c r="D649">
        <v>7.7777777777777777</v>
      </c>
      <c r="E649">
        <v>11.008888888888887</v>
      </c>
    </row>
    <row r="650" spans="1:5" x14ac:dyDescent="0.2">
      <c r="A650" s="1">
        <v>40826</v>
      </c>
      <c r="B650">
        <v>283</v>
      </c>
      <c r="C650">
        <v>26.666666666666664</v>
      </c>
      <c r="D650">
        <v>5.5555555555555554</v>
      </c>
      <c r="E650">
        <v>11.120000000000003</v>
      </c>
    </row>
    <row r="651" spans="1:5" x14ac:dyDescent="0.2">
      <c r="A651" s="1">
        <v>40827</v>
      </c>
      <c r="B651">
        <v>284</v>
      </c>
      <c r="C651">
        <v>25</v>
      </c>
      <c r="D651">
        <v>5.5555555555555554</v>
      </c>
      <c r="E651">
        <v>11.48</v>
      </c>
    </row>
    <row r="652" spans="1:5" x14ac:dyDescent="0.2">
      <c r="A652" s="1">
        <v>40828</v>
      </c>
      <c r="B652">
        <v>285</v>
      </c>
      <c r="C652">
        <v>22.222222222222221</v>
      </c>
      <c r="D652">
        <v>7.7777777777777777</v>
      </c>
      <c r="E652">
        <v>10.637777777777782</v>
      </c>
    </row>
    <row r="653" spans="1:5" x14ac:dyDescent="0.2">
      <c r="A653" s="1">
        <v>40829</v>
      </c>
      <c r="B653">
        <v>286</v>
      </c>
      <c r="C653">
        <v>18.888888888888889</v>
      </c>
      <c r="D653">
        <v>10</v>
      </c>
      <c r="E653">
        <v>10.895555555555555</v>
      </c>
    </row>
    <row r="654" spans="1:5" x14ac:dyDescent="0.2">
      <c r="A654" s="1">
        <v>40830</v>
      </c>
      <c r="B654">
        <v>287</v>
      </c>
      <c r="C654">
        <v>18.333333333333332</v>
      </c>
      <c r="D654">
        <v>5.5555555555555554</v>
      </c>
      <c r="E654">
        <v>10.784444444444448</v>
      </c>
    </row>
    <row r="655" spans="1:5" x14ac:dyDescent="0.2">
      <c r="A655" s="1">
        <v>40831</v>
      </c>
      <c r="B655">
        <v>288</v>
      </c>
      <c r="C655">
        <v>15.555555555555555</v>
      </c>
      <c r="D655">
        <v>4.4444444444444446</v>
      </c>
      <c r="E655">
        <v>10.637777777777782</v>
      </c>
    </row>
    <row r="656" spans="1:5" x14ac:dyDescent="0.2">
      <c r="A656" s="1">
        <v>40832</v>
      </c>
      <c r="B656">
        <v>289</v>
      </c>
      <c r="C656">
        <v>15.555555555555555</v>
      </c>
      <c r="D656">
        <v>7.7777777777777777</v>
      </c>
      <c r="E656">
        <v>10.64666666666667</v>
      </c>
    </row>
    <row r="657" spans="1:5" x14ac:dyDescent="0.2">
      <c r="A657" s="1">
        <v>40833</v>
      </c>
      <c r="B657">
        <v>290</v>
      </c>
      <c r="C657">
        <v>15.555555555555555</v>
      </c>
      <c r="D657">
        <v>3.333333333333333</v>
      </c>
      <c r="E657">
        <v>10.311111111111112</v>
      </c>
    </row>
    <row r="658" spans="1:5" x14ac:dyDescent="0.2">
      <c r="A658" s="1">
        <v>40834</v>
      </c>
      <c r="B658">
        <v>291</v>
      </c>
      <c r="C658">
        <v>15</v>
      </c>
      <c r="D658">
        <v>3.333333333333333</v>
      </c>
      <c r="E658">
        <v>9.4244444444444415</v>
      </c>
    </row>
    <row r="659" spans="1:5" x14ac:dyDescent="0.2">
      <c r="A659" s="1">
        <v>40835</v>
      </c>
      <c r="B659">
        <v>292</v>
      </c>
      <c r="C659">
        <v>13.888888888888889</v>
      </c>
      <c r="D659">
        <v>-2.2222222222222223</v>
      </c>
      <c r="E659">
        <v>9.5977777777777806</v>
      </c>
    </row>
    <row r="660" spans="1:5" x14ac:dyDescent="0.2">
      <c r="A660" s="1">
        <v>40836</v>
      </c>
      <c r="B660">
        <v>293</v>
      </c>
      <c r="C660">
        <v>8.8888888888888893</v>
      </c>
      <c r="D660">
        <v>2.7777777777777777</v>
      </c>
      <c r="E660">
        <v>9.0800000000000036</v>
      </c>
    </row>
    <row r="661" spans="1:5" x14ac:dyDescent="0.2">
      <c r="A661" s="1">
        <v>40837</v>
      </c>
      <c r="B661">
        <v>294</v>
      </c>
      <c r="C661">
        <v>11.111111111111111</v>
      </c>
      <c r="D661">
        <v>-2.7777777777777777</v>
      </c>
      <c r="E661">
        <v>8.8311111111111114</v>
      </c>
    </row>
    <row r="662" spans="1:5" x14ac:dyDescent="0.2">
      <c r="A662" s="1">
        <v>40838</v>
      </c>
      <c r="B662">
        <v>295</v>
      </c>
      <c r="C662">
        <v>13.888888888888889</v>
      </c>
      <c r="D662">
        <v>-2.7777777777777777</v>
      </c>
      <c r="E662">
        <v>8.6733333333333285</v>
      </c>
    </row>
    <row r="663" spans="1:5" x14ac:dyDescent="0.2">
      <c r="A663" s="1">
        <v>40839</v>
      </c>
      <c r="B663">
        <v>296</v>
      </c>
      <c r="C663">
        <v>17.777777777777779</v>
      </c>
      <c r="D663">
        <v>-3.8888888888888888</v>
      </c>
      <c r="E663">
        <v>7.8955555555555543</v>
      </c>
    </row>
    <row r="664" spans="1:5" x14ac:dyDescent="0.2">
      <c r="A664" s="1">
        <v>40840</v>
      </c>
      <c r="B664">
        <v>297</v>
      </c>
      <c r="C664">
        <v>17.777777777777779</v>
      </c>
      <c r="D664">
        <v>-2.2222222222222223</v>
      </c>
      <c r="E664">
        <v>8.4711111111111119</v>
      </c>
    </row>
    <row r="665" spans="1:5" x14ac:dyDescent="0.2">
      <c r="A665" s="1">
        <v>40841</v>
      </c>
      <c r="B665">
        <v>298</v>
      </c>
      <c r="C665">
        <v>16.666666666666668</v>
      </c>
      <c r="D665">
        <v>0.55555555555555558</v>
      </c>
      <c r="E665">
        <v>8.9599999999999991</v>
      </c>
    </row>
    <row r="666" spans="1:5" x14ac:dyDescent="0.2">
      <c r="A666" s="1">
        <v>40842</v>
      </c>
      <c r="B666">
        <v>299</v>
      </c>
      <c r="C666">
        <v>19.444444444444443</v>
      </c>
      <c r="D666">
        <v>5</v>
      </c>
      <c r="E666">
        <v>9.0155555555555544</v>
      </c>
    </row>
    <row r="667" spans="1:5" x14ac:dyDescent="0.2">
      <c r="A667" s="1">
        <v>40843</v>
      </c>
      <c r="B667">
        <v>300</v>
      </c>
      <c r="C667">
        <v>9.4444444444444446</v>
      </c>
      <c r="D667">
        <v>1.6666666666666665</v>
      </c>
      <c r="E667">
        <v>8.5622222222222231</v>
      </c>
    </row>
    <row r="668" spans="1:5" x14ac:dyDescent="0.2">
      <c r="A668" s="1">
        <v>40844</v>
      </c>
      <c r="B668">
        <v>301</v>
      </c>
      <c r="C668">
        <v>10.555555555555555</v>
      </c>
      <c r="D668">
        <v>-3.333333333333333</v>
      </c>
      <c r="E668">
        <v>9.3444444444444468</v>
      </c>
    </row>
    <row r="669" spans="1:5" x14ac:dyDescent="0.2">
      <c r="A669" s="1">
        <v>40845</v>
      </c>
      <c r="B669">
        <v>302</v>
      </c>
      <c r="C669">
        <v>12.222222222222223</v>
      </c>
      <c r="D669">
        <v>-3.8888888888888888</v>
      </c>
      <c r="E669">
        <v>8.6866666666666656</v>
      </c>
    </row>
    <row r="670" spans="1:5" x14ac:dyDescent="0.2">
      <c r="A670" s="1">
        <v>40846</v>
      </c>
      <c r="B670">
        <v>303</v>
      </c>
      <c r="C670">
        <v>11.666666666666668</v>
      </c>
      <c r="D670">
        <v>-2.2222222222222223</v>
      </c>
      <c r="E670">
        <v>8.1999999999999975</v>
      </c>
    </row>
    <row r="671" spans="1:5" x14ac:dyDescent="0.2">
      <c r="A671" s="1">
        <v>40847</v>
      </c>
      <c r="B671">
        <v>304</v>
      </c>
      <c r="C671">
        <v>8.3333333333333339</v>
      </c>
      <c r="D671">
        <v>5</v>
      </c>
      <c r="E671">
        <v>7.120000000000001</v>
      </c>
    </row>
    <row r="672" spans="1:5" x14ac:dyDescent="0.2">
      <c r="A672" s="1">
        <v>40848</v>
      </c>
      <c r="B672">
        <v>305</v>
      </c>
      <c r="C672">
        <v>7.2222222222222223</v>
      </c>
      <c r="D672">
        <v>0.55555555555555558</v>
      </c>
      <c r="E672">
        <v>6.913333333333334</v>
      </c>
    </row>
    <row r="673" spans="1:5" x14ac:dyDescent="0.2">
      <c r="A673" s="1">
        <v>40849</v>
      </c>
      <c r="B673">
        <v>306</v>
      </c>
      <c r="C673">
        <v>17.777777777777779</v>
      </c>
      <c r="D673">
        <v>2.2222222222222223</v>
      </c>
      <c r="E673">
        <v>7.6555555555555559</v>
      </c>
    </row>
    <row r="674" spans="1:5" x14ac:dyDescent="0.2">
      <c r="A674" s="1">
        <v>40850</v>
      </c>
      <c r="B674">
        <v>307</v>
      </c>
      <c r="C674">
        <v>10</v>
      </c>
      <c r="D674">
        <v>1.1111111111111112</v>
      </c>
      <c r="E674">
        <v>7.1822222222222205</v>
      </c>
    </row>
    <row r="675" spans="1:5" x14ac:dyDescent="0.2">
      <c r="A675" s="1">
        <v>40851</v>
      </c>
      <c r="B675">
        <v>308</v>
      </c>
      <c r="C675">
        <v>9.4444444444444446</v>
      </c>
      <c r="D675">
        <v>-4.4444444444444446</v>
      </c>
      <c r="E675">
        <v>7.5955555555555545</v>
      </c>
    </row>
    <row r="676" spans="1:5" x14ac:dyDescent="0.2">
      <c r="A676" s="1">
        <v>40852</v>
      </c>
      <c r="B676">
        <v>309</v>
      </c>
      <c r="C676">
        <v>11.666666666666668</v>
      </c>
      <c r="D676">
        <v>-5</v>
      </c>
      <c r="E676">
        <v>6.7955555555555573</v>
      </c>
    </row>
    <row r="677" spans="1:5" x14ac:dyDescent="0.2">
      <c r="A677" s="1">
        <v>40853</v>
      </c>
      <c r="B677">
        <v>310</v>
      </c>
      <c r="C677">
        <v>13.333333333333332</v>
      </c>
      <c r="D677">
        <v>1.6666666666666665</v>
      </c>
      <c r="E677">
        <v>6.6288888888888904</v>
      </c>
    </row>
    <row r="678" spans="1:5" x14ac:dyDescent="0.2">
      <c r="A678" s="1">
        <v>40854</v>
      </c>
      <c r="B678">
        <v>311</v>
      </c>
      <c r="C678">
        <v>16.111111111111111</v>
      </c>
      <c r="D678">
        <v>-2.2222222222222223</v>
      </c>
      <c r="E678">
        <v>7.4622222222222225</v>
      </c>
    </row>
    <row r="679" spans="1:5" x14ac:dyDescent="0.2">
      <c r="A679" s="1">
        <v>40855</v>
      </c>
      <c r="B679">
        <v>312</v>
      </c>
      <c r="C679">
        <v>14.444444444444445</v>
      </c>
      <c r="D679">
        <v>-2.2222222222222223</v>
      </c>
      <c r="E679">
        <v>6.4088888888888897</v>
      </c>
    </row>
    <row r="680" spans="1:5" x14ac:dyDescent="0.2">
      <c r="A680" s="1">
        <v>40856</v>
      </c>
      <c r="B680">
        <v>313</v>
      </c>
      <c r="C680">
        <v>5.5555555555555554</v>
      </c>
      <c r="D680">
        <v>1.6666666666666665</v>
      </c>
      <c r="E680">
        <v>6.8622222222222238</v>
      </c>
    </row>
    <row r="681" spans="1:5" x14ac:dyDescent="0.2">
      <c r="A681" s="1">
        <v>40857</v>
      </c>
      <c r="B681">
        <v>314</v>
      </c>
      <c r="C681">
        <v>1.6666666666666665</v>
      </c>
      <c r="D681">
        <v>-1.6666666666666665</v>
      </c>
      <c r="E681">
        <v>6.8200000000000012</v>
      </c>
    </row>
    <row r="682" spans="1:5" x14ac:dyDescent="0.2">
      <c r="A682" s="1">
        <v>40858</v>
      </c>
      <c r="B682">
        <v>315</v>
      </c>
      <c r="C682">
        <v>3.333333333333333</v>
      </c>
      <c r="D682">
        <v>-3.8888888888888888</v>
      </c>
      <c r="E682">
        <v>7.075555555555554</v>
      </c>
    </row>
    <row r="683" spans="1:5" x14ac:dyDescent="0.2">
      <c r="A683" s="1">
        <v>40859</v>
      </c>
      <c r="B683">
        <v>316</v>
      </c>
      <c r="C683">
        <v>8.8888888888888893</v>
      </c>
      <c r="D683">
        <v>-4.4444444444444446</v>
      </c>
      <c r="E683">
        <v>6.7977777777777781</v>
      </c>
    </row>
    <row r="684" spans="1:5" x14ac:dyDescent="0.2">
      <c r="A684" s="1">
        <v>40860</v>
      </c>
      <c r="B684">
        <v>317</v>
      </c>
      <c r="C684">
        <v>13.333333333333332</v>
      </c>
      <c r="D684">
        <v>8.8888888888888893</v>
      </c>
      <c r="E684">
        <v>6.2888888888888914</v>
      </c>
    </row>
    <row r="685" spans="1:5" x14ac:dyDescent="0.2">
      <c r="A685" s="1">
        <v>40861</v>
      </c>
      <c r="B685">
        <v>318</v>
      </c>
      <c r="C685">
        <v>15</v>
      </c>
      <c r="D685">
        <v>0.55555555555555558</v>
      </c>
      <c r="E685">
        <v>6.3822222222222242</v>
      </c>
    </row>
    <row r="686" spans="1:5" x14ac:dyDescent="0.2">
      <c r="A686" s="1">
        <v>40862</v>
      </c>
      <c r="B686">
        <v>319</v>
      </c>
      <c r="C686">
        <v>12.777777777777777</v>
      </c>
      <c r="D686">
        <v>-3.333333333333333</v>
      </c>
      <c r="E686">
        <v>5.5888888888888895</v>
      </c>
    </row>
    <row r="687" spans="1:5" x14ac:dyDescent="0.2">
      <c r="A687" s="1">
        <v>40863</v>
      </c>
      <c r="B687">
        <v>320</v>
      </c>
      <c r="C687">
        <v>13.333333333333332</v>
      </c>
      <c r="D687">
        <v>-2.7777777777777777</v>
      </c>
      <c r="E687">
        <v>6.2133333333333303</v>
      </c>
    </row>
    <row r="688" spans="1:5" x14ac:dyDescent="0.2">
      <c r="A688" s="1">
        <v>40864</v>
      </c>
      <c r="B688">
        <v>321</v>
      </c>
      <c r="C688">
        <v>3.8888888888888888</v>
      </c>
      <c r="D688">
        <v>-8.3333333333333339</v>
      </c>
      <c r="E688">
        <v>6.3666666666666654</v>
      </c>
    </row>
    <row r="689" spans="1:5" x14ac:dyDescent="0.2">
      <c r="A689" s="1">
        <v>40865</v>
      </c>
      <c r="B689">
        <v>322</v>
      </c>
      <c r="C689">
        <v>6.1111111111111116</v>
      </c>
      <c r="D689">
        <v>-7.7777777777777777</v>
      </c>
      <c r="E689">
        <v>6.0955555555555545</v>
      </c>
    </row>
    <row r="690" spans="1:5" x14ac:dyDescent="0.2">
      <c r="A690" s="1">
        <v>40866</v>
      </c>
      <c r="B690">
        <v>323</v>
      </c>
      <c r="C690">
        <v>9.4444444444444446</v>
      </c>
      <c r="D690">
        <v>-2.2222222222222223</v>
      </c>
      <c r="E690">
        <v>5.8177777777777795</v>
      </c>
    </row>
    <row r="691" spans="1:5" x14ac:dyDescent="0.2">
      <c r="A691" s="1">
        <v>40867</v>
      </c>
      <c r="B691">
        <v>324</v>
      </c>
      <c r="C691">
        <v>7.2222222222222223</v>
      </c>
      <c r="D691">
        <v>0.55555555555555558</v>
      </c>
      <c r="E691">
        <v>5.0466666666666669</v>
      </c>
    </row>
    <row r="692" spans="1:5" x14ac:dyDescent="0.2">
      <c r="A692" s="1">
        <v>40868</v>
      </c>
      <c r="B692">
        <v>325</v>
      </c>
      <c r="C692">
        <v>3.333333333333333</v>
      </c>
      <c r="D692">
        <v>-2.7777777777777777</v>
      </c>
      <c r="E692">
        <v>6.0044444444444434</v>
      </c>
    </row>
    <row r="693" spans="1:5" x14ac:dyDescent="0.2">
      <c r="A693" s="1">
        <v>40869</v>
      </c>
      <c r="B693">
        <v>326</v>
      </c>
      <c r="C693">
        <v>5.5555555555555554</v>
      </c>
      <c r="D693">
        <v>-3.333333333333333</v>
      </c>
      <c r="E693">
        <v>6.1799999999999979</v>
      </c>
    </row>
    <row r="694" spans="1:5" x14ac:dyDescent="0.2">
      <c r="A694" s="1">
        <v>40870</v>
      </c>
      <c r="B694">
        <v>327</v>
      </c>
      <c r="C694">
        <v>3.8888888888888888</v>
      </c>
      <c r="D694">
        <v>-5.5555555555555554</v>
      </c>
      <c r="E694">
        <v>5.3200000000000021</v>
      </c>
    </row>
    <row r="695" spans="1:5" x14ac:dyDescent="0.2">
      <c r="A695" s="1">
        <v>40871</v>
      </c>
      <c r="B695">
        <v>328</v>
      </c>
      <c r="C695">
        <v>6.1111111111111116</v>
      </c>
      <c r="D695">
        <v>-3.333333333333333</v>
      </c>
      <c r="E695">
        <v>5.6422222222222205</v>
      </c>
    </row>
    <row r="696" spans="1:5" x14ac:dyDescent="0.2">
      <c r="A696" s="1">
        <v>40872</v>
      </c>
      <c r="B696">
        <v>329</v>
      </c>
      <c r="C696">
        <v>10</v>
      </c>
      <c r="D696">
        <v>5.5555555555555554</v>
      </c>
      <c r="E696">
        <v>5.8155555555555578</v>
      </c>
    </row>
    <row r="697" spans="1:5" x14ac:dyDescent="0.2">
      <c r="A697" s="1">
        <v>40873</v>
      </c>
      <c r="B697">
        <v>330</v>
      </c>
      <c r="C697">
        <v>11.666666666666668</v>
      </c>
      <c r="D697">
        <v>7.2222222222222223</v>
      </c>
      <c r="E697">
        <v>4.8911111111111119</v>
      </c>
    </row>
    <row r="698" spans="1:5" x14ac:dyDescent="0.2">
      <c r="A698" s="1">
        <v>40874</v>
      </c>
      <c r="B698">
        <v>331</v>
      </c>
      <c r="C698">
        <v>11.111111111111111</v>
      </c>
      <c r="D698">
        <v>1.1111111111111112</v>
      </c>
      <c r="E698">
        <v>4.6599999999999984</v>
      </c>
    </row>
    <row r="699" spans="1:5" x14ac:dyDescent="0.2">
      <c r="A699" s="1">
        <v>40875</v>
      </c>
      <c r="B699">
        <v>332</v>
      </c>
      <c r="C699">
        <v>1.6666666666666665</v>
      </c>
      <c r="D699">
        <v>-1.6666666666666665</v>
      </c>
      <c r="E699">
        <v>5.6022222222222222</v>
      </c>
    </row>
    <row r="700" spans="1:5" x14ac:dyDescent="0.2">
      <c r="A700" s="1">
        <v>40876</v>
      </c>
      <c r="B700">
        <v>333</v>
      </c>
      <c r="C700">
        <v>2.2222222222222223</v>
      </c>
      <c r="D700">
        <v>-4.4444444444444446</v>
      </c>
      <c r="E700">
        <v>5.1000000000000005</v>
      </c>
    </row>
    <row r="701" spans="1:5" x14ac:dyDescent="0.2">
      <c r="A701" s="1">
        <v>40877</v>
      </c>
      <c r="B701">
        <v>334</v>
      </c>
      <c r="C701">
        <v>3.333333333333333</v>
      </c>
      <c r="D701">
        <v>-8.8888888888888893</v>
      </c>
      <c r="E701">
        <v>5.0266666666666673</v>
      </c>
    </row>
    <row r="702" spans="1:5" x14ac:dyDescent="0.2">
      <c r="A702" s="1">
        <v>40878</v>
      </c>
      <c r="B702">
        <v>335</v>
      </c>
      <c r="C702">
        <v>6.6666666666666661</v>
      </c>
      <c r="D702">
        <v>-8.3333333333333339</v>
      </c>
      <c r="E702">
        <v>5.1866666666666648</v>
      </c>
    </row>
    <row r="703" spans="1:5" x14ac:dyDescent="0.2">
      <c r="A703" s="1">
        <v>40879</v>
      </c>
      <c r="B703">
        <v>336</v>
      </c>
      <c r="C703">
        <v>4.4444444444444446</v>
      </c>
      <c r="D703">
        <v>-8.8888888888888893</v>
      </c>
      <c r="E703">
        <v>5.5222222222222221</v>
      </c>
    </row>
    <row r="704" spans="1:5" x14ac:dyDescent="0.2">
      <c r="A704" s="1">
        <v>40880</v>
      </c>
      <c r="B704">
        <v>337</v>
      </c>
      <c r="C704">
        <v>3.333333333333333</v>
      </c>
      <c r="D704">
        <v>-8.8888888888888893</v>
      </c>
      <c r="E704">
        <v>4.9666666666666659</v>
      </c>
    </row>
    <row r="705" spans="1:5" x14ac:dyDescent="0.2">
      <c r="A705" s="1">
        <v>40881</v>
      </c>
      <c r="B705">
        <v>338</v>
      </c>
      <c r="C705">
        <v>7.7777777777777777</v>
      </c>
      <c r="D705">
        <v>-0.55555555555555558</v>
      </c>
      <c r="E705">
        <v>5.1911111111111108</v>
      </c>
    </row>
    <row r="706" spans="1:5" x14ac:dyDescent="0.2">
      <c r="A706" s="1">
        <v>40882</v>
      </c>
      <c r="B706">
        <v>339</v>
      </c>
      <c r="C706">
        <v>2.7777777777777777</v>
      </c>
      <c r="D706">
        <v>-1.6666666666666665</v>
      </c>
      <c r="E706">
        <v>5.08</v>
      </c>
    </row>
    <row r="707" spans="1:5" x14ac:dyDescent="0.2">
      <c r="A707" s="1">
        <v>40883</v>
      </c>
      <c r="B707">
        <v>340</v>
      </c>
      <c r="C707">
        <v>0</v>
      </c>
      <c r="D707">
        <v>-4.4444444444444446</v>
      </c>
      <c r="E707">
        <v>5.3800000000000008</v>
      </c>
    </row>
    <row r="708" spans="1:5" x14ac:dyDescent="0.2">
      <c r="A708" s="1">
        <v>40884</v>
      </c>
      <c r="B708">
        <v>341</v>
      </c>
      <c r="C708">
        <v>-2.2222222222222223</v>
      </c>
      <c r="D708">
        <v>-7.7777777777777777</v>
      </c>
      <c r="E708">
        <v>5.1688888888888878</v>
      </c>
    </row>
    <row r="709" spans="1:5" x14ac:dyDescent="0.2">
      <c r="A709" s="1">
        <v>40885</v>
      </c>
      <c r="B709">
        <v>342</v>
      </c>
      <c r="C709">
        <v>-1.1111111111111112</v>
      </c>
      <c r="D709">
        <v>-7.7777777777777777</v>
      </c>
      <c r="E709">
        <v>5.0244444444444447</v>
      </c>
    </row>
    <row r="710" spans="1:5" x14ac:dyDescent="0.2">
      <c r="A710" s="1">
        <v>40886</v>
      </c>
      <c r="B710">
        <v>343</v>
      </c>
      <c r="C710">
        <v>1.1111111111111112</v>
      </c>
      <c r="D710">
        <v>-11.666666666666668</v>
      </c>
      <c r="E710">
        <v>4.9955555555555549</v>
      </c>
    </row>
    <row r="711" spans="1:5" x14ac:dyDescent="0.2">
      <c r="A711" s="1">
        <v>40887</v>
      </c>
      <c r="B711">
        <v>344</v>
      </c>
      <c r="C711">
        <v>-5</v>
      </c>
      <c r="D711">
        <v>-14.444444444444445</v>
      </c>
      <c r="E711">
        <v>4.9866666666666664</v>
      </c>
    </row>
    <row r="712" spans="1:5" x14ac:dyDescent="0.2">
      <c r="A712" s="1">
        <v>40888</v>
      </c>
      <c r="B712">
        <v>345</v>
      </c>
      <c r="C712">
        <v>7.7777777777777777</v>
      </c>
      <c r="D712">
        <v>-8.3333333333333339</v>
      </c>
      <c r="E712">
        <v>5.0311111111111106</v>
      </c>
    </row>
    <row r="713" spans="1:5" x14ac:dyDescent="0.2">
      <c r="A713" s="1">
        <v>40889</v>
      </c>
      <c r="B713">
        <v>346</v>
      </c>
      <c r="C713">
        <v>7.7777777777777777</v>
      </c>
      <c r="D713">
        <v>0</v>
      </c>
      <c r="E713">
        <v>4.826666666666668</v>
      </c>
    </row>
    <row r="714" spans="1:5" x14ac:dyDescent="0.2">
      <c r="A714" s="1">
        <v>40890</v>
      </c>
      <c r="B714">
        <v>347</v>
      </c>
      <c r="C714">
        <v>5.5555555555555554</v>
      </c>
      <c r="D714">
        <v>0</v>
      </c>
      <c r="E714">
        <v>5.126666666666666</v>
      </c>
    </row>
    <row r="715" spans="1:5" x14ac:dyDescent="0.2">
      <c r="A715" s="1">
        <v>40891</v>
      </c>
      <c r="B715">
        <v>348</v>
      </c>
      <c r="C715">
        <v>6.1111111111111116</v>
      </c>
      <c r="D715">
        <v>0</v>
      </c>
      <c r="E715">
        <v>4.9755555555555553</v>
      </c>
    </row>
    <row r="716" spans="1:5" x14ac:dyDescent="0.2">
      <c r="A716" s="1">
        <v>40892</v>
      </c>
      <c r="B716">
        <v>349</v>
      </c>
      <c r="C716">
        <v>11.111111111111111</v>
      </c>
      <c r="D716">
        <v>2.2222222222222223</v>
      </c>
      <c r="E716">
        <v>4.8177777777777795</v>
      </c>
    </row>
    <row r="717" spans="1:5" x14ac:dyDescent="0.2">
      <c r="A717" s="1">
        <v>40893</v>
      </c>
      <c r="B717">
        <v>350</v>
      </c>
      <c r="C717">
        <v>4.4444444444444446</v>
      </c>
      <c r="D717">
        <v>-7.2222222222222223</v>
      </c>
      <c r="E717">
        <v>5.1622222222222209</v>
      </c>
    </row>
    <row r="718" spans="1:5" x14ac:dyDescent="0.2">
      <c r="A718" s="1">
        <v>40894</v>
      </c>
      <c r="B718">
        <v>351</v>
      </c>
      <c r="C718">
        <v>-0.55555555555555558</v>
      </c>
      <c r="D718">
        <v>-7.7777777777777777</v>
      </c>
      <c r="E718">
        <v>5.1977777777777758</v>
      </c>
    </row>
    <row r="719" spans="1:5" x14ac:dyDescent="0.2">
      <c r="A719" s="1">
        <v>40895</v>
      </c>
      <c r="B719">
        <v>352</v>
      </c>
      <c r="C719">
        <v>2.2222222222222223</v>
      </c>
      <c r="D719">
        <v>-6.6666666666666661</v>
      </c>
      <c r="E719">
        <v>5.0222222222222221</v>
      </c>
    </row>
    <row r="720" spans="1:5" x14ac:dyDescent="0.2">
      <c r="A720" s="1">
        <v>40896</v>
      </c>
      <c r="B720">
        <v>353</v>
      </c>
      <c r="C720">
        <v>6.1111111111111116</v>
      </c>
      <c r="D720">
        <v>-2.2222222222222223</v>
      </c>
      <c r="E720">
        <v>4.9799999999999986</v>
      </c>
    </row>
    <row r="721" spans="1:5" x14ac:dyDescent="0.2">
      <c r="A721" s="1">
        <v>40897</v>
      </c>
      <c r="B721">
        <v>354</v>
      </c>
      <c r="C721">
        <v>4.4444444444444446</v>
      </c>
      <c r="D721">
        <v>-6.6666666666666661</v>
      </c>
      <c r="E721">
        <v>5.408888888888888</v>
      </c>
    </row>
    <row r="722" spans="1:5" x14ac:dyDescent="0.2">
      <c r="A722" s="1">
        <v>40898</v>
      </c>
      <c r="B722">
        <v>355</v>
      </c>
      <c r="C722">
        <v>2.7777777777777777</v>
      </c>
      <c r="D722">
        <v>-6.1111111111111116</v>
      </c>
      <c r="E722">
        <v>5.52</v>
      </c>
    </row>
    <row r="723" spans="1:5" x14ac:dyDescent="0.2">
      <c r="A723" s="1">
        <v>40899</v>
      </c>
      <c r="B723">
        <v>356</v>
      </c>
      <c r="C723">
        <v>4.4444444444444446</v>
      </c>
      <c r="D723">
        <v>-3.333333333333333</v>
      </c>
      <c r="E723">
        <v>4.9644444444444442</v>
      </c>
    </row>
    <row r="724" spans="1:5" x14ac:dyDescent="0.2">
      <c r="A724" s="1">
        <v>40900</v>
      </c>
      <c r="B724">
        <v>357</v>
      </c>
      <c r="C724">
        <v>0</v>
      </c>
      <c r="D724">
        <v>-15.555555555555555</v>
      </c>
      <c r="E724">
        <v>4.83777777777778</v>
      </c>
    </row>
    <row r="725" spans="1:5" x14ac:dyDescent="0.2">
      <c r="A725" s="1">
        <v>40901</v>
      </c>
      <c r="B725">
        <v>358</v>
      </c>
      <c r="C725">
        <v>-2.2222222222222223</v>
      </c>
      <c r="D725">
        <v>-14.444444444444445</v>
      </c>
      <c r="E725">
        <v>5.028888888888889</v>
      </c>
    </row>
    <row r="726" spans="1:5" x14ac:dyDescent="0.2">
      <c r="A726" s="1">
        <v>40902</v>
      </c>
      <c r="B726">
        <v>359</v>
      </c>
      <c r="C726">
        <v>4.4444444444444446</v>
      </c>
      <c r="D726">
        <v>-7.7777777777777777</v>
      </c>
      <c r="E726">
        <v>5.6022222222222213</v>
      </c>
    </row>
    <row r="727" spans="1:5" x14ac:dyDescent="0.2">
      <c r="A727" s="1">
        <v>40903</v>
      </c>
      <c r="B727">
        <v>360</v>
      </c>
      <c r="C727">
        <v>5</v>
      </c>
      <c r="D727">
        <v>-7.7777777777777777</v>
      </c>
      <c r="E727">
        <v>5.1066666666666656</v>
      </c>
    </row>
    <row r="728" spans="1:5" x14ac:dyDescent="0.2">
      <c r="A728" s="1">
        <v>40904</v>
      </c>
      <c r="B728">
        <v>361</v>
      </c>
      <c r="C728">
        <v>6.1111111111111116</v>
      </c>
      <c r="D728">
        <v>-6.6666666666666661</v>
      </c>
      <c r="E728">
        <v>5.1711111111111112</v>
      </c>
    </row>
    <row r="729" spans="1:5" x14ac:dyDescent="0.2">
      <c r="A729" s="1">
        <v>40905</v>
      </c>
      <c r="B729">
        <v>362</v>
      </c>
      <c r="C729">
        <v>2.2222222222222223</v>
      </c>
      <c r="D729">
        <v>-9.4444444444444446</v>
      </c>
      <c r="E729">
        <v>4.5044444444444451</v>
      </c>
    </row>
    <row r="730" spans="1:5" x14ac:dyDescent="0.2">
      <c r="A730" s="1">
        <v>40906</v>
      </c>
      <c r="B730">
        <v>363</v>
      </c>
      <c r="C730">
        <v>4.4444444444444446</v>
      </c>
      <c r="D730">
        <v>-5.5555555555555554</v>
      </c>
      <c r="E730">
        <v>5.0888888888888868</v>
      </c>
    </row>
    <row r="731" spans="1:5" x14ac:dyDescent="0.2">
      <c r="A731" s="1">
        <v>40907</v>
      </c>
      <c r="B731">
        <v>364</v>
      </c>
      <c r="C731">
        <v>6.1111111111111116</v>
      </c>
      <c r="D731">
        <v>-4.4444444444444446</v>
      </c>
      <c r="E731">
        <v>4.8688888888888897</v>
      </c>
    </row>
    <row r="732" spans="1:5" x14ac:dyDescent="0.2">
      <c r="A732" s="1">
        <v>40908</v>
      </c>
      <c r="B732">
        <v>365</v>
      </c>
      <c r="C732">
        <v>0.55555555555555558</v>
      </c>
      <c r="D732">
        <v>-6.6666666666666661</v>
      </c>
      <c r="E732">
        <v>5.3977777777777805</v>
      </c>
    </row>
    <row r="733" spans="1:5" x14ac:dyDescent="0.2">
      <c r="A733" s="1">
        <v>40909</v>
      </c>
      <c r="B733">
        <v>1</v>
      </c>
      <c r="C733">
        <v>3.8888888888888888</v>
      </c>
      <c r="D733">
        <v>-6.6666666666666661</v>
      </c>
      <c r="E733">
        <v>4.9911111111111106</v>
      </c>
    </row>
    <row r="734" spans="1:5" x14ac:dyDescent="0.2">
      <c r="A734" s="1">
        <v>40910</v>
      </c>
      <c r="B734">
        <v>2</v>
      </c>
      <c r="C734">
        <v>-1.6666666666666665</v>
      </c>
      <c r="D734">
        <v>-7.7777777777777777</v>
      </c>
      <c r="E734">
        <v>5.0022222222222226</v>
      </c>
    </row>
    <row r="735" spans="1:5" x14ac:dyDescent="0.2">
      <c r="A735" s="1">
        <v>40911</v>
      </c>
      <c r="B735">
        <v>3</v>
      </c>
      <c r="C735">
        <v>-6.6666666666666661</v>
      </c>
      <c r="D735">
        <v>-13.888888888888889</v>
      </c>
      <c r="E735">
        <v>5.4333333333333336</v>
      </c>
    </row>
    <row r="736" spans="1:5" x14ac:dyDescent="0.2">
      <c r="A736" s="1">
        <v>40912</v>
      </c>
      <c r="B736">
        <v>4</v>
      </c>
      <c r="C736">
        <v>-2.7777777777777777</v>
      </c>
      <c r="D736">
        <v>-13.888888888888889</v>
      </c>
      <c r="E736">
        <v>5.8600000000000012</v>
      </c>
    </row>
    <row r="737" spans="1:5" x14ac:dyDescent="0.2">
      <c r="A737" s="1">
        <v>40913</v>
      </c>
      <c r="B737">
        <v>5</v>
      </c>
      <c r="C737">
        <v>1.6666666666666665</v>
      </c>
      <c r="D737">
        <v>-7.2222222222222223</v>
      </c>
      <c r="E737">
        <v>5.8844444444444459</v>
      </c>
    </row>
    <row r="738" spans="1:5" x14ac:dyDescent="0.2">
      <c r="A738" s="1">
        <v>40914</v>
      </c>
      <c r="B738">
        <v>6</v>
      </c>
      <c r="C738">
        <v>10.555555555555555</v>
      </c>
      <c r="D738">
        <v>-7.7777777777777777</v>
      </c>
      <c r="E738">
        <v>5.9622222222222225</v>
      </c>
    </row>
    <row r="739" spans="1:5" x14ac:dyDescent="0.2">
      <c r="A739" s="1">
        <v>40915</v>
      </c>
      <c r="B739">
        <v>7</v>
      </c>
      <c r="C739">
        <v>7.7777777777777777</v>
      </c>
      <c r="D739">
        <v>-2.7777777777777777</v>
      </c>
      <c r="E739">
        <v>6.1066666666666682</v>
      </c>
    </row>
    <row r="740" spans="1:5" x14ac:dyDescent="0.2">
      <c r="A740" s="1">
        <v>40916</v>
      </c>
      <c r="B740">
        <v>8</v>
      </c>
      <c r="C740">
        <v>5</v>
      </c>
      <c r="D740">
        <v>-8.8888888888888893</v>
      </c>
      <c r="E740">
        <v>6.2755555555555587</v>
      </c>
    </row>
    <row r="741" spans="1:5" x14ac:dyDescent="0.2">
      <c r="A741" s="1">
        <v>40917</v>
      </c>
      <c r="B741">
        <v>9</v>
      </c>
      <c r="C741">
        <v>5</v>
      </c>
      <c r="D741">
        <v>-6.1111111111111116</v>
      </c>
      <c r="E741">
        <v>6.2377777777777776</v>
      </c>
    </row>
    <row r="742" spans="1:5" x14ac:dyDescent="0.2">
      <c r="A742" s="1">
        <v>40918</v>
      </c>
      <c r="B742">
        <v>10</v>
      </c>
      <c r="C742">
        <v>7.7777777777777777</v>
      </c>
      <c r="D742">
        <v>-6.1111111111111116</v>
      </c>
      <c r="E742">
        <v>6.6755555555555537</v>
      </c>
    </row>
    <row r="743" spans="1:5" x14ac:dyDescent="0.2">
      <c r="A743" s="1">
        <v>40919</v>
      </c>
      <c r="B743">
        <v>11</v>
      </c>
      <c r="C743">
        <v>10.555555555555555</v>
      </c>
      <c r="D743">
        <v>-6.1111111111111116</v>
      </c>
      <c r="E743">
        <v>5.9155555555555575</v>
      </c>
    </row>
    <row r="744" spans="1:5" x14ac:dyDescent="0.2">
      <c r="A744" s="1">
        <v>40920</v>
      </c>
      <c r="B744">
        <v>12</v>
      </c>
      <c r="C744">
        <v>11.666666666666668</v>
      </c>
      <c r="D744">
        <v>-7.2222222222222223</v>
      </c>
      <c r="E744">
        <v>5.7666666666666666</v>
      </c>
    </row>
    <row r="745" spans="1:5" x14ac:dyDescent="0.2">
      <c r="A745" s="1">
        <v>40921</v>
      </c>
      <c r="B745">
        <v>13</v>
      </c>
      <c r="C745">
        <v>-5</v>
      </c>
      <c r="D745">
        <v>-10.555555555555555</v>
      </c>
      <c r="E745">
        <v>6.44</v>
      </c>
    </row>
    <row r="746" spans="1:5" x14ac:dyDescent="0.2">
      <c r="A746" s="1">
        <v>40922</v>
      </c>
      <c r="B746">
        <v>14</v>
      </c>
      <c r="C746">
        <v>-7.2222222222222223</v>
      </c>
      <c r="D746">
        <v>-11.111111111111111</v>
      </c>
      <c r="E746">
        <v>6.0333333333333332</v>
      </c>
    </row>
    <row r="747" spans="1:5" x14ac:dyDescent="0.2">
      <c r="A747" s="1">
        <v>40923</v>
      </c>
      <c r="B747">
        <v>15</v>
      </c>
      <c r="C747">
        <v>-5.5555555555555554</v>
      </c>
      <c r="D747">
        <v>-15</v>
      </c>
      <c r="E747">
        <v>6.6888888888888864</v>
      </c>
    </row>
    <row r="748" spans="1:5" x14ac:dyDescent="0.2">
      <c r="A748" s="1">
        <v>40924</v>
      </c>
      <c r="B748">
        <v>16</v>
      </c>
      <c r="C748">
        <v>0.55555555555555558</v>
      </c>
      <c r="D748">
        <v>-13.333333333333332</v>
      </c>
      <c r="E748">
        <v>6.5733333333333333</v>
      </c>
    </row>
    <row r="749" spans="1:5" x14ac:dyDescent="0.2">
      <c r="A749" s="1">
        <v>40925</v>
      </c>
      <c r="B749">
        <v>17</v>
      </c>
      <c r="C749">
        <v>6.1111111111111116</v>
      </c>
      <c r="D749">
        <v>-5</v>
      </c>
      <c r="E749">
        <v>6.46</v>
      </c>
    </row>
    <row r="750" spans="1:5" x14ac:dyDescent="0.2">
      <c r="A750" s="1">
        <v>40926</v>
      </c>
      <c r="B750">
        <v>18</v>
      </c>
      <c r="C750">
        <v>-2.2222222222222223</v>
      </c>
      <c r="D750">
        <v>-23.333333333333336</v>
      </c>
      <c r="E750">
        <v>6.8355555555555547</v>
      </c>
    </row>
    <row r="751" spans="1:5" x14ac:dyDescent="0.2">
      <c r="A751" s="1">
        <v>40927</v>
      </c>
      <c r="B751">
        <v>19</v>
      </c>
      <c r="C751">
        <v>-5</v>
      </c>
      <c r="D751">
        <v>-21.111111111111111</v>
      </c>
      <c r="E751">
        <v>6.5555555555555554</v>
      </c>
    </row>
    <row r="752" spans="1:5" x14ac:dyDescent="0.2">
      <c r="A752" s="1">
        <v>40928</v>
      </c>
      <c r="B752">
        <v>20</v>
      </c>
      <c r="C752">
        <v>-15.555555555555555</v>
      </c>
      <c r="D752">
        <v>-23.888888888888889</v>
      </c>
      <c r="E752">
        <v>6.5533333333333337</v>
      </c>
    </row>
    <row r="753" spans="1:5" x14ac:dyDescent="0.2">
      <c r="A753" s="1">
        <v>40929</v>
      </c>
      <c r="B753">
        <v>21</v>
      </c>
      <c r="C753">
        <v>-15</v>
      </c>
      <c r="D753">
        <v>-26.111111111111111</v>
      </c>
      <c r="E753">
        <v>6.5222222222222221</v>
      </c>
    </row>
    <row r="754" spans="1:5" x14ac:dyDescent="0.2">
      <c r="A754" s="1">
        <v>40930</v>
      </c>
      <c r="B754">
        <v>22</v>
      </c>
      <c r="C754">
        <v>-4.4444444444444446</v>
      </c>
      <c r="D754">
        <v>-18.888888888888889</v>
      </c>
      <c r="E754">
        <v>6.1199999999999992</v>
      </c>
    </row>
    <row r="755" spans="1:5" x14ac:dyDescent="0.2">
      <c r="A755" s="1">
        <v>40931</v>
      </c>
      <c r="B755">
        <v>23</v>
      </c>
      <c r="C755">
        <v>0.55555555555555558</v>
      </c>
      <c r="D755">
        <v>-4.4444444444444446</v>
      </c>
      <c r="E755">
        <v>7.2466666666666661</v>
      </c>
    </row>
    <row r="756" spans="1:5" x14ac:dyDescent="0.2">
      <c r="A756" s="1">
        <v>40932</v>
      </c>
      <c r="B756">
        <v>24</v>
      </c>
      <c r="C756">
        <v>0</v>
      </c>
      <c r="D756">
        <v>-5</v>
      </c>
      <c r="E756">
        <v>6.8688888888888879</v>
      </c>
    </row>
    <row r="757" spans="1:5" x14ac:dyDescent="0.2">
      <c r="A757" s="1">
        <v>40933</v>
      </c>
      <c r="B757">
        <v>25</v>
      </c>
      <c r="C757">
        <v>-1.1111111111111112</v>
      </c>
      <c r="D757">
        <v>-9.4444444444444446</v>
      </c>
      <c r="E757">
        <v>7.0244444444444447</v>
      </c>
    </row>
    <row r="758" spans="1:5" x14ac:dyDescent="0.2">
      <c r="A758" s="1">
        <v>40934</v>
      </c>
      <c r="B758">
        <v>26</v>
      </c>
      <c r="C758">
        <v>0.55555555555555558</v>
      </c>
      <c r="D758">
        <v>-6.1111111111111116</v>
      </c>
      <c r="E758">
        <v>7.3288888888888888</v>
      </c>
    </row>
    <row r="759" spans="1:5" x14ac:dyDescent="0.2">
      <c r="A759" s="1">
        <v>40935</v>
      </c>
      <c r="B759">
        <v>27</v>
      </c>
      <c r="C759">
        <v>1.1111111111111112</v>
      </c>
      <c r="D759">
        <v>-7.7777777777777777</v>
      </c>
      <c r="E759">
        <v>7.4177777777777756</v>
      </c>
    </row>
    <row r="760" spans="1:5" x14ac:dyDescent="0.2">
      <c r="A760" s="1">
        <v>40936</v>
      </c>
      <c r="B760">
        <v>28</v>
      </c>
      <c r="C760">
        <v>3.333333333333333</v>
      </c>
      <c r="D760">
        <v>-8.8888888888888893</v>
      </c>
      <c r="E760">
        <v>7.677777777777778</v>
      </c>
    </row>
    <row r="761" spans="1:5" x14ac:dyDescent="0.2">
      <c r="A761" s="1">
        <v>40937</v>
      </c>
      <c r="B761">
        <v>29</v>
      </c>
      <c r="C761">
        <v>-5</v>
      </c>
      <c r="D761">
        <v>-14.444444444444445</v>
      </c>
      <c r="E761">
        <v>7.3044444444444458</v>
      </c>
    </row>
    <row r="762" spans="1:5" x14ac:dyDescent="0.2">
      <c r="A762" s="1">
        <v>40938</v>
      </c>
      <c r="B762">
        <v>30</v>
      </c>
      <c r="C762">
        <v>-2.2222222222222223</v>
      </c>
      <c r="D762">
        <v>-13.333333333333332</v>
      </c>
      <c r="E762">
        <v>8</v>
      </c>
    </row>
    <row r="763" spans="1:5" x14ac:dyDescent="0.2">
      <c r="A763" s="1">
        <v>40939</v>
      </c>
      <c r="B763">
        <v>31</v>
      </c>
      <c r="C763">
        <v>6.1111111111111116</v>
      </c>
      <c r="D763">
        <v>-4.4444444444444446</v>
      </c>
      <c r="E763">
        <v>7.6400000000000041</v>
      </c>
    </row>
    <row r="764" spans="1:5" x14ac:dyDescent="0.2">
      <c r="A764" s="1">
        <v>40940</v>
      </c>
      <c r="B764">
        <v>32</v>
      </c>
      <c r="C764">
        <v>8.3333333333333339</v>
      </c>
      <c r="D764">
        <v>0.55555555555555558</v>
      </c>
      <c r="E764">
        <v>7.5244444444444474</v>
      </c>
    </row>
    <row r="765" spans="1:5" x14ac:dyDescent="0.2">
      <c r="A765" s="1">
        <v>40941</v>
      </c>
      <c r="B765">
        <v>33</v>
      </c>
      <c r="C765">
        <v>3.8888888888888888</v>
      </c>
      <c r="D765">
        <v>-5</v>
      </c>
      <c r="E765">
        <v>7.8222222222222237</v>
      </c>
    </row>
    <row r="766" spans="1:5" x14ac:dyDescent="0.2">
      <c r="A766" s="1">
        <v>40942</v>
      </c>
      <c r="B766">
        <v>34</v>
      </c>
      <c r="C766">
        <v>0.55555555555555558</v>
      </c>
      <c r="D766">
        <v>-3.8888888888888888</v>
      </c>
      <c r="E766">
        <v>7.9933333333333367</v>
      </c>
    </row>
    <row r="767" spans="1:5" x14ac:dyDescent="0.2">
      <c r="A767" s="1">
        <v>40943</v>
      </c>
      <c r="B767">
        <v>35</v>
      </c>
      <c r="C767">
        <v>2.2222222222222223</v>
      </c>
      <c r="D767">
        <v>-1.6666666666666665</v>
      </c>
      <c r="E767">
        <v>8.8044444444444458</v>
      </c>
    </row>
    <row r="768" spans="1:5" x14ac:dyDescent="0.2">
      <c r="A768" s="1">
        <v>40944</v>
      </c>
      <c r="B768">
        <v>36</v>
      </c>
      <c r="C768">
        <v>5.5555555555555554</v>
      </c>
      <c r="D768">
        <v>-8.3333333333333339</v>
      </c>
      <c r="E768">
        <v>8.4622222222222199</v>
      </c>
    </row>
    <row r="769" spans="1:5" x14ac:dyDescent="0.2">
      <c r="A769" s="1">
        <v>40945</v>
      </c>
      <c r="B769">
        <v>37</v>
      </c>
      <c r="C769">
        <v>2.7777777777777777</v>
      </c>
      <c r="D769">
        <v>-2.7777777777777777</v>
      </c>
      <c r="E769">
        <v>8.9911111111111115</v>
      </c>
    </row>
    <row r="770" spans="1:5" x14ac:dyDescent="0.2">
      <c r="A770" s="1">
        <v>40946</v>
      </c>
      <c r="B770">
        <v>38</v>
      </c>
      <c r="C770">
        <v>2.2222222222222223</v>
      </c>
      <c r="D770">
        <v>-4.4444444444444446</v>
      </c>
      <c r="E770">
        <v>9.43333333333333</v>
      </c>
    </row>
    <row r="771" spans="1:5" x14ac:dyDescent="0.2">
      <c r="A771" s="1">
        <v>40947</v>
      </c>
      <c r="B771">
        <v>39</v>
      </c>
      <c r="C771">
        <v>0</v>
      </c>
      <c r="D771">
        <v>-11.666666666666668</v>
      </c>
      <c r="E771">
        <v>9.0800000000000036</v>
      </c>
    </row>
    <row r="772" spans="1:5" x14ac:dyDescent="0.2">
      <c r="A772" s="1">
        <v>40948</v>
      </c>
      <c r="B772">
        <v>40</v>
      </c>
      <c r="C772">
        <v>0.55555555555555558</v>
      </c>
      <c r="D772">
        <v>-11.666666666666668</v>
      </c>
      <c r="E772">
        <v>9.9822222222222212</v>
      </c>
    </row>
    <row r="773" spans="1:5" x14ac:dyDescent="0.2">
      <c r="A773" s="1">
        <v>40949</v>
      </c>
      <c r="B773">
        <v>41</v>
      </c>
      <c r="C773">
        <v>1.1111111111111112</v>
      </c>
      <c r="D773">
        <v>-8.8888888888888893</v>
      </c>
      <c r="E773">
        <v>8.9066666666666627</v>
      </c>
    </row>
    <row r="774" spans="1:5" x14ac:dyDescent="0.2">
      <c r="A774" s="1">
        <v>40950</v>
      </c>
      <c r="B774">
        <v>42</v>
      </c>
      <c r="C774">
        <v>-0.55555555555555558</v>
      </c>
      <c r="D774">
        <v>-15</v>
      </c>
      <c r="E774">
        <v>9.7333333333333325</v>
      </c>
    </row>
    <row r="775" spans="1:5" x14ac:dyDescent="0.2">
      <c r="A775" s="1">
        <v>40951</v>
      </c>
      <c r="B775">
        <v>43</v>
      </c>
      <c r="C775">
        <v>-2.7777777777777777</v>
      </c>
      <c r="D775">
        <v>-15</v>
      </c>
      <c r="E775">
        <v>10.073333333333336</v>
      </c>
    </row>
    <row r="776" spans="1:5" x14ac:dyDescent="0.2">
      <c r="A776" s="1">
        <v>40952</v>
      </c>
      <c r="B776">
        <v>44</v>
      </c>
      <c r="C776">
        <v>0</v>
      </c>
      <c r="D776">
        <v>-11.666666666666668</v>
      </c>
      <c r="E776">
        <v>8.4711111111111101</v>
      </c>
    </row>
    <row r="777" spans="1:5" x14ac:dyDescent="0.2">
      <c r="A777" s="1">
        <v>40953</v>
      </c>
      <c r="B777">
        <v>45</v>
      </c>
      <c r="C777">
        <v>-0.55555555555555558</v>
      </c>
      <c r="D777">
        <v>-8.8888888888888893</v>
      </c>
      <c r="E777">
        <v>9.2622222222222241</v>
      </c>
    </row>
    <row r="778" spans="1:5" x14ac:dyDescent="0.2">
      <c r="A778" s="1">
        <v>40954</v>
      </c>
      <c r="B778">
        <v>46</v>
      </c>
      <c r="C778">
        <v>0.55555555555555558</v>
      </c>
      <c r="D778">
        <v>-1.6666666666666665</v>
      </c>
      <c r="E778">
        <v>9.7844444444444445</v>
      </c>
    </row>
    <row r="779" spans="1:5" x14ac:dyDescent="0.2">
      <c r="A779" s="1">
        <v>40955</v>
      </c>
      <c r="B779">
        <v>47</v>
      </c>
      <c r="C779">
        <v>8.3333333333333339</v>
      </c>
      <c r="D779">
        <v>-1.1111111111111112</v>
      </c>
      <c r="E779">
        <v>10.419999999999996</v>
      </c>
    </row>
    <row r="780" spans="1:5" x14ac:dyDescent="0.2">
      <c r="A780" s="1">
        <v>40956</v>
      </c>
      <c r="B780">
        <v>48</v>
      </c>
      <c r="C780">
        <v>7.2222222222222223</v>
      </c>
      <c r="D780">
        <v>-5.5555555555555554</v>
      </c>
      <c r="E780">
        <v>10.89111111111111</v>
      </c>
    </row>
    <row r="781" spans="1:5" x14ac:dyDescent="0.2">
      <c r="A781" s="1">
        <v>40957</v>
      </c>
      <c r="B781">
        <v>49</v>
      </c>
      <c r="C781">
        <v>6.1111111111111116</v>
      </c>
      <c r="D781">
        <v>-5.5555555555555554</v>
      </c>
      <c r="E781">
        <v>8.7977777777777799</v>
      </c>
    </row>
    <row r="782" spans="1:5" x14ac:dyDescent="0.2">
      <c r="A782" s="1">
        <v>40958</v>
      </c>
      <c r="B782">
        <v>50</v>
      </c>
      <c r="C782">
        <v>2.7777777777777777</v>
      </c>
      <c r="D782">
        <v>-9.4444444444444446</v>
      </c>
      <c r="E782">
        <v>9.6266666666666687</v>
      </c>
    </row>
    <row r="783" spans="1:5" x14ac:dyDescent="0.2">
      <c r="A783" s="1">
        <v>40959</v>
      </c>
      <c r="B783">
        <v>51</v>
      </c>
      <c r="C783">
        <v>5</v>
      </c>
      <c r="D783">
        <v>-7.2222222222222223</v>
      </c>
      <c r="E783">
        <v>10.488888888888887</v>
      </c>
    </row>
    <row r="784" spans="1:5" x14ac:dyDescent="0.2">
      <c r="A784" s="1">
        <v>40960</v>
      </c>
      <c r="B784">
        <v>52</v>
      </c>
      <c r="C784">
        <v>5.5555555555555554</v>
      </c>
      <c r="D784">
        <v>-6.1111111111111116</v>
      </c>
      <c r="E784">
        <v>10.06</v>
      </c>
    </row>
    <row r="785" spans="1:5" x14ac:dyDescent="0.2">
      <c r="A785" s="1">
        <v>40961</v>
      </c>
      <c r="B785">
        <v>53</v>
      </c>
      <c r="C785">
        <v>6.6666666666666661</v>
      </c>
      <c r="D785">
        <v>-4.4444444444444446</v>
      </c>
      <c r="E785">
        <v>10.406666666666665</v>
      </c>
    </row>
    <row r="786" spans="1:5" x14ac:dyDescent="0.2">
      <c r="A786" s="1">
        <v>40962</v>
      </c>
      <c r="B786">
        <v>54</v>
      </c>
      <c r="C786">
        <v>3.8888888888888888</v>
      </c>
      <c r="D786">
        <v>-3.8888888888888888</v>
      </c>
      <c r="E786">
        <v>10.113333333333337</v>
      </c>
    </row>
    <row r="787" spans="1:5" x14ac:dyDescent="0.2">
      <c r="A787" s="1">
        <v>40963</v>
      </c>
      <c r="B787">
        <v>55</v>
      </c>
      <c r="C787">
        <v>5</v>
      </c>
      <c r="D787">
        <v>-6.6666666666666661</v>
      </c>
      <c r="E787">
        <v>10.037777777777777</v>
      </c>
    </row>
    <row r="788" spans="1:5" x14ac:dyDescent="0.2">
      <c r="A788" s="1">
        <v>40964</v>
      </c>
      <c r="B788">
        <v>56</v>
      </c>
      <c r="C788">
        <v>0.55555555555555558</v>
      </c>
      <c r="D788">
        <v>-9.4444444444444446</v>
      </c>
      <c r="E788">
        <v>11.8</v>
      </c>
    </row>
    <row r="789" spans="1:5" x14ac:dyDescent="0.2">
      <c r="A789" s="1">
        <v>40965</v>
      </c>
      <c r="B789">
        <v>57</v>
      </c>
      <c r="C789">
        <v>3.8888888888888888</v>
      </c>
      <c r="D789">
        <v>-9.4444444444444446</v>
      </c>
      <c r="E789">
        <v>11.313333333333336</v>
      </c>
    </row>
    <row r="790" spans="1:5" x14ac:dyDescent="0.2">
      <c r="A790" s="1">
        <v>40966</v>
      </c>
      <c r="B790">
        <v>58</v>
      </c>
      <c r="C790">
        <v>7.7777777777777777</v>
      </c>
      <c r="D790">
        <v>-9.4444444444444446</v>
      </c>
      <c r="E790">
        <v>11.128888888888891</v>
      </c>
    </row>
    <row r="791" spans="1:5" x14ac:dyDescent="0.2">
      <c r="A791" s="1">
        <v>40967</v>
      </c>
      <c r="B791">
        <v>59</v>
      </c>
      <c r="C791">
        <v>2.2222222222222223</v>
      </c>
      <c r="D791">
        <v>-6.6666666666666661</v>
      </c>
      <c r="E791">
        <v>11.87555555555555</v>
      </c>
    </row>
    <row r="792" spans="1:5" x14ac:dyDescent="0.2">
      <c r="A792" s="1">
        <v>40968</v>
      </c>
      <c r="B792">
        <v>60</v>
      </c>
      <c r="C792">
        <v>3.8888888888888888</v>
      </c>
      <c r="D792">
        <v>-2.2222222222222223</v>
      </c>
      <c r="E792">
        <v>11.59555555555556</v>
      </c>
    </row>
    <row r="793" spans="1:5" x14ac:dyDescent="0.2">
      <c r="A793" s="1">
        <v>40969</v>
      </c>
      <c r="B793">
        <v>61</v>
      </c>
      <c r="C793">
        <v>7.7777777777777777</v>
      </c>
      <c r="D793">
        <v>0</v>
      </c>
      <c r="E793">
        <v>11.271111111111111</v>
      </c>
    </row>
    <row r="794" spans="1:5" x14ac:dyDescent="0.2">
      <c r="A794" s="1">
        <v>40970</v>
      </c>
      <c r="B794">
        <v>62</v>
      </c>
      <c r="C794">
        <v>2.7777777777777777</v>
      </c>
      <c r="D794">
        <v>-1.6666666666666665</v>
      </c>
      <c r="E794">
        <v>11.388888888888886</v>
      </c>
    </row>
    <row r="795" spans="1:5" x14ac:dyDescent="0.2">
      <c r="A795" s="1">
        <v>40971</v>
      </c>
      <c r="B795">
        <v>63</v>
      </c>
      <c r="C795">
        <v>1.1111111111111112</v>
      </c>
      <c r="D795">
        <v>-3.8888888888888888</v>
      </c>
      <c r="E795">
        <v>10.191111111111111</v>
      </c>
    </row>
    <row r="796" spans="1:5" x14ac:dyDescent="0.2">
      <c r="A796" s="1">
        <v>40972</v>
      </c>
      <c r="B796">
        <v>64</v>
      </c>
      <c r="C796">
        <v>-1.1111111111111112</v>
      </c>
      <c r="D796">
        <v>-5</v>
      </c>
      <c r="E796">
        <v>11.199999999999996</v>
      </c>
    </row>
    <row r="797" spans="1:5" x14ac:dyDescent="0.2">
      <c r="A797" s="1">
        <v>40973</v>
      </c>
      <c r="B797">
        <v>65</v>
      </c>
      <c r="C797">
        <v>-2.2222222222222223</v>
      </c>
      <c r="D797">
        <v>-11.111111111111111</v>
      </c>
      <c r="E797">
        <v>12.780000000000003</v>
      </c>
    </row>
    <row r="798" spans="1:5" x14ac:dyDescent="0.2">
      <c r="A798" s="1">
        <v>40974</v>
      </c>
      <c r="B798">
        <v>66</v>
      </c>
      <c r="C798">
        <v>1.1111111111111112</v>
      </c>
      <c r="D798">
        <v>-11.111111111111111</v>
      </c>
      <c r="E798">
        <v>13.068888888888889</v>
      </c>
    </row>
    <row r="799" spans="1:5" x14ac:dyDescent="0.2">
      <c r="A799" s="1">
        <v>40975</v>
      </c>
      <c r="B799">
        <v>67</v>
      </c>
      <c r="C799">
        <v>18.333333333333332</v>
      </c>
      <c r="D799">
        <v>1.1111111111111112</v>
      </c>
      <c r="E799">
        <v>11.393333333333333</v>
      </c>
    </row>
    <row r="800" spans="1:5" x14ac:dyDescent="0.2">
      <c r="A800" s="1">
        <v>40976</v>
      </c>
      <c r="B800">
        <v>68</v>
      </c>
      <c r="C800">
        <v>17.222222222222221</v>
      </c>
      <c r="D800">
        <v>-0.55555555555555558</v>
      </c>
      <c r="E800">
        <v>12.291111111111112</v>
      </c>
    </row>
    <row r="801" spans="1:5" x14ac:dyDescent="0.2">
      <c r="A801" s="1">
        <v>40977</v>
      </c>
      <c r="B801">
        <v>69</v>
      </c>
      <c r="C801">
        <v>5</v>
      </c>
      <c r="D801">
        <v>-5</v>
      </c>
      <c r="E801">
        <v>13.813333333333336</v>
      </c>
    </row>
    <row r="802" spans="1:5" x14ac:dyDescent="0.2">
      <c r="A802" s="1">
        <v>40978</v>
      </c>
      <c r="B802">
        <v>70</v>
      </c>
      <c r="C802">
        <v>10.555555555555555</v>
      </c>
      <c r="D802">
        <v>-6.1111111111111116</v>
      </c>
      <c r="E802">
        <v>12.808888888888891</v>
      </c>
    </row>
    <row r="803" spans="1:5" x14ac:dyDescent="0.2">
      <c r="A803" s="1">
        <v>40979</v>
      </c>
      <c r="B803">
        <v>71</v>
      </c>
      <c r="C803">
        <v>18.333333333333332</v>
      </c>
      <c r="D803">
        <v>2.7777777777777777</v>
      </c>
      <c r="E803">
        <v>12.691111111111107</v>
      </c>
    </row>
    <row r="804" spans="1:5" x14ac:dyDescent="0.2">
      <c r="A804" s="1">
        <v>40980</v>
      </c>
      <c r="B804">
        <v>72</v>
      </c>
      <c r="C804">
        <v>19.444444444444443</v>
      </c>
      <c r="D804">
        <v>9.4444444444444446</v>
      </c>
      <c r="E804">
        <v>11.371111111111109</v>
      </c>
    </row>
    <row r="805" spans="1:5" x14ac:dyDescent="0.2">
      <c r="A805" s="1">
        <v>40981</v>
      </c>
      <c r="B805">
        <v>73</v>
      </c>
      <c r="C805">
        <v>15.555555555555555</v>
      </c>
      <c r="D805">
        <v>3.8888888888888888</v>
      </c>
      <c r="E805">
        <v>13.164444444444442</v>
      </c>
    </row>
    <row r="806" spans="1:5" x14ac:dyDescent="0.2">
      <c r="A806" s="1">
        <v>40982</v>
      </c>
      <c r="B806">
        <v>74</v>
      </c>
      <c r="C806">
        <v>20</v>
      </c>
      <c r="D806">
        <v>2.7777777777777777</v>
      </c>
      <c r="E806">
        <v>12.719999999999995</v>
      </c>
    </row>
    <row r="807" spans="1:5" x14ac:dyDescent="0.2">
      <c r="A807" s="1">
        <v>40983</v>
      </c>
      <c r="B807">
        <v>75</v>
      </c>
      <c r="C807">
        <v>25</v>
      </c>
      <c r="D807">
        <v>4.4444444444444446</v>
      </c>
      <c r="E807">
        <v>14.366666666666664</v>
      </c>
    </row>
    <row r="808" spans="1:5" x14ac:dyDescent="0.2">
      <c r="A808" s="1">
        <v>40984</v>
      </c>
      <c r="B808">
        <v>76</v>
      </c>
      <c r="C808">
        <v>26.666666666666664</v>
      </c>
      <c r="D808">
        <v>5</v>
      </c>
      <c r="E808">
        <v>13.237777777777776</v>
      </c>
    </row>
    <row r="809" spans="1:5" x14ac:dyDescent="0.2">
      <c r="A809" s="1">
        <v>40985</v>
      </c>
      <c r="B809">
        <v>77</v>
      </c>
      <c r="C809">
        <v>26.666666666666664</v>
      </c>
      <c r="D809">
        <v>5.5555555555555554</v>
      </c>
      <c r="E809">
        <v>12.584444444444451</v>
      </c>
    </row>
    <row r="810" spans="1:5" x14ac:dyDescent="0.2">
      <c r="A810" s="1">
        <v>40986</v>
      </c>
      <c r="B810">
        <v>78</v>
      </c>
      <c r="C810">
        <v>26.666666666666664</v>
      </c>
      <c r="D810">
        <v>13.333333333333332</v>
      </c>
      <c r="E810">
        <v>12.284444444444446</v>
      </c>
    </row>
    <row r="811" spans="1:5" x14ac:dyDescent="0.2">
      <c r="A811" s="1">
        <v>40987</v>
      </c>
      <c r="B811">
        <v>79</v>
      </c>
      <c r="C811">
        <v>26.666666666666664</v>
      </c>
      <c r="D811">
        <v>17.222222222222221</v>
      </c>
      <c r="E811">
        <v>13.337777777777776</v>
      </c>
    </row>
    <row r="812" spans="1:5" x14ac:dyDescent="0.2">
      <c r="A812" s="1">
        <v>40988</v>
      </c>
      <c r="B812">
        <v>80</v>
      </c>
      <c r="C812">
        <v>23.888888888888889</v>
      </c>
      <c r="D812">
        <v>15.555555555555555</v>
      </c>
      <c r="E812">
        <v>15</v>
      </c>
    </row>
    <row r="813" spans="1:5" x14ac:dyDescent="0.2">
      <c r="A813" s="1">
        <v>40989</v>
      </c>
      <c r="B813">
        <v>81</v>
      </c>
      <c r="C813">
        <v>27.222222222222221</v>
      </c>
      <c r="D813">
        <v>15</v>
      </c>
      <c r="E813">
        <v>14.926666666666668</v>
      </c>
    </row>
    <row r="814" spans="1:5" x14ac:dyDescent="0.2">
      <c r="A814" s="1">
        <v>40990</v>
      </c>
      <c r="B814">
        <v>82</v>
      </c>
      <c r="C814">
        <v>27.777777777777779</v>
      </c>
      <c r="D814">
        <v>14.444444444444445</v>
      </c>
      <c r="E814">
        <v>16.43333333333333</v>
      </c>
    </row>
    <row r="815" spans="1:5" x14ac:dyDescent="0.2">
      <c r="A815" s="1">
        <v>40991</v>
      </c>
      <c r="B815">
        <v>83</v>
      </c>
      <c r="C815">
        <v>26.111111111111111</v>
      </c>
      <c r="D815">
        <v>13.888888888888889</v>
      </c>
      <c r="E815">
        <v>14.304444444444442</v>
      </c>
    </row>
    <row r="816" spans="1:5" x14ac:dyDescent="0.2">
      <c r="A816" s="1">
        <v>40992</v>
      </c>
      <c r="B816">
        <v>84</v>
      </c>
      <c r="C816">
        <v>18.333333333333332</v>
      </c>
      <c r="D816">
        <v>12.222222222222223</v>
      </c>
      <c r="E816">
        <v>14.604444444444443</v>
      </c>
    </row>
    <row r="817" spans="1:5" x14ac:dyDescent="0.2">
      <c r="A817" s="1">
        <v>40993</v>
      </c>
      <c r="B817">
        <v>85</v>
      </c>
      <c r="C817">
        <v>15.555555555555555</v>
      </c>
      <c r="D817">
        <v>9.4444444444444446</v>
      </c>
      <c r="E817">
        <v>15.69777777777778</v>
      </c>
    </row>
    <row r="818" spans="1:5" x14ac:dyDescent="0.2">
      <c r="A818" s="1">
        <v>40994</v>
      </c>
      <c r="B818">
        <v>86</v>
      </c>
      <c r="C818">
        <v>19.444444444444443</v>
      </c>
      <c r="D818">
        <v>1.1111111111111112</v>
      </c>
      <c r="E818">
        <v>14.977777777777776</v>
      </c>
    </row>
    <row r="819" spans="1:5" x14ac:dyDescent="0.2">
      <c r="A819" s="1">
        <v>40995</v>
      </c>
      <c r="B819">
        <v>87</v>
      </c>
      <c r="C819">
        <v>6.1111111111111116</v>
      </c>
      <c r="D819">
        <v>0.55555555555555558</v>
      </c>
      <c r="E819">
        <v>12.684444444444447</v>
      </c>
    </row>
    <row r="820" spans="1:5" x14ac:dyDescent="0.2">
      <c r="A820" s="1">
        <v>40996</v>
      </c>
      <c r="B820">
        <v>88</v>
      </c>
      <c r="C820">
        <v>23.333333333333336</v>
      </c>
      <c r="D820">
        <v>6.1111111111111116</v>
      </c>
      <c r="E820">
        <v>14.022222222222222</v>
      </c>
    </row>
    <row r="821" spans="1:5" x14ac:dyDescent="0.2">
      <c r="A821" s="1">
        <v>40997</v>
      </c>
      <c r="B821">
        <v>89</v>
      </c>
      <c r="C821">
        <v>15.555555555555555</v>
      </c>
      <c r="D821">
        <v>1.6666666666666665</v>
      </c>
      <c r="E821">
        <v>15.895555555555557</v>
      </c>
    </row>
    <row r="822" spans="1:5" x14ac:dyDescent="0.2">
      <c r="A822" s="1">
        <v>40998</v>
      </c>
      <c r="B822">
        <v>90</v>
      </c>
      <c r="C822">
        <v>12.777777777777777</v>
      </c>
      <c r="D822">
        <v>1.6666666666666665</v>
      </c>
      <c r="E822">
        <v>14.608888888888893</v>
      </c>
    </row>
    <row r="823" spans="1:5" x14ac:dyDescent="0.2">
      <c r="A823" s="1">
        <v>40999</v>
      </c>
      <c r="B823">
        <v>91</v>
      </c>
      <c r="C823">
        <v>5.5555555555555554</v>
      </c>
      <c r="D823">
        <v>1.6666666666666665</v>
      </c>
      <c r="E823">
        <v>13.344444444444447</v>
      </c>
    </row>
    <row r="824" spans="1:5" x14ac:dyDescent="0.2">
      <c r="A824" s="1">
        <v>41000</v>
      </c>
      <c r="B824">
        <v>92</v>
      </c>
      <c r="C824">
        <v>7.2222222222222223</v>
      </c>
      <c r="D824">
        <v>2.7777777777777777</v>
      </c>
      <c r="E824">
        <v>14.593333333333337</v>
      </c>
    </row>
    <row r="825" spans="1:5" x14ac:dyDescent="0.2">
      <c r="A825" s="1">
        <v>41001</v>
      </c>
      <c r="B825">
        <v>93</v>
      </c>
      <c r="C825">
        <v>15.555555555555555</v>
      </c>
      <c r="D825">
        <v>6.1111111111111116</v>
      </c>
      <c r="E825">
        <v>13.820000000000002</v>
      </c>
    </row>
    <row r="826" spans="1:5" x14ac:dyDescent="0.2">
      <c r="A826" s="1">
        <v>41002</v>
      </c>
      <c r="B826">
        <v>94</v>
      </c>
      <c r="C826">
        <v>18.333333333333332</v>
      </c>
      <c r="D826">
        <v>6.1111111111111116</v>
      </c>
      <c r="E826">
        <v>15.273333333333332</v>
      </c>
    </row>
    <row r="827" spans="1:5" x14ac:dyDescent="0.2">
      <c r="A827" s="1">
        <v>41003</v>
      </c>
      <c r="B827">
        <v>95</v>
      </c>
      <c r="C827">
        <v>17.777777777777779</v>
      </c>
      <c r="D827">
        <v>1.6666666666666665</v>
      </c>
      <c r="E827">
        <v>14.677777777777782</v>
      </c>
    </row>
    <row r="828" spans="1:5" x14ac:dyDescent="0.2">
      <c r="A828" s="1">
        <v>41004</v>
      </c>
      <c r="B828">
        <v>96</v>
      </c>
      <c r="C828">
        <v>16.666666666666668</v>
      </c>
      <c r="D828">
        <v>1.1111111111111112</v>
      </c>
      <c r="E828">
        <v>17.008888888888887</v>
      </c>
    </row>
    <row r="829" spans="1:5" x14ac:dyDescent="0.2">
      <c r="A829" s="1">
        <v>41005</v>
      </c>
      <c r="B829">
        <v>97</v>
      </c>
      <c r="C829">
        <v>11.111111111111111</v>
      </c>
      <c r="D829">
        <v>-4.4444444444444446</v>
      </c>
      <c r="E829">
        <v>16.526666666666664</v>
      </c>
    </row>
    <row r="830" spans="1:5" x14ac:dyDescent="0.2">
      <c r="A830" s="1">
        <v>41006</v>
      </c>
      <c r="B830">
        <v>98</v>
      </c>
      <c r="C830">
        <v>14.444444444444445</v>
      </c>
      <c r="D830">
        <v>-5</v>
      </c>
      <c r="E830">
        <v>14.875555555555552</v>
      </c>
    </row>
    <row r="831" spans="1:5" x14ac:dyDescent="0.2">
      <c r="A831" s="1">
        <v>41007</v>
      </c>
      <c r="B831">
        <v>99</v>
      </c>
      <c r="C831">
        <v>17.777777777777779</v>
      </c>
      <c r="D831">
        <v>-1.1111111111111112</v>
      </c>
      <c r="E831">
        <v>17.475555555555555</v>
      </c>
    </row>
    <row r="832" spans="1:5" x14ac:dyDescent="0.2">
      <c r="A832" s="1">
        <v>41008</v>
      </c>
      <c r="B832">
        <v>100</v>
      </c>
      <c r="C832">
        <v>17.222222222222221</v>
      </c>
      <c r="D832">
        <v>-2.2222222222222223</v>
      </c>
      <c r="E832">
        <v>17.055555555555557</v>
      </c>
    </row>
    <row r="833" spans="1:5" x14ac:dyDescent="0.2">
      <c r="A833" s="1">
        <v>41009</v>
      </c>
      <c r="B833">
        <v>101</v>
      </c>
      <c r="C833">
        <v>13.333333333333332</v>
      </c>
      <c r="D833">
        <v>-3.8888888888888888</v>
      </c>
      <c r="E833">
        <v>15.882222222222218</v>
      </c>
    </row>
    <row r="834" spans="1:5" x14ac:dyDescent="0.2">
      <c r="A834" s="1">
        <v>41010</v>
      </c>
      <c r="B834">
        <v>102</v>
      </c>
      <c r="C834">
        <v>7.2222222222222223</v>
      </c>
      <c r="D834">
        <v>-5</v>
      </c>
      <c r="E834">
        <v>15.497777777777774</v>
      </c>
    </row>
    <row r="835" spans="1:5" x14ac:dyDescent="0.2">
      <c r="A835" s="1">
        <v>41011</v>
      </c>
      <c r="B835">
        <v>103</v>
      </c>
      <c r="C835">
        <v>12.777777777777777</v>
      </c>
      <c r="D835">
        <v>-4.4444444444444446</v>
      </c>
      <c r="E835">
        <v>18.066666666666666</v>
      </c>
    </row>
    <row r="836" spans="1:5" x14ac:dyDescent="0.2">
      <c r="A836" s="1">
        <v>41012</v>
      </c>
      <c r="B836">
        <v>104</v>
      </c>
      <c r="C836">
        <v>16.666666666666668</v>
      </c>
      <c r="D836">
        <v>-2.7777777777777777</v>
      </c>
      <c r="E836">
        <v>17.306666666666665</v>
      </c>
    </row>
    <row r="837" spans="1:5" x14ac:dyDescent="0.2">
      <c r="A837" s="1">
        <v>41013</v>
      </c>
      <c r="B837">
        <v>105</v>
      </c>
      <c r="C837">
        <v>18.333333333333332</v>
      </c>
      <c r="D837">
        <v>6.6666666666666661</v>
      </c>
      <c r="E837">
        <v>18.091111111111108</v>
      </c>
    </row>
    <row r="838" spans="1:5" x14ac:dyDescent="0.2">
      <c r="A838" s="1">
        <v>41014</v>
      </c>
      <c r="B838">
        <v>106</v>
      </c>
      <c r="C838">
        <v>23.888888888888889</v>
      </c>
      <c r="D838">
        <v>15</v>
      </c>
      <c r="E838">
        <v>15.755555555555551</v>
      </c>
    </row>
    <row r="839" spans="1:5" x14ac:dyDescent="0.2">
      <c r="A839" s="1">
        <v>41015</v>
      </c>
      <c r="B839">
        <v>107</v>
      </c>
      <c r="C839">
        <v>23.888888888888889</v>
      </c>
      <c r="D839">
        <v>12.777777777777777</v>
      </c>
      <c r="E839">
        <v>18.606666666666669</v>
      </c>
    </row>
    <row r="840" spans="1:5" x14ac:dyDescent="0.2">
      <c r="A840" s="1">
        <v>41016</v>
      </c>
      <c r="B840">
        <v>108</v>
      </c>
      <c r="C840">
        <v>12.777777777777777</v>
      </c>
      <c r="D840">
        <v>-1.6666666666666665</v>
      </c>
      <c r="E840">
        <v>17.028888888888886</v>
      </c>
    </row>
    <row r="841" spans="1:5" x14ac:dyDescent="0.2">
      <c r="A841" s="1">
        <v>41017</v>
      </c>
      <c r="B841">
        <v>109</v>
      </c>
      <c r="C841">
        <v>15</v>
      </c>
      <c r="D841">
        <v>-1.1111111111111112</v>
      </c>
      <c r="E841">
        <v>16.00888888888889</v>
      </c>
    </row>
    <row r="842" spans="1:5" x14ac:dyDescent="0.2">
      <c r="A842" s="1">
        <v>41018</v>
      </c>
      <c r="B842">
        <v>110</v>
      </c>
      <c r="C842">
        <v>21.666666666666664</v>
      </c>
      <c r="D842">
        <v>5</v>
      </c>
      <c r="E842">
        <v>14.822222222222214</v>
      </c>
    </row>
    <row r="843" spans="1:5" x14ac:dyDescent="0.2">
      <c r="A843" s="1">
        <v>41019</v>
      </c>
      <c r="B843">
        <v>111</v>
      </c>
      <c r="C843">
        <v>11.111111111111111</v>
      </c>
      <c r="D843">
        <v>2.2222222222222223</v>
      </c>
      <c r="E843">
        <v>16.506666666666668</v>
      </c>
    </row>
    <row r="844" spans="1:5" x14ac:dyDescent="0.2">
      <c r="A844" s="1">
        <v>41020</v>
      </c>
      <c r="B844">
        <v>112</v>
      </c>
      <c r="C844">
        <v>10.555555555555555</v>
      </c>
      <c r="D844">
        <v>-1.1111111111111112</v>
      </c>
      <c r="E844">
        <v>16.88</v>
      </c>
    </row>
    <row r="845" spans="1:5" x14ac:dyDescent="0.2">
      <c r="A845" s="1">
        <v>41021</v>
      </c>
      <c r="B845">
        <v>113</v>
      </c>
      <c r="C845">
        <v>12.222222222222223</v>
      </c>
      <c r="D845">
        <v>-1.1111111111111112</v>
      </c>
      <c r="E845">
        <v>17.740000000000009</v>
      </c>
    </row>
    <row r="846" spans="1:5" x14ac:dyDescent="0.2">
      <c r="A846" s="1">
        <v>41022</v>
      </c>
      <c r="B846">
        <v>114</v>
      </c>
      <c r="C846">
        <v>12.777777777777777</v>
      </c>
      <c r="D846">
        <v>-1.6666666666666665</v>
      </c>
      <c r="E846">
        <v>19.917777777777768</v>
      </c>
    </row>
    <row r="847" spans="1:5" x14ac:dyDescent="0.2">
      <c r="A847" s="1">
        <v>41023</v>
      </c>
      <c r="B847">
        <v>115</v>
      </c>
      <c r="C847">
        <v>15.555555555555555</v>
      </c>
      <c r="D847">
        <v>-1.6666666666666665</v>
      </c>
      <c r="E847">
        <v>19.82888888888888</v>
      </c>
    </row>
    <row r="848" spans="1:5" x14ac:dyDescent="0.2">
      <c r="A848" s="1">
        <v>41024</v>
      </c>
      <c r="B848">
        <v>116</v>
      </c>
      <c r="C848">
        <v>20</v>
      </c>
      <c r="D848">
        <v>4.4444444444444446</v>
      </c>
      <c r="E848">
        <v>19.919999999999998</v>
      </c>
    </row>
    <row r="849" spans="1:5" x14ac:dyDescent="0.2">
      <c r="A849" s="1">
        <v>41025</v>
      </c>
      <c r="B849">
        <v>117</v>
      </c>
      <c r="C849">
        <v>15.555555555555555</v>
      </c>
      <c r="D849">
        <v>4.4444444444444446</v>
      </c>
      <c r="E849">
        <v>18.355555555555554</v>
      </c>
    </row>
    <row r="850" spans="1:5" x14ac:dyDescent="0.2">
      <c r="A850" s="1">
        <v>41026</v>
      </c>
      <c r="B850">
        <v>118</v>
      </c>
      <c r="C850">
        <v>13.888888888888889</v>
      </c>
      <c r="D850">
        <v>-2.2222222222222223</v>
      </c>
      <c r="E850">
        <v>18.562222222222225</v>
      </c>
    </row>
    <row r="851" spans="1:5" x14ac:dyDescent="0.2">
      <c r="A851" s="1">
        <v>41027</v>
      </c>
      <c r="B851">
        <v>119</v>
      </c>
      <c r="C851">
        <v>13.333333333333332</v>
      </c>
      <c r="D851">
        <v>1.1111111111111112</v>
      </c>
      <c r="E851">
        <v>18.202222222222229</v>
      </c>
    </row>
    <row r="852" spans="1:5" x14ac:dyDescent="0.2">
      <c r="A852" s="1">
        <v>41028</v>
      </c>
      <c r="B852">
        <v>120</v>
      </c>
      <c r="C852">
        <v>8.8888888888888893</v>
      </c>
      <c r="D852">
        <v>1.1111111111111112</v>
      </c>
      <c r="E852">
        <v>17.571111111111119</v>
      </c>
    </row>
    <row r="853" spans="1:5" x14ac:dyDescent="0.2">
      <c r="A853" s="1">
        <v>41029</v>
      </c>
      <c r="B853">
        <v>121</v>
      </c>
      <c r="C853">
        <v>13.333333333333332</v>
      </c>
      <c r="D853">
        <v>5.5555555555555554</v>
      </c>
      <c r="E853">
        <v>19.524444444444448</v>
      </c>
    </row>
    <row r="854" spans="1:5" x14ac:dyDescent="0.2">
      <c r="A854" s="1">
        <v>41030</v>
      </c>
      <c r="B854">
        <v>122</v>
      </c>
      <c r="C854">
        <v>12.222222222222223</v>
      </c>
      <c r="D854">
        <v>1.6666666666666665</v>
      </c>
      <c r="E854">
        <v>19.262222222222217</v>
      </c>
    </row>
    <row r="855" spans="1:5" x14ac:dyDescent="0.2">
      <c r="A855" s="1">
        <v>41031</v>
      </c>
      <c r="B855">
        <v>123</v>
      </c>
      <c r="C855">
        <v>18.888888888888889</v>
      </c>
      <c r="D855">
        <v>2.7777777777777777</v>
      </c>
      <c r="E855">
        <v>21.293333333333326</v>
      </c>
    </row>
    <row r="856" spans="1:5" x14ac:dyDescent="0.2">
      <c r="A856" s="1">
        <v>41032</v>
      </c>
      <c r="B856">
        <v>124</v>
      </c>
      <c r="C856">
        <v>26.666666666666664</v>
      </c>
      <c r="D856">
        <v>15</v>
      </c>
      <c r="E856">
        <v>20.195555555555561</v>
      </c>
    </row>
    <row r="857" spans="1:5" x14ac:dyDescent="0.2">
      <c r="A857" s="1">
        <v>41033</v>
      </c>
      <c r="B857">
        <v>125</v>
      </c>
      <c r="C857">
        <v>28.888888888888889</v>
      </c>
      <c r="D857">
        <v>14.444444444444445</v>
      </c>
      <c r="E857">
        <v>19.100000000000005</v>
      </c>
    </row>
    <row r="858" spans="1:5" x14ac:dyDescent="0.2">
      <c r="A858" s="1">
        <v>41034</v>
      </c>
      <c r="B858">
        <v>126</v>
      </c>
      <c r="C858">
        <v>18.333333333333332</v>
      </c>
      <c r="D858">
        <v>10.555555555555555</v>
      </c>
      <c r="E858">
        <v>20.082222222222224</v>
      </c>
    </row>
    <row r="859" spans="1:5" x14ac:dyDescent="0.2">
      <c r="A859" s="1">
        <v>41035</v>
      </c>
      <c r="B859">
        <v>127</v>
      </c>
      <c r="C859">
        <v>20</v>
      </c>
      <c r="D859">
        <v>10.555555555555555</v>
      </c>
      <c r="E859">
        <v>17.606666666666673</v>
      </c>
    </row>
    <row r="860" spans="1:5" x14ac:dyDescent="0.2">
      <c r="A860" s="1">
        <v>41036</v>
      </c>
      <c r="B860">
        <v>128</v>
      </c>
      <c r="C860">
        <v>18.888888888888889</v>
      </c>
      <c r="D860">
        <v>10.555555555555555</v>
      </c>
      <c r="E860">
        <v>18.580000000000002</v>
      </c>
    </row>
    <row r="861" spans="1:5" x14ac:dyDescent="0.2">
      <c r="A861" s="1">
        <v>41037</v>
      </c>
      <c r="B861">
        <v>129</v>
      </c>
      <c r="C861">
        <v>22.222222222222221</v>
      </c>
      <c r="D861">
        <v>8.8888888888888893</v>
      </c>
      <c r="E861">
        <v>20.891111111111112</v>
      </c>
    </row>
    <row r="862" spans="1:5" x14ac:dyDescent="0.2">
      <c r="A862" s="1">
        <v>41038</v>
      </c>
      <c r="B862">
        <v>130</v>
      </c>
      <c r="C862">
        <v>18.888888888888889</v>
      </c>
      <c r="D862">
        <v>5.5555555555555554</v>
      </c>
      <c r="E862">
        <v>21.2911111111111</v>
      </c>
    </row>
    <row r="863" spans="1:5" x14ac:dyDescent="0.2">
      <c r="A863" s="1">
        <v>41039</v>
      </c>
      <c r="B863">
        <v>131</v>
      </c>
      <c r="C863">
        <v>17.222222222222221</v>
      </c>
      <c r="D863">
        <v>1.6666666666666665</v>
      </c>
      <c r="E863">
        <v>17.644444444444446</v>
      </c>
    </row>
    <row r="864" spans="1:5" x14ac:dyDescent="0.2">
      <c r="A864" s="1">
        <v>41040</v>
      </c>
      <c r="B864">
        <v>132</v>
      </c>
      <c r="C864">
        <v>21.666666666666664</v>
      </c>
      <c r="D864">
        <v>3.8888888888888888</v>
      </c>
      <c r="E864">
        <v>19.975555555555552</v>
      </c>
    </row>
    <row r="865" spans="1:5" x14ac:dyDescent="0.2">
      <c r="A865" s="1">
        <v>41041</v>
      </c>
      <c r="B865">
        <v>133</v>
      </c>
      <c r="C865">
        <v>26.666666666666664</v>
      </c>
      <c r="D865">
        <v>11.111111111111111</v>
      </c>
      <c r="E865">
        <v>19.571111111111115</v>
      </c>
    </row>
    <row r="866" spans="1:5" x14ac:dyDescent="0.2">
      <c r="A866" s="1">
        <v>41042</v>
      </c>
      <c r="B866">
        <v>134</v>
      </c>
      <c r="C866">
        <v>20</v>
      </c>
      <c r="D866">
        <v>3.8888888888888888</v>
      </c>
      <c r="E866">
        <v>18.477777777777774</v>
      </c>
    </row>
    <row r="867" spans="1:5" x14ac:dyDescent="0.2">
      <c r="A867" s="1">
        <v>41043</v>
      </c>
      <c r="B867">
        <v>135</v>
      </c>
      <c r="C867">
        <v>23.333333333333336</v>
      </c>
      <c r="D867">
        <v>2.7777777777777777</v>
      </c>
      <c r="E867">
        <v>19.902222222222221</v>
      </c>
    </row>
    <row r="868" spans="1:5" x14ac:dyDescent="0.2">
      <c r="A868" s="1">
        <v>41044</v>
      </c>
      <c r="B868">
        <v>136</v>
      </c>
      <c r="C868">
        <v>26.666666666666664</v>
      </c>
      <c r="D868">
        <v>5.5555555555555554</v>
      </c>
      <c r="E868">
        <v>20.839999999999996</v>
      </c>
    </row>
    <row r="869" spans="1:5" x14ac:dyDescent="0.2">
      <c r="A869" s="1">
        <v>41045</v>
      </c>
      <c r="B869">
        <v>137</v>
      </c>
      <c r="C869">
        <v>30</v>
      </c>
      <c r="D869">
        <v>4.4444444444444446</v>
      </c>
      <c r="E869">
        <v>20.335555555555548</v>
      </c>
    </row>
    <row r="870" spans="1:5" x14ac:dyDescent="0.2">
      <c r="A870" s="1">
        <v>41046</v>
      </c>
      <c r="B870">
        <v>138</v>
      </c>
      <c r="C870">
        <v>21.111111111111111</v>
      </c>
      <c r="D870">
        <v>5.5555555555555554</v>
      </c>
      <c r="E870">
        <v>19.555555555555557</v>
      </c>
    </row>
    <row r="871" spans="1:5" x14ac:dyDescent="0.2">
      <c r="A871" s="1">
        <v>41047</v>
      </c>
      <c r="B871">
        <v>139</v>
      </c>
      <c r="C871">
        <v>23.888888888888889</v>
      </c>
      <c r="D871">
        <v>7.2222222222222223</v>
      </c>
      <c r="E871">
        <v>21.506666666666671</v>
      </c>
    </row>
    <row r="872" spans="1:5" x14ac:dyDescent="0.2">
      <c r="A872" s="1">
        <v>41048</v>
      </c>
      <c r="B872">
        <v>140</v>
      </c>
      <c r="C872">
        <v>30</v>
      </c>
      <c r="D872">
        <v>13.333333333333332</v>
      </c>
      <c r="E872">
        <v>22.404444444444444</v>
      </c>
    </row>
    <row r="873" spans="1:5" x14ac:dyDescent="0.2">
      <c r="A873" s="1">
        <v>41049</v>
      </c>
      <c r="B873">
        <v>141</v>
      </c>
      <c r="C873">
        <v>31.666666666666664</v>
      </c>
      <c r="D873">
        <v>16.111111111111111</v>
      </c>
      <c r="E873">
        <v>22.526666666666674</v>
      </c>
    </row>
    <row r="874" spans="1:5" x14ac:dyDescent="0.2">
      <c r="A874" s="1">
        <v>41050</v>
      </c>
      <c r="B874">
        <v>142</v>
      </c>
      <c r="C874">
        <v>27.777777777777779</v>
      </c>
      <c r="D874">
        <v>7.7777777777777777</v>
      </c>
      <c r="E874">
        <v>20.664444444444445</v>
      </c>
    </row>
    <row r="875" spans="1:5" x14ac:dyDescent="0.2">
      <c r="A875" s="1">
        <v>41051</v>
      </c>
      <c r="B875">
        <v>143</v>
      </c>
      <c r="C875">
        <v>22.777777777777779</v>
      </c>
      <c r="D875">
        <v>4.4444444444444446</v>
      </c>
      <c r="E875">
        <v>19.966666666666665</v>
      </c>
    </row>
    <row r="876" spans="1:5" x14ac:dyDescent="0.2">
      <c r="A876" s="1">
        <v>41052</v>
      </c>
      <c r="B876">
        <v>144</v>
      </c>
      <c r="C876">
        <v>24.444444444444446</v>
      </c>
      <c r="D876">
        <v>7.2222222222222223</v>
      </c>
      <c r="E876">
        <v>21.091111111111118</v>
      </c>
    </row>
    <row r="877" spans="1:5" x14ac:dyDescent="0.2">
      <c r="A877" s="1">
        <v>41053</v>
      </c>
      <c r="B877">
        <v>145</v>
      </c>
      <c r="C877">
        <v>27.222222222222221</v>
      </c>
      <c r="D877">
        <v>12.222222222222223</v>
      </c>
      <c r="E877">
        <v>21.435555555555553</v>
      </c>
    </row>
    <row r="878" spans="1:5" x14ac:dyDescent="0.2">
      <c r="A878" s="1">
        <v>41054</v>
      </c>
      <c r="B878">
        <v>146</v>
      </c>
      <c r="C878">
        <v>32.222222222222221</v>
      </c>
      <c r="D878">
        <v>11.111111111111111</v>
      </c>
      <c r="E878">
        <v>22.319999999999986</v>
      </c>
    </row>
    <row r="879" spans="1:5" x14ac:dyDescent="0.2">
      <c r="A879" s="1">
        <v>41055</v>
      </c>
      <c r="B879">
        <v>147</v>
      </c>
      <c r="C879">
        <v>23.888888888888889</v>
      </c>
      <c r="D879">
        <v>12.777777777777777</v>
      </c>
      <c r="E879">
        <v>21.086666666666666</v>
      </c>
    </row>
    <row r="880" spans="1:5" x14ac:dyDescent="0.2">
      <c r="A880" s="1">
        <v>41056</v>
      </c>
      <c r="B880">
        <v>148</v>
      </c>
      <c r="C880">
        <v>29.444444444444446</v>
      </c>
      <c r="D880">
        <v>17.222222222222221</v>
      </c>
      <c r="E880">
        <v>19.986666666666665</v>
      </c>
    </row>
    <row r="881" spans="1:5" x14ac:dyDescent="0.2">
      <c r="A881" s="1">
        <v>41057</v>
      </c>
      <c r="B881">
        <v>149</v>
      </c>
      <c r="C881">
        <v>32.777777777777779</v>
      </c>
      <c r="D881">
        <v>17.222222222222221</v>
      </c>
      <c r="E881">
        <v>20.988888888888894</v>
      </c>
    </row>
    <row r="882" spans="1:5" x14ac:dyDescent="0.2">
      <c r="A882" s="1">
        <v>41058</v>
      </c>
      <c r="B882">
        <v>150</v>
      </c>
      <c r="C882">
        <v>29.444444444444446</v>
      </c>
      <c r="D882">
        <v>13.333333333333332</v>
      </c>
      <c r="E882">
        <v>21.175555555555562</v>
      </c>
    </row>
    <row r="883" spans="1:5" x14ac:dyDescent="0.2">
      <c r="A883" s="1">
        <v>41059</v>
      </c>
      <c r="B883">
        <v>151</v>
      </c>
      <c r="C883">
        <v>23.333333333333336</v>
      </c>
      <c r="D883">
        <v>10</v>
      </c>
      <c r="E883">
        <v>21.524444444444448</v>
      </c>
    </row>
    <row r="884" spans="1:5" x14ac:dyDescent="0.2">
      <c r="A884" s="1">
        <v>41060</v>
      </c>
      <c r="B884">
        <v>152</v>
      </c>
      <c r="C884">
        <v>17.222222222222221</v>
      </c>
      <c r="D884">
        <v>7.7777777777777777</v>
      </c>
      <c r="E884">
        <v>22.935555555555549</v>
      </c>
    </row>
    <row r="885" spans="1:5" x14ac:dyDescent="0.2">
      <c r="A885" s="1">
        <v>41061</v>
      </c>
      <c r="B885">
        <v>153</v>
      </c>
      <c r="C885">
        <v>13.333333333333332</v>
      </c>
      <c r="D885">
        <v>6.1111111111111116</v>
      </c>
      <c r="E885">
        <v>22.097777777777782</v>
      </c>
    </row>
    <row r="886" spans="1:5" x14ac:dyDescent="0.2">
      <c r="A886" s="1">
        <v>41062</v>
      </c>
      <c r="B886">
        <v>154</v>
      </c>
      <c r="C886">
        <v>20</v>
      </c>
      <c r="D886">
        <v>8.8888888888888893</v>
      </c>
      <c r="E886">
        <v>23.393333333333331</v>
      </c>
    </row>
    <row r="887" spans="1:5" x14ac:dyDescent="0.2">
      <c r="A887" s="1">
        <v>41063</v>
      </c>
      <c r="B887">
        <v>155</v>
      </c>
      <c r="C887">
        <v>23.888888888888889</v>
      </c>
      <c r="D887">
        <v>5</v>
      </c>
      <c r="E887">
        <v>22.279999999999998</v>
      </c>
    </row>
    <row r="888" spans="1:5" x14ac:dyDescent="0.2">
      <c r="A888" s="1">
        <v>41064</v>
      </c>
      <c r="B888">
        <v>156</v>
      </c>
      <c r="C888">
        <v>26.666666666666664</v>
      </c>
      <c r="D888">
        <v>9.4444444444444446</v>
      </c>
      <c r="E888">
        <v>21.313333333333325</v>
      </c>
    </row>
    <row r="889" spans="1:5" x14ac:dyDescent="0.2">
      <c r="A889" s="1">
        <v>41065</v>
      </c>
      <c r="B889">
        <v>157</v>
      </c>
      <c r="C889">
        <v>24.444444444444446</v>
      </c>
      <c r="D889">
        <v>7.2222222222222223</v>
      </c>
      <c r="E889">
        <v>22.002222222222226</v>
      </c>
    </row>
    <row r="890" spans="1:5" x14ac:dyDescent="0.2">
      <c r="A890" s="1">
        <v>41066</v>
      </c>
      <c r="B890">
        <v>158</v>
      </c>
      <c r="C890">
        <v>24.444444444444446</v>
      </c>
      <c r="D890">
        <v>6.1111111111111116</v>
      </c>
      <c r="E890">
        <v>22.086666666666659</v>
      </c>
    </row>
    <row r="891" spans="1:5" x14ac:dyDescent="0.2">
      <c r="A891" s="1">
        <v>41067</v>
      </c>
      <c r="B891">
        <v>159</v>
      </c>
      <c r="C891">
        <v>25.555555555555554</v>
      </c>
      <c r="D891">
        <v>7.7777777777777777</v>
      </c>
      <c r="E891">
        <v>23.813333333333325</v>
      </c>
    </row>
    <row r="892" spans="1:5" x14ac:dyDescent="0.2">
      <c r="A892" s="1">
        <v>41068</v>
      </c>
      <c r="B892">
        <v>160</v>
      </c>
      <c r="C892">
        <v>27.777777777777779</v>
      </c>
      <c r="D892">
        <v>10</v>
      </c>
      <c r="E892">
        <v>21.76222222222221</v>
      </c>
    </row>
    <row r="893" spans="1:5" x14ac:dyDescent="0.2">
      <c r="A893" s="1">
        <v>41069</v>
      </c>
      <c r="B893">
        <v>161</v>
      </c>
      <c r="C893">
        <v>30</v>
      </c>
      <c r="D893">
        <v>13.888888888888889</v>
      </c>
      <c r="E893">
        <v>23.468888888888888</v>
      </c>
    </row>
    <row r="894" spans="1:5" x14ac:dyDescent="0.2">
      <c r="A894" s="1">
        <v>41070</v>
      </c>
      <c r="B894">
        <v>162</v>
      </c>
      <c r="C894">
        <v>31.111111111111111</v>
      </c>
      <c r="D894">
        <v>17.777777777777779</v>
      </c>
      <c r="E894">
        <v>20.566666666666666</v>
      </c>
    </row>
    <row r="895" spans="1:5" x14ac:dyDescent="0.2">
      <c r="A895" s="1">
        <v>41071</v>
      </c>
      <c r="B895">
        <v>163</v>
      </c>
      <c r="C895">
        <v>31.666666666666664</v>
      </c>
      <c r="D895">
        <v>18.333333333333332</v>
      </c>
      <c r="E895">
        <v>21.984444444444435</v>
      </c>
    </row>
    <row r="896" spans="1:5" x14ac:dyDescent="0.2">
      <c r="A896" s="1">
        <v>41072</v>
      </c>
      <c r="B896">
        <v>164</v>
      </c>
      <c r="C896">
        <v>28.888888888888889</v>
      </c>
      <c r="D896">
        <v>11.111111111111111</v>
      </c>
      <c r="E896">
        <v>23.388888888888882</v>
      </c>
    </row>
    <row r="897" spans="1:5" x14ac:dyDescent="0.2">
      <c r="A897" s="1">
        <v>41073</v>
      </c>
      <c r="B897">
        <v>165</v>
      </c>
      <c r="C897">
        <v>21.666666666666664</v>
      </c>
      <c r="D897">
        <v>5.5555555555555554</v>
      </c>
      <c r="E897">
        <v>21.657777777777785</v>
      </c>
    </row>
    <row r="898" spans="1:5" x14ac:dyDescent="0.2">
      <c r="A898" s="1">
        <v>41074</v>
      </c>
      <c r="B898">
        <v>166</v>
      </c>
      <c r="C898">
        <v>23.888888888888889</v>
      </c>
      <c r="D898">
        <v>7.2222222222222223</v>
      </c>
      <c r="E898">
        <v>20.875555555555547</v>
      </c>
    </row>
    <row r="899" spans="1:5" x14ac:dyDescent="0.2">
      <c r="A899" s="1">
        <v>41075</v>
      </c>
      <c r="B899">
        <v>167</v>
      </c>
      <c r="C899">
        <v>27.777777777777779</v>
      </c>
      <c r="D899">
        <v>12.222222222222223</v>
      </c>
      <c r="E899">
        <v>21.88</v>
      </c>
    </row>
    <row r="900" spans="1:5" x14ac:dyDescent="0.2">
      <c r="A900" s="1">
        <v>41076</v>
      </c>
      <c r="B900">
        <v>168</v>
      </c>
      <c r="C900">
        <v>32.777777777777779</v>
      </c>
      <c r="D900">
        <v>17.222222222222221</v>
      </c>
      <c r="E900">
        <v>23.36666666666666</v>
      </c>
    </row>
    <row r="901" spans="1:5" x14ac:dyDescent="0.2">
      <c r="A901" s="1">
        <v>41077</v>
      </c>
      <c r="B901">
        <v>169</v>
      </c>
      <c r="C901">
        <v>28.888888888888889</v>
      </c>
      <c r="D901">
        <v>23.333333333333336</v>
      </c>
      <c r="E901">
        <v>21.613333333333337</v>
      </c>
    </row>
    <row r="902" spans="1:5" x14ac:dyDescent="0.2">
      <c r="A902" s="1">
        <v>41078</v>
      </c>
      <c r="B902">
        <v>170</v>
      </c>
      <c r="C902">
        <v>30.555555555555554</v>
      </c>
      <c r="D902">
        <v>23.333333333333336</v>
      </c>
      <c r="E902">
        <v>23.11333333333333</v>
      </c>
    </row>
    <row r="903" spans="1:5" x14ac:dyDescent="0.2">
      <c r="A903" s="1">
        <v>41079</v>
      </c>
      <c r="B903">
        <v>171</v>
      </c>
      <c r="C903">
        <v>33.333333333333336</v>
      </c>
      <c r="D903">
        <v>24.444444444444446</v>
      </c>
      <c r="E903">
        <v>23.373333333333328</v>
      </c>
    </row>
    <row r="904" spans="1:5" x14ac:dyDescent="0.2">
      <c r="A904" s="1">
        <v>41080</v>
      </c>
      <c r="B904">
        <v>172</v>
      </c>
      <c r="C904">
        <v>33.888888888888886</v>
      </c>
      <c r="D904">
        <v>24.444444444444446</v>
      </c>
      <c r="E904">
        <v>22.980000000000004</v>
      </c>
    </row>
    <row r="905" spans="1:5" x14ac:dyDescent="0.2">
      <c r="A905" s="1">
        <v>41081</v>
      </c>
      <c r="B905">
        <v>173</v>
      </c>
      <c r="C905">
        <v>33.888888888888886</v>
      </c>
      <c r="D905">
        <v>17.777777777777779</v>
      </c>
      <c r="E905">
        <v>22.42444444444444</v>
      </c>
    </row>
    <row r="906" spans="1:5" x14ac:dyDescent="0.2">
      <c r="A906" s="1">
        <v>41082</v>
      </c>
      <c r="B906">
        <v>174</v>
      </c>
      <c r="C906">
        <v>28.333333333333336</v>
      </c>
      <c r="D906">
        <v>12.222222222222223</v>
      </c>
      <c r="E906">
        <v>22.90444444444444</v>
      </c>
    </row>
    <row r="907" spans="1:5" x14ac:dyDescent="0.2">
      <c r="A907" s="1">
        <v>41083</v>
      </c>
      <c r="B907">
        <v>175</v>
      </c>
      <c r="C907">
        <v>29.444444444444446</v>
      </c>
      <c r="D907">
        <v>11.111111111111111</v>
      </c>
      <c r="E907">
        <v>23.068888888888885</v>
      </c>
    </row>
    <row r="908" spans="1:5" x14ac:dyDescent="0.2">
      <c r="A908" s="1">
        <v>41084</v>
      </c>
      <c r="B908">
        <v>176</v>
      </c>
      <c r="C908">
        <v>27.777777777777779</v>
      </c>
      <c r="D908">
        <v>14.444444444444445</v>
      </c>
      <c r="E908">
        <v>23.437777777777779</v>
      </c>
    </row>
    <row r="909" spans="1:5" x14ac:dyDescent="0.2">
      <c r="A909" s="1">
        <v>41085</v>
      </c>
      <c r="B909">
        <v>177</v>
      </c>
      <c r="C909">
        <v>31.666666666666664</v>
      </c>
      <c r="D909">
        <v>13.333333333333332</v>
      </c>
      <c r="E909">
        <v>24.166666666666679</v>
      </c>
    </row>
    <row r="910" spans="1:5" x14ac:dyDescent="0.2">
      <c r="A910" s="1">
        <v>41086</v>
      </c>
      <c r="B910">
        <v>178</v>
      </c>
      <c r="C910">
        <v>26.111111111111111</v>
      </c>
      <c r="D910">
        <v>6.6666666666666661</v>
      </c>
      <c r="E910">
        <v>24.371111111111112</v>
      </c>
    </row>
    <row r="911" spans="1:5" x14ac:dyDescent="0.2">
      <c r="A911" s="1">
        <v>41087</v>
      </c>
      <c r="B911">
        <v>179</v>
      </c>
      <c r="C911">
        <v>28.888888888888889</v>
      </c>
      <c r="D911">
        <v>9.4444444444444446</v>
      </c>
      <c r="E911">
        <v>22.171111111111113</v>
      </c>
    </row>
    <row r="912" spans="1:5" x14ac:dyDescent="0.2">
      <c r="A912" s="1">
        <v>41088</v>
      </c>
      <c r="B912">
        <v>180</v>
      </c>
      <c r="C912">
        <v>34.444444444444443</v>
      </c>
      <c r="D912">
        <v>18.333333333333332</v>
      </c>
      <c r="E912">
        <v>22.31111111111111</v>
      </c>
    </row>
    <row r="913" spans="1:5" x14ac:dyDescent="0.2">
      <c r="A913" s="1">
        <v>41089</v>
      </c>
      <c r="B913">
        <v>181</v>
      </c>
      <c r="C913">
        <v>35.555555555555557</v>
      </c>
      <c r="D913">
        <v>13.333333333333332</v>
      </c>
      <c r="E913">
        <v>25.455555555555552</v>
      </c>
    </row>
    <row r="914" spans="1:5" x14ac:dyDescent="0.2">
      <c r="A914" s="1">
        <v>41090</v>
      </c>
      <c r="B914">
        <v>182</v>
      </c>
      <c r="C914">
        <v>33.333333333333336</v>
      </c>
      <c r="D914">
        <v>15</v>
      </c>
      <c r="E914">
        <v>25.371111111111109</v>
      </c>
    </row>
    <row r="915" spans="1:5" x14ac:dyDescent="0.2">
      <c r="A915" s="1">
        <v>41091</v>
      </c>
      <c r="B915">
        <v>183</v>
      </c>
      <c r="C915">
        <v>33.888888888888886</v>
      </c>
      <c r="D915">
        <v>16.111111111111111</v>
      </c>
      <c r="E915">
        <v>23.746666666666659</v>
      </c>
    </row>
    <row r="916" spans="1:5" x14ac:dyDescent="0.2">
      <c r="A916" s="1">
        <v>41092</v>
      </c>
      <c r="B916">
        <v>184</v>
      </c>
      <c r="C916">
        <v>35</v>
      </c>
      <c r="D916">
        <v>20.555555555555554</v>
      </c>
      <c r="E916">
        <v>22.228888888888893</v>
      </c>
    </row>
    <row r="917" spans="1:5" x14ac:dyDescent="0.2">
      <c r="A917" s="1">
        <v>41093</v>
      </c>
      <c r="B917">
        <v>185</v>
      </c>
      <c r="C917">
        <v>37.222222222222221</v>
      </c>
      <c r="D917">
        <v>21.111111111111111</v>
      </c>
      <c r="E917">
        <v>22.664444444444449</v>
      </c>
    </row>
    <row r="918" spans="1:5" x14ac:dyDescent="0.2">
      <c r="A918" s="1">
        <v>41094</v>
      </c>
      <c r="B918">
        <v>186</v>
      </c>
      <c r="C918">
        <v>37.777777777777779</v>
      </c>
      <c r="D918">
        <v>23.333333333333336</v>
      </c>
      <c r="E918">
        <v>24.606666666666666</v>
      </c>
    </row>
    <row r="919" spans="1:5" x14ac:dyDescent="0.2">
      <c r="A919" s="1">
        <v>41095</v>
      </c>
      <c r="B919">
        <v>187</v>
      </c>
      <c r="C919">
        <v>38.888888888888886</v>
      </c>
      <c r="D919">
        <v>22.777777777777779</v>
      </c>
      <c r="E919">
        <v>23.071111111111112</v>
      </c>
    </row>
    <row r="920" spans="1:5" x14ac:dyDescent="0.2">
      <c r="A920" s="1">
        <v>41096</v>
      </c>
      <c r="B920">
        <v>188</v>
      </c>
      <c r="C920">
        <v>39.444444444444443</v>
      </c>
      <c r="D920">
        <v>23.888888888888889</v>
      </c>
      <c r="E920">
        <v>23.468888888888888</v>
      </c>
    </row>
    <row r="921" spans="1:5" x14ac:dyDescent="0.2">
      <c r="A921" s="1">
        <v>41097</v>
      </c>
      <c r="B921">
        <v>189</v>
      </c>
      <c r="C921">
        <v>39.444444444444443</v>
      </c>
      <c r="D921">
        <v>22.777777777777779</v>
      </c>
      <c r="E921">
        <v>22.911111111111111</v>
      </c>
    </row>
    <row r="922" spans="1:5" x14ac:dyDescent="0.2">
      <c r="A922" s="1">
        <v>41098</v>
      </c>
      <c r="B922">
        <v>190</v>
      </c>
      <c r="C922">
        <v>31.111111111111111</v>
      </c>
      <c r="D922">
        <v>16.666666666666668</v>
      </c>
      <c r="E922">
        <v>22.133333333333333</v>
      </c>
    </row>
    <row r="923" spans="1:5" x14ac:dyDescent="0.2">
      <c r="A923" s="1">
        <v>41099</v>
      </c>
      <c r="B923">
        <v>191</v>
      </c>
      <c r="C923">
        <v>32.222222222222221</v>
      </c>
      <c r="D923">
        <v>16.666666666666668</v>
      </c>
      <c r="E923">
        <v>23.479999999999993</v>
      </c>
    </row>
    <row r="924" spans="1:5" x14ac:dyDescent="0.2">
      <c r="A924" s="1">
        <v>41100</v>
      </c>
      <c r="B924">
        <v>192</v>
      </c>
      <c r="C924">
        <v>32.222222222222221</v>
      </c>
      <c r="D924">
        <v>16.111111111111111</v>
      </c>
      <c r="E924">
        <v>23.637777777777778</v>
      </c>
    </row>
    <row r="925" spans="1:5" x14ac:dyDescent="0.2">
      <c r="A925" s="1">
        <v>41101</v>
      </c>
      <c r="B925">
        <v>193</v>
      </c>
      <c r="C925">
        <v>30.555555555555554</v>
      </c>
      <c r="D925">
        <v>12.777777777777777</v>
      </c>
      <c r="E925">
        <v>22.757777777777775</v>
      </c>
    </row>
    <row r="926" spans="1:5" x14ac:dyDescent="0.2">
      <c r="A926" s="1">
        <v>41102</v>
      </c>
      <c r="B926">
        <v>194</v>
      </c>
      <c r="C926">
        <v>31.666666666666664</v>
      </c>
      <c r="D926">
        <v>13.333333333333332</v>
      </c>
      <c r="E926">
        <v>22.486666666666665</v>
      </c>
    </row>
    <row r="927" spans="1:5" x14ac:dyDescent="0.2">
      <c r="A927" s="1">
        <v>41103</v>
      </c>
      <c r="B927">
        <v>195</v>
      </c>
      <c r="C927">
        <v>33.333333333333336</v>
      </c>
      <c r="D927">
        <v>14.444444444444445</v>
      </c>
      <c r="E927">
        <v>23.213333333333335</v>
      </c>
    </row>
    <row r="928" spans="1:5" x14ac:dyDescent="0.2">
      <c r="A928" s="1">
        <v>41104</v>
      </c>
      <c r="B928">
        <v>196</v>
      </c>
      <c r="C928">
        <v>32.222222222222221</v>
      </c>
      <c r="D928">
        <v>16.111111111111111</v>
      </c>
      <c r="E928">
        <v>23.213333333333335</v>
      </c>
    </row>
    <row r="929" spans="1:5" x14ac:dyDescent="0.2">
      <c r="A929" s="1">
        <v>41105</v>
      </c>
      <c r="B929">
        <v>197</v>
      </c>
      <c r="C929">
        <v>33.333333333333336</v>
      </c>
      <c r="D929">
        <v>21.111111111111111</v>
      </c>
      <c r="E929">
        <v>24.926666666666669</v>
      </c>
    </row>
    <row r="930" spans="1:5" x14ac:dyDescent="0.2">
      <c r="A930" s="1">
        <v>41106</v>
      </c>
      <c r="B930">
        <v>198</v>
      </c>
      <c r="C930">
        <v>35.555555555555557</v>
      </c>
      <c r="D930">
        <v>18.888888888888889</v>
      </c>
      <c r="E930">
        <v>22.395555555555553</v>
      </c>
    </row>
    <row r="931" spans="1:5" x14ac:dyDescent="0.2">
      <c r="A931" s="1">
        <v>41107</v>
      </c>
      <c r="B931">
        <v>199</v>
      </c>
      <c r="C931">
        <v>37.222222222222221</v>
      </c>
      <c r="D931">
        <v>20.555555555555554</v>
      </c>
      <c r="E931">
        <v>20.604444444444447</v>
      </c>
    </row>
    <row r="932" spans="1:5" x14ac:dyDescent="0.2">
      <c r="A932" s="1">
        <v>41108</v>
      </c>
      <c r="B932">
        <v>200</v>
      </c>
      <c r="C932">
        <v>37.777777777777779</v>
      </c>
      <c r="D932">
        <v>21.666666666666664</v>
      </c>
      <c r="E932">
        <v>19.959999999999997</v>
      </c>
    </row>
    <row r="933" spans="1:5" x14ac:dyDescent="0.2">
      <c r="A933" s="1">
        <v>41109</v>
      </c>
      <c r="B933">
        <v>201</v>
      </c>
      <c r="C933">
        <v>35</v>
      </c>
      <c r="D933">
        <v>21.111111111111111</v>
      </c>
      <c r="E933">
        <v>21.315555555555552</v>
      </c>
    </row>
    <row r="934" spans="1:5" x14ac:dyDescent="0.2">
      <c r="A934" s="1">
        <v>41110</v>
      </c>
      <c r="B934">
        <v>202</v>
      </c>
      <c r="C934">
        <v>22.777777777777779</v>
      </c>
      <c r="D934">
        <v>17.222222222222221</v>
      </c>
      <c r="E934">
        <v>21.008888888888883</v>
      </c>
    </row>
    <row r="935" spans="1:5" x14ac:dyDescent="0.2">
      <c r="A935" s="1">
        <v>41111</v>
      </c>
      <c r="B935">
        <v>203</v>
      </c>
      <c r="C935">
        <v>29.444444444444446</v>
      </c>
      <c r="D935">
        <v>16.666666666666668</v>
      </c>
      <c r="E935">
        <v>22.064444444444447</v>
      </c>
    </row>
    <row r="936" spans="1:5" x14ac:dyDescent="0.2">
      <c r="A936" s="1">
        <v>41112</v>
      </c>
      <c r="B936">
        <v>204</v>
      </c>
      <c r="C936">
        <v>31.111111111111111</v>
      </c>
      <c r="D936">
        <v>20</v>
      </c>
      <c r="E936">
        <v>21.877777777777776</v>
      </c>
    </row>
    <row r="937" spans="1:5" x14ac:dyDescent="0.2">
      <c r="A937" s="1">
        <v>41113</v>
      </c>
      <c r="B937">
        <v>205</v>
      </c>
      <c r="C937">
        <v>31.111111111111111</v>
      </c>
      <c r="D937">
        <v>21.666666666666664</v>
      </c>
      <c r="E937">
        <v>23.522222222222226</v>
      </c>
    </row>
    <row r="938" spans="1:5" x14ac:dyDescent="0.2">
      <c r="A938" s="1">
        <v>41114</v>
      </c>
      <c r="B938">
        <v>206</v>
      </c>
      <c r="C938">
        <v>36.666666666666664</v>
      </c>
      <c r="D938">
        <v>21.666666666666664</v>
      </c>
      <c r="E938">
        <v>21.008888888888887</v>
      </c>
    </row>
    <row r="939" spans="1:5" x14ac:dyDescent="0.2">
      <c r="A939" s="1">
        <v>41115</v>
      </c>
      <c r="B939">
        <v>207</v>
      </c>
      <c r="C939">
        <v>27.222222222222221</v>
      </c>
      <c r="D939">
        <v>18.333333333333332</v>
      </c>
      <c r="E939">
        <v>20.684444444444445</v>
      </c>
    </row>
    <row r="940" spans="1:5" x14ac:dyDescent="0.2">
      <c r="A940" s="1">
        <v>41116</v>
      </c>
      <c r="B940">
        <v>208</v>
      </c>
      <c r="C940">
        <v>36.666666666666664</v>
      </c>
      <c r="D940">
        <v>19.444444444444443</v>
      </c>
      <c r="E940">
        <v>21.106666666666669</v>
      </c>
    </row>
    <row r="941" spans="1:5" x14ac:dyDescent="0.2">
      <c r="A941" s="1">
        <v>41117</v>
      </c>
      <c r="B941">
        <v>209</v>
      </c>
      <c r="C941">
        <v>31.111111111111111</v>
      </c>
      <c r="D941">
        <v>17.777777777777779</v>
      </c>
      <c r="E941">
        <v>20.757777777777772</v>
      </c>
    </row>
    <row r="942" spans="1:5" x14ac:dyDescent="0.2">
      <c r="A942" s="1">
        <v>41118</v>
      </c>
      <c r="B942">
        <v>210</v>
      </c>
      <c r="C942">
        <v>27.222222222222221</v>
      </c>
      <c r="D942">
        <v>14.444444444444445</v>
      </c>
      <c r="E942">
        <v>21.942222222222224</v>
      </c>
    </row>
    <row r="943" spans="1:5" x14ac:dyDescent="0.2">
      <c r="A943" s="1">
        <v>41119</v>
      </c>
      <c r="B943">
        <v>211</v>
      </c>
      <c r="C943">
        <v>27.777777777777779</v>
      </c>
      <c r="D943">
        <v>16.111111111111111</v>
      </c>
      <c r="E943">
        <v>21.31999999999999</v>
      </c>
    </row>
    <row r="944" spans="1:5" x14ac:dyDescent="0.2">
      <c r="A944" s="1">
        <v>41120</v>
      </c>
      <c r="B944">
        <v>212</v>
      </c>
      <c r="C944">
        <v>29.444444444444446</v>
      </c>
      <c r="D944">
        <v>16.666666666666668</v>
      </c>
      <c r="E944">
        <v>21.69777777777778</v>
      </c>
    </row>
    <row r="945" spans="1:5" x14ac:dyDescent="0.2">
      <c r="A945" s="1">
        <v>41121</v>
      </c>
      <c r="B945">
        <v>213</v>
      </c>
      <c r="C945">
        <v>32.222222222222221</v>
      </c>
      <c r="D945">
        <v>18.333333333333332</v>
      </c>
      <c r="E945">
        <v>21.27999999999999</v>
      </c>
    </row>
    <row r="946" spans="1:5" x14ac:dyDescent="0.2">
      <c r="A946" s="1">
        <v>41122</v>
      </c>
      <c r="B946">
        <v>214</v>
      </c>
      <c r="C946">
        <v>30.555555555555554</v>
      </c>
      <c r="D946">
        <v>15</v>
      </c>
      <c r="E946">
        <v>22.631111111111117</v>
      </c>
    </row>
    <row r="947" spans="1:5" x14ac:dyDescent="0.2">
      <c r="A947" s="1">
        <v>41123</v>
      </c>
      <c r="B947">
        <v>215</v>
      </c>
      <c r="C947">
        <v>31.666666666666664</v>
      </c>
      <c r="D947">
        <v>15.555555555555555</v>
      </c>
      <c r="E947">
        <v>21.322222222222216</v>
      </c>
    </row>
    <row r="948" spans="1:5" x14ac:dyDescent="0.2">
      <c r="A948" s="1">
        <v>41124</v>
      </c>
      <c r="B948">
        <v>216</v>
      </c>
      <c r="C948">
        <v>31.111111111111111</v>
      </c>
      <c r="D948">
        <v>19.444444444444443</v>
      </c>
      <c r="E948">
        <v>19.813333333333325</v>
      </c>
    </row>
    <row r="949" spans="1:5" x14ac:dyDescent="0.2">
      <c r="A949" s="1">
        <v>41125</v>
      </c>
      <c r="B949">
        <v>217</v>
      </c>
      <c r="C949">
        <v>32.777777777777779</v>
      </c>
      <c r="D949">
        <v>20</v>
      </c>
      <c r="E949">
        <v>19.868888888888886</v>
      </c>
    </row>
    <row r="950" spans="1:5" x14ac:dyDescent="0.2">
      <c r="A950" s="1">
        <v>41126</v>
      </c>
      <c r="B950">
        <v>218</v>
      </c>
      <c r="C950">
        <v>31.111111111111111</v>
      </c>
      <c r="D950">
        <v>15</v>
      </c>
      <c r="E950">
        <v>20.691111111111113</v>
      </c>
    </row>
    <row r="951" spans="1:5" x14ac:dyDescent="0.2">
      <c r="A951" s="1">
        <v>41127</v>
      </c>
      <c r="B951">
        <v>219</v>
      </c>
      <c r="C951">
        <v>25.555555555555554</v>
      </c>
      <c r="D951">
        <v>10</v>
      </c>
      <c r="E951">
        <v>21.084444444444447</v>
      </c>
    </row>
    <row r="952" spans="1:5" x14ac:dyDescent="0.2">
      <c r="A952" s="1">
        <v>41128</v>
      </c>
      <c r="B952">
        <v>220</v>
      </c>
      <c r="C952">
        <v>27.777777777777779</v>
      </c>
      <c r="D952">
        <v>11.111111111111111</v>
      </c>
      <c r="E952">
        <v>20.291111111111103</v>
      </c>
    </row>
    <row r="953" spans="1:5" x14ac:dyDescent="0.2">
      <c r="A953" s="1">
        <v>41129</v>
      </c>
      <c r="B953">
        <v>221</v>
      </c>
      <c r="C953">
        <v>32.777777777777779</v>
      </c>
      <c r="D953">
        <v>13.888888888888889</v>
      </c>
      <c r="E953">
        <v>20.335555555555551</v>
      </c>
    </row>
    <row r="954" spans="1:5" x14ac:dyDescent="0.2">
      <c r="A954" s="1">
        <v>41130</v>
      </c>
      <c r="B954">
        <v>222</v>
      </c>
      <c r="C954">
        <v>26.111111111111111</v>
      </c>
      <c r="D954">
        <v>15</v>
      </c>
      <c r="E954">
        <v>20.286666666666665</v>
      </c>
    </row>
    <row r="955" spans="1:5" x14ac:dyDescent="0.2">
      <c r="A955" s="1">
        <v>41131</v>
      </c>
      <c r="B955">
        <v>223</v>
      </c>
      <c r="C955">
        <v>19.444444444444443</v>
      </c>
      <c r="D955">
        <v>14.444444444444445</v>
      </c>
      <c r="E955">
        <v>19.695555555555561</v>
      </c>
    </row>
    <row r="956" spans="1:5" x14ac:dyDescent="0.2">
      <c r="A956" s="1">
        <v>41132</v>
      </c>
      <c r="B956">
        <v>224</v>
      </c>
      <c r="C956">
        <v>23.888888888888889</v>
      </c>
      <c r="D956">
        <v>8.8888888888888893</v>
      </c>
      <c r="E956">
        <v>19.864444444444441</v>
      </c>
    </row>
    <row r="957" spans="1:5" x14ac:dyDescent="0.2">
      <c r="A957" s="1">
        <v>41133</v>
      </c>
      <c r="B957">
        <v>225</v>
      </c>
      <c r="C957">
        <v>25</v>
      </c>
      <c r="D957">
        <v>10</v>
      </c>
      <c r="E957">
        <v>19.211111111111116</v>
      </c>
    </row>
    <row r="958" spans="1:5" x14ac:dyDescent="0.2">
      <c r="A958" s="1">
        <v>41134</v>
      </c>
      <c r="B958">
        <v>226</v>
      </c>
      <c r="C958">
        <v>22.222222222222221</v>
      </c>
      <c r="D958">
        <v>15.555555555555555</v>
      </c>
      <c r="E958">
        <v>19.971111111111117</v>
      </c>
    </row>
    <row r="959" spans="1:5" x14ac:dyDescent="0.2">
      <c r="A959" s="1">
        <v>41135</v>
      </c>
      <c r="B959">
        <v>227</v>
      </c>
      <c r="C959">
        <v>25.555555555555554</v>
      </c>
      <c r="D959">
        <v>12.222222222222223</v>
      </c>
      <c r="E959">
        <v>19.895555555555553</v>
      </c>
    </row>
    <row r="960" spans="1:5" x14ac:dyDescent="0.2">
      <c r="A960" s="1">
        <v>41136</v>
      </c>
      <c r="B960">
        <v>228</v>
      </c>
      <c r="C960">
        <v>27.222222222222221</v>
      </c>
      <c r="D960">
        <v>12.777777777777777</v>
      </c>
      <c r="E960">
        <v>19.86</v>
      </c>
    </row>
    <row r="961" spans="1:5" x14ac:dyDescent="0.2">
      <c r="A961" s="1">
        <v>41137</v>
      </c>
      <c r="B961">
        <v>229</v>
      </c>
      <c r="C961">
        <v>29.444444444444446</v>
      </c>
      <c r="D961">
        <v>17.222222222222221</v>
      </c>
      <c r="E961">
        <v>19.584444444444447</v>
      </c>
    </row>
    <row r="962" spans="1:5" x14ac:dyDescent="0.2">
      <c r="A962" s="1">
        <v>41138</v>
      </c>
      <c r="B962">
        <v>230</v>
      </c>
      <c r="C962">
        <v>23.333333333333336</v>
      </c>
      <c r="D962">
        <v>9.4444444444444446</v>
      </c>
      <c r="E962">
        <v>18.513333333333335</v>
      </c>
    </row>
    <row r="963" spans="1:5" x14ac:dyDescent="0.2">
      <c r="A963" s="1">
        <v>41139</v>
      </c>
      <c r="B963">
        <v>231</v>
      </c>
      <c r="C963">
        <v>22.777777777777779</v>
      </c>
      <c r="D963">
        <v>7.7777777777777777</v>
      </c>
      <c r="E963">
        <v>18.513333333333335</v>
      </c>
    </row>
    <row r="964" spans="1:5" x14ac:dyDescent="0.2">
      <c r="A964" s="1">
        <v>41140</v>
      </c>
      <c r="B964">
        <v>232</v>
      </c>
      <c r="C964">
        <v>24.444444444444446</v>
      </c>
      <c r="D964">
        <v>10</v>
      </c>
      <c r="E964">
        <v>20.05777777777778</v>
      </c>
    </row>
    <row r="965" spans="1:5" x14ac:dyDescent="0.2">
      <c r="A965" s="1">
        <v>41141</v>
      </c>
      <c r="B965">
        <v>233</v>
      </c>
      <c r="C965">
        <v>25</v>
      </c>
      <c r="D965">
        <v>10.555555555555555</v>
      </c>
      <c r="E965">
        <v>18.846666666666664</v>
      </c>
    </row>
    <row r="966" spans="1:5" x14ac:dyDescent="0.2">
      <c r="A966" s="1">
        <v>41142</v>
      </c>
      <c r="B966">
        <v>234</v>
      </c>
      <c r="C966">
        <v>25</v>
      </c>
      <c r="D966">
        <v>7.2222222222222223</v>
      </c>
      <c r="E966">
        <v>16.657777777777788</v>
      </c>
    </row>
    <row r="967" spans="1:5" x14ac:dyDescent="0.2">
      <c r="A967" s="1">
        <v>41143</v>
      </c>
      <c r="B967">
        <v>235</v>
      </c>
      <c r="C967">
        <v>26.666666666666664</v>
      </c>
      <c r="D967">
        <v>7.2222222222222223</v>
      </c>
      <c r="E967">
        <v>17.182222222222222</v>
      </c>
    </row>
    <row r="968" spans="1:5" x14ac:dyDescent="0.2">
      <c r="A968" s="1">
        <v>41144</v>
      </c>
      <c r="B968">
        <v>236</v>
      </c>
      <c r="C968">
        <v>30.555555555555554</v>
      </c>
      <c r="D968">
        <v>7.2222222222222223</v>
      </c>
      <c r="E968">
        <v>17.515555555555554</v>
      </c>
    </row>
    <row r="969" spans="1:5" x14ac:dyDescent="0.2">
      <c r="A969" s="1">
        <v>41145</v>
      </c>
      <c r="B969">
        <v>237</v>
      </c>
      <c r="C969">
        <v>33.333333333333336</v>
      </c>
      <c r="D969">
        <v>19.444444444444443</v>
      </c>
      <c r="E969">
        <v>17.753333333333327</v>
      </c>
    </row>
    <row r="970" spans="1:5" x14ac:dyDescent="0.2">
      <c r="A970" s="1">
        <v>41146</v>
      </c>
      <c r="B970">
        <v>238</v>
      </c>
      <c r="C970">
        <v>32.777777777777779</v>
      </c>
      <c r="D970">
        <v>13.333333333333332</v>
      </c>
      <c r="E970">
        <v>17.366666666666664</v>
      </c>
    </row>
    <row r="971" spans="1:5" x14ac:dyDescent="0.2">
      <c r="A971" s="1">
        <v>41147</v>
      </c>
      <c r="B971">
        <v>239</v>
      </c>
      <c r="C971">
        <v>32.222222222222221</v>
      </c>
      <c r="D971">
        <v>19.444444444444443</v>
      </c>
      <c r="E971">
        <v>17.388888888888886</v>
      </c>
    </row>
    <row r="972" spans="1:5" x14ac:dyDescent="0.2">
      <c r="A972" s="1">
        <v>41148</v>
      </c>
      <c r="B972">
        <v>240</v>
      </c>
      <c r="C972">
        <v>25</v>
      </c>
      <c r="D972">
        <v>18.333333333333332</v>
      </c>
      <c r="E972">
        <v>18.282222222222217</v>
      </c>
    </row>
    <row r="973" spans="1:5" x14ac:dyDescent="0.2">
      <c r="A973" s="1">
        <v>41149</v>
      </c>
      <c r="B973">
        <v>241</v>
      </c>
      <c r="C973">
        <v>29.444444444444446</v>
      </c>
      <c r="D973">
        <v>12.777777777777777</v>
      </c>
      <c r="E973">
        <v>19.166666666666675</v>
      </c>
    </row>
    <row r="974" spans="1:5" x14ac:dyDescent="0.2">
      <c r="A974" s="1">
        <v>41150</v>
      </c>
      <c r="B974">
        <v>242</v>
      </c>
      <c r="C974">
        <v>28.333333333333336</v>
      </c>
      <c r="D974">
        <v>13.333333333333332</v>
      </c>
      <c r="E974">
        <v>17.893333333333331</v>
      </c>
    </row>
    <row r="975" spans="1:5" x14ac:dyDescent="0.2">
      <c r="A975" s="1">
        <v>41151</v>
      </c>
      <c r="B975">
        <v>243</v>
      </c>
      <c r="C975">
        <v>31.111111111111111</v>
      </c>
      <c r="D975">
        <v>16.666666666666668</v>
      </c>
      <c r="E975">
        <v>18.108888888888892</v>
      </c>
    </row>
    <row r="976" spans="1:5" x14ac:dyDescent="0.2">
      <c r="A976" s="1">
        <v>41152</v>
      </c>
      <c r="B976">
        <v>244</v>
      </c>
      <c r="C976">
        <v>32.222222222222221</v>
      </c>
      <c r="D976">
        <v>17.777777777777779</v>
      </c>
      <c r="E976">
        <v>18.124444444444446</v>
      </c>
    </row>
    <row r="977" spans="1:5" x14ac:dyDescent="0.2">
      <c r="A977" s="1">
        <v>41153</v>
      </c>
      <c r="B977">
        <v>245</v>
      </c>
      <c r="C977">
        <v>32.222222222222221</v>
      </c>
      <c r="D977">
        <v>17.777777777777779</v>
      </c>
      <c r="E977">
        <v>17.782222222222217</v>
      </c>
    </row>
    <row r="978" spans="1:5" x14ac:dyDescent="0.2">
      <c r="A978" s="1">
        <v>41154</v>
      </c>
      <c r="B978">
        <v>246</v>
      </c>
      <c r="C978">
        <v>27.777777777777779</v>
      </c>
      <c r="D978">
        <v>16.666666666666668</v>
      </c>
      <c r="E978">
        <v>18.233333333333341</v>
      </c>
    </row>
    <row r="979" spans="1:5" x14ac:dyDescent="0.2">
      <c r="A979" s="1">
        <v>41155</v>
      </c>
      <c r="B979">
        <v>247</v>
      </c>
      <c r="C979">
        <v>30.555555555555554</v>
      </c>
      <c r="D979">
        <v>16.111111111111111</v>
      </c>
      <c r="E979">
        <v>17.279999999999994</v>
      </c>
    </row>
    <row r="980" spans="1:5" x14ac:dyDescent="0.2">
      <c r="A980" s="1">
        <v>41156</v>
      </c>
      <c r="B980">
        <v>248</v>
      </c>
      <c r="C980">
        <v>32.222222222222221</v>
      </c>
      <c r="D980">
        <v>17.777777777777779</v>
      </c>
      <c r="E980">
        <v>17.504444444444449</v>
      </c>
    </row>
    <row r="981" spans="1:5" x14ac:dyDescent="0.2">
      <c r="A981" s="1">
        <v>41157</v>
      </c>
      <c r="B981">
        <v>249</v>
      </c>
      <c r="C981">
        <v>33.333333333333336</v>
      </c>
      <c r="D981">
        <v>16.666666666666668</v>
      </c>
      <c r="E981">
        <v>17.331111111111102</v>
      </c>
    </row>
    <row r="982" spans="1:5" x14ac:dyDescent="0.2">
      <c r="A982" s="1">
        <v>41158</v>
      </c>
      <c r="B982">
        <v>250</v>
      </c>
      <c r="C982">
        <v>28.333333333333336</v>
      </c>
      <c r="D982">
        <v>13.333333333333332</v>
      </c>
      <c r="E982">
        <v>16.582222222222228</v>
      </c>
    </row>
    <row r="983" spans="1:5" x14ac:dyDescent="0.2">
      <c r="A983" s="1">
        <v>41159</v>
      </c>
      <c r="B983">
        <v>251</v>
      </c>
      <c r="C983">
        <v>26.666666666666664</v>
      </c>
      <c r="D983">
        <v>13.333333333333332</v>
      </c>
      <c r="E983">
        <v>15.802222222222218</v>
      </c>
    </row>
    <row r="984" spans="1:5" x14ac:dyDescent="0.2">
      <c r="A984" s="1">
        <v>41160</v>
      </c>
      <c r="B984">
        <v>252</v>
      </c>
      <c r="C984">
        <v>20</v>
      </c>
      <c r="D984">
        <v>8.3333333333333339</v>
      </c>
      <c r="E984">
        <v>16.022222222222219</v>
      </c>
    </row>
    <row r="985" spans="1:5" x14ac:dyDescent="0.2">
      <c r="A985" s="1">
        <v>41161</v>
      </c>
      <c r="B985">
        <v>253</v>
      </c>
      <c r="C985">
        <v>22.777777777777779</v>
      </c>
      <c r="D985">
        <v>9.4444444444444446</v>
      </c>
      <c r="E985">
        <v>15.893333333333333</v>
      </c>
    </row>
    <row r="986" spans="1:5" x14ac:dyDescent="0.2">
      <c r="A986" s="1">
        <v>41162</v>
      </c>
      <c r="B986">
        <v>254</v>
      </c>
      <c r="C986">
        <v>21.111111111111111</v>
      </c>
      <c r="D986">
        <v>7.2222222222222223</v>
      </c>
      <c r="E986">
        <v>17.87555555555555</v>
      </c>
    </row>
    <row r="987" spans="1:5" x14ac:dyDescent="0.2">
      <c r="A987" s="1">
        <v>41163</v>
      </c>
      <c r="B987">
        <v>255</v>
      </c>
      <c r="C987">
        <v>25.555555555555554</v>
      </c>
      <c r="D987">
        <v>7.2222222222222223</v>
      </c>
      <c r="E987">
        <v>15.27777777777778</v>
      </c>
    </row>
    <row r="988" spans="1:5" x14ac:dyDescent="0.2">
      <c r="A988" s="1">
        <v>41164</v>
      </c>
      <c r="B988">
        <v>256</v>
      </c>
      <c r="C988">
        <v>30</v>
      </c>
      <c r="D988">
        <v>12.222222222222223</v>
      </c>
      <c r="E988">
        <v>14.684444444444448</v>
      </c>
    </row>
    <row r="989" spans="1:5" x14ac:dyDescent="0.2">
      <c r="A989" s="1">
        <v>41165</v>
      </c>
      <c r="B989">
        <v>257</v>
      </c>
      <c r="C989">
        <v>30.555555555555554</v>
      </c>
      <c r="D989">
        <v>11.666666666666668</v>
      </c>
      <c r="E989">
        <v>14.008888888888889</v>
      </c>
    </row>
    <row r="990" spans="1:5" x14ac:dyDescent="0.2">
      <c r="A990" s="1">
        <v>41166</v>
      </c>
      <c r="B990">
        <v>258</v>
      </c>
      <c r="C990">
        <v>15.555555555555555</v>
      </c>
      <c r="D990">
        <v>6.1111111111111116</v>
      </c>
      <c r="E990">
        <v>14.540000000000001</v>
      </c>
    </row>
    <row r="991" spans="1:5" x14ac:dyDescent="0.2">
      <c r="A991" s="1">
        <v>41167</v>
      </c>
      <c r="B991">
        <v>259</v>
      </c>
      <c r="C991">
        <v>24.444444444444446</v>
      </c>
      <c r="D991">
        <v>4.4444444444444446</v>
      </c>
      <c r="E991">
        <v>14.833333333333339</v>
      </c>
    </row>
    <row r="992" spans="1:5" x14ac:dyDescent="0.2">
      <c r="A992" s="1">
        <v>41168</v>
      </c>
      <c r="B992">
        <v>260</v>
      </c>
      <c r="C992">
        <v>27.222222222222221</v>
      </c>
      <c r="D992">
        <v>7.2222222222222223</v>
      </c>
      <c r="E992">
        <v>14.604444444444445</v>
      </c>
    </row>
    <row r="993" spans="1:5" x14ac:dyDescent="0.2">
      <c r="A993" s="1">
        <v>41169</v>
      </c>
      <c r="B993">
        <v>261</v>
      </c>
      <c r="C993">
        <v>25</v>
      </c>
      <c r="D993">
        <v>11.666666666666668</v>
      </c>
      <c r="E993">
        <v>14.57555555555556</v>
      </c>
    </row>
    <row r="994" spans="1:5" x14ac:dyDescent="0.2">
      <c r="A994" s="1">
        <v>41170</v>
      </c>
      <c r="B994">
        <v>262</v>
      </c>
      <c r="C994">
        <v>22.222222222222221</v>
      </c>
      <c r="D994">
        <v>3.333333333333333</v>
      </c>
      <c r="E994">
        <v>13.008888888888889</v>
      </c>
    </row>
    <row r="995" spans="1:5" x14ac:dyDescent="0.2">
      <c r="A995" s="1">
        <v>41171</v>
      </c>
      <c r="B995">
        <v>263</v>
      </c>
      <c r="C995">
        <v>16.666666666666668</v>
      </c>
      <c r="D995">
        <v>-1.6666666666666665</v>
      </c>
      <c r="E995">
        <v>13.331111111111113</v>
      </c>
    </row>
    <row r="996" spans="1:5" x14ac:dyDescent="0.2">
      <c r="A996" s="1">
        <v>41172</v>
      </c>
      <c r="B996">
        <v>264</v>
      </c>
      <c r="C996">
        <v>25</v>
      </c>
      <c r="D996">
        <v>5</v>
      </c>
      <c r="E996">
        <v>13.533333333333333</v>
      </c>
    </row>
    <row r="997" spans="1:5" x14ac:dyDescent="0.2">
      <c r="A997" s="1">
        <v>41173</v>
      </c>
      <c r="B997">
        <v>265</v>
      </c>
      <c r="C997">
        <v>20</v>
      </c>
      <c r="D997">
        <v>2.7777777777777777</v>
      </c>
      <c r="E997">
        <v>13.317777777777776</v>
      </c>
    </row>
    <row r="998" spans="1:5" x14ac:dyDescent="0.2">
      <c r="A998" s="1">
        <v>41174</v>
      </c>
      <c r="B998">
        <v>266</v>
      </c>
      <c r="C998">
        <v>17.222222222222221</v>
      </c>
      <c r="D998">
        <v>3.333333333333333</v>
      </c>
      <c r="E998">
        <v>13.562222222222227</v>
      </c>
    </row>
    <row r="999" spans="1:5" x14ac:dyDescent="0.2">
      <c r="A999" s="1">
        <v>41175</v>
      </c>
      <c r="B999">
        <v>267</v>
      </c>
      <c r="C999">
        <v>11.111111111111111</v>
      </c>
      <c r="D999">
        <v>3.333333333333333</v>
      </c>
      <c r="E999">
        <v>13.764444444444443</v>
      </c>
    </row>
    <row r="1000" spans="1:5" x14ac:dyDescent="0.2">
      <c r="A1000" s="1">
        <v>41176</v>
      </c>
      <c r="B1000">
        <v>268</v>
      </c>
      <c r="C1000">
        <v>15.555555555555555</v>
      </c>
      <c r="D1000">
        <v>-1.6666666666666665</v>
      </c>
      <c r="E1000">
        <v>13.388888888888891</v>
      </c>
    </row>
    <row r="1001" spans="1:5" x14ac:dyDescent="0.2">
      <c r="A1001" s="1">
        <v>41177</v>
      </c>
      <c r="B1001">
        <v>269</v>
      </c>
      <c r="C1001">
        <v>22.777777777777779</v>
      </c>
      <c r="D1001">
        <v>-2.2222222222222223</v>
      </c>
      <c r="E1001">
        <v>13.502222222222223</v>
      </c>
    </row>
    <row r="1002" spans="1:5" x14ac:dyDescent="0.2">
      <c r="A1002" s="1">
        <v>41178</v>
      </c>
      <c r="B1002">
        <v>270</v>
      </c>
      <c r="C1002">
        <v>27.222222222222221</v>
      </c>
      <c r="D1002">
        <v>2.2222222222222223</v>
      </c>
      <c r="E1002">
        <v>14.011111111111109</v>
      </c>
    </row>
    <row r="1003" spans="1:5" x14ac:dyDescent="0.2">
      <c r="A1003" s="1">
        <v>41179</v>
      </c>
      <c r="B1003">
        <v>271</v>
      </c>
      <c r="C1003">
        <v>18.888888888888889</v>
      </c>
      <c r="D1003">
        <v>-0.55555555555555558</v>
      </c>
      <c r="E1003">
        <v>12.597777777777782</v>
      </c>
    </row>
    <row r="1004" spans="1:5" x14ac:dyDescent="0.2">
      <c r="A1004" s="1">
        <v>41180</v>
      </c>
      <c r="B1004">
        <v>272</v>
      </c>
      <c r="C1004">
        <v>19.444444444444443</v>
      </c>
      <c r="D1004">
        <v>-0.55555555555555558</v>
      </c>
      <c r="E1004">
        <v>13.12666666666667</v>
      </c>
    </row>
    <row r="1005" spans="1:5" x14ac:dyDescent="0.2">
      <c r="A1005" s="1">
        <v>41181</v>
      </c>
      <c r="B1005">
        <v>273</v>
      </c>
      <c r="C1005">
        <v>23.333333333333336</v>
      </c>
      <c r="D1005">
        <v>1.1111111111111112</v>
      </c>
      <c r="E1005">
        <v>13.026666666666667</v>
      </c>
    </row>
    <row r="1006" spans="1:5" x14ac:dyDescent="0.2">
      <c r="A1006" s="1">
        <v>41182</v>
      </c>
      <c r="B1006">
        <v>274</v>
      </c>
      <c r="C1006">
        <v>26.111111111111111</v>
      </c>
      <c r="D1006">
        <v>1.6666666666666665</v>
      </c>
      <c r="E1006">
        <v>13.155555555555559</v>
      </c>
    </row>
    <row r="1007" spans="1:5" x14ac:dyDescent="0.2">
      <c r="A1007" s="1">
        <v>41183</v>
      </c>
      <c r="B1007">
        <v>275</v>
      </c>
      <c r="C1007">
        <v>21.111111111111111</v>
      </c>
      <c r="D1007">
        <v>1.6666666666666665</v>
      </c>
      <c r="E1007">
        <v>13.037777777777777</v>
      </c>
    </row>
    <row r="1008" spans="1:5" x14ac:dyDescent="0.2">
      <c r="A1008" s="1">
        <v>41184</v>
      </c>
      <c r="B1008">
        <v>276</v>
      </c>
      <c r="C1008">
        <v>20</v>
      </c>
      <c r="D1008">
        <v>2.2222222222222223</v>
      </c>
      <c r="E1008">
        <v>12.082222222222223</v>
      </c>
    </row>
    <row r="1009" spans="1:5" x14ac:dyDescent="0.2">
      <c r="A1009" s="1">
        <v>41185</v>
      </c>
      <c r="B1009">
        <v>277</v>
      </c>
      <c r="C1009">
        <v>22.222222222222221</v>
      </c>
      <c r="D1009">
        <v>2.2222222222222223</v>
      </c>
      <c r="E1009">
        <v>12.068888888888893</v>
      </c>
    </row>
    <row r="1010" spans="1:5" x14ac:dyDescent="0.2">
      <c r="A1010" s="1">
        <v>41186</v>
      </c>
      <c r="B1010">
        <v>278</v>
      </c>
      <c r="C1010">
        <v>23.888888888888889</v>
      </c>
      <c r="D1010">
        <v>3.8888888888888888</v>
      </c>
      <c r="E1010">
        <v>12.471111111111115</v>
      </c>
    </row>
    <row r="1011" spans="1:5" x14ac:dyDescent="0.2">
      <c r="A1011" s="1">
        <v>41187</v>
      </c>
      <c r="B1011">
        <v>279</v>
      </c>
      <c r="C1011">
        <v>18.333333333333332</v>
      </c>
      <c r="D1011">
        <v>0</v>
      </c>
      <c r="E1011">
        <v>11.631111111111114</v>
      </c>
    </row>
    <row r="1012" spans="1:5" x14ac:dyDescent="0.2">
      <c r="A1012" s="1">
        <v>41188</v>
      </c>
      <c r="B1012">
        <v>280</v>
      </c>
      <c r="C1012">
        <v>10</v>
      </c>
      <c r="D1012">
        <v>-0.55555555555555558</v>
      </c>
      <c r="E1012">
        <v>11.757777777777779</v>
      </c>
    </row>
    <row r="1013" spans="1:5" x14ac:dyDescent="0.2">
      <c r="A1013" s="1">
        <v>41189</v>
      </c>
      <c r="B1013">
        <v>281</v>
      </c>
      <c r="C1013">
        <v>8.8888888888888893</v>
      </c>
      <c r="D1013">
        <v>-0.55555555555555558</v>
      </c>
      <c r="E1013">
        <v>10.711111111111109</v>
      </c>
    </row>
    <row r="1014" spans="1:5" x14ac:dyDescent="0.2">
      <c r="A1014" s="1">
        <v>41190</v>
      </c>
      <c r="B1014">
        <v>282</v>
      </c>
      <c r="C1014">
        <v>11.666666666666668</v>
      </c>
      <c r="D1014">
        <v>-4.4444444444444446</v>
      </c>
      <c r="E1014">
        <v>11.008888888888887</v>
      </c>
    </row>
    <row r="1015" spans="1:5" x14ac:dyDescent="0.2">
      <c r="A1015" s="1">
        <v>41191</v>
      </c>
      <c r="B1015">
        <v>283</v>
      </c>
      <c r="C1015">
        <v>16.111111111111111</v>
      </c>
      <c r="D1015">
        <v>-2.7777777777777777</v>
      </c>
      <c r="E1015">
        <v>11.120000000000003</v>
      </c>
    </row>
    <row r="1016" spans="1:5" x14ac:dyDescent="0.2">
      <c r="A1016" s="1">
        <v>41192</v>
      </c>
      <c r="B1016">
        <v>284</v>
      </c>
      <c r="C1016">
        <v>15.555555555555555</v>
      </c>
      <c r="D1016">
        <v>-2.2222222222222223</v>
      </c>
      <c r="E1016">
        <v>11.48</v>
      </c>
    </row>
    <row r="1017" spans="1:5" x14ac:dyDescent="0.2">
      <c r="A1017" s="1">
        <v>41193</v>
      </c>
      <c r="B1017">
        <v>285</v>
      </c>
      <c r="C1017">
        <v>10</v>
      </c>
      <c r="D1017">
        <v>-2.2222222222222223</v>
      </c>
      <c r="E1017">
        <v>10.637777777777782</v>
      </c>
    </row>
    <row r="1018" spans="1:5" x14ac:dyDescent="0.2">
      <c r="A1018" s="1">
        <v>41194</v>
      </c>
      <c r="B1018">
        <v>286</v>
      </c>
      <c r="C1018">
        <v>15.555555555555555</v>
      </c>
      <c r="D1018">
        <v>-6.1111111111111116</v>
      </c>
      <c r="E1018">
        <v>10.895555555555555</v>
      </c>
    </row>
    <row r="1019" spans="1:5" x14ac:dyDescent="0.2">
      <c r="A1019" s="1">
        <v>41195</v>
      </c>
      <c r="B1019">
        <v>287</v>
      </c>
      <c r="C1019">
        <v>11.666666666666668</v>
      </c>
      <c r="D1019">
        <v>-2.7777777777777777</v>
      </c>
      <c r="E1019">
        <v>10.784444444444448</v>
      </c>
    </row>
    <row r="1020" spans="1:5" x14ac:dyDescent="0.2">
      <c r="A1020" s="1">
        <v>41196</v>
      </c>
      <c r="B1020">
        <v>288</v>
      </c>
      <c r="C1020">
        <v>17.222222222222221</v>
      </c>
      <c r="D1020">
        <v>9.4444444444444446</v>
      </c>
      <c r="E1020">
        <v>10.637777777777782</v>
      </c>
    </row>
    <row r="1021" spans="1:5" x14ac:dyDescent="0.2">
      <c r="A1021" s="1">
        <v>41197</v>
      </c>
      <c r="B1021">
        <v>289</v>
      </c>
      <c r="C1021">
        <v>9.4444444444444446</v>
      </c>
      <c r="D1021">
        <v>3.333333333333333</v>
      </c>
      <c r="E1021">
        <v>10.64666666666667</v>
      </c>
    </row>
    <row r="1022" spans="1:5" x14ac:dyDescent="0.2">
      <c r="A1022" s="1">
        <v>41198</v>
      </c>
      <c r="B1022">
        <v>290</v>
      </c>
      <c r="C1022">
        <v>15.555555555555555</v>
      </c>
      <c r="D1022">
        <v>2.2222222222222223</v>
      </c>
      <c r="E1022">
        <v>10.311111111111112</v>
      </c>
    </row>
    <row r="1023" spans="1:5" x14ac:dyDescent="0.2">
      <c r="A1023" s="1">
        <v>41199</v>
      </c>
      <c r="B1023">
        <v>291</v>
      </c>
      <c r="C1023">
        <v>20.555555555555554</v>
      </c>
      <c r="D1023">
        <v>7.2222222222222223</v>
      </c>
      <c r="E1023">
        <v>9.4244444444444415</v>
      </c>
    </row>
    <row r="1024" spans="1:5" x14ac:dyDescent="0.2">
      <c r="A1024" s="1">
        <v>41200</v>
      </c>
      <c r="B1024">
        <v>292</v>
      </c>
      <c r="C1024">
        <v>18.333333333333332</v>
      </c>
      <c r="D1024">
        <v>7.7777777777777777</v>
      </c>
      <c r="E1024">
        <v>9.5977777777777806</v>
      </c>
    </row>
    <row r="1025" spans="1:5" x14ac:dyDescent="0.2">
      <c r="A1025" s="1">
        <v>41201</v>
      </c>
      <c r="B1025">
        <v>293</v>
      </c>
      <c r="C1025">
        <v>7.7777777777777777</v>
      </c>
      <c r="D1025">
        <v>5.5555555555555554</v>
      </c>
      <c r="E1025">
        <v>9.0800000000000036</v>
      </c>
    </row>
    <row r="1026" spans="1:5" x14ac:dyDescent="0.2">
      <c r="A1026" s="1">
        <v>41202</v>
      </c>
      <c r="B1026">
        <v>294</v>
      </c>
      <c r="C1026">
        <v>10</v>
      </c>
      <c r="D1026">
        <v>0.55555555555555558</v>
      </c>
      <c r="E1026">
        <v>8.8311111111111114</v>
      </c>
    </row>
    <row r="1027" spans="1:5" x14ac:dyDescent="0.2">
      <c r="A1027" s="1">
        <v>41203</v>
      </c>
      <c r="B1027">
        <v>295</v>
      </c>
      <c r="C1027">
        <v>19.444444444444443</v>
      </c>
      <c r="D1027">
        <v>0.55555555555555558</v>
      </c>
      <c r="E1027">
        <v>8.6733333333333285</v>
      </c>
    </row>
    <row r="1028" spans="1:5" x14ac:dyDescent="0.2">
      <c r="A1028" s="1">
        <v>41204</v>
      </c>
      <c r="B1028">
        <v>296</v>
      </c>
      <c r="C1028">
        <v>20</v>
      </c>
      <c r="D1028">
        <v>0.55555555555555558</v>
      </c>
      <c r="E1028">
        <v>7.8955555555555543</v>
      </c>
    </row>
    <row r="1029" spans="1:5" x14ac:dyDescent="0.2">
      <c r="A1029" s="1">
        <v>41205</v>
      </c>
      <c r="B1029">
        <v>297</v>
      </c>
      <c r="C1029">
        <v>15.555555555555555</v>
      </c>
      <c r="D1029">
        <v>10.555555555555555</v>
      </c>
      <c r="E1029">
        <v>8.4711111111111119</v>
      </c>
    </row>
    <row r="1030" spans="1:5" x14ac:dyDescent="0.2">
      <c r="A1030" s="1">
        <v>41206</v>
      </c>
      <c r="B1030">
        <v>298</v>
      </c>
      <c r="C1030">
        <v>18.888888888888889</v>
      </c>
      <c r="D1030">
        <v>12.777777777777777</v>
      </c>
      <c r="E1030">
        <v>8.9599999999999991</v>
      </c>
    </row>
    <row r="1031" spans="1:5" x14ac:dyDescent="0.2">
      <c r="A1031" s="1">
        <v>41207</v>
      </c>
      <c r="B1031">
        <v>299</v>
      </c>
      <c r="C1031">
        <v>25</v>
      </c>
      <c r="D1031">
        <v>15.555555555555555</v>
      </c>
      <c r="E1031">
        <v>9.0155555555555544</v>
      </c>
    </row>
    <row r="1032" spans="1:5" x14ac:dyDescent="0.2">
      <c r="A1032" s="1">
        <v>41208</v>
      </c>
      <c r="B1032">
        <v>300</v>
      </c>
      <c r="C1032">
        <v>21.666666666666664</v>
      </c>
      <c r="D1032">
        <v>1.1111111111111112</v>
      </c>
      <c r="E1032">
        <v>8.5622222222222231</v>
      </c>
    </row>
    <row r="1033" spans="1:5" x14ac:dyDescent="0.2">
      <c r="A1033" s="1">
        <v>41209</v>
      </c>
      <c r="B1033">
        <v>301</v>
      </c>
      <c r="C1033">
        <v>8.3333333333333339</v>
      </c>
      <c r="D1033">
        <v>-3.8888888888888888</v>
      </c>
      <c r="E1033">
        <v>9.3444444444444468</v>
      </c>
    </row>
    <row r="1034" spans="1:5" x14ac:dyDescent="0.2">
      <c r="A1034" s="1">
        <v>41210</v>
      </c>
      <c r="B1034">
        <v>302</v>
      </c>
      <c r="C1034">
        <v>7.2222222222222223</v>
      </c>
      <c r="D1034">
        <v>-5.5555555555555554</v>
      </c>
      <c r="E1034">
        <v>8.6866666666666656</v>
      </c>
    </row>
    <row r="1035" spans="1:5" x14ac:dyDescent="0.2">
      <c r="A1035" s="1">
        <v>41211</v>
      </c>
      <c r="B1035">
        <v>303</v>
      </c>
      <c r="C1035">
        <v>8.3333333333333339</v>
      </c>
      <c r="D1035">
        <v>-6.1111111111111116</v>
      </c>
      <c r="E1035">
        <v>8.1999999999999975</v>
      </c>
    </row>
    <row r="1036" spans="1:5" x14ac:dyDescent="0.2">
      <c r="A1036" s="1">
        <v>41212</v>
      </c>
      <c r="B1036">
        <v>304</v>
      </c>
      <c r="C1036">
        <v>10</v>
      </c>
      <c r="D1036">
        <v>-6.1111111111111116</v>
      </c>
      <c r="E1036">
        <v>7.120000000000001</v>
      </c>
    </row>
    <row r="1037" spans="1:5" x14ac:dyDescent="0.2">
      <c r="A1037" s="1">
        <v>41213</v>
      </c>
      <c r="B1037">
        <v>305</v>
      </c>
      <c r="C1037">
        <v>8.8888888888888893</v>
      </c>
      <c r="D1037">
        <v>-3.333333333333333</v>
      </c>
      <c r="E1037">
        <v>6.913333333333334</v>
      </c>
    </row>
    <row r="1038" spans="1:5" x14ac:dyDescent="0.2">
      <c r="A1038" s="1">
        <v>41214</v>
      </c>
      <c r="B1038">
        <v>306</v>
      </c>
      <c r="C1038">
        <v>8.8888888888888893</v>
      </c>
      <c r="D1038">
        <v>-3.333333333333333</v>
      </c>
      <c r="E1038">
        <v>7.6555555555555559</v>
      </c>
    </row>
    <row r="1039" spans="1:5" x14ac:dyDescent="0.2">
      <c r="A1039" s="1">
        <v>41215</v>
      </c>
      <c r="B1039">
        <v>307</v>
      </c>
      <c r="C1039">
        <v>11.666666666666668</v>
      </c>
      <c r="D1039">
        <v>-1.6666666666666665</v>
      </c>
      <c r="E1039">
        <v>7.1822222222222205</v>
      </c>
    </row>
    <row r="1040" spans="1:5" x14ac:dyDescent="0.2">
      <c r="A1040" s="1">
        <v>41216</v>
      </c>
      <c r="B1040">
        <v>308</v>
      </c>
      <c r="C1040">
        <v>7.2222222222222223</v>
      </c>
      <c r="D1040">
        <v>-5</v>
      </c>
      <c r="E1040">
        <v>7.5955555555555545</v>
      </c>
    </row>
    <row r="1041" spans="1:5" x14ac:dyDescent="0.2">
      <c r="A1041" s="1">
        <v>41217</v>
      </c>
      <c r="B1041">
        <v>309</v>
      </c>
      <c r="C1041">
        <v>7.2222222222222223</v>
      </c>
      <c r="D1041">
        <v>-2.2222222222222223</v>
      </c>
      <c r="E1041">
        <v>6.7955555555555573</v>
      </c>
    </row>
    <row r="1042" spans="1:5" x14ac:dyDescent="0.2">
      <c r="A1042" s="1">
        <v>41218</v>
      </c>
      <c r="B1042">
        <v>310</v>
      </c>
      <c r="C1042">
        <v>8.8888888888888893</v>
      </c>
      <c r="D1042">
        <v>-7.2222222222222223</v>
      </c>
      <c r="E1042">
        <v>6.6288888888888904</v>
      </c>
    </row>
    <row r="1043" spans="1:5" x14ac:dyDescent="0.2">
      <c r="A1043" s="1">
        <v>41219</v>
      </c>
      <c r="B1043">
        <v>311</v>
      </c>
      <c r="C1043">
        <v>6.6666666666666661</v>
      </c>
      <c r="D1043">
        <v>-7.2222222222222223</v>
      </c>
      <c r="E1043">
        <v>7.4622222222222225</v>
      </c>
    </row>
    <row r="1044" spans="1:5" x14ac:dyDescent="0.2">
      <c r="A1044" s="1">
        <v>41220</v>
      </c>
      <c r="B1044">
        <v>312</v>
      </c>
      <c r="C1044">
        <v>2.7777777777777777</v>
      </c>
      <c r="D1044">
        <v>0</v>
      </c>
      <c r="E1044">
        <v>6.4088888888888897</v>
      </c>
    </row>
    <row r="1045" spans="1:5" x14ac:dyDescent="0.2">
      <c r="A1045" s="1">
        <v>41221</v>
      </c>
      <c r="B1045">
        <v>313</v>
      </c>
      <c r="C1045">
        <v>4.4444444444444446</v>
      </c>
      <c r="D1045">
        <v>-1.1111111111111112</v>
      </c>
      <c r="E1045">
        <v>6.8622222222222238</v>
      </c>
    </row>
    <row r="1046" spans="1:5" x14ac:dyDescent="0.2">
      <c r="A1046" s="1">
        <v>41222</v>
      </c>
      <c r="B1046">
        <v>314</v>
      </c>
      <c r="C1046">
        <v>10</v>
      </c>
      <c r="D1046">
        <v>-0.55555555555555558</v>
      </c>
      <c r="E1046">
        <v>6.8200000000000012</v>
      </c>
    </row>
    <row r="1047" spans="1:5" x14ac:dyDescent="0.2">
      <c r="A1047" s="1">
        <v>41223</v>
      </c>
      <c r="B1047">
        <v>315</v>
      </c>
      <c r="C1047">
        <v>19.444444444444443</v>
      </c>
      <c r="D1047">
        <v>0.55555555555555558</v>
      </c>
      <c r="E1047">
        <v>7.075555555555554</v>
      </c>
    </row>
    <row r="1048" spans="1:5" x14ac:dyDescent="0.2">
      <c r="A1048" s="1">
        <v>41224</v>
      </c>
      <c r="B1048">
        <v>316</v>
      </c>
      <c r="C1048">
        <v>19.444444444444443</v>
      </c>
      <c r="D1048">
        <v>15</v>
      </c>
      <c r="E1048">
        <v>6.7977777777777781</v>
      </c>
    </row>
    <row r="1049" spans="1:5" x14ac:dyDescent="0.2">
      <c r="A1049" s="1">
        <v>41225</v>
      </c>
      <c r="B1049">
        <v>317</v>
      </c>
      <c r="C1049">
        <v>16.111111111111111</v>
      </c>
      <c r="D1049">
        <v>-4.4444444444444446</v>
      </c>
      <c r="E1049">
        <v>6.2888888888888914</v>
      </c>
    </row>
    <row r="1050" spans="1:5" x14ac:dyDescent="0.2">
      <c r="A1050" s="1">
        <v>41226</v>
      </c>
      <c r="B1050">
        <v>318</v>
      </c>
      <c r="C1050">
        <v>-2.2222222222222223</v>
      </c>
      <c r="D1050">
        <v>-7.2222222222222223</v>
      </c>
      <c r="E1050">
        <v>6.3822222222222242</v>
      </c>
    </row>
    <row r="1051" spans="1:5" x14ac:dyDescent="0.2">
      <c r="A1051" s="1">
        <v>41227</v>
      </c>
      <c r="B1051">
        <v>319</v>
      </c>
      <c r="C1051">
        <v>4.4444444444444446</v>
      </c>
      <c r="D1051">
        <v>-7.2222222222222223</v>
      </c>
      <c r="E1051">
        <v>5.5888888888888895</v>
      </c>
    </row>
    <row r="1052" spans="1:5" x14ac:dyDescent="0.2">
      <c r="A1052" s="1">
        <v>41228</v>
      </c>
      <c r="B1052">
        <v>320</v>
      </c>
      <c r="C1052">
        <v>9.4444444444444446</v>
      </c>
      <c r="D1052">
        <v>-2.2222222222222223</v>
      </c>
      <c r="E1052">
        <v>6.2133333333333303</v>
      </c>
    </row>
    <row r="1053" spans="1:5" x14ac:dyDescent="0.2">
      <c r="A1053" s="1">
        <v>41229</v>
      </c>
      <c r="B1053">
        <v>321</v>
      </c>
      <c r="C1053">
        <v>12.222222222222223</v>
      </c>
      <c r="D1053">
        <v>-5</v>
      </c>
      <c r="E1053">
        <v>6.3666666666666654</v>
      </c>
    </row>
    <row r="1054" spans="1:5" x14ac:dyDescent="0.2">
      <c r="A1054" s="1">
        <v>41230</v>
      </c>
      <c r="B1054">
        <v>322</v>
      </c>
      <c r="C1054">
        <v>8.8888888888888893</v>
      </c>
      <c r="D1054">
        <v>-6.1111111111111116</v>
      </c>
      <c r="E1054">
        <v>6.0955555555555545</v>
      </c>
    </row>
    <row r="1055" spans="1:5" x14ac:dyDescent="0.2">
      <c r="A1055" s="1">
        <v>41231</v>
      </c>
      <c r="B1055">
        <v>323</v>
      </c>
      <c r="C1055">
        <v>11.666666666666668</v>
      </c>
      <c r="D1055">
        <v>-5</v>
      </c>
      <c r="E1055">
        <v>5.8177777777777795</v>
      </c>
    </row>
    <row r="1056" spans="1:5" x14ac:dyDescent="0.2">
      <c r="A1056" s="1">
        <v>41232</v>
      </c>
      <c r="B1056">
        <v>324</v>
      </c>
      <c r="C1056">
        <v>15</v>
      </c>
      <c r="D1056">
        <v>-1.1111111111111112</v>
      </c>
      <c r="E1056">
        <v>5.0466666666666669</v>
      </c>
    </row>
    <row r="1057" spans="1:5" x14ac:dyDescent="0.2">
      <c r="A1057" s="1">
        <v>41233</v>
      </c>
      <c r="B1057">
        <v>325</v>
      </c>
      <c r="C1057">
        <v>11.666666666666668</v>
      </c>
      <c r="D1057">
        <v>3.8888888888888888</v>
      </c>
      <c r="E1057">
        <v>6.0044444444444434</v>
      </c>
    </row>
    <row r="1058" spans="1:5" x14ac:dyDescent="0.2">
      <c r="A1058" s="1">
        <v>41234</v>
      </c>
      <c r="B1058">
        <v>326</v>
      </c>
      <c r="C1058">
        <v>13.333333333333332</v>
      </c>
      <c r="D1058">
        <v>0</v>
      </c>
      <c r="E1058">
        <v>6.1799999999999979</v>
      </c>
    </row>
    <row r="1059" spans="1:5" x14ac:dyDescent="0.2">
      <c r="A1059" s="1">
        <v>41235</v>
      </c>
      <c r="B1059">
        <v>327</v>
      </c>
      <c r="C1059">
        <v>14.444444444444445</v>
      </c>
      <c r="D1059">
        <v>-0.55555555555555558</v>
      </c>
      <c r="E1059">
        <v>5.3200000000000021</v>
      </c>
    </row>
    <row r="1060" spans="1:5" x14ac:dyDescent="0.2">
      <c r="A1060" s="1">
        <v>41236</v>
      </c>
      <c r="B1060">
        <v>328</v>
      </c>
      <c r="C1060">
        <v>16.666666666666668</v>
      </c>
      <c r="D1060">
        <v>-3.333333333333333</v>
      </c>
      <c r="E1060">
        <v>5.6422222222222205</v>
      </c>
    </row>
    <row r="1061" spans="1:5" x14ac:dyDescent="0.2">
      <c r="A1061" s="1">
        <v>41237</v>
      </c>
      <c r="B1061">
        <v>329</v>
      </c>
      <c r="C1061">
        <v>-1.1111111111111112</v>
      </c>
      <c r="D1061">
        <v>-6.1111111111111116</v>
      </c>
      <c r="E1061">
        <v>5.8155555555555578</v>
      </c>
    </row>
    <row r="1062" spans="1:5" x14ac:dyDescent="0.2">
      <c r="A1062" s="1">
        <v>41238</v>
      </c>
      <c r="B1062">
        <v>330</v>
      </c>
      <c r="C1062">
        <v>2.2222222222222223</v>
      </c>
      <c r="D1062">
        <v>-8.8888888888888893</v>
      </c>
      <c r="E1062">
        <v>4.8911111111111119</v>
      </c>
    </row>
    <row r="1063" spans="1:5" x14ac:dyDescent="0.2">
      <c r="A1063" s="1">
        <v>41239</v>
      </c>
      <c r="B1063">
        <v>331</v>
      </c>
      <c r="C1063">
        <v>3.333333333333333</v>
      </c>
      <c r="D1063">
        <v>-7.7777777777777777</v>
      </c>
      <c r="E1063">
        <v>4.6599999999999984</v>
      </c>
    </row>
    <row r="1064" spans="1:5" x14ac:dyDescent="0.2">
      <c r="A1064" s="1">
        <v>41240</v>
      </c>
      <c r="B1064">
        <v>332</v>
      </c>
      <c r="C1064">
        <v>-1.1111111111111112</v>
      </c>
      <c r="D1064">
        <v>-13.888888888888889</v>
      </c>
      <c r="E1064">
        <v>5.6022222222222222</v>
      </c>
    </row>
    <row r="1065" spans="1:5" x14ac:dyDescent="0.2">
      <c r="A1065" s="1">
        <v>41241</v>
      </c>
      <c r="B1065">
        <v>333</v>
      </c>
      <c r="C1065">
        <v>-0.55555555555555558</v>
      </c>
      <c r="D1065">
        <v>-12.777777777777777</v>
      </c>
      <c r="E1065">
        <v>5.1000000000000005</v>
      </c>
    </row>
    <row r="1066" spans="1:5" x14ac:dyDescent="0.2">
      <c r="A1066" s="1">
        <v>41242</v>
      </c>
      <c r="B1066">
        <v>334</v>
      </c>
      <c r="C1066">
        <v>5</v>
      </c>
      <c r="D1066">
        <v>-10</v>
      </c>
      <c r="E1066">
        <v>5.0266666666666673</v>
      </c>
    </row>
    <row r="1067" spans="1:5" x14ac:dyDescent="0.2">
      <c r="A1067" s="1">
        <v>41243</v>
      </c>
      <c r="B1067">
        <v>335</v>
      </c>
      <c r="C1067">
        <v>10.555555555555555</v>
      </c>
      <c r="D1067">
        <v>-5</v>
      </c>
      <c r="E1067">
        <v>5.1866666666666648</v>
      </c>
    </row>
    <row r="1068" spans="1:5" x14ac:dyDescent="0.2">
      <c r="A1068" s="1">
        <v>41244</v>
      </c>
      <c r="B1068">
        <v>336</v>
      </c>
      <c r="C1068">
        <v>4.4444444444444446</v>
      </c>
      <c r="D1068">
        <v>2.2222222222222223</v>
      </c>
      <c r="E1068">
        <v>5.5222222222222221</v>
      </c>
    </row>
    <row r="1069" spans="1:5" x14ac:dyDescent="0.2">
      <c r="A1069" s="1">
        <v>41245</v>
      </c>
      <c r="B1069">
        <v>337</v>
      </c>
      <c r="C1069">
        <v>11.111111111111111</v>
      </c>
      <c r="D1069">
        <v>2.2222222222222223</v>
      </c>
      <c r="E1069">
        <v>4.9666666666666659</v>
      </c>
    </row>
    <row r="1070" spans="1:5" x14ac:dyDescent="0.2">
      <c r="A1070" s="1">
        <v>41246</v>
      </c>
      <c r="B1070">
        <v>338</v>
      </c>
      <c r="C1070">
        <v>12.222222222222223</v>
      </c>
      <c r="D1070">
        <v>5</v>
      </c>
      <c r="E1070">
        <v>5.1911111111111108</v>
      </c>
    </row>
    <row r="1071" spans="1:5" x14ac:dyDescent="0.2">
      <c r="A1071" s="1">
        <v>41247</v>
      </c>
      <c r="B1071">
        <v>339</v>
      </c>
      <c r="C1071">
        <v>17.777777777777779</v>
      </c>
      <c r="D1071">
        <v>4.4444444444444446</v>
      </c>
      <c r="E1071">
        <v>5.08</v>
      </c>
    </row>
    <row r="1072" spans="1:5" x14ac:dyDescent="0.2">
      <c r="A1072" s="1">
        <v>41248</v>
      </c>
      <c r="B1072">
        <v>340</v>
      </c>
      <c r="C1072">
        <v>12.222222222222223</v>
      </c>
      <c r="D1072">
        <v>-7.2222222222222223</v>
      </c>
      <c r="E1072">
        <v>5.3800000000000008</v>
      </c>
    </row>
    <row r="1073" spans="1:5" x14ac:dyDescent="0.2">
      <c r="A1073" s="1">
        <v>41249</v>
      </c>
      <c r="B1073">
        <v>341</v>
      </c>
      <c r="C1073">
        <v>2.2222222222222223</v>
      </c>
      <c r="D1073">
        <v>-7.7777777777777777</v>
      </c>
      <c r="E1073">
        <v>5.1688888888888878</v>
      </c>
    </row>
    <row r="1074" spans="1:5" x14ac:dyDescent="0.2">
      <c r="A1074" s="1">
        <v>41250</v>
      </c>
      <c r="B1074">
        <v>342</v>
      </c>
      <c r="C1074">
        <v>6.6666666666666661</v>
      </c>
      <c r="D1074">
        <v>0</v>
      </c>
      <c r="E1074">
        <v>5.0244444444444447</v>
      </c>
    </row>
    <row r="1075" spans="1:5" x14ac:dyDescent="0.2">
      <c r="A1075" s="1">
        <v>41251</v>
      </c>
      <c r="B1075">
        <v>343</v>
      </c>
      <c r="C1075">
        <v>4.4444444444444446</v>
      </c>
      <c r="D1075">
        <v>-3.8888888888888888</v>
      </c>
      <c r="E1075">
        <v>4.9955555555555549</v>
      </c>
    </row>
    <row r="1076" spans="1:5" x14ac:dyDescent="0.2">
      <c r="A1076" s="1">
        <v>41252</v>
      </c>
      <c r="B1076">
        <v>344</v>
      </c>
      <c r="C1076">
        <v>3.8888888888888888</v>
      </c>
      <c r="D1076">
        <v>-0.55555555555555558</v>
      </c>
      <c r="E1076">
        <v>4.9866666666666664</v>
      </c>
    </row>
    <row r="1077" spans="1:5" x14ac:dyDescent="0.2">
      <c r="A1077" s="1">
        <v>41253</v>
      </c>
      <c r="B1077">
        <v>345</v>
      </c>
      <c r="C1077">
        <v>0.55555555555555558</v>
      </c>
      <c r="D1077">
        <v>-1.6666666666666665</v>
      </c>
      <c r="E1077">
        <v>5.0311111111111106</v>
      </c>
    </row>
    <row r="1078" spans="1:5" x14ac:dyDescent="0.2">
      <c r="A1078" s="1">
        <v>41254</v>
      </c>
      <c r="B1078">
        <v>346</v>
      </c>
      <c r="C1078">
        <v>-1.6666666666666665</v>
      </c>
      <c r="D1078">
        <v>-8.3333333333333339</v>
      </c>
      <c r="E1078">
        <v>4.826666666666668</v>
      </c>
    </row>
    <row r="1079" spans="1:5" x14ac:dyDescent="0.2">
      <c r="A1079" s="1">
        <v>41255</v>
      </c>
      <c r="B1079">
        <v>347</v>
      </c>
      <c r="C1079">
        <v>-1.6666666666666665</v>
      </c>
      <c r="D1079">
        <v>-8.8888888888888893</v>
      </c>
      <c r="E1079">
        <v>5.126666666666666</v>
      </c>
    </row>
    <row r="1080" spans="1:5" x14ac:dyDescent="0.2">
      <c r="A1080" s="1">
        <v>41256</v>
      </c>
      <c r="B1080">
        <v>348</v>
      </c>
      <c r="C1080">
        <v>5.5555555555555554</v>
      </c>
      <c r="D1080">
        <v>-6.6666666666666661</v>
      </c>
      <c r="E1080">
        <v>4.9755555555555553</v>
      </c>
    </row>
    <row r="1081" spans="1:5" x14ac:dyDescent="0.2">
      <c r="A1081" s="1">
        <v>41257</v>
      </c>
      <c r="B1081">
        <v>349</v>
      </c>
      <c r="C1081">
        <v>6.1111111111111116</v>
      </c>
      <c r="D1081">
        <v>-6.1111111111111116</v>
      </c>
      <c r="E1081">
        <v>4.8177777777777795</v>
      </c>
    </row>
    <row r="1082" spans="1:5" x14ac:dyDescent="0.2">
      <c r="A1082" s="1">
        <v>41258</v>
      </c>
      <c r="B1082">
        <v>350</v>
      </c>
      <c r="C1082">
        <v>7.7777777777777777</v>
      </c>
      <c r="D1082">
        <v>-6.6666666666666661</v>
      </c>
      <c r="E1082">
        <v>5.1622222222222209</v>
      </c>
    </row>
    <row r="1083" spans="1:5" x14ac:dyDescent="0.2">
      <c r="A1083" s="1">
        <v>41259</v>
      </c>
      <c r="B1083">
        <v>351</v>
      </c>
      <c r="C1083">
        <v>6.1111111111111116</v>
      </c>
      <c r="D1083">
        <v>-1.1111111111111112</v>
      </c>
      <c r="E1083">
        <v>5.1977777777777758</v>
      </c>
    </row>
    <row r="1084" spans="1:5" x14ac:dyDescent="0.2">
      <c r="A1084" s="1">
        <v>41260</v>
      </c>
      <c r="B1084">
        <v>352</v>
      </c>
      <c r="C1084">
        <v>4.4444444444444446</v>
      </c>
      <c r="D1084">
        <v>-2.7777777777777777</v>
      </c>
      <c r="E1084">
        <v>5.0222222222222221</v>
      </c>
    </row>
    <row r="1085" spans="1:5" x14ac:dyDescent="0.2">
      <c r="A1085" s="1">
        <v>41261</v>
      </c>
      <c r="B1085">
        <v>353</v>
      </c>
      <c r="C1085">
        <v>-1.6666666666666665</v>
      </c>
      <c r="D1085">
        <v>-3.8888888888888888</v>
      </c>
      <c r="E1085">
        <v>4.9799999999999986</v>
      </c>
    </row>
    <row r="1086" spans="1:5" x14ac:dyDescent="0.2">
      <c r="A1086" s="1">
        <v>41262</v>
      </c>
      <c r="B1086">
        <v>354</v>
      </c>
      <c r="C1086">
        <v>-1.1111111111111112</v>
      </c>
      <c r="D1086">
        <v>-5</v>
      </c>
      <c r="E1086">
        <v>5.408888888888888</v>
      </c>
    </row>
    <row r="1087" spans="1:5" x14ac:dyDescent="0.2">
      <c r="A1087" s="1">
        <v>41263</v>
      </c>
      <c r="B1087">
        <v>355</v>
      </c>
      <c r="C1087">
        <v>-1.6666666666666665</v>
      </c>
      <c r="D1087">
        <v>-9.4444444444444446</v>
      </c>
      <c r="E1087">
        <v>5.52</v>
      </c>
    </row>
    <row r="1088" spans="1:5" x14ac:dyDescent="0.2">
      <c r="A1088" s="1">
        <v>41264</v>
      </c>
      <c r="B1088">
        <v>356</v>
      </c>
      <c r="C1088">
        <v>-3.8888888888888888</v>
      </c>
      <c r="D1088">
        <v>-7.7777777777777777</v>
      </c>
      <c r="E1088">
        <v>4.9644444444444442</v>
      </c>
    </row>
    <row r="1089" spans="1:5" x14ac:dyDescent="0.2">
      <c r="A1089" s="1">
        <v>41265</v>
      </c>
      <c r="B1089">
        <v>357</v>
      </c>
      <c r="C1089">
        <v>-1.6666666666666665</v>
      </c>
      <c r="D1089">
        <v>-7.7777777777777777</v>
      </c>
      <c r="E1089">
        <v>4.83777777777778</v>
      </c>
    </row>
    <row r="1090" spans="1:5" x14ac:dyDescent="0.2">
      <c r="A1090" s="1">
        <v>41266</v>
      </c>
      <c r="B1090">
        <v>358</v>
      </c>
      <c r="C1090">
        <v>0.55555555555555558</v>
      </c>
      <c r="D1090">
        <v>-21.666666666666664</v>
      </c>
      <c r="E1090">
        <v>5.028888888888889</v>
      </c>
    </row>
    <row r="1091" spans="1:5" x14ac:dyDescent="0.2">
      <c r="A1091" s="1">
        <v>41267</v>
      </c>
      <c r="B1091">
        <v>359</v>
      </c>
      <c r="C1091">
        <v>-5.5555555555555554</v>
      </c>
      <c r="D1091">
        <v>-14.444444444444445</v>
      </c>
      <c r="E1091">
        <v>5.6022222222222213</v>
      </c>
    </row>
    <row r="1092" spans="1:5" x14ac:dyDescent="0.2">
      <c r="A1092" s="1">
        <v>41268</v>
      </c>
      <c r="B1092">
        <v>360</v>
      </c>
      <c r="C1092">
        <v>-5</v>
      </c>
      <c r="D1092">
        <v>-15</v>
      </c>
      <c r="E1092">
        <v>5.1066666666666656</v>
      </c>
    </row>
    <row r="1093" spans="1:5" x14ac:dyDescent="0.2">
      <c r="A1093" s="1">
        <v>41269</v>
      </c>
      <c r="B1093">
        <v>361</v>
      </c>
      <c r="C1093">
        <v>-6.6666666666666661</v>
      </c>
      <c r="D1093">
        <v>-17.777777777777779</v>
      </c>
      <c r="E1093">
        <v>5.1711111111111112</v>
      </c>
    </row>
    <row r="1094" spans="1:5" x14ac:dyDescent="0.2">
      <c r="A1094" s="1">
        <v>41270</v>
      </c>
      <c r="B1094">
        <v>362</v>
      </c>
      <c r="C1094">
        <v>-3.333333333333333</v>
      </c>
      <c r="D1094">
        <v>-13.333333333333332</v>
      </c>
      <c r="E1094">
        <v>4.5044444444444451</v>
      </c>
    </row>
    <row r="1095" spans="1:5" x14ac:dyDescent="0.2">
      <c r="A1095" s="1">
        <v>41271</v>
      </c>
      <c r="B1095">
        <v>363</v>
      </c>
      <c r="C1095">
        <v>-3.8888888888888888</v>
      </c>
      <c r="D1095">
        <v>-8.3333333333333339</v>
      </c>
      <c r="E1095">
        <v>5.0888888888888868</v>
      </c>
    </row>
    <row r="1096" spans="1:5" x14ac:dyDescent="0.2">
      <c r="A1096" s="1">
        <v>41272</v>
      </c>
      <c r="B1096">
        <v>364</v>
      </c>
      <c r="C1096">
        <v>-3.333333333333333</v>
      </c>
      <c r="D1096">
        <v>-6.6666666666666661</v>
      </c>
      <c r="E1096">
        <v>4.8688888888888897</v>
      </c>
    </row>
    <row r="1097" spans="1:5" x14ac:dyDescent="0.2">
      <c r="A1097" s="1">
        <v>41273</v>
      </c>
      <c r="B1097">
        <v>365</v>
      </c>
      <c r="C1097">
        <v>-1.6666666666666665</v>
      </c>
      <c r="D1097">
        <v>-12.777777777777777</v>
      </c>
      <c r="E1097">
        <v>5.3977777777777805</v>
      </c>
    </row>
    <row r="1098" spans="1:5" x14ac:dyDescent="0.2">
      <c r="A1098" s="1">
        <v>41274</v>
      </c>
      <c r="B1098">
        <v>1</v>
      </c>
      <c r="C1098">
        <v>0</v>
      </c>
      <c r="D1098">
        <v>-16.111111111111111</v>
      </c>
      <c r="E1098">
        <v>4.9911111111111106</v>
      </c>
    </row>
    <row r="1099" spans="1:5" x14ac:dyDescent="0.2">
      <c r="A1099" s="1">
        <v>41275</v>
      </c>
      <c r="B1099">
        <v>2</v>
      </c>
      <c r="C1099">
        <v>0</v>
      </c>
      <c r="D1099">
        <v>-16.111111111111111</v>
      </c>
      <c r="E1099">
        <v>5.0022222222222226</v>
      </c>
    </row>
    <row r="1100" spans="1:5" x14ac:dyDescent="0.2">
      <c r="A1100" s="1">
        <v>41276</v>
      </c>
      <c r="B1100">
        <v>3</v>
      </c>
      <c r="C1100">
        <v>-9.4444444444444446</v>
      </c>
      <c r="D1100">
        <v>-21.111111111111111</v>
      </c>
      <c r="E1100">
        <v>5.4333333333333336</v>
      </c>
    </row>
    <row r="1101" spans="1:5" x14ac:dyDescent="0.2">
      <c r="A1101" s="1">
        <v>41277</v>
      </c>
      <c r="B1101">
        <v>4</v>
      </c>
      <c r="C1101">
        <v>-5.5555555555555554</v>
      </c>
      <c r="D1101">
        <v>-12.777777777777777</v>
      </c>
      <c r="E1101">
        <v>5.8600000000000012</v>
      </c>
    </row>
    <row r="1102" spans="1:5" x14ac:dyDescent="0.2">
      <c r="A1102" s="1">
        <v>41278</v>
      </c>
      <c r="B1102">
        <v>5</v>
      </c>
      <c r="C1102">
        <v>-3.8888888888888888</v>
      </c>
      <c r="D1102">
        <v>-15.555555555555555</v>
      </c>
      <c r="E1102">
        <v>5.8844444444444459</v>
      </c>
    </row>
    <row r="1103" spans="1:5" x14ac:dyDescent="0.2">
      <c r="A1103" s="1">
        <v>41279</v>
      </c>
      <c r="B1103">
        <v>6</v>
      </c>
      <c r="C1103">
        <v>-1.1111111111111112</v>
      </c>
      <c r="D1103">
        <v>-17.777777777777779</v>
      </c>
      <c r="E1103">
        <v>5.9622222222222225</v>
      </c>
    </row>
    <row r="1104" spans="1:5" x14ac:dyDescent="0.2">
      <c r="A1104" s="1">
        <v>41280</v>
      </c>
      <c r="B1104">
        <v>7</v>
      </c>
      <c r="C1104">
        <v>1.6666666666666665</v>
      </c>
      <c r="D1104">
        <v>-6.6666666666666661</v>
      </c>
      <c r="E1104">
        <v>6.1066666666666682</v>
      </c>
    </row>
    <row r="1105" spans="1:5" x14ac:dyDescent="0.2">
      <c r="A1105" s="1">
        <v>41281</v>
      </c>
      <c r="B1105">
        <v>8</v>
      </c>
      <c r="C1105">
        <v>-2.7777777777777777</v>
      </c>
      <c r="D1105">
        <v>-16.666666666666668</v>
      </c>
      <c r="E1105">
        <v>6.2755555555555587</v>
      </c>
    </row>
    <row r="1106" spans="1:5" x14ac:dyDescent="0.2">
      <c r="A1106" s="1">
        <v>41282</v>
      </c>
      <c r="B1106">
        <v>9</v>
      </c>
      <c r="C1106">
        <v>2.2222222222222223</v>
      </c>
      <c r="D1106">
        <v>-15</v>
      </c>
      <c r="E1106">
        <v>6.2377777777777776</v>
      </c>
    </row>
    <row r="1107" spans="1:5" x14ac:dyDescent="0.2">
      <c r="A1107" s="1">
        <v>41283</v>
      </c>
      <c r="B1107">
        <v>10</v>
      </c>
      <c r="C1107">
        <v>3.8888888888888888</v>
      </c>
      <c r="D1107">
        <v>-14.444444444444445</v>
      </c>
      <c r="E1107">
        <v>6.6755555555555537</v>
      </c>
    </row>
    <row r="1108" spans="1:5" x14ac:dyDescent="0.2">
      <c r="A1108" s="1">
        <v>41284</v>
      </c>
      <c r="B1108">
        <v>11</v>
      </c>
      <c r="C1108">
        <v>3.333333333333333</v>
      </c>
      <c r="D1108">
        <v>-13.333333333333332</v>
      </c>
      <c r="E1108">
        <v>5.9155555555555575</v>
      </c>
    </row>
    <row r="1109" spans="1:5" x14ac:dyDescent="0.2">
      <c r="A1109" s="1">
        <v>41285</v>
      </c>
      <c r="B1109">
        <v>12</v>
      </c>
      <c r="C1109">
        <v>4.4444444444444446</v>
      </c>
      <c r="D1109">
        <v>-13.333333333333332</v>
      </c>
      <c r="E1109">
        <v>5.7666666666666666</v>
      </c>
    </row>
    <row r="1110" spans="1:5" x14ac:dyDescent="0.2">
      <c r="A1110" s="1">
        <v>41286</v>
      </c>
      <c r="B1110">
        <v>13</v>
      </c>
      <c r="C1110">
        <v>9.4444444444444446</v>
      </c>
      <c r="D1110">
        <v>0</v>
      </c>
      <c r="E1110">
        <v>6.44</v>
      </c>
    </row>
    <row r="1111" spans="1:5" x14ac:dyDescent="0.2">
      <c r="A1111" s="1">
        <v>41287</v>
      </c>
      <c r="B1111">
        <v>14</v>
      </c>
      <c r="C1111">
        <v>2.7777777777777777</v>
      </c>
      <c r="D1111">
        <v>-10.555555555555555</v>
      </c>
      <c r="E1111">
        <v>6.0333333333333332</v>
      </c>
    </row>
    <row r="1112" spans="1:5" x14ac:dyDescent="0.2">
      <c r="A1112" s="1">
        <v>41288</v>
      </c>
      <c r="B1112">
        <v>15</v>
      </c>
      <c r="C1112">
        <v>2.7777777777777777</v>
      </c>
      <c r="D1112">
        <v>-14.444444444444445</v>
      </c>
      <c r="E1112">
        <v>6.6888888888888864</v>
      </c>
    </row>
    <row r="1113" spans="1:5" x14ac:dyDescent="0.2">
      <c r="A1113" s="1">
        <v>41289</v>
      </c>
      <c r="B1113">
        <v>16</v>
      </c>
      <c r="C1113">
        <v>-4.4444444444444446</v>
      </c>
      <c r="D1113">
        <v>-14.444444444444445</v>
      </c>
      <c r="E1113">
        <v>6.5733333333333333</v>
      </c>
    </row>
    <row r="1114" spans="1:5" x14ac:dyDescent="0.2">
      <c r="A1114" s="1">
        <v>41290</v>
      </c>
      <c r="B1114">
        <v>17</v>
      </c>
      <c r="C1114">
        <v>-1.1111111111111112</v>
      </c>
      <c r="D1114">
        <v>-12.777777777777777</v>
      </c>
      <c r="E1114">
        <v>6.46</v>
      </c>
    </row>
    <row r="1115" spans="1:5" x14ac:dyDescent="0.2">
      <c r="A1115" s="1">
        <v>41291</v>
      </c>
      <c r="B1115">
        <v>18</v>
      </c>
      <c r="C1115">
        <v>0.55555555555555558</v>
      </c>
      <c r="D1115">
        <v>-11.111111111111111</v>
      </c>
      <c r="E1115">
        <v>6.8355555555555547</v>
      </c>
    </row>
    <row r="1116" spans="1:5" x14ac:dyDescent="0.2">
      <c r="A1116" s="1">
        <v>41292</v>
      </c>
      <c r="B1116">
        <v>19</v>
      </c>
      <c r="C1116">
        <v>-2.7777777777777777</v>
      </c>
      <c r="D1116">
        <v>-12.222222222222223</v>
      </c>
      <c r="E1116">
        <v>6.5555555555555554</v>
      </c>
    </row>
    <row r="1117" spans="1:5" x14ac:dyDescent="0.2">
      <c r="A1117" s="1">
        <v>41293</v>
      </c>
      <c r="B1117">
        <v>20</v>
      </c>
      <c r="C1117">
        <v>6.6666666666666661</v>
      </c>
      <c r="D1117">
        <v>-7.2222222222222223</v>
      </c>
      <c r="E1117">
        <v>6.5533333333333337</v>
      </c>
    </row>
    <row r="1118" spans="1:5" x14ac:dyDescent="0.2">
      <c r="A1118" s="1">
        <v>41294</v>
      </c>
      <c r="B1118">
        <v>21</v>
      </c>
      <c r="C1118">
        <v>7.7777777777777777</v>
      </c>
      <c r="D1118">
        <v>-14.444444444444445</v>
      </c>
      <c r="E1118">
        <v>6.5222222222222221</v>
      </c>
    </row>
    <row r="1119" spans="1:5" x14ac:dyDescent="0.2">
      <c r="A1119" s="1">
        <v>41295</v>
      </c>
      <c r="B1119">
        <v>22</v>
      </c>
      <c r="C1119">
        <v>-5</v>
      </c>
      <c r="D1119">
        <v>-10.555555555555555</v>
      </c>
      <c r="E1119">
        <v>6.1199999999999992</v>
      </c>
    </row>
    <row r="1120" spans="1:5" x14ac:dyDescent="0.2">
      <c r="A1120" s="1">
        <v>41296</v>
      </c>
      <c r="B1120">
        <v>23</v>
      </c>
      <c r="C1120">
        <v>-7.2222222222222223</v>
      </c>
      <c r="D1120">
        <v>-11.111111111111111</v>
      </c>
      <c r="E1120">
        <v>7.2466666666666661</v>
      </c>
    </row>
    <row r="1121" spans="1:5" x14ac:dyDescent="0.2">
      <c r="A1121" s="1">
        <v>41297</v>
      </c>
      <c r="B1121">
        <v>24</v>
      </c>
      <c r="C1121">
        <v>-5.5555555555555554</v>
      </c>
      <c r="D1121">
        <v>-15</v>
      </c>
      <c r="E1121">
        <v>6.8688888888888879</v>
      </c>
    </row>
    <row r="1122" spans="1:5" x14ac:dyDescent="0.2">
      <c r="A1122" s="1">
        <v>41298</v>
      </c>
      <c r="B1122">
        <v>25</v>
      </c>
      <c r="C1122">
        <v>0.55555555555555558</v>
      </c>
      <c r="D1122">
        <v>-13.333333333333332</v>
      </c>
      <c r="E1122">
        <v>7.0244444444444447</v>
      </c>
    </row>
    <row r="1123" spans="1:5" x14ac:dyDescent="0.2">
      <c r="A1123" s="1">
        <v>41299</v>
      </c>
      <c r="B1123">
        <v>26</v>
      </c>
      <c r="C1123">
        <v>6.1111111111111116</v>
      </c>
      <c r="D1123">
        <v>-5</v>
      </c>
      <c r="E1123">
        <v>7.3288888888888888</v>
      </c>
    </row>
    <row r="1124" spans="1:5" x14ac:dyDescent="0.2">
      <c r="A1124" s="1">
        <v>41300</v>
      </c>
      <c r="B1124">
        <v>27</v>
      </c>
      <c r="C1124">
        <v>-2.2222222222222223</v>
      </c>
      <c r="D1124">
        <v>-23.333333333333336</v>
      </c>
      <c r="E1124">
        <v>7.4177777777777756</v>
      </c>
    </row>
    <row r="1125" spans="1:5" x14ac:dyDescent="0.2">
      <c r="A1125" s="1">
        <v>41301</v>
      </c>
      <c r="B1125">
        <v>28</v>
      </c>
      <c r="C1125">
        <v>-5</v>
      </c>
      <c r="D1125">
        <v>-21.111111111111111</v>
      </c>
      <c r="E1125">
        <v>7.677777777777778</v>
      </c>
    </row>
    <row r="1126" spans="1:5" x14ac:dyDescent="0.2">
      <c r="A1126" s="1">
        <v>41302</v>
      </c>
      <c r="B1126">
        <v>29</v>
      </c>
      <c r="C1126">
        <v>-15.555555555555555</v>
      </c>
      <c r="D1126">
        <v>-23.888888888888889</v>
      </c>
      <c r="E1126">
        <v>7.3044444444444458</v>
      </c>
    </row>
    <row r="1127" spans="1:5" x14ac:dyDescent="0.2">
      <c r="A1127" s="1">
        <v>41303</v>
      </c>
      <c r="B1127">
        <v>30</v>
      </c>
      <c r="C1127">
        <v>-15</v>
      </c>
      <c r="D1127">
        <v>-26.111111111111111</v>
      </c>
      <c r="E1127">
        <v>8</v>
      </c>
    </row>
    <row r="1128" spans="1:5" x14ac:dyDescent="0.2">
      <c r="A1128" s="1">
        <v>41304</v>
      </c>
      <c r="B1128">
        <v>31</v>
      </c>
      <c r="C1128">
        <v>-4.4444444444444446</v>
      </c>
      <c r="D1128">
        <v>-18.888888888888889</v>
      </c>
      <c r="E1128">
        <v>7.6400000000000041</v>
      </c>
    </row>
    <row r="1129" spans="1:5" x14ac:dyDescent="0.2">
      <c r="A1129" s="1">
        <v>41305</v>
      </c>
      <c r="B1129">
        <v>32</v>
      </c>
      <c r="C1129">
        <v>0.55555555555555558</v>
      </c>
      <c r="D1129">
        <v>-4.4444444444444446</v>
      </c>
      <c r="E1129">
        <v>7.5244444444444474</v>
      </c>
    </row>
    <row r="1130" spans="1:5" x14ac:dyDescent="0.2">
      <c r="A1130" s="1">
        <v>41306</v>
      </c>
      <c r="B1130">
        <v>33</v>
      </c>
      <c r="C1130">
        <v>0</v>
      </c>
      <c r="D1130">
        <v>-5</v>
      </c>
      <c r="E1130">
        <v>7.8222222222222237</v>
      </c>
    </row>
    <row r="1131" spans="1:5" x14ac:dyDescent="0.2">
      <c r="A1131" s="1">
        <v>41307</v>
      </c>
      <c r="B1131">
        <v>34</v>
      </c>
      <c r="C1131">
        <v>-1.1111111111111112</v>
      </c>
      <c r="D1131">
        <v>-9.4444444444444446</v>
      </c>
      <c r="E1131">
        <v>7.9933333333333367</v>
      </c>
    </row>
    <row r="1132" spans="1:5" x14ac:dyDescent="0.2">
      <c r="A1132" s="1">
        <v>41308</v>
      </c>
      <c r="B1132">
        <v>35</v>
      </c>
      <c r="C1132">
        <v>0.55555555555555558</v>
      </c>
      <c r="D1132">
        <v>-6.1111111111111116</v>
      </c>
      <c r="E1132">
        <v>8.8044444444444458</v>
      </c>
    </row>
    <row r="1133" spans="1:5" x14ac:dyDescent="0.2">
      <c r="A1133" s="1">
        <v>41309</v>
      </c>
      <c r="B1133">
        <v>36</v>
      </c>
      <c r="C1133">
        <v>1.1111111111111112</v>
      </c>
      <c r="D1133">
        <v>-7.7777777777777777</v>
      </c>
      <c r="E1133">
        <v>8.4622222222222199</v>
      </c>
    </row>
    <row r="1134" spans="1:5" x14ac:dyDescent="0.2">
      <c r="A1134" s="1">
        <v>41310</v>
      </c>
      <c r="B1134">
        <v>37</v>
      </c>
      <c r="C1134">
        <v>3.333333333333333</v>
      </c>
      <c r="D1134">
        <v>-8.8888888888888893</v>
      </c>
      <c r="E1134">
        <v>8.9911111111111115</v>
      </c>
    </row>
    <row r="1135" spans="1:5" x14ac:dyDescent="0.2">
      <c r="A1135" s="1">
        <v>41311</v>
      </c>
      <c r="B1135">
        <v>38</v>
      </c>
      <c r="C1135">
        <v>-5</v>
      </c>
      <c r="D1135">
        <v>-14.444444444444445</v>
      </c>
      <c r="E1135">
        <v>9.43333333333333</v>
      </c>
    </row>
    <row r="1136" spans="1:5" x14ac:dyDescent="0.2">
      <c r="A1136" s="1">
        <v>41312</v>
      </c>
      <c r="B1136">
        <v>39</v>
      </c>
      <c r="C1136">
        <v>-2.2222222222222223</v>
      </c>
      <c r="D1136">
        <v>-13.333333333333332</v>
      </c>
      <c r="E1136">
        <v>9.0800000000000036</v>
      </c>
    </row>
    <row r="1137" spans="1:5" x14ac:dyDescent="0.2">
      <c r="A1137" s="1">
        <v>41313</v>
      </c>
      <c r="B1137">
        <v>40</v>
      </c>
      <c r="C1137">
        <v>6.1111111111111116</v>
      </c>
      <c r="D1137">
        <v>-4.4444444444444446</v>
      </c>
      <c r="E1137">
        <v>9.9822222222222212</v>
      </c>
    </row>
    <row r="1138" spans="1:5" x14ac:dyDescent="0.2">
      <c r="A1138" s="1">
        <v>41314</v>
      </c>
      <c r="B1138">
        <v>41</v>
      </c>
      <c r="C1138">
        <v>8.3333333333333339</v>
      </c>
      <c r="D1138">
        <v>0.55555555555555558</v>
      </c>
      <c r="E1138">
        <v>8.9066666666666627</v>
      </c>
    </row>
    <row r="1139" spans="1:5" x14ac:dyDescent="0.2">
      <c r="A1139" s="1">
        <v>41315</v>
      </c>
      <c r="B1139">
        <v>42</v>
      </c>
      <c r="C1139">
        <v>3.8888888888888888</v>
      </c>
      <c r="D1139">
        <v>-5</v>
      </c>
      <c r="E1139">
        <v>9.7333333333333325</v>
      </c>
    </row>
    <row r="1140" spans="1:5" x14ac:dyDescent="0.2">
      <c r="A1140" s="1">
        <v>41316</v>
      </c>
      <c r="B1140">
        <v>43</v>
      </c>
      <c r="C1140">
        <v>0.55555555555555558</v>
      </c>
      <c r="D1140">
        <v>-3.8888888888888888</v>
      </c>
      <c r="E1140">
        <v>10.073333333333336</v>
      </c>
    </row>
    <row r="1141" spans="1:5" x14ac:dyDescent="0.2">
      <c r="A1141" s="1">
        <v>41317</v>
      </c>
      <c r="B1141">
        <v>44</v>
      </c>
      <c r="C1141">
        <v>2.2222222222222223</v>
      </c>
      <c r="D1141">
        <v>-1.6666666666666665</v>
      </c>
      <c r="E1141">
        <v>8.4711111111111101</v>
      </c>
    </row>
    <row r="1142" spans="1:5" x14ac:dyDescent="0.2">
      <c r="A1142" s="1">
        <v>41318</v>
      </c>
      <c r="B1142">
        <v>45</v>
      </c>
      <c r="C1142">
        <v>5.5555555555555554</v>
      </c>
      <c r="D1142">
        <v>-8.3333333333333339</v>
      </c>
      <c r="E1142">
        <v>9.2622222222222241</v>
      </c>
    </row>
    <row r="1143" spans="1:5" x14ac:dyDescent="0.2">
      <c r="A1143" s="1">
        <v>41319</v>
      </c>
      <c r="B1143">
        <v>46</v>
      </c>
      <c r="C1143">
        <v>2.7777777777777777</v>
      </c>
      <c r="D1143">
        <v>-2.7777777777777777</v>
      </c>
      <c r="E1143">
        <v>9.7844444444444445</v>
      </c>
    </row>
    <row r="1144" spans="1:5" x14ac:dyDescent="0.2">
      <c r="A1144" s="1">
        <v>41320</v>
      </c>
      <c r="B1144">
        <v>47</v>
      </c>
      <c r="C1144">
        <v>2.2222222222222223</v>
      </c>
      <c r="D1144">
        <v>-4.4444444444444446</v>
      </c>
      <c r="E1144">
        <v>10.419999999999996</v>
      </c>
    </row>
    <row r="1145" spans="1:5" x14ac:dyDescent="0.2">
      <c r="A1145" s="1">
        <v>41321</v>
      </c>
      <c r="B1145">
        <v>48</v>
      </c>
      <c r="C1145">
        <v>0</v>
      </c>
      <c r="D1145">
        <v>-11.666666666666668</v>
      </c>
      <c r="E1145">
        <v>10.89111111111111</v>
      </c>
    </row>
    <row r="1146" spans="1:5" x14ac:dyDescent="0.2">
      <c r="A1146" s="1">
        <v>41322</v>
      </c>
      <c r="B1146">
        <v>49</v>
      </c>
      <c r="C1146">
        <v>0.55555555555555558</v>
      </c>
      <c r="D1146">
        <v>-11.666666666666668</v>
      </c>
      <c r="E1146">
        <v>8.7977777777777799</v>
      </c>
    </row>
    <row r="1147" spans="1:5" x14ac:dyDescent="0.2">
      <c r="A1147" s="1">
        <v>41323</v>
      </c>
      <c r="B1147">
        <v>50</v>
      </c>
      <c r="C1147">
        <v>1.1111111111111112</v>
      </c>
      <c r="D1147">
        <v>-8.8888888888888893</v>
      </c>
      <c r="E1147">
        <v>9.6266666666666687</v>
      </c>
    </row>
    <row r="1148" spans="1:5" x14ac:dyDescent="0.2">
      <c r="A1148" s="1">
        <v>41324</v>
      </c>
      <c r="B1148">
        <v>51</v>
      </c>
      <c r="C1148">
        <v>-0.55555555555555558</v>
      </c>
      <c r="D1148">
        <v>-15</v>
      </c>
      <c r="E1148">
        <v>10.488888888888887</v>
      </c>
    </row>
    <row r="1149" spans="1:5" x14ac:dyDescent="0.2">
      <c r="A1149" s="1">
        <v>41325</v>
      </c>
      <c r="B1149">
        <v>52</v>
      </c>
      <c r="C1149">
        <v>-2.7777777777777777</v>
      </c>
      <c r="D1149">
        <v>-15</v>
      </c>
      <c r="E1149">
        <v>10.06</v>
      </c>
    </row>
    <row r="1150" spans="1:5" x14ac:dyDescent="0.2">
      <c r="A1150" s="1">
        <v>41326</v>
      </c>
      <c r="B1150">
        <v>53</v>
      </c>
      <c r="C1150">
        <v>0</v>
      </c>
      <c r="D1150">
        <v>-11.666666666666668</v>
      </c>
      <c r="E1150">
        <v>10.406666666666665</v>
      </c>
    </row>
    <row r="1151" spans="1:5" x14ac:dyDescent="0.2">
      <c r="A1151" s="1">
        <v>41327</v>
      </c>
      <c r="B1151">
        <v>54</v>
      </c>
      <c r="C1151">
        <v>-0.55555555555555558</v>
      </c>
      <c r="D1151">
        <v>-8.8888888888888893</v>
      </c>
      <c r="E1151">
        <v>10.113333333333337</v>
      </c>
    </row>
    <row r="1152" spans="1:5" x14ac:dyDescent="0.2">
      <c r="A1152" s="1">
        <v>41328</v>
      </c>
      <c r="B1152">
        <v>55</v>
      </c>
      <c r="C1152">
        <v>0.55555555555555558</v>
      </c>
      <c r="D1152">
        <v>-1.6666666666666665</v>
      </c>
      <c r="E1152">
        <v>10.037777777777777</v>
      </c>
    </row>
    <row r="1153" spans="1:5" x14ac:dyDescent="0.2">
      <c r="A1153" s="1">
        <v>41329</v>
      </c>
      <c r="B1153">
        <v>56</v>
      </c>
      <c r="C1153">
        <v>8.3333333333333339</v>
      </c>
      <c r="D1153">
        <v>-1.1111111111111112</v>
      </c>
      <c r="E1153">
        <v>11.8</v>
      </c>
    </row>
    <row r="1154" spans="1:5" x14ac:dyDescent="0.2">
      <c r="A1154" s="1">
        <v>41330</v>
      </c>
      <c r="B1154">
        <v>57</v>
      </c>
      <c r="C1154">
        <v>7.2222222222222223</v>
      </c>
      <c r="D1154">
        <v>-5.5555555555555554</v>
      </c>
      <c r="E1154">
        <v>11.313333333333336</v>
      </c>
    </row>
    <row r="1155" spans="1:5" x14ac:dyDescent="0.2">
      <c r="A1155" s="1">
        <v>41331</v>
      </c>
      <c r="B1155">
        <v>58</v>
      </c>
      <c r="C1155">
        <v>6.1111111111111116</v>
      </c>
      <c r="D1155">
        <v>-5.5555555555555554</v>
      </c>
      <c r="E1155">
        <v>11.128888888888891</v>
      </c>
    </row>
    <row r="1156" spans="1:5" x14ac:dyDescent="0.2">
      <c r="A1156" s="1">
        <v>41332</v>
      </c>
      <c r="B1156">
        <v>59</v>
      </c>
      <c r="C1156">
        <v>2.7777777777777777</v>
      </c>
      <c r="D1156">
        <v>-9.4444444444444446</v>
      </c>
      <c r="E1156">
        <v>11.87555555555555</v>
      </c>
    </row>
    <row r="1157" spans="1:5" x14ac:dyDescent="0.2">
      <c r="A1157" s="1">
        <v>41333</v>
      </c>
      <c r="B1157">
        <v>60</v>
      </c>
      <c r="C1157">
        <v>5</v>
      </c>
      <c r="D1157">
        <v>-7.2222222222222223</v>
      </c>
      <c r="E1157">
        <v>11.59555555555556</v>
      </c>
    </row>
    <row r="1158" spans="1:5" x14ac:dyDescent="0.2">
      <c r="A1158" s="1">
        <v>41334</v>
      </c>
      <c r="B1158">
        <v>61</v>
      </c>
      <c r="C1158">
        <v>5.5555555555555554</v>
      </c>
      <c r="D1158">
        <v>-6.1111111111111116</v>
      </c>
      <c r="E1158">
        <v>11.271111111111111</v>
      </c>
    </row>
    <row r="1159" spans="1:5" x14ac:dyDescent="0.2">
      <c r="A1159" s="1">
        <v>41335</v>
      </c>
      <c r="B1159">
        <v>62</v>
      </c>
      <c r="C1159">
        <v>6.6666666666666661</v>
      </c>
      <c r="D1159">
        <v>-4.4444444444444446</v>
      </c>
      <c r="E1159">
        <v>11.388888888888886</v>
      </c>
    </row>
    <row r="1160" spans="1:5" x14ac:dyDescent="0.2">
      <c r="A1160" s="1">
        <v>41336</v>
      </c>
      <c r="B1160">
        <v>63</v>
      </c>
      <c r="C1160">
        <v>3.8888888888888888</v>
      </c>
      <c r="D1160">
        <v>-3.8888888888888888</v>
      </c>
      <c r="E1160">
        <v>10.191111111111111</v>
      </c>
    </row>
    <row r="1161" spans="1:5" x14ac:dyDescent="0.2">
      <c r="A1161" s="1">
        <v>41337</v>
      </c>
      <c r="B1161">
        <v>64</v>
      </c>
      <c r="C1161">
        <v>5</v>
      </c>
      <c r="D1161">
        <v>-6.6666666666666661</v>
      </c>
      <c r="E1161">
        <v>11.199999999999996</v>
      </c>
    </row>
    <row r="1162" spans="1:5" x14ac:dyDescent="0.2">
      <c r="A1162" s="1">
        <v>41338</v>
      </c>
      <c r="B1162">
        <v>65</v>
      </c>
      <c r="C1162">
        <v>0.55555555555555558</v>
      </c>
      <c r="D1162">
        <v>-9.4444444444444446</v>
      </c>
      <c r="E1162">
        <v>12.780000000000003</v>
      </c>
    </row>
    <row r="1163" spans="1:5" x14ac:dyDescent="0.2">
      <c r="A1163" s="1">
        <v>41339</v>
      </c>
      <c r="B1163">
        <v>66</v>
      </c>
      <c r="C1163">
        <v>3.8888888888888888</v>
      </c>
      <c r="D1163">
        <v>-9.4444444444444446</v>
      </c>
      <c r="E1163">
        <v>13.068888888888889</v>
      </c>
    </row>
    <row r="1164" spans="1:5" x14ac:dyDescent="0.2">
      <c r="A1164" s="1">
        <v>41340</v>
      </c>
      <c r="B1164">
        <v>67</v>
      </c>
      <c r="C1164">
        <v>7.7777777777777777</v>
      </c>
      <c r="D1164">
        <v>-9.4444444444444446</v>
      </c>
      <c r="E1164">
        <v>11.393333333333333</v>
      </c>
    </row>
    <row r="1165" spans="1:5" x14ac:dyDescent="0.2">
      <c r="A1165" s="1">
        <v>41341</v>
      </c>
      <c r="B1165">
        <v>68</v>
      </c>
      <c r="C1165">
        <v>2.2222222222222223</v>
      </c>
      <c r="D1165">
        <v>-6.6666666666666661</v>
      </c>
      <c r="E1165">
        <v>12.291111111111112</v>
      </c>
    </row>
    <row r="1166" spans="1:5" x14ac:dyDescent="0.2">
      <c r="A1166" s="1">
        <v>41342</v>
      </c>
      <c r="B1166">
        <v>69</v>
      </c>
      <c r="C1166">
        <v>3.8888888888888888</v>
      </c>
      <c r="D1166">
        <v>-2.2222222222222223</v>
      </c>
      <c r="E1166">
        <v>13.813333333333336</v>
      </c>
    </row>
    <row r="1167" spans="1:5" x14ac:dyDescent="0.2">
      <c r="A1167" s="1">
        <v>41343</v>
      </c>
      <c r="B1167">
        <v>70</v>
      </c>
      <c r="C1167">
        <v>7.7777777777777777</v>
      </c>
      <c r="D1167">
        <v>0</v>
      </c>
      <c r="E1167">
        <v>12.808888888888891</v>
      </c>
    </row>
    <row r="1168" spans="1:5" x14ac:dyDescent="0.2">
      <c r="A1168" s="1">
        <v>41344</v>
      </c>
      <c r="B1168">
        <v>71</v>
      </c>
      <c r="C1168">
        <v>2.7777777777777777</v>
      </c>
      <c r="D1168">
        <v>-1.6666666666666665</v>
      </c>
      <c r="E1168">
        <v>12.691111111111107</v>
      </c>
    </row>
    <row r="1169" spans="1:5" x14ac:dyDescent="0.2">
      <c r="A1169" s="1">
        <v>41345</v>
      </c>
      <c r="B1169">
        <v>72</v>
      </c>
      <c r="C1169">
        <v>1.1111111111111112</v>
      </c>
      <c r="D1169">
        <v>-3.8888888888888888</v>
      </c>
      <c r="E1169">
        <v>11.371111111111109</v>
      </c>
    </row>
    <row r="1170" spans="1:5" x14ac:dyDescent="0.2">
      <c r="A1170" s="1">
        <v>41346</v>
      </c>
      <c r="B1170">
        <v>73</v>
      </c>
      <c r="C1170">
        <v>-1.1111111111111112</v>
      </c>
      <c r="D1170">
        <v>-5</v>
      </c>
      <c r="E1170">
        <v>13.164444444444442</v>
      </c>
    </row>
    <row r="1171" spans="1:5" x14ac:dyDescent="0.2">
      <c r="A1171" s="1">
        <v>41347</v>
      </c>
      <c r="B1171">
        <v>74</v>
      </c>
      <c r="C1171">
        <v>-2.2222222222222223</v>
      </c>
      <c r="D1171">
        <v>-11.111111111111111</v>
      </c>
      <c r="E1171">
        <v>12.719999999999995</v>
      </c>
    </row>
    <row r="1172" spans="1:5" x14ac:dyDescent="0.2">
      <c r="A1172" s="1">
        <v>41348</v>
      </c>
      <c r="B1172">
        <v>75</v>
      </c>
      <c r="C1172">
        <v>1.1111111111111112</v>
      </c>
      <c r="D1172">
        <v>-11.111111111111111</v>
      </c>
      <c r="E1172">
        <v>14.366666666666664</v>
      </c>
    </row>
    <row r="1173" spans="1:5" x14ac:dyDescent="0.2">
      <c r="A1173" s="1">
        <v>41349</v>
      </c>
      <c r="B1173">
        <v>76</v>
      </c>
      <c r="C1173">
        <v>18.333333333333332</v>
      </c>
      <c r="D1173">
        <v>1.1111111111111112</v>
      </c>
      <c r="E1173">
        <v>13.237777777777776</v>
      </c>
    </row>
    <row r="1174" spans="1:5" x14ac:dyDescent="0.2">
      <c r="A1174" s="1">
        <v>41350</v>
      </c>
      <c r="B1174">
        <v>77</v>
      </c>
      <c r="C1174">
        <v>17.222222222222221</v>
      </c>
      <c r="D1174">
        <v>-0.55555555555555558</v>
      </c>
      <c r="E1174">
        <v>12.584444444444451</v>
      </c>
    </row>
    <row r="1175" spans="1:5" x14ac:dyDescent="0.2">
      <c r="A1175" s="1">
        <v>41351</v>
      </c>
      <c r="B1175">
        <v>78</v>
      </c>
      <c r="C1175">
        <v>5</v>
      </c>
      <c r="D1175">
        <v>-5</v>
      </c>
      <c r="E1175">
        <v>12.284444444444446</v>
      </c>
    </row>
    <row r="1176" spans="1:5" x14ac:dyDescent="0.2">
      <c r="A1176" s="1">
        <v>41352</v>
      </c>
      <c r="B1176">
        <v>79</v>
      </c>
      <c r="C1176">
        <v>10.555555555555555</v>
      </c>
      <c r="D1176">
        <v>-6.1111111111111116</v>
      </c>
      <c r="E1176">
        <v>13.337777777777776</v>
      </c>
    </row>
    <row r="1177" spans="1:5" x14ac:dyDescent="0.2">
      <c r="A1177" s="1">
        <v>41353</v>
      </c>
      <c r="B1177">
        <v>80</v>
      </c>
      <c r="C1177">
        <v>18.333333333333332</v>
      </c>
      <c r="D1177">
        <v>2.7777777777777777</v>
      </c>
      <c r="E1177">
        <v>15</v>
      </c>
    </row>
    <row r="1178" spans="1:5" x14ac:dyDescent="0.2">
      <c r="A1178" s="1">
        <v>41354</v>
      </c>
      <c r="B1178">
        <v>81</v>
      </c>
      <c r="C1178">
        <v>19.444444444444443</v>
      </c>
      <c r="D1178">
        <v>9.4444444444444446</v>
      </c>
      <c r="E1178">
        <v>14.926666666666668</v>
      </c>
    </row>
    <row r="1179" spans="1:5" x14ac:dyDescent="0.2">
      <c r="A1179" s="1">
        <v>41355</v>
      </c>
      <c r="B1179">
        <v>82</v>
      </c>
      <c r="C1179">
        <v>15.555555555555555</v>
      </c>
      <c r="D1179">
        <v>3.8888888888888888</v>
      </c>
      <c r="E1179">
        <v>16.43333333333333</v>
      </c>
    </row>
    <row r="1180" spans="1:5" x14ac:dyDescent="0.2">
      <c r="A1180" s="1">
        <v>41356</v>
      </c>
      <c r="B1180">
        <v>83</v>
      </c>
      <c r="C1180">
        <v>20</v>
      </c>
      <c r="D1180">
        <v>2.7777777777777777</v>
      </c>
      <c r="E1180">
        <v>14.304444444444442</v>
      </c>
    </row>
    <row r="1181" spans="1:5" x14ac:dyDescent="0.2">
      <c r="A1181" s="1">
        <v>41357</v>
      </c>
      <c r="B1181">
        <v>84</v>
      </c>
      <c r="C1181">
        <v>25</v>
      </c>
      <c r="D1181">
        <v>4.4444444444444446</v>
      </c>
      <c r="E1181">
        <v>14.604444444444443</v>
      </c>
    </row>
    <row r="1182" spans="1:5" x14ac:dyDescent="0.2">
      <c r="A1182" s="1">
        <v>41358</v>
      </c>
      <c r="B1182">
        <v>85</v>
      </c>
      <c r="C1182">
        <v>26.666666666666664</v>
      </c>
      <c r="D1182">
        <v>5</v>
      </c>
      <c r="E1182">
        <v>15.69777777777778</v>
      </c>
    </row>
    <row r="1183" spans="1:5" x14ac:dyDescent="0.2">
      <c r="A1183" s="1">
        <v>41359</v>
      </c>
      <c r="B1183">
        <v>86</v>
      </c>
      <c r="C1183">
        <v>26.666666666666664</v>
      </c>
      <c r="D1183">
        <v>5.5555555555555554</v>
      </c>
      <c r="E1183">
        <v>14.977777777777776</v>
      </c>
    </row>
    <row r="1184" spans="1:5" x14ac:dyDescent="0.2">
      <c r="A1184" s="1">
        <v>41360</v>
      </c>
      <c r="B1184">
        <v>87</v>
      </c>
      <c r="C1184">
        <v>26.666666666666664</v>
      </c>
      <c r="D1184">
        <v>13.333333333333332</v>
      </c>
      <c r="E1184">
        <v>12.684444444444447</v>
      </c>
    </row>
    <row r="1185" spans="1:5" x14ac:dyDescent="0.2">
      <c r="A1185" s="1">
        <v>41361</v>
      </c>
      <c r="B1185">
        <v>88</v>
      </c>
      <c r="C1185">
        <v>26.666666666666664</v>
      </c>
      <c r="D1185">
        <v>17.222222222222221</v>
      </c>
      <c r="E1185">
        <v>14.022222222222222</v>
      </c>
    </row>
    <row r="1186" spans="1:5" x14ac:dyDescent="0.2">
      <c r="A1186" s="1">
        <v>41362</v>
      </c>
      <c r="B1186">
        <v>89</v>
      </c>
      <c r="C1186">
        <v>23.888888888888889</v>
      </c>
      <c r="D1186">
        <v>15.555555555555555</v>
      </c>
      <c r="E1186">
        <v>15.895555555555557</v>
      </c>
    </row>
    <row r="1187" spans="1:5" x14ac:dyDescent="0.2">
      <c r="A1187" s="1">
        <v>41363</v>
      </c>
      <c r="B1187">
        <v>90</v>
      </c>
      <c r="C1187">
        <v>27.222222222222221</v>
      </c>
      <c r="D1187">
        <v>15</v>
      </c>
      <c r="E1187">
        <v>14.608888888888893</v>
      </c>
    </row>
    <row r="1188" spans="1:5" x14ac:dyDescent="0.2">
      <c r="A1188" s="1">
        <v>41364</v>
      </c>
      <c r="B1188">
        <v>91</v>
      </c>
      <c r="C1188">
        <v>27.777777777777779</v>
      </c>
      <c r="D1188">
        <v>14.444444444444445</v>
      </c>
      <c r="E1188">
        <v>13.344444444444447</v>
      </c>
    </row>
    <row r="1189" spans="1:5" x14ac:dyDescent="0.2">
      <c r="A1189" s="1">
        <v>41365</v>
      </c>
      <c r="B1189">
        <v>92</v>
      </c>
      <c r="C1189">
        <v>26.111111111111111</v>
      </c>
      <c r="D1189">
        <v>13.888888888888889</v>
      </c>
      <c r="E1189">
        <v>14.593333333333337</v>
      </c>
    </row>
    <row r="1190" spans="1:5" x14ac:dyDescent="0.2">
      <c r="A1190" s="1">
        <v>41366</v>
      </c>
      <c r="B1190">
        <v>93</v>
      </c>
      <c r="C1190">
        <v>18.333333333333332</v>
      </c>
      <c r="D1190">
        <v>12.222222222222223</v>
      </c>
      <c r="E1190">
        <v>13.820000000000002</v>
      </c>
    </row>
    <row r="1191" spans="1:5" x14ac:dyDescent="0.2">
      <c r="A1191" s="1">
        <v>41367</v>
      </c>
      <c r="B1191">
        <v>94</v>
      </c>
      <c r="C1191">
        <v>15.555555555555555</v>
      </c>
      <c r="D1191">
        <v>9.4444444444444446</v>
      </c>
      <c r="E1191">
        <v>15.273333333333332</v>
      </c>
    </row>
    <row r="1192" spans="1:5" x14ac:dyDescent="0.2">
      <c r="A1192" s="1">
        <v>41368</v>
      </c>
      <c r="B1192">
        <v>95</v>
      </c>
      <c r="C1192">
        <v>19.444444444444443</v>
      </c>
      <c r="D1192">
        <v>1.1111111111111112</v>
      </c>
      <c r="E1192">
        <v>14.677777777777782</v>
      </c>
    </row>
    <row r="1193" spans="1:5" x14ac:dyDescent="0.2">
      <c r="A1193" s="1">
        <v>41369</v>
      </c>
      <c r="B1193">
        <v>96</v>
      </c>
      <c r="C1193">
        <v>6.1111111111111116</v>
      </c>
      <c r="D1193">
        <v>0.55555555555555558</v>
      </c>
      <c r="E1193">
        <v>17.008888888888887</v>
      </c>
    </row>
    <row r="1194" spans="1:5" x14ac:dyDescent="0.2">
      <c r="A1194" s="1">
        <v>41370</v>
      </c>
      <c r="B1194">
        <v>97</v>
      </c>
      <c r="C1194">
        <v>23.333333333333336</v>
      </c>
      <c r="D1194">
        <v>6.1111111111111116</v>
      </c>
      <c r="E1194">
        <v>16.526666666666664</v>
      </c>
    </row>
    <row r="1195" spans="1:5" x14ac:dyDescent="0.2">
      <c r="A1195" s="1">
        <v>41371</v>
      </c>
      <c r="B1195">
        <v>98</v>
      </c>
      <c r="C1195">
        <v>15.555555555555555</v>
      </c>
      <c r="D1195">
        <v>1.6666666666666665</v>
      </c>
      <c r="E1195">
        <v>14.875555555555552</v>
      </c>
    </row>
    <row r="1196" spans="1:5" x14ac:dyDescent="0.2">
      <c r="A1196" s="1">
        <v>41372</v>
      </c>
      <c r="B1196">
        <v>99</v>
      </c>
      <c r="C1196">
        <v>12.777777777777777</v>
      </c>
      <c r="D1196">
        <v>1.6666666666666665</v>
      </c>
      <c r="E1196">
        <v>17.475555555555555</v>
      </c>
    </row>
    <row r="1197" spans="1:5" x14ac:dyDescent="0.2">
      <c r="A1197" s="1">
        <v>41373</v>
      </c>
      <c r="B1197">
        <v>100</v>
      </c>
      <c r="C1197">
        <v>5.5555555555555554</v>
      </c>
      <c r="D1197">
        <v>1.6666666666666665</v>
      </c>
      <c r="E1197">
        <v>17.055555555555557</v>
      </c>
    </row>
    <row r="1198" spans="1:5" x14ac:dyDescent="0.2">
      <c r="A1198" s="1">
        <v>41374</v>
      </c>
      <c r="B1198">
        <v>101</v>
      </c>
      <c r="C1198">
        <v>7.2222222222222223</v>
      </c>
      <c r="D1198">
        <v>2.7777777777777777</v>
      </c>
      <c r="E1198">
        <v>15.882222222222218</v>
      </c>
    </row>
    <row r="1199" spans="1:5" x14ac:dyDescent="0.2">
      <c r="A1199" s="1">
        <v>41375</v>
      </c>
      <c r="B1199">
        <v>102</v>
      </c>
      <c r="C1199">
        <v>15.555555555555555</v>
      </c>
      <c r="D1199">
        <v>6.1111111111111116</v>
      </c>
      <c r="E1199">
        <v>15.497777777777774</v>
      </c>
    </row>
    <row r="1200" spans="1:5" x14ac:dyDescent="0.2">
      <c r="A1200" s="1">
        <v>41376</v>
      </c>
      <c r="B1200">
        <v>103</v>
      </c>
      <c r="C1200">
        <v>18.333333333333332</v>
      </c>
      <c r="D1200">
        <v>6.1111111111111116</v>
      </c>
      <c r="E1200">
        <v>18.066666666666666</v>
      </c>
    </row>
    <row r="1201" spans="1:5" x14ac:dyDescent="0.2">
      <c r="A1201" s="1">
        <v>41377</v>
      </c>
      <c r="B1201">
        <v>104</v>
      </c>
      <c r="C1201">
        <v>17.777777777777779</v>
      </c>
      <c r="D1201">
        <v>1.6666666666666665</v>
      </c>
      <c r="E1201">
        <v>17.306666666666665</v>
      </c>
    </row>
    <row r="1202" spans="1:5" x14ac:dyDescent="0.2">
      <c r="A1202" s="1">
        <v>41378</v>
      </c>
      <c r="B1202">
        <v>105</v>
      </c>
      <c r="C1202">
        <v>16.666666666666668</v>
      </c>
      <c r="D1202">
        <v>1.1111111111111112</v>
      </c>
      <c r="E1202">
        <v>18.091111111111108</v>
      </c>
    </row>
    <row r="1203" spans="1:5" x14ac:dyDescent="0.2">
      <c r="A1203" s="1">
        <v>41379</v>
      </c>
      <c r="B1203">
        <v>106</v>
      </c>
      <c r="C1203">
        <v>11.111111111111111</v>
      </c>
      <c r="D1203">
        <v>-4.4444444444444446</v>
      </c>
      <c r="E1203">
        <v>15.755555555555551</v>
      </c>
    </row>
    <row r="1204" spans="1:5" x14ac:dyDescent="0.2">
      <c r="A1204" s="1">
        <v>41380</v>
      </c>
      <c r="B1204">
        <v>107</v>
      </c>
      <c r="C1204">
        <v>14.444444444444445</v>
      </c>
      <c r="D1204">
        <v>-5</v>
      </c>
      <c r="E1204">
        <v>18.606666666666669</v>
      </c>
    </row>
    <row r="1205" spans="1:5" x14ac:dyDescent="0.2">
      <c r="A1205" s="1">
        <v>41381</v>
      </c>
      <c r="B1205">
        <v>108</v>
      </c>
      <c r="C1205">
        <v>17.777777777777779</v>
      </c>
      <c r="D1205">
        <v>-1.1111111111111112</v>
      </c>
      <c r="E1205">
        <v>17.028888888888886</v>
      </c>
    </row>
    <row r="1206" spans="1:5" x14ac:dyDescent="0.2">
      <c r="A1206" s="1">
        <v>41382</v>
      </c>
      <c r="B1206">
        <v>109</v>
      </c>
      <c r="C1206">
        <v>17.222222222222221</v>
      </c>
      <c r="D1206">
        <v>-2.2222222222222223</v>
      </c>
      <c r="E1206">
        <v>16.00888888888889</v>
      </c>
    </row>
    <row r="1207" spans="1:5" x14ac:dyDescent="0.2">
      <c r="A1207" s="1">
        <v>41383</v>
      </c>
      <c r="B1207">
        <v>110</v>
      </c>
      <c r="C1207">
        <v>13.333333333333332</v>
      </c>
      <c r="D1207">
        <v>-3.8888888888888888</v>
      </c>
      <c r="E1207">
        <v>14.822222222222214</v>
      </c>
    </row>
    <row r="1208" spans="1:5" x14ac:dyDescent="0.2">
      <c r="A1208" s="1">
        <v>41384</v>
      </c>
      <c r="B1208">
        <v>111</v>
      </c>
      <c r="C1208">
        <v>7.2222222222222223</v>
      </c>
      <c r="D1208">
        <v>-5</v>
      </c>
      <c r="E1208">
        <v>16.506666666666668</v>
      </c>
    </row>
    <row r="1209" spans="1:5" x14ac:dyDescent="0.2">
      <c r="A1209" s="1">
        <v>41385</v>
      </c>
      <c r="B1209">
        <v>112</v>
      </c>
      <c r="C1209">
        <v>12.777777777777777</v>
      </c>
      <c r="D1209">
        <v>-4.4444444444444446</v>
      </c>
      <c r="E1209">
        <v>16.88</v>
      </c>
    </row>
    <row r="1210" spans="1:5" x14ac:dyDescent="0.2">
      <c r="A1210" s="1">
        <v>41386</v>
      </c>
      <c r="B1210">
        <v>113</v>
      </c>
      <c r="C1210">
        <v>16.666666666666668</v>
      </c>
      <c r="D1210">
        <v>-2.7777777777777777</v>
      </c>
      <c r="E1210">
        <v>17.740000000000009</v>
      </c>
    </row>
    <row r="1211" spans="1:5" x14ac:dyDescent="0.2">
      <c r="A1211" s="1">
        <v>41387</v>
      </c>
      <c r="B1211">
        <v>114</v>
      </c>
      <c r="C1211">
        <v>18.333333333333332</v>
      </c>
      <c r="D1211">
        <v>6.6666666666666661</v>
      </c>
      <c r="E1211">
        <v>19.917777777777768</v>
      </c>
    </row>
    <row r="1212" spans="1:5" x14ac:dyDescent="0.2">
      <c r="A1212" s="1">
        <v>41388</v>
      </c>
      <c r="B1212">
        <v>115</v>
      </c>
      <c r="C1212">
        <v>23.888888888888889</v>
      </c>
      <c r="D1212">
        <v>15</v>
      </c>
      <c r="E1212">
        <v>19.82888888888888</v>
      </c>
    </row>
    <row r="1213" spans="1:5" x14ac:dyDescent="0.2">
      <c r="A1213" s="1">
        <v>41389</v>
      </c>
      <c r="B1213">
        <v>116</v>
      </c>
      <c r="C1213">
        <v>23.888888888888889</v>
      </c>
      <c r="D1213">
        <v>12.777777777777777</v>
      </c>
      <c r="E1213">
        <v>19.919999999999998</v>
      </c>
    </row>
    <row r="1214" spans="1:5" x14ac:dyDescent="0.2">
      <c r="A1214" s="1">
        <v>41390</v>
      </c>
      <c r="B1214">
        <v>117</v>
      </c>
      <c r="C1214">
        <v>12.777777777777777</v>
      </c>
      <c r="D1214">
        <v>-1.6666666666666665</v>
      </c>
      <c r="E1214">
        <v>18.355555555555554</v>
      </c>
    </row>
    <row r="1215" spans="1:5" x14ac:dyDescent="0.2">
      <c r="A1215" s="1">
        <v>41391</v>
      </c>
      <c r="B1215">
        <v>118</v>
      </c>
      <c r="C1215">
        <v>15</v>
      </c>
      <c r="D1215">
        <v>-1.1111111111111112</v>
      </c>
      <c r="E1215">
        <v>18.562222222222225</v>
      </c>
    </row>
    <row r="1216" spans="1:5" x14ac:dyDescent="0.2">
      <c r="A1216" s="1">
        <v>41392</v>
      </c>
      <c r="B1216">
        <v>119</v>
      </c>
      <c r="C1216">
        <v>21.666666666666664</v>
      </c>
      <c r="D1216">
        <v>5</v>
      </c>
      <c r="E1216">
        <v>18.202222222222229</v>
      </c>
    </row>
    <row r="1217" spans="1:5" x14ac:dyDescent="0.2">
      <c r="A1217" s="1">
        <v>41393</v>
      </c>
      <c r="B1217">
        <v>120</v>
      </c>
      <c r="C1217">
        <v>11.111111111111111</v>
      </c>
      <c r="D1217">
        <v>2.2222222222222223</v>
      </c>
      <c r="E1217">
        <v>17.571111111111119</v>
      </c>
    </row>
    <row r="1218" spans="1:5" x14ac:dyDescent="0.2">
      <c r="A1218" s="1">
        <v>41394</v>
      </c>
      <c r="B1218">
        <v>121</v>
      </c>
      <c r="C1218">
        <v>10.555555555555555</v>
      </c>
      <c r="D1218">
        <v>-1.1111111111111112</v>
      </c>
      <c r="E1218">
        <v>19.524444444444448</v>
      </c>
    </row>
    <row r="1219" spans="1:5" x14ac:dyDescent="0.2">
      <c r="A1219" s="1">
        <v>41395</v>
      </c>
      <c r="B1219">
        <v>122</v>
      </c>
      <c r="C1219">
        <v>12.222222222222223</v>
      </c>
      <c r="D1219">
        <v>-1.1111111111111112</v>
      </c>
      <c r="E1219">
        <v>19.262222222222217</v>
      </c>
    </row>
    <row r="1220" spans="1:5" x14ac:dyDescent="0.2">
      <c r="A1220" s="1">
        <v>41396</v>
      </c>
      <c r="B1220">
        <v>123</v>
      </c>
      <c r="C1220">
        <v>12.777777777777777</v>
      </c>
      <c r="D1220">
        <v>-1.6666666666666665</v>
      </c>
      <c r="E1220">
        <v>21.293333333333326</v>
      </c>
    </row>
    <row r="1221" spans="1:5" x14ac:dyDescent="0.2">
      <c r="A1221" s="1">
        <v>41397</v>
      </c>
      <c r="B1221">
        <v>124</v>
      </c>
      <c r="C1221">
        <v>15.555555555555555</v>
      </c>
      <c r="D1221">
        <v>-1.6666666666666665</v>
      </c>
      <c r="E1221">
        <v>20.195555555555561</v>
      </c>
    </row>
    <row r="1222" spans="1:5" x14ac:dyDescent="0.2">
      <c r="A1222" s="1">
        <v>41398</v>
      </c>
      <c r="B1222">
        <v>125</v>
      </c>
      <c r="C1222">
        <v>20</v>
      </c>
      <c r="D1222">
        <v>4.4444444444444446</v>
      </c>
      <c r="E1222">
        <v>19.100000000000005</v>
      </c>
    </row>
    <row r="1223" spans="1:5" x14ac:dyDescent="0.2">
      <c r="A1223" s="1">
        <v>41399</v>
      </c>
      <c r="B1223">
        <v>126</v>
      </c>
      <c r="C1223">
        <v>15.555555555555555</v>
      </c>
      <c r="D1223">
        <v>4.4444444444444446</v>
      </c>
      <c r="E1223">
        <v>20.082222222222224</v>
      </c>
    </row>
    <row r="1224" spans="1:5" x14ac:dyDescent="0.2">
      <c r="A1224" s="1">
        <v>41400</v>
      </c>
      <c r="B1224">
        <v>127</v>
      </c>
      <c r="C1224">
        <v>13.888888888888889</v>
      </c>
      <c r="D1224">
        <v>-2.2222222222222223</v>
      </c>
      <c r="E1224">
        <v>17.606666666666673</v>
      </c>
    </row>
    <row r="1225" spans="1:5" x14ac:dyDescent="0.2">
      <c r="A1225" s="1">
        <v>41401</v>
      </c>
      <c r="B1225">
        <v>128</v>
      </c>
      <c r="C1225">
        <v>13.333333333333332</v>
      </c>
      <c r="D1225">
        <v>1.1111111111111112</v>
      </c>
      <c r="E1225">
        <v>18.580000000000002</v>
      </c>
    </row>
    <row r="1226" spans="1:5" x14ac:dyDescent="0.2">
      <c r="A1226" s="1">
        <v>41402</v>
      </c>
      <c r="B1226">
        <v>129</v>
      </c>
      <c r="C1226">
        <v>8.8888888888888893</v>
      </c>
      <c r="D1226">
        <v>1.1111111111111112</v>
      </c>
      <c r="E1226">
        <v>20.891111111111112</v>
      </c>
    </row>
    <row r="1227" spans="1:5" x14ac:dyDescent="0.2">
      <c r="A1227" s="1">
        <v>41403</v>
      </c>
      <c r="B1227">
        <v>130</v>
      </c>
      <c r="C1227">
        <v>13.333333333333332</v>
      </c>
      <c r="D1227">
        <v>5.5555555555555554</v>
      </c>
      <c r="E1227">
        <v>21.2911111111111</v>
      </c>
    </row>
    <row r="1228" spans="1:5" x14ac:dyDescent="0.2">
      <c r="A1228" s="1">
        <v>41404</v>
      </c>
      <c r="B1228">
        <v>131</v>
      </c>
      <c r="C1228">
        <v>12.222222222222223</v>
      </c>
      <c r="D1228">
        <v>1.6666666666666665</v>
      </c>
      <c r="E1228">
        <v>17.644444444444446</v>
      </c>
    </row>
    <row r="1229" spans="1:5" x14ac:dyDescent="0.2">
      <c r="A1229" s="1">
        <v>41405</v>
      </c>
      <c r="B1229">
        <v>132</v>
      </c>
      <c r="C1229">
        <v>18.888888888888889</v>
      </c>
      <c r="D1229">
        <v>2.7777777777777777</v>
      </c>
      <c r="E1229">
        <v>19.975555555555552</v>
      </c>
    </row>
    <row r="1230" spans="1:5" x14ac:dyDescent="0.2">
      <c r="A1230" s="1">
        <v>41406</v>
      </c>
      <c r="B1230">
        <v>133</v>
      </c>
      <c r="C1230">
        <v>26.666666666666664</v>
      </c>
      <c r="D1230">
        <v>15</v>
      </c>
      <c r="E1230">
        <v>19.571111111111115</v>
      </c>
    </row>
    <row r="1231" spans="1:5" x14ac:dyDescent="0.2">
      <c r="A1231" s="1">
        <v>41407</v>
      </c>
      <c r="B1231">
        <v>134</v>
      </c>
      <c r="C1231">
        <v>28.888888888888889</v>
      </c>
      <c r="D1231">
        <v>14.444444444444445</v>
      </c>
      <c r="E1231">
        <v>18.477777777777774</v>
      </c>
    </row>
    <row r="1232" spans="1:5" x14ac:dyDescent="0.2">
      <c r="A1232" s="1">
        <v>41408</v>
      </c>
      <c r="B1232">
        <v>135</v>
      </c>
      <c r="C1232">
        <v>18.333333333333332</v>
      </c>
      <c r="D1232">
        <v>10.555555555555555</v>
      </c>
      <c r="E1232">
        <v>19.902222222222221</v>
      </c>
    </row>
    <row r="1233" spans="1:5" x14ac:dyDescent="0.2">
      <c r="A1233" s="1">
        <v>41409</v>
      </c>
      <c r="B1233">
        <v>136</v>
      </c>
      <c r="C1233">
        <v>20</v>
      </c>
      <c r="D1233">
        <v>10.555555555555555</v>
      </c>
      <c r="E1233">
        <v>20.839999999999996</v>
      </c>
    </row>
    <row r="1234" spans="1:5" x14ac:dyDescent="0.2">
      <c r="A1234" s="1">
        <v>41410</v>
      </c>
      <c r="B1234">
        <v>137</v>
      </c>
      <c r="C1234">
        <v>18.888888888888889</v>
      </c>
      <c r="D1234">
        <v>10.555555555555555</v>
      </c>
      <c r="E1234">
        <v>20.335555555555548</v>
      </c>
    </row>
    <row r="1235" spans="1:5" x14ac:dyDescent="0.2">
      <c r="A1235" s="1">
        <v>41411</v>
      </c>
      <c r="B1235">
        <v>138</v>
      </c>
      <c r="C1235">
        <v>22.222222222222221</v>
      </c>
      <c r="D1235">
        <v>8.8888888888888893</v>
      </c>
      <c r="E1235">
        <v>19.555555555555557</v>
      </c>
    </row>
    <row r="1236" spans="1:5" x14ac:dyDescent="0.2">
      <c r="A1236" s="1">
        <v>41412</v>
      </c>
      <c r="B1236">
        <v>139</v>
      </c>
      <c r="C1236">
        <v>18.888888888888889</v>
      </c>
      <c r="D1236">
        <v>5.5555555555555554</v>
      </c>
      <c r="E1236">
        <v>21.506666666666671</v>
      </c>
    </row>
    <row r="1237" spans="1:5" x14ac:dyDescent="0.2">
      <c r="A1237" s="1">
        <v>41413</v>
      </c>
      <c r="B1237">
        <v>140</v>
      </c>
      <c r="C1237">
        <v>17.222222222222221</v>
      </c>
      <c r="D1237">
        <v>1.6666666666666665</v>
      </c>
      <c r="E1237">
        <v>22.404444444444444</v>
      </c>
    </row>
    <row r="1238" spans="1:5" x14ac:dyDescent="0.2">
      <c r="A1238" s="1">
        <v>41414</v>
      </c>
      <c r="B1238">
        <v>141</v>
      </c>
      <c r="C1238">
        <v>21.666666666666664</v>
      </c>
      <c r="D1238">
        <v>3.8888888888888888</v>
      </c>
      <c r="E1238">
        <v>22.526666666666674</v>
      </c>
    </row>
    <row r="1239" spans="1:5" x14ac:dyDescent="0.2">
      <c r="A1239" s="1">
        <v>41415</v>
      </c>
      <c r="B1239">
        <v>142</v>
      </c>
      <c r="C1239">
        <v>26.666666666666664</v>
      </c>
      <c r="D1239">
        <v>11.111111111111111</v>
      </c>
      <c r="E1239">
        <v>20.664444444444445</v>
      </c>
    </row>
    <row r="1240" spans="1:5" x14ac:dyDescent="0.2">
      <c r="A1240" s="1">
        <v>41416</v>
      </c>
      <c r="B1240">
        <v>143</v>
      </c>
      <c r="C1240">
        <v>20</v>
      </c>
      <c r="D1240">
        <v>3.8888888888888888</v>
      </c>
      <c r="E1240">
        <v>19.966666666666665</v>
      </c>
    </row>
    <row r="1241" spans="1:5" x14ac:dyDescent="0.2">
      <c r="A1241" s="1">
        <v>41417</v>
      </c>
      <c r="B1241">
        <v>144</v>
      </c>
      <c r="C1241">
        <v>23.333333333333336</v>
      </c>
      <c r="D1241">
        <v>2.7777777777777777</v>
      </c>
      <c r="E1241">
        <v>21.091111111111118</v>
      </c>
    </row>
    <row r="1242" spans="1:5" x14ac:dyDescent="0.2">
      <c r="A1242" s="1">
        <v>41418</v>
      </c>
      <c r="B1242">
        <v>145</v>
      </c>
      <c r="C1242">
        <v>26.666666666666664</v>
      </c>
      <c r="D1242">
        <v>5.5555555555555554</v>
      </c>
      <c r="E1242">
        <v>21.435555555555553</v>
      </c>
    </row>
    <row r="1243" spans="1:5" x14ac:dyDescent="0.2">
      <c r="A1243" s="1">
        <v>41419</v>
      </c>
      <c r="B1243">
        <v>146</v>
      </c>
      <c r="C1243">
        <v>30</v>
      </c>
      <c r="D1243">
        <v>4.4444444444444446</v>
      </c>
      <c r="E1243">
        <v>22.319999999999986</v>
      </c>
    </row>
    <row r="1244" spans="1:5" x14ac:dyDescent="0.2">
      <c r="A1244" s="1">
        <v>41420</v>
      </c>
      <c r="B1244">
        <v>147</v>
      </c>
      <c r="C1244">
        <v>21.111111111111111</v>
      </c>
      <c r="D1244">
        <v>5.5555555555555554</v>
      </c>
      <c r="E1244">
        <v>21.086666666666666</v>
      </c>
    </row>
    <row r="1245" spans="1:5" x14ac:dyDescent="0.2">
      <c r="A1245" s="1">
        <v>41421</v>
      </c>
      <c r="B1245">
        <v>148</v>
      </c>
      <c r="C1245">
        <v>23.888888888888889</v>
      </c>
      <c r="D1245">
        <v>7.2222222222222223</v>
      </c>
      <c r="E1245">
        <v>19.986666666666665</v>
      </c>
    </row>
    <row r="1246" spans="1:5" x14ac:dyDescent="0.2">
      <c r="A1246" s="1">
        <v>41422</v>
      </c>
      <c r="B1246">
        <v>149</v>
      </c>
      <c r="C1246">
        <v>30</v>
      </c>
      <c r="D1246">
        <v>13.333333333333332</v>
      </c>
      <c r="E1246">
        <v>20.988888888888894</v>
      </c>
    </row>
    <row r="1247" spans="1:5" x14ac:dyDescent="0.2">
      <c r="A1247" s="1">
        <v>41423</v>
      </c>
      <c r="B1247">
        <v>150</v>
      </c>
      <c r="C1247">
        <v>31.666666666666664</v>
      </c>
      <c r="D1247">
        <v>16.111111111111111</v>
      </c>
      <c r="E1247">
        <v>21.175555555555562</v>
      </c>
    </row>
    <row r="1248" spans="1:5" x14ac:dyDescent="0.2">
      <c r="A1248" s="1">
        <v>41424</v>
      </c>
      <c r="B1248">
        <v>151</v>
      </c>
      <c r="C1248">
        <v>27.777777777777779</v>
      </c>
      <c r="D1248">
        <v>7.7777777777777777</v>
      </c>
      <c r="E1248">
        <v>21.524444444444448</v>
      </c>
    </row>
    <row r="1249" spans="1:5" x14ac:dyDescent="0.2">
      <c r="A1249" s="1">
        <v>41425</v>
      </c>
      <c r="B1249">
        <v>152</v>
      </c>
      <c r="C1249">
        <v>22.777777777777779</v>
      </c>
      <c r="D1249">
        <v>4.4444444444444446</v>
      </c>
      <c r="E1249">
        <v>22.935555555555549</v>
      </c>
    </row>
    <row r="1250" spans="1:5" x14ac:dyDescent="0.2">
      <c r="A1250" s="1">
        <v>41426</v>
      </c>
      <c r="B1250">
        <v>153</v>
      </c>
      <c r="C1250">
        <v>24.444444444444446</v>
      </c>
      <c r="D1250">
        <v>7.2222222222222223</v>
      </c>
      <c r="E1250">
        <v>22.097777777777782</v>
      </c>
    </row>
    <row r="1251" spans="1:5" x14ac:dyDescent="0.2">
      <c r="A1251" s="1">
        <v>41427</v>
      </c>
      <c r="B1251">
        <v>154</v>
      </c>
      <c r="C1251">
        <v>27.222222222222221</v>
      </c>
      <c r="D1251">
        <v>12.222222222222223</v>
      </c>
      <c r="E1251">
        <v>23.393333333333331</v>
      </c>
    </row>
    <row r="1252" spans="1:5" x14ac:dyDescent="0.2">
      <c r="A1252" s="1">
        <v>41428</v>
      </c>
      <c r="B1252">
        <v>155</v>
      </c>
      <c r="C1252">
        <v>32.222222222222221</v>
      </c>
      <c r="D1252">
        <v>11.111111111111111</v>
      </c>
      <c r="E1252">
        <v>22.279999999999998</v>
      </c>
    </row>
    <row r="1253" spans="1:5" x14ac:dyDescent="0.2">
      <c r="A1253" s="1">
        <v>41429</v>
      </c>
      <c r="B1253">
        <v>156</v>
      </c>
      <c r="C1253">
        <v>23.888888888888889</v>
      </c>
      <c r="D1253">
        <v>12.777777777777777</v>
      </c>
      <c r="E1253">
        <v>21.313333333333325</v>
      </c>
    </row>
    <row r="1254" spans="1:5" x14ac:dyDescent="0.2">
      <c r="A1254" s="1">
        <v>41430</v>
      </c>
      <c r="B1254">
        <v>157</v>
      </c>
      <c r="C1254">
        <v>29.444444444444446</v>
      </c>
      <c r="D1254">
        <v>17.222222222222221</v>
      </c>
      <c r="E1254">
        <v>22.002222222222226</v>
      </c>
    </row>
    <row r="1255" spans="1:5" x14ac:dyDescent="0.2">
      <c r="A1255" s="1">
        <v>41431</v>
      </c>
      <c r="B1255">
        <v>158</v>
      </c>
      <c r="C1255">
        <v>32.777777777777779</v>
      </c>
      <c r="D1255">
        <v>17.222222222222221</v>
      </c>
      <c r="E1255">
        <v>22.086666666666659</v>
      </c>
    </row>
    <row r="1256" spans="1:5" x14ac:dyDescent="0.2">
      <c r="A1256" s="1">
        <v>41432</v>
      </c>
      <c r="B1256">
        <v>159</v>
      </c>
      <c r="C1256">
        <v>29.444444444444446</v>
      </c>
      <c r="D1256">
        <v>13.333333333333332</v>
      </c>
      <c r="E1256">
        <v>23.813333333333325</v>
      </c>
    </row>
    <row r="1257" spans="1:5" x14ac:dyDescent="0.2">
      <c r="A1257" s="1">
        <v>41433</v>
      </c>
      <c r="B1257">
        <v>160</v>
      </c>
      <c r="C1257">
        <v>23.333333333333336</v>
      </c>
      <c r="D1257">
        <v>10</v>
      </c>
      <c r="E1257">
        <v>21.76222222222221</v>
      </c>
    </row>
    <row r="1258" spans="1:5" x14ac:dyDescent="0.2">
      <c r="A1258" s="1">
        <v>41434</v>
      </c>
      <c r="B1258">
        <v>161</v>
      </c>
      <c r="C1258">
        <v>17.222222222222221</v>
      </c>
      <c r="D1258">
        <v>7.7777777777777777</v>
      </c>
      <c r="E1258">
        <v>23.468888888888888</v>
      </c>
    </row>
    <row r="1259" spans="1:5" x14ac:dyDescent="0.2">
      <c r="A1259" s="1">
        <v>41435</v>
      </c>
      <c r="B1259">
        <v>162</v>
      </c>
      <c r="C1259">
        <v>13.333333333333332</v>
      </c>
      <c r="D1259">
        <v>6.1111111111111116</v>
      </c>
      <c r="E1259">
        <v>20.566666666666666</v>
      </c>
    </row>
    <row r="1260" spans="1:5" x14ac:dyDescent="0.2">
      <c r="A1260" s="1">
        <v>41436</v>
      </c>
      <c r="B1260">
        <v>163</v>
      </c>
      <c r="C1260">
        <v>20</v>
      </c>
      <c r="D1260">
        <v>8.8888888888888893</v>
      </c>
      <c r="E1260">
        <v>21.984444444444435</v>
      </c>
    </row>
    <row r="1261" spans="1:5" x14ac:dyDescent="0.2">
      <c r="A1261" s="1">
        <v>41437</v>
      </c>
      <c r="B1261">
        <v>164</v>
      </c>
      <c r="C1261">
        <v>23.888888888888889</v>
      </c>
      <c r="D1261">
        <v>5</v>
      </c>
      <c r="E1261">
        <v>23.388888888888882</v>
      </c>
    </row>
    <row r="1262" spans="1:5" x14ac:dyDescent="0.2">
      <c r="A1262" s="1">
        <v>41438</v>
      </c>
      <c r="B1262">
        <v>165</v>
      </c>
      <c r="C1262">
        <v>26.666666666666664</v>
      </c>
      <c r="D1262">
        <v>9.4444444444444446</v>
      </c>
      <c r="E1262">
        <v>21.657777777777785</v>
      </c>
    </row>
    <row r="1263" spans="1:5" x14ac:dyDescent="0.2">
      <c r="A1263" s="1">
        <v>41439</v>
      </c>
      <c r="B1263">
        <v>166</v>
      </c>
      <c r="C1263">
        <v>24.444444444444446</v>
      </c>
      <c r="D1263">
        <v>7.2222222222222223</v>
      </c>
      <c r="E1263">
        <v>20.875555555555547</v>
      </c>
    </row>
    <row r="1264" spans="1:5" x14ac:dyDescent="0.2">
      <c r="A1264" s="1">
        <v>41440</v>
      </c>
      <c r="B1264">
        <v>167</v>
      </c>
      <c r="C1264">
        <v>24.444444444444446</v>
      </c>
      <c r="D1264">
        <v>6.1111111111111116</v>
      </c>
      <c r="E1264">
        <v>21.88</v>
      </c>
    </row>
    <row r="1265" spans="1:5" x14ac:dyDescent="0.2">
      <c r="A1265" s="1">
        <v>41441</v>
      </c>
      <c r="B1265">
        <v>168</v>
      </c>
      <c r="C1265">
        <v>25.555555555555554</v>
      </c>
      <c r="D1265">
        <v>7.7777777777777777</v>
      </c>
      <c r="E1265">
        <v>23.36666666666666</v>
      </c>
    </row>
    <row r="1266" spans="1:5" x14ac:dyDescent="0.2">
      <c r="A1266" s="1">
        <v>41442</v>
      </c>
      <c r="B1266">
        <v>169</v>
      </c>
      <c r="C1266">
        <v>27.777777777777779</v>
      </c>
      <c r="D1266">
        <v>10</v>
      </c>
      <c r="E1266">
        <v>21.613333333333337</v>
      </c>
    </row>
    <row r="1267" spans="1:5" x14ac:dyDescent="0.2">
      <c r="A1267" s="1">
        <v>41443</v>
      </c>
      <c r="B1267">
        <v>170</v>
      </c>
      <c r="C1267">
        <v>30</v>
      </c>
      <c r="D1267">
        <v>13.888888888888889</v>
      </c>
      <c r="E1267">
        <v>23.11333333333333</v>
      </c>
    </row>
    <row r="1268" spans="1:5" x14ac:dyDescent="0.2">
      <c r="A1268" s="1">
        <v>41444</v>
      </c>
      <c r="B1268">
        <v>171</v>
      </c>
      <c r="C1268">
        <v>31.111111111111111</v>
      </c>
      <c r="D1268">
        <v>17.777777777777779</v>
      </c>
      <c r="E1268">
        <v>23.373333333333328</v>
      </c>
    </row>
    <row r="1269" spans="1:5" x14ac:dyDescent="0.2">
      <c r="A1269" s="1">
        <v>41445</v>
      </c>
      <c r="B1269">
        <v>172</v>
      </c>
      <c r="C1269">
        <v>31.666666666666664</v>
      </c>
      <c r="D1269">
        <v>18.333333333333332</v>
      </c>
      <c r="E1269">
        <v>22.980000000000004</v>
      </c>
    </row>
    <row r="1270" spans="1:5" x14ac:dyDescent="0.2">
      <c r="A1270" s="1">
        <v>41446</v>
      </c>
      <c r="B1270">
        <v>173</v>
      </c>
      <c r="C1270">
        <v>28.888888888888889</v>
      </c>
      <c r="D1270">
        <v>11.111111111111111</v>
      </c>
      <c r="E1270">
        <v>22.42444444444444</v>
      </c>
    </row>
    <row r="1271" spans="1:5" x14ac:dyDescent="0.2">
      <c r="A1271" s="1">
        <v>41447</v>
      </c>
      <c r="B1271">
        <v>174</v>
      </c>
      <c r="C1271">
        <v>21.666666666666664</v>
      </c>
      <c r="D1271">
        <v>5.5555555555555554</v>
      </c>
      <c r="E1271">
        <v>22.90444444444444</v>
      </c>
    </row>
    <row r="1272" spans="1:5" x14ac:dyDescent="0.2">
      <c r="A1272" s="1">
        <v>41448</v>
      </c>
      <c r="B1272">
        <v>175</v>
      </c>
      <c r="C1272">
        <v>23.888888888888889</v>
      </c>
      <c r="D1272">
        <v>7.2222222222222223</v>
      </c>
      <c r="E1272">
        <v>23.068888888888885</v>
      </c>
    </row>
    <row r="1273" spans="1:5" x14ac:dyDescent="0.2">
      <c r="A1273" s="1">
        <v>41449</v>
      </c>
      <c r="B1273">
        <v>176</v>
      </c>
      <c r="C1273">
        <v>27.777777777777779</v>
      </c>
      <c r="D1273">
        <v>12.222222222222223</v>
      </c>
      <c r="E1273">
        <v>23.437777777777779</v>
      </c>
    </row>
    <row r="1274" spans="1:5" x14ac:dyDescent="0.2">
      <c r="A1274" s="1">
        <v>41450</v>
      </c>
      <c r="B1274">
        <v>177</v>
      </c>
      <c r="C1274">
        <v>32.777777777777779</v>
      </c>
      <c r="D1274">
        <v>17.222222222222221</v>
      </c>
      <c r="E1274">
        <v>24.166666666666679</v>
      </c>
    </row>
    <row r="1275" spans="1:5" x14ac:dyDescent="0.2">
      <c r="A1275" s="1">
        <v>41451</v>
      </c>
      <c r="B1275">
        <v>178</v>
      </c>
      <c r="C1275">
        <v>28.888888888888889</v>
      </c>
      <c r="D1275">
        <v>23.333333333333336</v>
      </c>
      <c r="E1275">
        <v>24.371111111111112</v>
      </c>
    </row>
    <row r="1276" spans="1:5" x14ac:dyDescent="0.2">
      <c r="A1276" s="1">
        <v>41452</v>
      </c>
      <c r="B1276">
        <v>179</v>
      </c>
      <c r="C1276">
        <v>30.555555555555554</v>
      </c>
      <c r="D1276">
        <v>23.333333333333336</v>
      </c>
      <c r="E1276">
        <v>22.171111111111113</v>
      </c>
    </row>
    <row r="1277" spans="1:5" x14ac:dyDescent="0.2">
      <c r="A1277" s="1">
        <v>41453</v>
      </c>
      <c r="B1277">
        <v>180</v>
      </c>
      <c r="C1277">
        <v>33.333333333333336</v>
      </c>
      <c r="D1277">
        <v>24.444444444444446</v>
      </c>
      <c r="E1277">
        <v>22.31111111111111</v>
      </c>
    </row>
    <row r="1278" spans="1:5" x14ac:dyDescent="0.2">
      <c r="A1278" s="1">
        <v>41454</v>
      </c>
      <c r="B1278">
        <v>181</v>
      </c>
      <c r="C1278">
        <v>33.888888888888886</v>
      </c>
      <c r="D1278">
        <v>24.444444444444446</v>
      </c>
      <c r="E1278">
        <v>25.455555555555552</v>
      </c>
    </row>
    <row r="1279" spans="1:5" x14ac:dyDescent="0.2">
      <c r="A1279" s="1">
        <v>41455</v>
      </c>
      <c r="B1279">
        <v>182</v>
      </c>
      <c r="C1279">
        <v>33.888888888888886</v>
      </c>
      <c r="D1279">
        <v>17.777777777777779</v>
      </c>
      <c r="E1279">
        <v>25.371111111111109</v>
      </c>
    </row>
    <row r="1280" spans="1:5" x14ac:dyDescent="0.2">
      <c r="A1280" s="1">
        <v>41456</v>
      </c>
      <c r="B1280">
        <v>183</v>
      </c>
      <c r="C1280">
        <v>28.333333333333336</v>
      </c>
      <c r="D1280">
        <v>12.222222222222223</v>
      </c>
      <c r="E1280">
        <v>23.746666666666659</v>
      </c>
    </row>
    <row r="1281" spans="1:5" x14ac:dyDescent="0.2">
      <c r="A1281" s="1">
        <v>41457</v>
      </c>
      <c r="B1281">
        <v>184</v>
      </c>
      <c r="C1281">
        <v>29.444444444444446</v>
      </c>
      <c r="D1281">
        <v>11.111111111111111</v>
      </c>
      <c r="E1281">
        <v>22.228888888888893</v>
      </c>
    </row>
    <row r="1282" spans="1:5" x14ac:dyDescent="0.2">
      <c r="A1282" s="1">
        <v>41458</v>
      </c>
      <c r="B1282">
        <v>185</v>
      </c>
      <c r="C1282">
        <v>27.777777777777779</v>
      </c>
      <c r="D1282">
        <v>14.444444444444445</v>
      </c>
      <c r="E1282">
        <v>22.664444444444449</v>
      </c>
    </row>
    <row r="1283" spans="1:5" x14ac:dyDescent="0.2">
      <c r="A1283" s="1">
        <v>41459</v>
      </c>
      <c r="B1283">
        <v>186</v>
      </c>
      <c r="C1283">
        <v>31.666666666666664</v>
      </c>
      <c r="D1283">
        <v>13.333333333333332</v>
      </c>
      <c r="E1283">
        <v>24.606666666666666</v>
      </c>
    </row>
    <row r="1284" spans="1:5" x14ac:dyDescent="0.2">
      <c r="A1284" s="1">
        <v>41460</v>
      </c>
      <c r="B1284">
        <v>187</v>
      </c>
      <c r="C1284">
        <v>26.111111111111111</v>
      </c>
      <c r="D1284">
        <v>6.6666666666666661</v>
      </c>
      <c r="E1284">
        <v>23.071111111111112</v>
      </c>
    </row>
    <row r="1285" spans="1:5" x14ac:dyDescent="0.2">
      <c r="A1285" s="1">
        <v>41461</v>
      </c>
      <c r="B1285">
        <v>188</v>
      </c>
      <c r="C1285">
        <v>28.888888888888889</v>
      </c>
      <c r="D1285">
        <v>9.4444444444444446</v>
      </c>
      <c r="E1285">
        <v>23.468888888888888</v>
      </c>
    </row>
    <row r="1286" spans="1:5" x14ac:dyDescent="0.2">
      <c r="A1286" s="1">
        <v>41462</v>
      </c>
      <c r="B1286">
        <v>189</v>
      </c>
      <c r="C1286">
        <v>34.444444444444443</v>
      </c>
      <c r="D1286">
        <v>18.333333333333332</v>
      </c>
      <c r="E1286">
        <v>22.911111111111111</v>
      </c>
    </row>
    <row r="1287" spans="1:5" x14ac:dyDescent="0.2">
      <c r="A1287" s="1">
        <v>41463</v>
      </c>
      <c r="B1287">
        <v>190</v>
      </c>
      <c r="C1287">
        <v>35.555555555555557</v>
      </c>
      <c r="D1287">
        <v>13.333333333333332</v>
      </c>
      <c r="E1287">
        <v>22.133333333333333</v>
      </c>
    </row>
    <row r="1288" spans="1:5" x14ac:dyDescent="0.2">
      <c r="A1288" s="1">
        <v>41464</v>
      </c>
      <c r="B1288">
        <v>191</v>
      </c>
      <c r="C1288">
        <v>33.333333333333336</v>
      </c>
      <c r="D1288">
        <v>15</v>
      </c>
      <c r="E1288">
        <v>23.479999999999993</v>
      </c>
    </row>
    <row r="1289" spans="1:5" x14ac:dyDescent="0.2">
      <c r="A1289" s="1">
        <v>41465</v>
      </c>
      <c r="B1289">
        <v>192</v>
      </c>
      <c r="C1289">
        <v>33.888888888888886</v>
      </c>
      <c r="D1289">
        <v>16.111111111111111</v>
      </c>
      <c r="E1289">
        <v>23.637777777777778</v>
      </c>
    </row>
    <row r="1290" spans="1:5" x14ac:dyDescent="0.2">
      <c r="A1290" s="1">
        <v>41466</v>
      </c>
      <c r="B1290">
        <v>193</v>
      </c>
      <c r="C1290">
        <v>35</v>
      </c>
      <c r="D1290">
        <v>20.555555555555554</v>
      </c>
      <c r="E1290">
        <v>22.757777777777775</v>
      </c>
    </row>
    <row r="1291" spans="1:5" x14ac:dyDescent="0.2">
      <c r="A1291" s="1">
        <v>41467</v>
      </c>
      <c r="B1291">
        <v>194</v>
      </c>
      <c r="C1291">
        <v>37.222222222222221</v>
      </c>
      <c r="D1291">
        <v>21.111111111111111</v>
      </c>
      <c r="E1291">
        <v>22.486666666666665</v>
      </c>
    </row>
    <row r="1292" spans="1:5" x14ac:dyDescent="0.2">
      <c r="A1292" s="1">
        <v>41468</v>
      </c>
      <c r="B1292">
        <v>195</v>
      </c>
      <c r="C1292">
        <v>37.777777777777779</v>
      </c>
      <c r="D1292">
        <v>23.333333333333336</v>
      </c>
      <c r="E1292">
        <v>23.213333333333335</v>
      </c>
    </row>
    <row r="1293" spans="1:5" x14ac:dyDescent="0.2">
      <c r="A1293" s="1">
        <v>41469</v>
      </c>
      <c r="B1293">
        <v>196</v>
      </c>
      <c r="C1293">
        <v>38.888888888888886</v>
      </c>
      <c r="D1293">
        <v>22.777777777777779</v>
      </c>
      <c r="E1293">
        <v>23.213333333333335</v>
      </c>
    </row>
    <row r="1294" spans="1:5" x14ac:dyDescent="0.2">
      <c r="A1294" s="1">
        <v>41470</v>
      </c>
      <c r="B1294">
        <v>197</v>
      </c>
      <c r="C1294">
        <v>39.444444444444443</v>
      </c>
      <c r="D1294">
        <v>23.888888888888889</v>
      </c>
      <c r="E1294">
        <v>24.926666666666669</v>
      </c>
    </row>
    <row r="1295" spans="1:5" x14ac:dyDescent="0.2">
      <c r="A1295" s="1">
        <v>41471</v>
      </c>
      <c r="B1295">
        <v>198</v>
      </c>
      <c r="C1295">
        <v>39.444444444444443</v>
      </c>
      <c r="D1295">
        <v>22.777777777777779</v>
      </c>
      <c r="E1295">
        <v>22.395555555555553</v>
      </c>
    </row>
    <row r="1296" spans="1:5" x14ac:dyDescent="0.2">
      <c r="A1296" s="1">
        <v>41472</v>
      </c>
      <c r="B1296">
        <v>199</v>
      </c>
      <c r="C1296">
        <v>31.111111111111111</v>
      </c>
      <c r="D1296">
        <v>16.666666666666668</v>
      </c>
      <c r="E1296">
        <v>20.604444444444447</v>
      </c>
    </row>
    <row r="1297" spans="1:5" x14ac:dyDescent="0.2">
      <c r="A1297" s="1">
        <v>41473</v>
      </c>
      <c r="B1297">
        <v>200</v>
      </c>
      <c r="C1297">
        <v>32.222222222222221</v>
      </c>
      <c r="D1297">
        <v>16.666666666666668</v>
      </c>
      <c r="E1297">
        <v>19.959999999999997</v>
      </c>
    </row>
    <row r="1298" spans="1:5" x14ac:dyDescent="0.2">
      <c r="A1298" s="1">
        <v>41474</v>
      </c>
      <c r="B1298">
        <v>201</v>
      </c>
      <c r="C1298">
        <v>32.222222222222221</v>
      </c>
      <c r="D1298">
        <v>16.111111111111111</v>
      </c>
      <c r="E1298">
        <v>21.315555555555552</v>
      </c>
    </row>
    <row r="1299" spans="1:5" x14ac:dyDescent="0.2">
      <c r="A1299" s="1">
        <v>41475</v>
      </c>
      <c r="B1299">
        <v>202</v>
      </c>
      <c r="C1299">
        <v>30.555555555555554</v>
      </c>
      <c r="D1299">
        <v>12.777777777777777</v>
      </c>
      <c r="E1299">
        <v>21.008888888888883</v>
      </c>
    </row>
    <row r="1300" spans="1:5" x14ac:dyDescent="0.2">
      <c r="A1300" s="1">
        <v>41476</v>
      </c>
      <c r="B1300">
        <v>203</v>
      </c>
      <c r="C1300">
        <v>31.666666666666664</v>
      </c>
      <c r="D1300">
        <v>13.333333333333332</v>
      </c>
      <c r="E1300">
        <v>22.064444444444447</v>
      </c>
    </row>
    <row r="1301" spans="1:5" x14ac:dyDescent="0.2">
      <c r="A1301" s="1">
        <v>41477</v>
      </c>
      <c r="B1301">
        <v>204</v>
      </c>
      <c r="C1301">
        <v>33.333333333333336</v>
      </c>
      <c r="D1301">
        <v>14.444444444444445</v>
      </c>
      <c r="E1301">
        <v>21.877777777777776</v>
      </c>
    </row>
    <row r="1302" spans="1:5" x14ac:dyDescent="0.2">
      <c r="A1302" s="1">
        <v>41478</v>
      </c>
      <c r="B1302">
        <v>205</v>
      </c>
      <c r="C1302">
        <v>32.222222222222221</v>
      </c>
      <c r="D1302">
        <v>16.111111111111111</v>
      </c>
      <c r="E1302">
        <v>23.522222222222226</v>
      </c>
    </row>
    <row r="1303" spans="1:5" x14ac:dyDescent="0.2">
      <c r="A1303" s="1">
        <v>41479</v>
      </c>
      <c r="B1303">
        <v>206</v>
      </c>
      <c r="C1303">
        <v>33.333333333333336</v>
      </c>
      <c r="D1303">
        <v>21.111111111111111</v>
      </c>
      <c r="E1303">
        <v>21.008888888888887</v>
      </c>
    </row>
    <row r="1304" spans="1:5" x14ac:dyDescent="0.2">
      <c r="A1304" s="1">
        <v>41480</v>
      </c>
      <c r="B1304">
        <v>207</v>
      </c>
      <c r="C1304">
        <v>35.555555555555557</v>
      </c>
      <c r="D1304">
        <v>18.888888888888889</v>
      </c>
      <c r="E1304">
        <v>20.684444444444445</v>
      </c>
    </row>
    <row r="1305" spans="1:5" x14ac:dyDescent="0.2">
      <c r="A1305" s="1">
        <v>41481</v>
      </c>
      <c r="B1305">
        <v>208</v>
      </c>
      <c r="C1305">
        <v>37.222222222222221</v>
      </c>
      <c r="D1305">
        <v>20.555555555555554</v>
      </c>
      <c r="E1305">
        <v>21.106666666666669</v>
      </c>
    </row>
    <row r="1306" spans="1:5" x14ac:dyDescent="0.2">
      <c r="A1306" s="1">
        <v>41482</v>
      </c>
      <c r="B1306">
        <v>209</v>
      </c>
      <c r="C1306">
        <v>37.777777777777779</v>
      </c>
      <c r="D1306">
        <v>21.666666666666664</v>
      </c>
      <c r="E1306">
        <v>20.757777777777772</v>
      </c>
    </row>
    <row r="1307" spans="1:5" x14ac:dyDescent="0.2">
      <c r="A1307" s="1">
        <v>41483</v>
      </c>
      <c r="B1307">
        <v>210</v>
      </c>
      <c r="C1307">
        <v>35</v>
      </c>
      <c r="D1307">
        <v>21.111111111111111</v>
      </c>
      <c r="E1307">
        <v>21.942222222222224</v>
      </c>
    </row>
    <row r="1308" spans="1:5" x14ac:dyDescent="0.2">
      <c r="A1308" s="1">
        <v>41484</v>
      </c>
      <c r="B1308">
        <v>211</v>
      </c>
      <c r="C1308">
        <v>22.777777777777779</v>
      </c>
      <c r="D1308">
        <v>17.222222222222221</v>
      </c>
      <c r="E1308">
        <v>21.31999999999999</v>
      </c>
    </row>
    <row r="1309" spans="1:5" x14ac:dyDescent="0.2">
      <c r="A1309" s="1">
        <v>41485</v>
      </c>
      <c r="B1309">
        <v>212</v>
      </c>
      <c r="C1309">
        <v>29.444444444444446</v>
      </c>
      <c r="D1309">
        <v>16.666666666666668</v>
      </c>
      <c r="E1309">
        <v>21.69777777777778</v>
      </c>
    </row>
    <row r="1310" spans="1:5" x14ac:dyDescent="0.2">
      <c r="A1310" s="1">
        <v>41486</v>
      </c>
      <c r="B1310">
        <v>213</v>
      </c>
      <c r="C1310">
        <v>31.111111111111111</v>
      </c>
      <c r="D1310">
        <v>20</v>
      </c>
      <c r="E1310">
        <v>21.27999999999999</v>
      </c>
    </row>
    <row r="1311" spans="1:5" x14ac:dyDescent="0.2">
      <c r="A1311" s="1">
        <v>41487</v>
      </c>
      <c r="B1311">
        <v>214</v>
      </c>
      <c r="C1311">
        <v>31.111111111111111</v>
      </c>
      <c r="D1311">
        <v>21.666666666666664</v>
      </c>
      <c r="E1311">
        <v>22.631111111111117</v>
      </c>
    </row>
    <row r="1312" spans="1:5" x14ac:dyDescent="0.2">
      <c r="A1312" s="1">
        <v>41488</v>
      </c>
      <c r="B1312">
        <v>215</v>
      </c>
      <c r="C1312">
        <v>36.666666666666664</v>
      </c>
      <c r="D1312">
        <v>21.666666666666664</v>
      </c>
      <c r="E1312">
        <v>21.322222222222216</v>
      </c>
    </row>
    <row r="1313" spans="1:5" x14ac:dyDescent="0.2">
      <c r="A1313" s="1">
        <v>41489</v>
      </c>
      <c r="B1313">
        <v>216</v>
      </c>
      <c r="C1313">
        <v>27.222222222222221</v>
      </c>
      <c r="D1313">
        <v>18.333333333333332</v>
      </c>
      <c r="E1313">
        <v>19.813333333333325</v>
      </c>
    </row>
    <row r="1314" spans="1:5" x14ac:dyDescent="0.2">
      <c r="A1314" s="1">
        <v>41490</v>
      </c>
      <c r="B1314">
        <v>217</v>
      </c>
      <c r="C1314">
        <v>36.666666666666664</v>
      </c>
      <c r="D1314">
        <v>19.444444444444443</v>
      </c>
      <c r="E1314">
        <v>19.868888888888886</v>
      </c>
    </row>
    <row r="1315" spans="1:5" x14ac:dyDescent="0.2">
      <c r="A1315" s="1">
        <v>41491</v>
      </c>
      <c r="B1315">
        <v>218</v>
      </c>
      <c r="C1315">
        <v>31.111111111111111</v>
      </c>
      <c r="D1315">
        <v>17.777777777777779</v>
      </c>
      <c r="E1315">
        <v>20.691111111111113</v>
      </c>
    </row>
    <row r="1316" spans="1:5" x14ac:dyDescent="0.2">
      <c r="A1316" s="1">
        <v>41492</v>
      </c>
      <c r="B1316">
        <v>219</v>
      </c>
      <c r="C1316">
        <v>27.222222222222221</v>
      </c>
      <c r="D1316">
        <v>14.444444444444445</v>
      </c>
      <c r="E1316">
        <v>21.084444444444447</v>
      </c>
    </row>
    <row r="1317" spans="1:5" x14ac:dyDescent="0.2">
      <c r="A1317" s="1">
        <v>41493</v>
      </c>
      <c r="B1317">
        <v>220</v>
      </c>
      <c r="C1317">
        <v>27.777777777777779</v>
      </c>
      <c r="D1317">
        <v>16.111111111111111</v>
      </c>
      <c r="E1317">
        <v>20.291111111111103</v>
      </c>
    </row>
    <row r="1318" spans="1:5" x14ac:dyDescent="0.2">
      <c r="A1318" s="1">
        <v>41494</v>
      </c>
      <c r="B1318">
        <v>221</v>
      </c>
      <c r="C1318">
        <v>29.444444444444446</v>
      </c>
      <c r="D1318">
        <v>16.666666666666668</v>
      </c>
      <c r="E1318">
        <v>20.335555555555551</v>
      </c>
    </row>
    <row r="1319" spans="1:5" x14ac:dyDescent="0.2">
      <c r="A1319" s="1">
        <v>41495</v>
      </c>
      <c r="B1319">
        <v>222</v>
      </c>
      <c r="C1319">
        <v>32.222222222222221</v>
      </c>
      <c r="D1319">
        <v>18.333333333333332</v>
      </c>
      <c r="E1319">
        <v>20.286666666666665</v>
      </c>
    </row>
    <row r="1320" spans="1:5" x14ac:dyDescent="0.2">
      <c r="A1320" s="1">
        <v>41496</v>
      </c>
      <c r="B1320">
        <v>223</v>
      </c>
      <c r="C1320">
        <v>30.555555555555554</v>
      </c>
      <c r="D1320">
        <v>15</v>
      </c>
      <c r="E1320">
        <v>19.695555555555561</v>
      </c>
    </row>
    <row r="1321" spans="1:5" x14ac:dyDescent="0.2">
      <c r="A1321" s="1">
        <v>41497</v>
      </c>
      <c r="B1321">
        <v>224</v>
      </c>
      <c r="C1321">
        <v>31.666666666666664</v>
      </c>
      <c r="D1321">
        <v>15.555555555555555</v>
      </c>
      <c r="E1321">
        <v>19.864444444444441</v>
      </c>
    </row>
    <row r="1322" spans="1:5" x14ac:dyDescent="0.2">
      <c r="A1322" s="1">
        <v>41498</v>
      </c>
      <c r="B1322">
        <v>225</v>
      </c>
      <c r="C1322">
        <v>31.111111111111111</v>
      </c>
      <c r="D1322">
        <v>19.444444444444443</v>
      </c>
      <c r="E1322">
        <v>19.211111111111116</v>
      </c>
    </row>
    <row r="1323" spans="1:5" x14ac:dyDescent="0.2">
      <c r="A1323" s="1">
        <v>41499</v>
      </c>
      <c r="B1323">
        <v>226</v>
      </c>
      <c r="C1323">
        <v>32.777777777777779</v>
      </c>
      <c r="D1323">
        <v>20</v>
      </c>
      <c r="E1323">
        <v>19.971111111111117</v>
      </c>
    </row>
    <row r="1324" spans="1:5" x14ac:dyDescent="0.2">
      <c r="A1324" s="1">
        <v>41500</v>
      </c>
      <c r="B1324">
        <v>227</v>
      </c>
      <c r="C1324">
        <v>31.111111111111111</v>
      </c>
      <c r="D1324">
        <v>15</v>
      </c>
      <c r="E1324">
        <v>19.895555555555553</v>
      </c>
    </row>
    <row r="1325" spans="1:5" x14ac:dyDescent="0.2">
      <c r="A1325" s="1">
        <v>41501</v>
      </c>
      <c r="B1325">
        <v>228</v>
      </c>
      <c r="C1325">
        <v>25.555555555555554</v>
      </c>
      <c r="D1325">
        <v>10</v>
      </c>
      <c r="E1325">
        <v>19.86</v>
      </c>
    </row>
    <row r="1326" spans="1:5" x14ac:dyDescent="0.2">
      <c r="A1326" s="1">
        <v>41502</v>
      </c>
      <c r="B1326">
        <v>229</v>
      </c>
      <c r="C1326">
        <v>27.777777777777779</v>
      </c>
      <c r="D1326">
        <v>11.111111111111111</v>
      </c>
      <c r="E1326">
        <v>19.584444444444447</v>
      </c>
    </row>
    <row r="1327" spans="1:5" x14ac:dyDescent="0.2">
      <c r="A1327" s="1">
        <v>41503</v>
      </c>
      <c r="B1327">
        <v>230</v>
      </c>
      <c r="C1327">
        <v>32.777777777777779</v>
      </c>
      <c r="D1327">
        <v>13.888888888888889</v>
      </c>
      <c r="E1327">
        <v>18.513333333333335</v>
      </c>
    </row>
    <row r="1328" spans="1:5" x14ac:dyDescent="0.2">
      <c r="A1328" s="1">
        <v>41504</v>
      </c>
      <c r="B1328">
        <v>231</v>
      </c>
      <c r="C1328">
        <v>26.111111111111111</v>
      </c>
      <c r="D1328">
        <v>15</v>
      </c>
      <c r="E1328">
        <v>18.513333333333335</v>
      </c>
    </row>
    <row r="1329" spans="1:5" x14ac:dyDescent="0.2">
      <c r="A1329" s="1">
        <v>41505</v>
      </c>
      <c r="B1329">
        <v>232</v>
      </c>
      <c r="C1329">
        <v>19.444444444444443</v>
      </c>
      <c r="D1329">
        <v>14.444444444444445</v>
      </c>
      <c r="E1329">
        <v>20.05777777777778</v>
      </c>
    </row>
    <row r="1330" spans="1:5" x14ac:dyDescent="0.2">
      <c r="A1330" s="1">
        <v>41506</v>
      </c>
      <c r="B1330">
        <v>233</v>
      </c>
      <c r="C1330">
        <v>23.888888888888889</v>
      </c>
      <c r="D1330">
        <v>8.8888888888888893</v>
      </c>
      <c r="E1330">
        <v>18.846666666666664</v>
      </c>
    </row>
    <row r="1331" spans="1:5" x14ac:dyDescent="0.2">
      <c r="A1331" s="1">
        <v>41507</v>
      </c>
      <c r="B1331">
        <v>234</v>
      </c>
      <c r="C1331">
        <v>25</v>
      </c>
      <c r="D1331">
        <v>10</v>
      </c>
      <c r="E1331">
        <v>16.657777777777788</v>
      </c>
    </row>
    <row r="1332" spans="1:5" x14ac:dyDescent="0.2">
      <c r="A1332" s="1">
        <v>41508</v>
      </c>
      <c r="B1332">
        <v>235</v>
      </c>
      <c r="C1332">
        <v>22.222222222222221</v>
      </c>
      <c r="D1332">
        <v>15.555555555555555</v>
      </c>
      <c r="E1332">
        <v>17.182222222222222</v>
      </c>
    </row>
    <row r="1333" spans="1:5" x14ac:dyDescent="0.2">
      <c r="A1333" s="1">
        <v>41509</v>
      </c>
      <c r="B1333">
        <v>236</v>
      </c>
      <c r="C1333">
        <v>25.555555555555554</v>
      </c>
      <c r="D1333">
        <v>12.222222222222223</v>
      </c>
      <c r="E1333">
        <v>17.515555555555554</v>
      </c>
    </row>
    <row r="1334" spans="1:5" x14ac:dyDescent="0.2">
      <c r="A1334" s="1">
        <v>41510</v>
      </c>
      <c r="B1334">
        <v>237</v>
      </c>
      <c r="C1334">
        <v>27.222222222222221</v>
      </c>
      <c r="D1334">
        <v>12.777777777777777</v>
      </c>
      <c r="E1334">
        <v>17.753333333333327</v>
      </c>
    </row>
    <row r="1335" spans="1:5" x14ac:dyDescent="0.2">
      <c r="A1335" s="1">
        <v>41511</v>
      </c>
      <c r="B1335">
        <v>238</v>
      </c>
      <c r="C1335">
        <v>29.444444444444446</v>
      </c>
      <c r="D1335">
        <v>17.222222222222221</v>
      </c>
      <c r="E1335">
        <v>17.366666666666664</v>
      </c>
    </row>
    <row r="1336" spans="1:5" x14ac:dyDescent="0.2">
      <c r="A1336" s="1">
        <v>41512</v>
      </c>
      <c r="B1336">
        <v>239</v>
      </c>
      <c r="C1336">
        <v>23.333333333333336</v>
      </c>
      <c r="D1336">
        <v>9.4444444444444446</v>
      </c>
      <c r="E1336">
        <v>17.388888888888886</v>
      </c>
    </row>
    <row r="1337" spans="1:5" x14ac:dyDescent="0.2">
      <c r="A1337" s="1">
        <v>41513</v>
      </c>
      <c r="B1337">
        <v>240</v>
      </c>
      <c r="C1337">
        <v>22.777777777777779</v>
      </c>
      <c r="D1337">
        <v>7.7777777777777777</v>
      </c>
      <c r="E1337">
        <v>18.282222222222217</v>
      </c>
    </row>
    <row r="1338" spans="1:5" x14ac:dyDescent="0.2">
      <c r="A1338" s="1">
        <v>41514</v>
      </c>
      <c r="B1338">
        <v>241</v>
      </c>
      <c r="C1338">
        <v>24.444444444444446</v>
      </c>
      <c r="D1338">
        <v>10</v>
      </c>
      <c r="E1338">
        <v>19.166666666666675</v>
      </c>
    </row>
    <row r="1339" spans="1:5" x14ac:dyDescent="0.2">
      <c r="A1339" s="1">
        <v>41515</v>
      </c>
      <c r="B1339">
        <v>242</v>
      </c>
      <c r="C1339">
        <v>25</v>
      </c>
      <c r="D1339">
        <v>10.555555555555555</v>
      </c>
      <c r="E1339">
        <v>17.893333333333331</v>
      </c>
    </row>
    <row r="1340" spans="1:5" x14ac:dyDescent="0.2">
      <c r="A1340" s="1">
        <v>41516</v>
      </c>
      <c r="B1340">
        <v>243</v>
      </c>
      <c r="C1340">
        <v>25</v>
      </c>
      <c r="D1340">
        <v>7.2222222222222223</v>
      </c>
      <c r="E1340">
        <v>18.108888888888892</v>
      </c>
    </row>
    <row r="1341" spans="1:5" x14ac:dyDescent="0.2">
      <c r="A1341" s="1">
        <v>41517</v>
      </c>
      <c r="B1341">
        <v>244</v>
      </c>
      <c r="C1341">
        <v>26.666666666666664</v>
      </c>
      <c r="D1341">
        <v>7.2222222222222223</v>
      </c>
      <c r="E1341">
        <v>18.124444444444446</v>
      </c>
    </row>
    <row r="1342" spans="1:5" x14ac:dyDescent="0.2">
      <c r="A1342" s="1">
        <v>41518</v>
      </c>
      <c r="B1342">
        <v>245</v>
      </c>
      <c r="C1342">
        <v>29.444444444444446</v>
      </c>
      <c r="D1342">
        <v>17.222222222222221</v>
      </c>
      <c r="E1342">
        <v>17.782222222222217</v>
      </c>
    </row>
    <row r="1343" spans="1:5" x14ac:dyDescent="0.2">
      <c r="A1343" s="1">
        <v>41519</v>
      </c>
      <c r="B1343">
        <v>246</v>
      </c>
      <c r="C1343">
        <v>23.333333333333336</v>
      </c>
      <c r="D1343">
        <v>16.666666666666668</v>
      </c>
      <c r="E1343">
        <v>18.233333333333341</v>
      </c>
    </row>
    <row r="1344" spans="1:5" x14ac:dyDescent="0.2">
      <c r="A1344" s="1">
        <v>41520</v>
      </c>
      <c r="B1344">
        <v>247</v>
      </c>
      <c r="C1344">
        <v>22.777777777777779</v>
      </c>
      <c r="D1344">
        <v>7.2222222222222223</v>
      </c>
      <c r="E1344">
        <v>17.279999999999994</v>
      </c>
    </row>
    <row r="1345" spans="1:5" x14ac:dyDescent="0.2">
      <c r="A1345" s="1">
        <v>41521</v>
      </c>
      <c r="B1345">
        <v>248</v>
      </c>
      <c r="C1345">
        <v>24.444444444444446</v>
      </c>
      <c r="D1345">
        <v>8.8888888888888893</v>
      </c>
      <c r="E1345">
        <v>17.504444444444449</v>
      </c>
    </row>
    <row r="1346" spans="1:5" x14ac:dyDescent="0.2">
      <c r="A1346" s="1">
        <v>41522</v>
      </c>
      <c r="B1346">
        <v>249</v>
      </c>
      <c r="C1346">
        <v>28.888888888888889</v>
      </c>
      <c r="D1346">
        <v>10</v>
      </c>
      <c r="E1346">
        <v>17.331111111111102</v>
      </c>
    </row>
    <row r="1347" spans="1:5" x14ac:dyDescent="0.2">
      <c r="A1347" s="1">
        <v>41523</v>
      </c>
      <c r="B1347">
        <v>250</v>
      </c>
      <c r="C1347">
        <v>25.555555555555554</v>
      </c>
      <c r="D1347">
        <v>11.666666666666668</v>
      </c>
      <c r="E1347">
        <v>16.582222222222228</v>
      </c>
    </row>
    <row r="1348" spans="1:5" x14ac:dyDescent="0.2">
      <c r="A1348" s="1">
        <v>41524</v>
      </c>
      <c r="B1348">
        <v>251</v>
      </c>
      <c r="C1348">
        <v>31.111111111111111</v>
      </c>
      <c r="D1348">
        <v>12.777777777777777</v>
      </c>
      <c r="E1348">
        <v>15.802222222222218</v>
      </c>
    </row>
    <row r="1349" spans="1:5" x14ac:dyDescent="0.2">
      <c r="A1349" s="1">
        <v>41525</v>
      </c>
      <c r="B1349">
        <v>252</v>
      </c>
      <c r="C1349">
        <v>32.222222222222221</v>
      </c>
      <c r="D1349">
        <v>19.444444444444443</v>
      </c>
      <c r="E1349">
        <v>16.022222222222219</v>
      </c>
    </row>
    <row r="1350" spans="1:5" x14ac:dyDescent="0.2">
      <c r="A1350" s="1">
        <v>41526</v>
      </c>
      <c r="B1350">
        <v>253</v>
      </c>
      <c r="C1350">
        <v>23.333333333333336</v>
      </c>
      <c r="D1350">
        <v>17.222222222222221</v>
      </c>
      <c r="E1350">
        <v>15.893333333333333</v>
      </c>
    </row>
    <row r="1351" spans="1:5" x14ac:dyDescent="0.2">
      <c r="A1351" s="1">
        <v>41527</v>
      </c>
      <c r="B1351">
        <v>254</v>
      </c>
      <c r="C1351">
        <v>32.222222222222221</v>
      </c>
      <c r="D1351">
        <v>18.333333333333332</v>
      </c>
      <c r="E1351">
        <v>17.87555555555555</v>
      </c>
    </row>
    <row r="1352" spans="1:5" x14ac:dyDescent="0.2">
      <c r="A1352" s="1">
        <v>41528</v>
      </c>
      <c r="B1352">
        <v>255</v>
      </c>
      <c r="C1352">
        <v>34.444444444444443</v>
      </c>
      <c r="D1352">
        <v>18.888888888888889</v>
      </c>
      <c r="E1352">
        <v>15.27777777777778</v>
      </c>
    </row>
    <row r="1353" spans="1:5" x14ac:dyDescent="0.2">
      <c r="A1353" s="1">
        <v>41529</v>
      </c>
      <c r="B1353">
        <v>256</v>
      </c>
      <c r="C1353">
        <v>27.777777777777779</v>
      </c>
      <c r="D1353">
        <v>14.444444444444445</v>
      </c>
      <c r="E1353">
        <v>14.684444444444448</v>
      </c>
    </row>
    <row r="1354" spans="1:5" x14ac:dyDescent="0.2">
      <c r="A1354" s="1">
        <v>41530</v>
      </c>
      <c r="B1354">
        <v>257</v>
      </c>
      <c r="C1354">
        <v>23.888888888888889</v>
      </c>
      <c r="D1354">
        <v>6.1111111111111116</v>
      </c>
      <c r="E1354">
        <v>14.008888888888889</v>
      </c>
    </row>
    <row r="1355" spans="1:5" x14ac:dyDescent="0.2">
      <c r="A1355" s="1">
        <v>41531</v>
      </c>
      <c r="B1355">
        <v>258</v>
      </c>
      <c r="C1355">
        <v>19.444444444444443</v>
      </c>
      <c r="D1355">
        <v>3.8888888888888888</v>
      </c>
      <c r="E1355">
        <v>14.540000000000001</v>
      </c>
    </row>
    <row r="1356" spans="1:5" x14ac:dyDescent="0.2">
      <c r="A1356" s="1">
        <v>41532</v>
      </c>
      <c r="B1356">
        <v>259</v>
      </c>
      <c r="C1356">
        <v>22.777777777777779</v>
      </c>
      <c r="D1356">
        <v>12.222222222222223</v>
      </c>
      <c r="E1356">
        <v>14.833333333333339</v>
      </c>
    </row>
    <row r="1357" spans="1:5" x14ac:dyDescent="0.2">
      <c r="A1357" s="1">
        <v>41533</v>
      </c>
      <c r="B1357">
        <v>260</v>
      </c>
      <c r="C1357">
        <v>17.222222222222221</v>
      </c>
      <c r="D1357">
        <v>6.1111111111111116</v>
      </c>
      <c r="E1357">
        <v>14.604444444444445</v>
      </c>
    </row>
    <row r="1358" spans="1:5" x14ac:dyDescent="0.2">
      <c r="A1358" s="1">
        <v>41534</v>
      </c>
      <c r="B1358">
        <v>261</v>
      </c>
      <c r="C1358">
        <v>18.333333333333332</v>
      </c>
      <c r="D1358">
        <v>4.4444444444444446</v>
      </c>
      <c r="E1358">
        <v>14.57555555555556</v>
      </c>
    </row>
    <row r="1359" spans="1:5" x14ac:dyDescent="0.2">
      <c r="A1359" s="1">
        <v>41535</v>
      </c>
      <c r="B1359">
        <v>262</v>
      </c>
      <c r="C1359">
        <v>23.333333333333336</v>
      </c>
      <c r="D1359">
        <v>12.222222222222223</v>
      </c>
      <c r="E1359">
        <v>13.008888888888889</v>
      </c>
    </row>
    <row r="1360" spans="1:5" x14ac:dyDescent="0.2">
      <c r="A1360" s="1">
        <v>41536</v>
      </c>
      <c r="B1360">
        <v>263</v>
      </c>
      <c r="C1360">
        <v>25.555555555555554</v>
      </c>
      <c r="D1360">
        <v>21.111111111111111</v>
      </c>
      <c r="E1360">
        <v>13.331111111111113</v>
      </c>
    </row>
    <row r="1361" spans="1:5" x14ac:dyDescent="0.2">
      <c r="A1361" s="1">
        <v>41537</v>
      </c>
      <c r="B1361">
        <v>264</v>
      </c>
      <c r="C1361">
        <v>30.555555555555554</v>
      </c>
      <c r="D1361">
        <v>18.888888888888889</v>
      </c>
      <c r="E1361">
        <v>13.533333333333333</v>
      </c>
    </row>
    <row r="1362" spans="1:5" x14ac:dyDescent="0.2">
      <c r="A1362" s="1">
        <v>41538</v>
      </c>
      <c r="B1362">
        <v>265</v>
      </c>
      <c r="C1362">
        <v>19.444444444444443</v>
      </c>
      <c r="D1362">
        <v>8.3333333333333339</v>
      </c>
      <c r="E1362">
        <v>13.317777777777776</v>
      </c>
    </row>
    <row r="1363" spans="1:5" x14ac:dyDescent="0.2">
      <c r="A1363" s="1">
        <v>41539</v>
      </c>
      <c r="B1363">
        <v>266</v>
      </c>
      <c r="C1363">
        <v>16.111111111111111</v>
      </c>
      <c r="D1363">
        <v>3.333333333333333</v>
      </c>
      <c r="E1363">
        <v>13.562222222222227</v>
      </c>
    </row>
    <row r="1364" spans="1:5" x14ac:dyDescent="0.2">
      <c r="A1364" s="1">
        <v>41540</v>
      </c>
      <c r="B1364">
        <v>267</v>
      </c>
      <c r="C1364">
        <v>18.888888888888889</v>
      </c>
      <c r="D1364">
        <v>5.5555555555555554</v>
      </c>
      <c r="E1364">
        <v>13.764444444444443</v>
      </c>
    </row>
    <row r="1365" spans="1:5" x14ac:dyDescent="0.2">
      <c r="A1365" s="1">
        <v>41541</v>
      </c>
      <c r="B1365">
        <v>268</v>
      </c>
      <c r="C1365">
        <v>20.555555555555554</v>
      </c>
      <c r="D1365">
        <v>5.5555555555555554</v>
      </c>
      <c r="E1365">
        <v>13.388888888888891</v>
      </c>
    </row>
    <row r="1366" spans="1:5" x14ac:dyDescent="0.2">
      <c r="A1366" s="2">
        <v>41542</v>
      </c>
      <c r="B1366">
        <v>269</v>
      </c>
      <c r="C1366">
        <v>23.333333333333336</v>
      </c>
      <c r="D1366">
        <v>6.1111111111111116</v>
      </c>
      <c r="E1366">
        <v>13.502222222222223</v>
      </c>
    </row>
    <row r="1367" spans="1:5" x14ac:dyDescent="0.2">
      <c r="A1367" s="1">
        <v>41543</v>
      </c>
      <c r="B1367">
        <v>270</v>
      </c>
      <c r="C1367">
        <v>22.222222222222221</v>
      </c>
      <c r="D1367">
        <v>5.5555555555555554</v>
      </c>
      <c r="E1367">
        <v>14.011111111111109</v>
      </c>
    </row>
    <row r="1368" spans="1:5" x14ac:dyDescent="0.2">
      <c r="A1368" s="1">
        <v>41544</v>
      </c>
      <c r="B1368">
        <v>271</v>
      </c>
      <c r="C1368">
        <v>25</v>
      </c>
      <c r="D1368">
        <v>6.6666666666666661</v>
      </c>
      <c r="E1368">
        <v>12.597777777777782</v>
      </c>
    </row>
    <row r="1369" spans="1:5" x14ac:dyDescent="0.2">
      <c r="A1369" s="1">
        <v>41545</v>
      </c>
      <c r="B1369">
        <v>272</v>
      </c>
      <c r="C1369">
        <v>27.222222222222221</v>
      </c>
      <c r="D1369">
        <v>7.7777777777777777</v>
      </c>
      <c r="E1369">
        <v>13.12666666666667</v>
      </c>
    </row>
    <row r="1370" spans="1:5" x14ac:dyDescent="0.2">
      <c r="A1370" s="1">
        <v>41546</v>
      </c>
      <c r="B1370">
        <v>273</v>
      </c>
      <c r="C1370">
        <v>26.666666666666664</v>
      </c>
      <c r="D1370">
        <v>8.3333333333333339</v>
      </c>
      <c r="E1370">
        <v>13.026666666666667</v>
      </c>
    </row>
    <row r="1371" spans="1:5" x14ac:dyDescent="0.2">
      <c r="A1371" s="1">
        <v>41547</v>
      </c>
      <c r="B1371">
        <v>274</v>
      </c>
      <c r="C1371">
        <v>21.666666666666664</v>
      </c>
      <c r="D1371">
        <v>5</v>
      </c>
      <c r="E1371">
        <v>13.155555555555559</v>
      </c>
    </row>
    <row r="1372" spans="1:5" x14ac:dyDescent="0.2">
      <c r="A1372" s="1">
        <v>41548</v>
      </c>
      <c r="B1372">
        <v>275</v>
      </c>
      <c r="C1372">
        <v>22.777777777777779</v>
      </c>
      <c r="D1372">
        <v>5.5555555555555554</v>
      </c>
      <c r="E1372">
        <v>13.037777777777777</v>
      </c>
    </row>
    <row r="1373" spans="1:5" x14ac:dyDescent="0.2">
      <c r="A1373" s="1">
        <v>41549</v>
      </c>
      <c r="B1373">
        <v>276</v>
      </c>
      <c r="C1373">
        <v>26.111111111111111</v>
      </c>
      <c r="D1373">
        <v>8.8888888888888893</v>
      </c>
      <c r="E1373">
        <v>12.082222222222223</v>
      </c>
    </row>
    <row r="1374" spans="1:5" x14ac:dyDescent="0.2">
      <c r="A1374" s="1">
        <v>41550</v>
      </c>
      <c r="B1374">
        <v>277</v>
      </c>
      <c r="C1374">
        <v>25</v>
      </c>
      <c r="D1374">
        <v>8.3333333333333339</v>
      </c>
      <c r="E1374">
        <v>12.068888888888893</v>
      </c>
    </row>
    <row r="1375" spans="1:5" x14ac:dyDescent="0.2">
      <c r="A1375" s="1">
        <v>41551</v>
      </c>
      <c r="B1375">
        <v>278</v>
      </c>
      <c r="C1375">
        <v>24.444444444444446</v>
      </c>
      <c r="D1375">
        <v>12.777777777777777</v>
      </c>
      <c r="E1375">
        <v>12.471111111111115</v>
      </c>
    </row>
    <row r="1376" spans="1:5" x14ac:dyDescent="0.2">
      <c r="A1376" s="1">
        <v>41552</v>
      </c>
      <c r="B1376">
        <v>279</v>
      </c>
      <c r="C1376">
        <v>20.555555555555554</v>
      </c>
      <c r="D1376">
        <v>16.111111111111111</v>
      </c>
      <c r="E1376">
        <v>11.631111111111114</v>
      </c>
    </row>
    <row r="1377" spans="1:5" x14ac:dyDescent="0.2">
      <c r="A1377" s="1">
        <v>41553</v>
      </c>
      <c r="B1377">
        <v>280</v>
      </c>
      <c r="C1377">
        <v>23.333333333333336</v>
      </c>
      <c r="D1377">
        <v>10.555555555555555</v>
      </c>
      <c r="E1377">
        <v>11.757777777777779</v>
      </c>
    </row>
    <row r="1378" spans="1:5" x14ac:dyDescent="0.2">
      <c r="A1378" s="1">
        <v>41554</v>
      </c>
      <c r="B1378">
        <v>281</v>
      </c>
      <c r="C1378">
        <v>23.333333333333336</v>
      </c>
      <c r="D1378">
        <v>6.1111111111111116</v>
      </c>
      <c r="E1378">
        <v>10.711111111111109</v>
      </c>
    </row>
    <row r="1379" spans="1:5" x14ac:dyDescent="0.2">
      <c r="A1379" s="1">
        <v>41555</v>
      </c>
      <c r="B1379">
        <v>282</v>
      </c>
      <c r="C1379">
        <v>20.555555555555554</v>
      </c>
      <c r="D1379">
        <v>2.7777777777777777</v>
      </c>
      <c r="E1379">
        <v>11.008888888888887</v>
      </c>
    </row>
    <row r="1380" spans="1:5" x14ac:dyDescent="0.2">
      <c r="A1380" s="1">
        <v>41556</v>
      </c>
      <c r="B1380">
        <v>283</v>
      </c>
      <c r="C1380">
        <v>24.444444444444446</v>
      </c>
      <c r="D1380">
        <v>2.7777777777777777</v>
      </c>
      <c r="E1380">
        <v>11.120000000000003</v>
      </c>
    </row>
    <row r="1381" spans="1:5" x14ac:dyDescent="0.2">
      <c r="A1381" s="1">
        <v>41557</v>
      </c>
      <c r="B1381">
        <v>284</v>
      </c>
      <c r="C1381">
        <v>23.333333333333336</v>
      </c>
      <c r="D1381">
        <v>3.333333333333333</v>
      </c>
      <c r="E1381">
        <v>11.48</v>
      </c>
    </row>
    <row r="1382" spans="1:5" x14ac:dyDescent="0.2">
      <c r="A1382" s="1">
        <v>41558</v>
      </c>
      <c r="B1382">
        <v>285</v>
      </c>
      <c r="C1382">
        <v>23.333333333333336</v>
      </c>
      <c r="D1382">
        <v>4.4444444444444446</v>
      </c>
      <c r="E1382">
        <v>10.637777777777782</v>
      </c>
    </row>
    <row r="1383" spans="1:5" x14ac:dyDescent="0.2">
      <c r="A1383" s="1">
        <v>41559</v>
      </c>
      <c r="B1383">
        <v>286</v>
      </c>
      <c r="C1383">
        <v>23.888888888888889</v>
      </c>
      <c r="D1383">
        <v>11.111111111111111</v>
      </c>
      <c r="E1383">
        <v>10.895555555555555</v>
      </c>
    </row>
    <row r="1384" spans="1:5" x14ac:dyDescent="0.2">
      <c r="A1384" s="1">
        <v>41560</v>
      </c>
      <c r="B1384">
        <v>287</v>
      </c>
      <c r="C1384">
        <v>20.555555555555554</v>
      </c>
      <c r="D1384">
        <v>1.6666666666666665</v>
      </c>
      <c r="E1384">
        <v>10.784444444444448</v>
      </c>
    </row>
    <row r="1385" spans="1:5" x14ac:dyDescent="0.2">
      <c r="A1385" s="1">
        <v>41561</v>
      </c>
      <c r="B1385">
        <v>288</v>
      </c>
      <c r="C1385">
        <v>16.666666666666668</v>
      </c>
      <c r="D1385">
        <v>-0.55555555555555558</v>
      </c>
      <c r="E1385">
        <v>10.637777777777782</v>
      </c>
    </row>
    <row r="1386" spans="1:5" x14ac:dyDescent="0.2">
      <c r="A1386" s="1">
        <v>41562</v>
      </c>
      <c r="B1386">
        <v>289</v>
      </c>
      <c r="C1386">
        <v>16.666666666666668</v>
      </c>
      <c r="D1386">
        <v>0</v>
      </c>
      <c r="E1386">
        <v>10.64666666666667</v>
      </c>
    </row>
    <row r="1387" spans="1:5" x14ac:dyDescent="0.2">
      <c r="A1387" s="1">
        <v>41563</v>
      </c>
      <c r="B1387">
        <v>290</v>
      </c>
      <c r="C1387">
        <v>15.555555555555555</v>
      </c>
      <c r="D1387">
        <v>8.8888888888888893</v>
      </c>
      <c r="E1387">
        <v>10.311111111111112</v>
      </c>
    </row>
    <row r="1388" spans="1:5" x14ac:dyDescent="0.2">
      <c r="A1388" s="1">
        <v>41564</v>
      </c>
      <c r="B1388">
        <v>291</v>
      </c>
      <c r="C1388">
        <v>11.111111111111111</v>
      </c>
      <c r="D1388">
        <v>6.6666666666666661</v>
      </c>
      <c r="E1388">
        <v>9.4244444444444415</v>
      </c>
    </row>
    <row r="1389" spans="1:5" x14ac:dyDescent="0.2">
      <c r="A1389" s="1">
        <v>41565</v>
      </c>
      <c r="B1389">
        <v>292</v>
      </c>
      <c r="C1389">
        <v>13.888888888888889</v>
      </c>
      <c r="D1389">
        <v>1.6666666666666665</v>
      </c>
      <c r="E1389">
        <v>9.5977777777777806</v>
      </c>
    </row>
    <row r="1390" spans="1:5" x14ac:dyDescent="0.2">
      <c r="A1390" s="1">
        <v>41566</v>
      </c>
      <c r="B1390">
        <v>293</v>
      </c>
      <c r="C1390">
        <v>8.3333333333333339</v>
      </c>
      <c r="D1390">
        <v>-1.1111111111111112</v>
      </c>
      <c r="E1390">
        <v>9.0800000000000036</v>
      </c>
    </row>
    <row r="1391" spans="1:5" x14ac:dyDescent="0.2">
      <c r="A1391" s="1">
        <v>41567</v>
      </c>
      <c r="B1391">
        <v>294</v>
      </c>
      <c r="C1391">
        <v>11.666666666666668</v>
      </c>
      <c r="D1391">
        <v>-1.1111111111111112</v>
      </c>
      <c r="E1391">
        <v>8.8311111111111114</v>
      </c>
    </row>
    <row r="1392" spans="1:5" x14ac:dyDescent="0.2">
      <c r="A1392" s="1">
        <v>41568</v>
      </c>
      <c r="B1392">
        <v>295</v>
      </c>
      <c r="C1392">
        <v>7.7777777777777777</v>
      </c>
      <c r="D1392">
        <v>-2.2222222222222223</v>
      </c>
      <c r="E1392">
        <v>8.6733333333333285</v>
      </c>
    </row>
    <row r="1393" spans="1:5" x14ac:dyDescent="0.2">
      <c r="A1393" s="1">
        <v>41569</v>
      </c>
      <c r="B1393">
        <v>296</v>
      </c>
      <c r="C1393">
        <v>3.8888888888888888</v>
      </c>
      <c r="D1393">
        <v>-5</v>
      </c>
      <c r="E1393">
        <v>7.8955555555555543</v>
      </c>
    </row>
    <row r="1394" spans="1:5" x14ac:dyDescent="0.2">
      <c r="A1394" s="1">
        <v>41570</v>
      </c>
      <c r="B1394">
        <v>297</v>
      </c>
      <c r="C1394">
        <v>8.3333333333333339</v>
      </c>
      <c r="D1394">
        <v>-5</v>
      </c>
      <c r="E1394">
        <v>8.4711111111111119</v>
      </c>
    </row>
    <row r="1395" spans="1:5" x14ac:dyDescent="0.2">
      <c r="A1395" s="1">
        <v>41571</v>
      </c>
      <c r="B1395">
        <v>298</v>
      </c>
      <c r="C1395">
        <v>5.5555555555555554</v>
      </c>
      <c r="D1395">
        <v>-5</v>
      </c>
      <c r="E1395">
        <v>8.9599999999999991</v>
      </c>
    </row>
    <row r="1396" spans="1:5" x14ac:dyDescent="0.2">
      <c r="A1396" s="1">
        <v>41572</v>
      </c>
      <c r="B1396">
        <v>299</v>
      </c>
      <c r="C1396">
        <v>6.6666666666666661</v>
      </c>
      <c r="D1396">
        <v>-3.8888888888888888</v>
      </c>
      <c r="E1396">
        <v>9.0155555555555544</v>
      </c>
    </row>
    <row r="1397" spans="1:5" x14ac:dyDescent="0.2">
      <c r="A1397" s="1">
        <v>41573</v>
      </c>
      <c r="B1397">
        <v>300</v>
      </c>
      <c r="C1397">
        <v>11.111111111111111</v>
      </c>
      <c r="D1397">
        <v>-0.55555555555555558</v>
      </c>
      <c r="E1397">
        <v>8.5622222222222231</v>
      </c>
    </row>
    <row r="1398" spans="1:5" x14ac:dyDescent="0.2">
      <c r="A1398" s="1">
        <v>41574</v>
      </c>
      <c r="B1398">
        <v>301</v>
      </c>
      <c r="C1398">
        <v>11.666666666666668</v>
      </c>
      <c r="D1398">
        <v>-4.4444444444444446</v>
      </c>
      <c r="E1398">
        <v>9.3444444444444468</v>
      </c>
    </row>
    <row r="1399" spans="1:5" x14ac:dyDescent="0.2">
      <c r="A1399" s="1">
        <v>41575</v>
      </c>
      <c r="B1399">
        <v>302</v>
      </c>
      <c r="C1399">
        <v>12.777777777777777</v>
      </c>
      <c r="D1399">
        <v>-1.1111111111111112</v>
      </c>
      <c r="E1399">
        <v>8.6866666666666656</v>
      </c>
    </row>
    <row r="1400" spans="1:5" x14ac:dyDescent="0.2">
      <c r="A1400" s="1">
        <v>41576</v>
      </c>
      <c r="B1400">
        <v>303</v>
      </c>
      <c r="C1400">
        <v>6.1111111111111116</v>
      </c>
      <c r="D1400">
        <v>2.7777777777777777</v>
      </c>
      <c r="E1400">
        <v>8.1999999999999975</v>
      </c>
    </row>
    <row r="1401" spans="1:5" x14ac:dyDescent="0.2">
      <c r="A1401" s="1">
        <v>41577</v>
      </c>
      <c r="B1401">
        <v>304</v>
      </c>
      <c r="C1401">
        <v>11.666666666666668</v>
      </c>
      <c r="D1401">
        <v>2.7777777777777777</v>
      </c>
      <c r="E1401">
        <v>7.120000000000001</v>
      </c>
    </row>
    <row r="1402" spans="1:5" x14ac:dyDescent="0.2">
      <c r="A1402" s="1">
        <v>41578</v>
      </c>
      <c r="B1402">
        <v>305</v>
      </c>
      <c r="C1402">
        <v>15.555555555555555</v>
      </c>
      <c r="D1402">
        <v>7.7777777777777777</v>
      </c>
      <c r="E1402">
        <v>6.913333333333334</v>
      </c>
    </row>
    <row r="1403" spans="1:5" x14ac:dyDescent="0.2">
      <c r="A1403" s="1">
        <v>41579</v>
      </c>
      <c r="B1403">
        <v>306</v>
      </c>
      <c r="C1403">
        <v>15</v>
      </c>
      <c r="D1403">
        <v>5</v>
      </c>
      <c r="E1403">
        <v>7.6555555555555559</v>
      </c>
    </row>
    <row r="1404" spans="1:5" x14ac:dyDescent="0.2">
      <c r="A1404" s="1">
        <v>41580</v>
      </c>
      <c r="B1404">
        <v>307</v>
      </c>
      <c r="C1404">
        <v>7.7777777777777777</v>
      </c>
      <c r="D1404">
        <v>-0.55555555555555558</v>
      </c>
      <c r="E1404">
        <v>7.1822222222222205</v>
      </c>
    </row>
    <row r="1405" spans="1:5" x14ac:dyDescent="0.2">
      <c r="A1405" s="1">
        <v>41581</v>
      </c>
      <c r="B1405">
        <v>308</v>
      </c>
      <c r="C1405">
        <v>10</v>
      </c>
      <c r="D1405">
        <v>2.7777777777777777</v>
      </c>
      <c r="E1405">
        <v>7.5955555555555545</v>
      </c>
    </row>
    <row r="1406" spans="1:5" x14ac:dyDescent="0.2">
      <c r="A1406" s="1">
        <v>41582</v>
      </c>
      <c r="B1406">
        <v>309</v>
      </c>
      <c r="C1406">
        <v>10.555555555555555</v>
      </c>
      <c r="D1406">
        <v>-3.8888888888888888</v>
      </c>
      <c r="E1406">
        <v>6.7955555555555573</v>
      </c>
    </row>
    <row r="1407" spans="1:5" x14ac:dyDescent="0.2">
      <c r="A1407" s="1">
        <v>41583</v>
      </c>
      <c r="B1407">
        <v>310</v>
      </c>
      <c r="C1407">
        <v>11.111111111111111</v>
      </c>
      <c r="D1407">
        <v>7.7777777777777777</v>
      </c>
      <c r="E1407">
        <v>6.6288888888888904</v>
      </c>
    </row>
    <row r="1408" spans="1:5" x14ac:dyDescent="0.2">
      <c r="A1408" s="1">
        <v>41584</v>
      </c>
      <c r="B1408">
        <v>311</v>
      </c>
      <c r="C1408">
        <v>12.777777777777777</v>
      </c>
      <c r="D1408">
        <v>3.333333333333333</v>
      </c>
      <c r="E1408">
        <v>7.4622222222222225</v>
      </c>
    </row>
    <row r="1409" spans="1:5" x14ac:dyDescent="0.2">
      <c r="A1409" s="1">
        <v>41585</v>
      </c>
      <c r="B1409">
        <v>312</v>
      </c>
      <c r="C1409">
        <v>7.2222222222222223</v>
      </c>
      <c r="D1409">
        <v>-2.7777777777777777</v>
      </c>
      <c r="E1409">
        <v>6.4088888888888897</v>
      </c>
    </row>
    <row r="1410" spans="1:5" x14ac:dyDescent="0.2">
      <c r="A1410" s="1">
        <v>41586</v>
      </c>
      <c r="B1410">
        <v>313</v>
      </c>
      <c r="C1410">
        <v>5</v>
      </c>
      <c r="D1410">
        <v>-6.1111111111111116</v>
      </c>
      <c r="E1410">
        <v>6.8622222222222238</v>
      </c>
    </row>
    <row r="1411" spans="1:5" x14ac:dyDescent="0.2">
      <c r="A1411" s="1">
        <v>41587</v>
      </c>
      <c r="B1411">
        <v>314</v>
      </c>
      <c r="C1411">
        <v>8.8888888888888893</v>
      </c>
      <c r="D1411">
        <v>-1.1111111111111112</v>
      </c>
      <c r="E1411">
        <v>6.8200000000000012</v>
      </c>
    </row>
    <row r="1412" spans="1:5" x14ac:dyDescent="0.2">
      <c r="A1412" s="1">
        <v>41588</v>
      </c>
      <c r="B1412">
        <v>315</v>
      </c>
      <c r="C1412">
        <v>11.111111111111111</v>
      </c>
      <c r="D1412">
        <v>1.6666666666666665</v>
      </c>
      <c r="E1412">
        <v>7.075555555555554</v>
      </c>
    </row>
    <row r="1413" spans="1:5" x14ac:dyDescent="0.2">
      <c r="A1413" s="1">
        <v>41589</v>
      </c>
      <c r="B1413">
        <v>316</v>
      </c>
      <c r="C1413">
        <v>9.4444444444444446</v>
      </c>
      <c r="D1413">
        <v>1.6666666666666665</v>
      </c>
      <c r="E1413">
        <v>6.7977777777777781</v>
      </c>
    </row>
    <row r="1414" spans="1:5" x14ac:dyDescent="0.2">
      <c r="A1414" s="1">
        <v>41590</v>
      </c>
      <c r="B1414">
        <v>317</v>
      </c>
      <c r="C1414">
        <v>1.6666666666666665</v>
      </c>
      <c r="D1414">
        <v>-9.4444444444444446</v>
      </c>
      <c r="E1414">
        <v>6.2888888888888914</v>
      </c>
    </row>
    <row r="1415" spans="1:5" x14ac:dyDescent="0.2">
      <c r="A1415" s="1">
        <v>41591</v>
      </c>
      <c r="B1415">
        <v>318</v>
      </c>
      <c r="C1415">
        <v>-1.1111111111111112</v>
      </c>
      <c r="D1415">
        <v>-9.4444444444444446</v>
      </c>
      <c r="E1415">
        <v>6.3822222222222242</v>
      </c>
    </row>
    <row r="1416" spans="1:5" x14ac:dyDescent="0.2">
      <c r="A1416" s="1">
        <v>41592</v>
      </c>
      <c r="B1416">
        <v>319</v>
      </c>
      <c r="C1416">
        <v>5.5555555555555554</v>
      </c>
      <c r="D1416">
        <v>-7.7777777777777777</v>
      </c>
      <c r="E1416">
        <v>5.5888888888888895</v>
      </c>
    </row>
    <row r="1417" spans="1:5" x14ac:dyDescent="0.2">
      <c r="A1417" s="1">
        <v>41593</v>
      </c>
      <c r="B1417">
        <v>320</v>
      </c>
      <c r="C1417">
        <v>8.8888888888888893</v>
      </c>
      <c r="D1417">
        <v>-3.8888888888888888</v>
      </c>
      <c r="E1417">
        <v>6.2133333333333303</v>
      </c>
    </row>
    <row r="1418" spans="1:5" x14ac:dyDescent="0.2">
      <c r="A1418" s="1">
        <v>41594</v>
      </c>
      <c r="B1418">
        <v>321</v>
      </c>
      <c r="C1418">
        <v>13.333333333333332</v>
      </c>
      <c r="D1418">
        <v>-3.8888888888888888</v>
      </c>
      <c r="E1418">
        <v>6.3666666666666654</v>
      </c>
    </row>
    <row r="1419" spans="1:5" x14ac:dyDescent="0.2">
      <c r="A1419" s="1">
        <v>41595</v>
      </c>
      <c r="B1419">
        <v>322</v>
      </c>
      <c r="C1419">
        <v>12.777777777777777</v>
      </c>
      <c r="D1419">
        <v>2.2222222222222223</v>
      </c>
      <c r="E1419">
        <v>6.0955555555555545</v>
      </c>
    </row>
    <row r="1420" spans="1:5" x14ac:dyDescent="0.2">
      <c r="A1420" s="1">
        <v>41596</v>
      </c>
      <c r="B1420">
        <v>323</v>
      </c>
      <c r="C1420">
        <v>14.444444444444445</v>
      </c>
      <c r="D1420">
        <v>0.55555555555555558</v>
      </c>
      <c r="E1420">
        <v>5.8177777777777795</v>
      </c>
    </row>
    <row r="1421" spans="1:5" x14ac:dyDescent="0.2">
      <c r="A1421" s="1">
        <v>41597</v>
      </c>
      <c r="B1421">
        <v>324</v>
      </c>
      <c r="C1421">
        <v>3.8888888888888888</v>
      </c>
      <c r="D1421">
        <v>-7.7777777777777777</v>
      </c>
      <c r="E1421">
        <v>5.0466666666666669</v>
      </c>
    </row>
    <row r="1422" spans="1:5" x14ac:dyDescent="0.2">
      <c r="A1422" s="1">
        <v>41598</v>
      </c>
      <c r="B1422">
        <v>325</v>
      </c>
      <c r="C1422">
        <v>5.5555555555555554</v>
      </c>
      <c r="D1422">
        <v>-7.7777777777777777</v>
      </c>
      <c r="E1422">
        <v>6.0044444444444434</v>
      </c>
    </row>
    <row r="1423" spans="1:5" x14ac:dyDescent="0.2">
      <c r="A1423" s="1">
        <v>41599</v>
      </c>
      <c r="B1423">
        <v>326</v>
      </c>
      <c r="C1423">
        <v>5</v>
      </c>
      <c r="D1423">
        <v>1.1111111111111112</v>
      </c>
      <c r="E1423">
        <v>6.1799999999999979</v>
      </c>
    </row>
    <row r="1424" spans="1:5" x14ac:dyDescent="0.2">
      <c r="A1424" s="1">
        <v>41600</v>
      </c>
      <c r="B1424">
        <v>327</v>
      </c>
      <c r="C1424">
        <v>5</v>
      </c>
      <c r="D1424">
        <v>-2.2222222222222223</v>
      </c>
      <c r="E1424">
        <v>5.3200000000000021</v>
      </c>
    </row>
    <row r="1425" spans="1:5" x14ac:dyDescent="0.2">
      <c r="A1425" s="1">
        <v>41601</v>
      </c>
      <c r="B1425">
        <v>328</v>
      </c>
      <c r="C1425">
        <v>2.2222222222222223</v>
      </c>
      <c r="D1425">
        <v>-10.555555555555555</v>
      </c>
      <c r="E1425">
        <v>5.6422222222222205</v>
      </c>
    </row>
    <row r="1426" spans="1:5" x14ac:dyDescent="0.2">
      <c r="A1426" s="1">
        <v>41602</v>
      </c>
      <c r="B1426">
        <v>329</v>
      </c>
      <c r="C1426">
        <v>-6.1111111111111116</v>
      </c>
      <c r="D1426">
        <v>-14.444444444444445</v>
      </c>
      <c r="E1426">
        <v>5.8155555555555578</v>
      </c>
    </row>
    <row r="1427" spans="1:5" x14ac:dyDescent="0.2">
      <c r="A1427" s="1">
        <v>41603</v>
      </c>
      <c r="B1427">
        <v>330</v>
      </c>
      <c r="C1427">
        <v>-2.7777777777777777</v>
      </c>
      <c r="D1427">
        <v>-8.8888888888888893</v>
      </c>
      <c r="E1427">
        <v>4.8911111111111119</v>
      </c>
    </row>
    <row r="1428" spans="1:5" x14ac:dyDescent="0.2">
      <c r="A1428" s="1">
        <v>41604</v>
      </c>
      <c r="B1428">
        <v>331</v>
      </c>
      <c r="C1428">
        <v>-0.55555555555555558</v>
      </c>
      <c r="D1428">
        <v>-5</v>
      </c>
      <c r="E1428">
        <v>4.6599999999999984</v>
      </c>
    </row>
    <row r="1429" spans="1:5" x14ac:dyDescent="0.2">
      <c r="A1429" s="1">
        <v>41605</v>
      </c>
      <c r="B1429">
        <v>332</v>
      </c>
      <c r="C1429">
        <v>-0.55555555555555558</v>
      </c>
      <c r="D1429">
        <v>-12.777777777777777</v>
      </c>
      <c r="E1429">
        <v>5.6022222222222222</v>
      </c>
    </row>
    <row r="1430" spans="1:5" x14ac:dyDescent="0.2">
      <c r="A1430" s="1">
        <v>41606</v>
      </c>
      <c r="B1430">
        <v>333</v>
      </c>
      <c r="C1430">
        <v>-2.2222222222222223</v>
      </c>
      <c r="D1430">
        <v>-12.222222222222223</v>
      </c>
      <c r="E1430">
        <v>5.1000000000000005</v>
      </c>
    </row>
    <row r="1431" spans="1:5" x14ac:dyDescent="0.2">
      <c r="A1431" s="1">
        <v>41607</v>
      </c>
      <c r="B1431">
        <v>334</v>
      </c>
      <c r="C1431">
        <v>-0.55555555555555558</v>
      </c>
      <c r="D1431">
        <v>-13.333333333333332</v>
      </c>
      <c r="E1431">
        <v>5.0266666666666673</v>
      </c>
    </row>
    <row r="1432" spans="1:5" x14ac:dyDescent="0.2">
      <c r="A1432" s="1">
        <v>41608</v>
      </c>
      <c r="B1432">
        <v>335</v>
      </c>
      <c r="C1432">
        <v>0</v>
      </c>
      <c r="D1432">
        <v>-13.888888888888889</v>
      </c>
      <c r="E1432">
        <v>5.1866666666666648</v>
      </c>
    </row>
    <row r="1433" spans="1:5" x14ac:dyDescent="0.2">
      <c r="A1433" s="1">
        <v>41609</v>
      </c>
      <c r="B1433">
        <v>336</v>
      </c>
      <c r="C1433">
        <v>2.2222222222222223</v>
      </c>
      <c r="D1433">
        <v>-8.8888888888888893</v>
      </c>
      <c r="E1433">
        <v>5.5222222222222221</v>
      </c>
    </row>
    <row r="1434" spans="1:5" x14ac:dyDescent="0.2">
      <c r="A1434" s="1">
        <v>41610</v>
      </c>
      <c r="B1434">
        <v>337</v>
      </c>
      <c r="C1434">
        <v>6.6666666666666661</v>
      </c>
      <c r="D1434">
        <v>-8.8888888888888893</v>
      </c>
      <c r="E1434">
        <v>4.9666666666666659</v>
      </c>
    </row>
    <row r="1435" spans="1:5" x14ac:dyDescent="0.2">
      <c r="A1435" s="1">
        <v>41611</v>
      </c>
      <c r="B1435">
        <v>338</v>
      </c>
      <c r="C1435">
        <v>3.8888888888888888</v>
      </c>
      <c r="D1435">
        <v>-7.7777777777777777</v>
      </c>
      <c r="E1435">
        <v>5.1911111111111108</v>
      </c>
    </row>
    <row r="1436" spans="1:5" x14ac:dyDescent="0.2">
      <c r="A1436" s="1">
        <v>41612</v>
      </c>
      <c r="B1436">
        <v>339</v>
      </c>
      <c r="C1436">
        <v>3.333333333333333</v>
      </c>
      <c r="D1436">
        <v>1.1111111111111112</v>
      </c>
      <c r="E1436">
        <v>5.08</v>
      </c>
    </row>
    <row r="1437" spans="1:5" x14ac:dyDescent="0.2">
      <c r="A1437" s="1">
        <v>41613</v>
      </c>
      <c r="B1437">
        <v>340</v>
      </c>
      <c r="C1437">
        <v>9.4444444444444446</v>
      </c>
      <c r="D1437">
        <v>-8.3333333333333339</v>
      </c>
      <c r="E1437">
        <v>5.3800000000000008</v>
      </c>
    </row>
    <row r="1438" spans="1:5" x14ac:dyDescent="0.2">
      <c r="A1438" s="1">
        <v>41614</v>
      </c>
      <c r="B1438">
        <v>341</v>
      </c>
      <c r="C1438">
        <v>-5.5555555555555554</v>
      </c>
      <c r="D1438">
        <v>-15</v>
      </c>
      <c r="E1438">
        <v>5.1688888888888878</v>
      </c>
    </row>
    <row r="1439" spans="1:5" x14ac:dyDescent="0.2">
      <c r="A1439" s="1">
        <v>41615</v>
      </c>
      <c r="B1439">
        <v>342</v>
      </c>
      <c r="C1439">
        <v>-8.3333333333333339</v>
      </c>
      <c r="D1439">
        <v>-18.333333333333332</v>
      </c>
      <c r="E1439">
        <v>5.0244444444444447</v>
      </c>
    </row>
    <row r="1440" spans="1:5" x14ac:dyDescent="0.2">
      <c r="A1440" s="1">
        <v>41616</v>
      </c>
      <c r="B1440">
        <v>343</v>
      </c>
      <c r="C1440">
        <v>-9.4444444444444446</v>
      </c>
      <c r="D1440">
        <v>-15.555555555555555</v>
      </c>
      <c r="E1440">
        <v>4.9955555555555549</v>
      </c>
    </row>
    <row r="1441" spans="1:5" x14ac:dyDescent="0.2">
      <c r="A1441" s="1">
        <v>41617</v>
      </c>
      <c r="B1441">
        <v>344</v>
      </c>
      <c r="C1441">
        <v>-8.8888888888888893</v>
      </c>
      <c r="D1441">
        <v>-18.888888888888889</v>
      </c>
      <c r="E1441">
        <v>4.9866666666666664</v>
      </c>
    </row>
    <row r="1442" spans="1:5" x14ac:dyDescent="0.2">
      <c r="A1442" s="1">
        <v>41618</v>
      </c>
      <c r="B1442">
        <v>345</v>
      </c>
      <c r="C1442">
        <v>-10</v>
      </c>
      <c r="D1442">
        <v>-21.666666666666664</v>
      </c>
      <c r="E1442">
        <v>5.0311111111111106</v>
      </c>
    </row>
    <row r="1443" spans="1:5" x14ac:dyDescent="0.2">
      <c r="A1443" s="1">
        <v>41619</v>
      </c>
      <c r="B1443">
        <v>346</v>
      </c>
      <c r="C1443">
        <v>-8.8888888888888893</v>
      </c>
      <c r="D1443">
        <v>-16.111111111111111</v>
      </c>
      <c r="E1443">
        <v>4.826666666666668</v>
      </c>
    </row>
    <row r="1444" spans="1:5" x14ac:dyDescent="0.2">
      <c r="A1444" s="1">
        <v>41620</v>
      </c>
      <c r="B1444">
        <v>347</v>
      </c>
      <c r="C1444">
        <v>-8.3333333333333339</v>
      </c>
      <c r="D1444">
        <v>-22.777777777777779</v>
      </c>
      <c r="E1444">
        <v>5.126666666666666</v>
      </c>
    </row>
    <row r="1445" spans="1:5" x14ac:dyDescent="0.2">
      <c r="A1445" s="1">
        <v>41621</v>
      </c>
      <c r="B1445">
        <v>348</v>
      </c>
      <c r="C1445">
        <v>-6.1111111111111116</v>
      </c>
      <c r="D1445">
        <v>-21.111111111111111</v>
      </c>
      <c r="E1445">
        <v>4.9755555555555553</v>
      </c>
    </row>
    <row r="1446" spans="1:5" x14ac:dyDescent="0.2">
      <c r="A1446" s="1">
        <v>41622</v>
      </c>
      <c r="B1446">
        <v>349</v>
      </c>
      <c r="C1446">
        <v>-5.5555555555555554</v>
      </c>
      <c r="D1446">
        <v>-15</v>
      </c>
      <c r="E1446">
        <v>4.8177777777777795</v>
      </c>
    </row>
    <row r="1447" spans="1:5" x14ac:dyDescent="0.2">
      <c r="A1447" s="1">
        <v>41623</v>
      </c>
      <c r="B1447">
        <v>350</v>
      </c>
      <c r="C1447">
        <v>-8.3333333333333339</v>
      </c>
      <c r="D1447">
        <v>-18.333333333333332</v>
      </c>
      <c r="E1447">
        <v>5.1622222222222209</v>
      </c>
    </row>
    <row r="1448" spans="1:5" x14ac:dyDescent="0.2">
      <c r="A1448" s="1">
        <v>41624</v>
      </c>
      <c r="B1448">
        <v>351</v>
      </c>
      <c r="C1448">
        <v>-9.4444444444444446</v>
      </c>
      <c r="D1448">
        <v>-15.555555555555555</v>
      </c>
      <c r="E1448">
        <v>5.1977777777777758</v>
      </c>
    </row>
    <row r="1449" spans="1:5" x14ac:dyDescent="0.2">
      <c r="A1449" s="1">
        <v>41625</v>
      </c>
      <c r="B1449">
        <v>352</v>
      </c>
      <c r="C1449">
        <v>-8.8888888888888893</v>
      </c>
      <c r="D1449">
        <v>-18.888888888888889</v>
      </c>
      <c r="E1449">
        <v>5.0222222222222221</v>
      </c>
    </row>
    <row r="1450" spans="1:5" x14ac:dyDescent="0.2">
      <c r="A1450" s="1">
        <v>41626</v>
      </c>
      <c r="B1450">
        <v>353</v>
      </c>
      <c r="C1450">
        <v>-10</v>
      </c>
      <c r="D1450">
        <v>-21.666666666666664</v>
      </c>
      <c r="E1450">
        <v>4.9799999999999986</v>
      </c>
    </row>
    <row r="1451" spans="1:5" x14ac:dyDescent="0.2">
      <c r="A1451" s="1">
        <v>41627</v>
      </c>
      <c r="B1451">
        <v>354</v>
      </c>
      <c r="C1451">
        <v>-8.8888888888888893</v>
      </c>
      <c r="D1451">
        <v>-16.111111111111111</v>
      </c>
      <c r="E1451">
        <v>5.408888888888888</v>
      </c>
    </row>
    <row r="1452" spans="1:5" x14ac:dyDescent="0.2">
      <c r="A1452" s="1">
        <v>41628</v>
      </c>
      <c r="B1452">
        <v>355</v>
      </c>
      <c r="C1452">
        <v>-8.3333333333333339</v>
      </c>
      <c r="D1452">
        <v>-22.777777777777779</v>
      </c>
      <c r="E1452">
        <v>5.52</v>
      </c>
    </row>
    <row r="1453" spans="1:5" x14ac:dyDescent="0.2">
      <c r="A1453" s="1">
        <v>41629</v>
      </c>
      <c r="B1453">
        <v>356</v>
      </c>
      <c r="C1453">
        <v>-6.1111111111111116</v>
      </c>
      <c r="D1453">
        <v>-21.111111111111111</v>
      </c>
      <c r="E1453">
        <v>4.9644444444444442</v>
      </c>
    </row>
    <row r="1454" spans="1:5" x14ac:dyDescent="0.2">
      <c r="A1454" s="1">
        <v>41630</v>
      </c>
      <c r="B1454">
        <v>357</v>
      </c>
      <c r="C1454">
        <v>-3.333333333333333</v>
      </c>
      <c r="D1454">
        <v>-5</v>
      </c>
      <c r="E1454">
        <v>4.83777777777778</v>
      </c>
    </row>
    <row r="1455" spans="1:5" x14ac:dyDescent="0.2">
      <c r="A1455" s="1">
        <v>41631</v>
      </c>
      <c r="B1455">
        <v>358</v>
      </c>
      <c r="C1455">
        <v>-4.4444444444444446</v>
      </c>
      <c r="D1455">
        <v>-13.333333333333332</v>
      </c>
      <c r="E1455">
        <v>5.028888888888889</v>
      </c>
    </row>
    <row r="1456" spans="1:5" x14ac:dyDescent="0.2">
      <c r="A1456" s="1">
        <v>41632</v>
      </c>
      <c r="B1456">
        <v>359</v>
      </c>
      <c r="C1456">
        <v>-12.777777777777777</v>
      </c>
      <c r="D1456">
        <v>-26.666666666666664</v>
      </c>
      <c r="E1456">
        <v>5.6022222222222213</v>
      </c>
    </row>
    <row r="1457" spans="1:5" x14ac:dyDescent="0.2">
      <c r="A1457" s="1">
        <v>41633</v>
      </c>
      <c r="B1457">
        <v>360</v>
      </c>
      <c r="C1457">
        <v>-10.555555555555555</v>
      </c>
      <c r="D1457">
        <v>-24.444444444444446</v>
      </c>
      <c r="E1457">
        <v>5.1066666666666656</v>
      </c>
    </row>
    <row r="1458" spans="1:5" x14ac:dyDescent="0.2">
      <c r="A1458" s="1">
        <v>41634</v>
      </c>
      <c r="B1458">
        <v>361</v>
      </c>
      <c r="C1458">
        <v>-5.5555555555555554</v>
      </c>
      <c r="D1458">
        <v>-18.888888888888889</v>
      </c>
      <c r="E1458">
        <v>5.1711111111111112</v>
      </c>
    </row>
    <row r="1459" spans="1:5" x14ac:dyDescent="0.2">
      <c r="A1459" s="1">
        <v>41635</v>
      </c>
      <c r="B1459">
        <v>362</v>
      </c>
      <c r="C1459">
        <v>-3.333333333333333</v>
      </c>
      <c r="D1459">
        <v>-18.333333333333332</v>
      </c>
      <c r="E1459">
        <v>4.5044444444444451</v>
      </c>
    </row>
    <row r="1460" spans="1:5" x14ac:dyDescent="0.2">
      <c r="A1460" s="1">
        <v>41636</v>
      </c>
      <c r="B1460">
        <v>363</v>
      </c>
      <c r="C1460">
        <v>2.2222222222222223</v>
      </c>
      <c r="D1460">
        <v>-12.222222222222223</v>
      </c>
      <c r="E1460">
        <v>5.0888888888888868</v>
      </c>
    </row>
    <row r="1461" spans="1:5" x14ac:dyDescent="0.2">
      <c r="A1461" s="1">
        <v>41637</v>
      </c>
      <c r="B1461">
        <v>364</v>
      </c>
      <c r="C1461">
        <v>5.5555555555555554</v>
      </c>
      <c r="D1461">
        <v>-10</v>
      </c>
      <c r="E1461">
        <v>4.8688888888888897</v>
      </c>
    </row>
    <row r="1462" spans="1:5" x14ac:dyDescent="0.2">
      <c r="A1462" s="1">
        <v>41638</v>
      </c>
      <c r="B1462">
        <v>365</v>
      </c>
      <c r="C1462">
        <v>-6.6666666666666661</v>
      </c>
      <c r="D1462">
        <v>-26.666666666666664</v>
      </c>
      <c r="E1462">
        <v>5.3977777777777805</v>
      </c>
    </row>
    <row r="1463" spans="1:5" x14ac:dyDescent="0.2">
      <c r="A1463" s="1">
        <v>41639</v>
      </c>
      <c r="B1463">
        <v>1</v>
      </c>
      <c r="C1463">
        <v>-9.4444444444444446</v>
      </c>
      <c r="D1463">
        <v>-26.666666666666664</v>
      </c>
      <c r="E1463">
        <v>4.9911111111111106</v>
      </c>
    </row>
    <row r="1464" spans="1:5" x14ac:dyDescent="0.2">
      <c r="A1464" s="1">
        <v>41640</v>
      </c>
      <c r="B1464">
        <v>2</v>
      </c>
      <c r="C1464">
        <v>-15.555555555555555</v>
      </c>
      <c r="D1464">
        <v>-21.111111111111111</v>
      </c>
      <c r="E1464">
        <v>5.0022222222222226</v>
      </c>
    </row>
    <row r="1465" spans="1:5" x14ac:dyDescent="0.2">
      <c r="A1465" s="1">
        <v>41641</v>
      </c>
      <c r="B1465">
        <v>3</v>
      </c>
      <c r="C1465">
        <v>-12.777777777777777</v>
      </c>
      <c r="D1465">
        <v>-17.777777777777779</v>
      </c>
      <c r="E1465">
        <v>5.4333333333333336</v>
      </c>
    </row>
    <row r="1466" spans="1:5" x14ac:dyDescent="0.2">
      <c r="A1466" s="1">
        <v>41642</v>
      </c>
      <c r="B1466">
        <v>4</v>
      </c>
      <c r="C1466">
        <v>-11.666666666666668</v>
      </c>
      <c r="D1466">
        <v>-29.444444444444446</v>
      </c>
      <c r="E1466">
        <v>5.8600000000000012</v>
      </c>
    </row>
    <row r="1467" spans="1:5" x14ac:dyDescent="0.2">
      <c r="A1467" s="1">
        <v>41643</v>
      </c>
      <c r="B1467">
        <v>5</v>
      </c>
      <c r="C1467">
        <v>-1.6666666666666665</v>
      </c>
      <c r="D1467">
        <v>-26.666666666666664</v>
      </c>
      <c r="E1467">
        <v>5.8844444444444459</v>
      </c>
    </row>
    <row r="1468" spans="1:5" x14ac:dyDescent="0.2">
      <c r="A1468" s="1">
        <v>41644</v>
      </c>
      <c r="B1468">
        <v>6</v>
      </c>
      <c r="C1468">
        <v>0</v>
      </c>
      <c r="D1468">
        <v>-26.666666666666664</v>
      </c>
      <c r="E1468">
        <v>5.9622222222222225</v>
      </c>
    </row>
    <row r="1469" spans="1:5" x14ac:dyDescent="0.2">
      <c r="A1469" s="1">
        <v>41645</v>
      </c>
      <c r="B1469">
        <v>7</v>
      </c>
      <c r="C1469">
        <v>-2.2222222222222223</v>
      </c>
      <c r="D1469">
        <v>-26.666666666666664</v>
      </c>
      <c r="E1469">
        <v>6.1066666666666682</v>
      </c>
    </row>
    <row r="1470" spans="1:5" x14ac:dyDescent="0.2">
      <c r="A1470" s="1">
        <v>41646</v>
      </c>
      <c r="B1470">
        <v>8</v>
      </c>
      <c r="C1470">
        <v>-24.444444444444446</v>
      </c>
      <c r="D1470">
        <v>-29.444444444444446</v>
      </c>
      <c r="E1470">
        <v>6.2755555555555587</v>
      </c>
    </row>
    <row r="1471" spans="1:5" x14ac:dyDescent="0.2">
      <c r="A1471" s="1">
        <v>41647</v>
      </c>
      <c r="B1471">
        <v>9</v>
      </c>
      <c r="C1471">
        <v>-16.666666666666668</v>
      </c>
      <c r="D1471">
        <v>-28.888888888888889</v>
      </c>
      <c r="E1471">
        <v>6.2377777777777776</v>
      </c>
    </row>
    <row r="1472" spans="1:5" x14ac:dyDescent="0.2">
      <c r="A1472" s="1">
        <v>41648</v>
      </c>
      <c r="B1472">
        <v>10</v>
      </c>
      <c r="C1472">
        <v>-12.777777777777777</v>
      </c>
      <c r="D1472">
        <v>-31.666666666666664</v>
      </c>
      <c r="E1472">
        <v>6.6755555555555537</v>
      </c>
    </row>
    <row r="1473" spans="1:5" x14ac:dyDescent="0.2">
      <c r="A1473" s="1">
        <v>41649</v>
      </c>
      <c r="B1473">
        <v>11</v>
      </c>
      <c r="C1473">
        <v>-2.7777777777777777</v>
      </c>
      <c r="D1473">
        <v>-28.333333333333336</v>
      </c>
      <c r="E1473">
        <v>5.9155555555555575</v>
      </c>
    </row>
    <row r="1474" spans="1:5" x14ac:dyDescent="0.2">
      <c r="A1474" s="1">
        <v>41650</v>
      </c>
      <c r="B1474">
        <v>12</v>
      </c>
      <c r="C1474">
        <v>-2.7777777777777777</v>
      </c>
      <c r="D1474">
        <v>-28.333333333333336</v>
      </c>
      <c r="E1474">
        <v>5.7666666666666666</v>
      </c>
    </row>
    <row r="1475" spans="1:5" x14ac:dyDescent="0.2">
      <c r="A1475" s="1">
        <v>41651</v>
      </c>
      <c r="B1475">
        <v>13</v>
      </c>
      <c r="C1475">
        <v>-2.7777777777777777</v>
      </c>
      <c r="D1475">
        <v>-28.333333333333336</v>
      </c>
      <c r="E1475">
        <v>6.44</v>
      </c>
    </row>
    <row r="1476" spans="1:5" x14ac:dyDescent="0.2">
      <c r="A1476" s="1">
        <v>41652</v>
      </c>
      <c r="B1476">
        <v>14</v>
      </c>
      <c r="C1476">
        <v>-2.7777777777777777</v>
      </c>
      <c r="D1476">
        <v>-28.333333333333336</v>
      </c>
      <c r="E1476">
        <v>6.0333333333333332</v>
      </c>
    </row>
    <row r="1477" spans="1:5" x14ac:dyDescent="0.2">
      <c r="A1477" s="1">
        <v>41653</v>
      </c>
      <c r="B1477">
        <v>15</v>
      </c>
      <c r="C1477">
        <v>4.4444444444444446</v>
      </c>
      <c r="D1477">
        <v>-6.1111111111111116</v>
      </c>
      <c r="E1477">
        <v>6.6888888888888864</v>
      </c>
    </row>
    <row r="1478" spans="1:5" x14ac:dyDescent="0.2">
      <c r="A1478" s="1">
        <v>41654</v>
      </c>
      <c r="B1478">
        <v>16</v>
      </c>
      <c r="C1478">
        <v>0</v>
      </c>
      <c r="D1478">
        <v>-13.888888888888889</v>
      </c>
      <c r="E1478">
        <v>6.5733333333333333</v>
      </c>
    </row>
    <row r="1479" spans="1:5" x14ac:dyDescent="0.2">
      <c r="A1479" s="1">
        <v>41655</v>
      </c>
      <c r="B1479">
        <v>17</v>
      </c>
      <c r="C1479">
        <v>-3.8888888888888888</v>
      </c>
      <c r="D1479">
        <v>-13.333333333333332</v>
      </c>
      <c r="E1479">
        <v>6.46</v>
      </c>
    </row>
    <row r="1480" spans="1:5" x14ac:dyDescent="0.2">
      <c r="A1480" s="1">
        <v>41656</v>
      </c>
      <c r="B1480">
        <v>18</v>
      </c>
      <c r="C1480">
        <v>0</v>
      </c>
      <c r="D1480">
        <v>-12.777777777777777</v>
      </c>
      <c r="E1480">
        <v>6.8355555555555547</v>
      </c>
    </row>
    <row r="1481" spans="1:5" x14ac:dyDescent="0.2">
      <c r="A1481" s="1">
        <v>41657</v>
      </c>
      <c r="B1481">
        <v>19</v>
      </c>
      <c r="C1481">
        <v>0</v>
      </c>
      <c r="D1481">
        <v>-17.777777777777779</v>
      </c>
      <c r="E1481">
        <v>6.5555555555555554</v>
      </c>
    </row>
    <row r="1482" spans="1:5" x14ac:dyDescent="0.2">
      <c r="A1482" s="1">
        <v>41658</v>
      </c>
      <c r="B1482">
        <v>20</v>
      </c>
      <c r="C1482">
        <v>-3.8888888888888888</v>
      </c>
      <c r="D1482">
        <v>-17.777777777777779</v>
      </c>
      <c r="E1482">
        <v>6.5533333333333337</v>
      </c>
    </row>
    <row r="1483" spans="1:5" x14ac:dyDescent="0.2">
      <c r="A1483" s="1">
        <v>41659</v>
      </c>
      <c r="B1483">
        <v>21</v>
      </c>
      <c r="C1483">
        <v>1.1111111111111112</v>
      </c>
      <c r="D1483">
        <v>-17.777777777777779</v>
      </c>
      <c r="E1483">
        <v>6.5222222222222221</v>
      </c>
    </row>
    <row r="1484" spans="1:5" x14ac:dyDescent="0.2">
      <c r="A1484" s="1">
        <v>41660</v>
      </c>
      <c r="B1484">
        <v>22</v>
      </c>
      <c r="C1484">
        <v>-1.1111111111111112</v>
      </c>
      <c r="D1484">
        <v>-21.111111111111111</v>
      </c>
      <c r="E1484">
        <v>6.1199999999999992</v>
      </c>
    </row>
    <row r="1485" spans="1:5" x14ac:dyDescent="0.2">
      <c r="A1485" s="1">
        <v>41661</v>
      </c>
      <c r="B1485">
        <v>23</v>
      </c>
      <c r="C1485">
        <v>-15</v>
      </c>
      <c r="D1485">
        <v>-22.222222222222221</v>
      </c>
      <c r="E1485">
        <v>7.2466666666666661</v>
      </c>
    </row>
    <row r="1486" spans="1:5" x14ac:dyDescent="0.2">
      <c r="A1486" s="1">
        <v>41662</v>
      </c>
      <c r="B1486">
        <v>24</v>
      </c>
      <c r="C1486">
        <v>-12.222222222222223</v>
      </c>
      <c r="D1486">
        <v>-21.111111111111111</v>
      </c>
      <c r="E1486">
        <v>6.8688888888888879</v>
      </c>
    </row>
    <row r="1487" spans="1:5" x14ac:dyDescent="0.2">
      <c r="A1487" s="1">
        <v>41663</v>
      </c>
      <c r="B1487">
        <v>25</v>
      </c>
      <c r="C1487">
        <v>-13.888888888888889</v>
      </c>
      <c r="D1487">
        <v>-25</v>
      </c>
      <c r="E1487">
        <v>7.0244444444444447</v>
      </c>
    </row>
    <row r="1488" spans="1:5" x14ac:dyDescent="0.2">
      <c r="A1488" s="1">
        <v>41664</v>
      </c>
      <c r="B1488">
        <v>26</v>
      </c>
      <c r="C1488">
        <v>0</v>
      </c>
      <c r="D1488">
        <v>-13.888888888888889</v>
      </c>
      <c r="E1488">
        <v>7.3288888888888888</v>
      </c>
    </row>
    <row r="1489" spans="1:5" x14ac:dyDescent="0.2">
      <c r="A1489" s="1">
        <v>41665</v>
      </c>
      <c r="B1489">
        <v>27</v>
      </c>
      <c r="C1489">
        <v>-5</v>
      </c>
      <c r="D1489">
        <v>-12.777777777777777</v>
      </c>
      <c r="E1489">
        <v>7.4177777777777756</v>
      </c>
    </row>
    <row r="1490" spans="1:5" x14ac:dyDescent="0.2">
      <c r="A1490" s="1">
        <v>41666</v>
      </c>
      <c r="B1490">
        <v>28</v>
      </c>
      <c r="C1490">
        <v>-5.5555555555555554</v>
      </c>
      <c r="D1490">
        <v>-22.777777777777779</v>
      </c>
      <c r="E1490">
        <v>7.677777777777778</v>
      </c>
    </row>
    <row r="1491" spans="1:5" x14ac:dyDescent="0.2">
      <c r="A1491" s="1">
        <v>41667</v>
      </c>
      <c r="B1491">
        <v>29</v>
      </c>
      <c r="C1491">
        <v>-20.555555555555554</v>
      </c>
      <c r="D1491">
        <v>-28.888888888888889</v>
      </c>
      <c r="E1491">
        <v>7.3044444444444458</v>
      </c>
    </row>
    <row r="1492" spans="1:5" x14ac:dyDescent="0.2">
      <c r="A1492" s="1">
        <v>41668</v>
      </c>
      <c r="B1492">
        <v>30</v>
      </c>
      <c r="C1492">
        <v>-16.666666666666668</v>
      </c>
      <c r="D1492">
        <v>-27.777777777777779</v>
      </c>
      <c r="E1492">
        <v>8</v>
      </c>
    </row>
    <row r="1493" spans="1:5" x14ac:dyDescent="0.2">
      <c r="A1493" s="1">
        <v>41669</v>
      </c>
      <c r="B1493">
        <v>31</v>
      </c>
      <c r="C1493">
        <v>-3.333333333333333</v>
      </c>
      <c r="D1493">
        <v>-25</v>
      </c>
      <c r="E1493">
        <v>7.6400000000000041</v>
      </c>
    </row>
    <row r="1494" spans="1:5" x14ac:dyDescent="0.2">
      <c r="A1494" s="1">
        <v>41670</v>
      </c>
      <c r="B1494">
        <v>32</v>
      </c>
      <c r="C1494">
        <v>-1.1111111111111112</v>
      </c>
      <c r="D1494">
        <v>-17.777777777777779</v>
      </c>
      <c r="E1494">
        <v>7.5244444444444474</v>
      </c>
    </row>
    <row r="1495" spans="1:5" x14ac:dyDescent="0.2">
      <c r="A1495" s="1">
        <v>41671</v>
      </c>
      <c r="B1495">
        <v>33</v>
      </c>
      <c r="C1495">
        <v>-11.666666666666668</v>
      </c>
      <c r="D1495">
        <v>-21.111111111111111</v>
      </c>
      <c r="E1495">
        <v>7.8222222222222237</v>
      </c>
    </row>
    <row r="1496" spans="1:5" x14ac:dyDescent="0.2">
      <c r="A1496" s="1">
        <v>41672</v>
      </c>
      <c r="B1496">
        <v>34</v>
      </c>
      <c r="C1496">
        <v>-6.6666666666666661</v>
      </c>
      <c r="D1496">
        <v>-25.555555555555554</v>
      </c>
      <c r="E1496">
        <v>7.9933333333333367</v>
      </c>
    </row>
    <row r="1497" spans="1:5" x14ac:dyDescent="0.2">
      <c r="A1497" s="1">
        <v>41673</v>
      </c>
      <c r="B1497">
        <v>35</v>
      </c>
      <c r="C1497">
        <v>-8.8888888888888893</v>
      </c>
      <c r="D1497">
        <v>-30</v>
      </c>
      <c r="E1497">
        <v>8.8044444444444458</v>
      </c>
    </row>
    <row r="1498" spans="1:5" x14ac:dyDescent="0.2">
      <c r="A1498" s="1">
        <v>41674</v>
      </c>
      <c r="B1498">
        <v>36</v>
      </c>
      <c r="C1498">
        <v>-7.2222222222222223</v>
      </c>
      <c r="D1498">
        <v>-31.111111111111111</v>
      </c>
      <c r="E1498">
        <v>8.4622222222222199</v>
      </c>
    </row>
    <row r="1499" spans="1:5" x14ac:dyDescent="0.2">
      <c r="A1499" s="1">
        <v>41675</v>
      </c>
      <c r="B1499">
        <v>37</v>
      </c>
      <c r="C1499">
        <v>-7.2222222222222223</v>
      </c>
      <c r="D1499">
        <v>-31.111111111111111</v>
      </c>
      <c r="E1499">
        <v>8.9911111111111115</v>
      </c>
    </row>
    <row r="1500" spans="1:5" x14ac:dyDescent="0.2">
      <c r="A1500" s="1">
        <v>41676</v>
      </c>
      <c r="B1500">
        <v>38</v>
      </c>
      <c r="C1500">
        <v>-8.8888888888888893</v>
      </c>
      <c r="D1500">
        <v>-25</v>
      </c>
      <c r="E1500">
        <v>9.43333333333333</v>
      </c>
    </row>
    <row r="1501" spans="1:5" x14ac:dyDescent="0.2">
      <c r="A1501" s="1">
        <v>41677</v>
      </c>
      <c r="B1501">
        <v>39</v>
      </c>
      <c r="C1501">
        <v>-15</v>
      </c>
      <c r="D1501">
        <v>-25</v>
      </c>
      <c r="E1501">
        <v>9.0800000000000036</v>
      </c>
    </row>
    <row r="1502" spans="1:5" x14ac:dyDescent="0.2">
      <c r="A1502" s="1">
        <v>41678</v>
      </c>
      <c r="B1502">
        <v>40</v>
      </c>
      <c r="C1502">
        <v>-11.111111111111111</v>
      </c>
      <c r="D1502">
        <v>-28.333333333333336</v>
      </c>
      <c r="E1502">
        <v>9.9822222222222212</v>
      </c>
    </row>
    <row r="1503" spans="1:5" x14ac:dyDescent="0.2">
      <c r="A1503" s="1">
        <v>41679</v>
      </c>
      <c r="B1503">
        <v>41</v>
      </c>
      <c r="C1503">
        <v>-10</v>
      </c>
      <c r="D1503">
        <v>-26.666666666666664</v>
      </c>
      <c r="E1503">
        <v>8.9066666666666627</v>
      </c>
    </row>
    <row r="1504" spans="1:5" x14ac:dyDescent="0.2">
      <c r="A1504" s="1">
        <v>41680</v>
      </c>
      <c r="B1504">
        <v>42</v>
      </c>
      <c r="C1504">
        <v>-8.8888888888888893</v>
      </c>
      <c r="D1504">
        <v>-28.888888888888889</v>
      </c>
      <c r="E1504">
        <v>9.7333333333333325</v>
      </c>
    </row>
    <row r="1505" spans="1:5" x14ac:dyDescent="0.2">
      <c r="A1505" s="1">
        <v>41681</v>
      </c>
      <c r="B1505">
        <v>43</v>
      </c>
      <c r="C1505">
        <v>-12.777777777777777</v>
      </c>
      <c r="D1505">
        <v>-31.111111111111111</v>
      </c>
      <c r="E1505">
        <v>10.073333333333336</v>
      </c>
    </row>
    <row r="1506" spans="1:5" x14ac:dyDescent="0.2">
      <c r="A1506" s="1">
        <v>41682</v>
      </c>
      <c r="B1506">
        <v>44</v>
      </c>
      <c r="C1506">
        <v>-11.111111111111111</v>
      </c>
      <c r="D1506">
        <v>-31.111111111111111</v>
      </c>
      <c r="E1506">
        <v>8.4711111111111101</v>
      </c>
    </row>
    <row r="1507" spans="1:5" x14ac:dyDescent="0.2">
      <c r="A1507" s="1">
        <v>41683</v>
      </c>
      <c r="B1507">
        <v>45</v>
      </c>
      <c r="C1507">
        <v>-7.2222222222222223</v>
      </c>
      <c r="D1507">
        <v>-20.555555555555554</v>
      </c>
      <c r="E1507">
        <v>9.2622222222222241</v>
      </c>
    </row>
    <row r="1508" spans="1:5" x14ac:dyDescent="0.2">
      <c r="A1508" s="1">
        <v>41684</v>
      </c>
      <c r="B1508">
        <v>46</v>
      </c>
      <c r="C1508">
        <v>-1.1111111111111112</v>
      </c>
      <c r="D1508">
        <v>-20.555555555555554</v>
      </c>
      <c r="E1508">
        <v>9.7844444444444445</v>
      </c>
    </row>
    <row r="1509" spans="1:5" x14ac:dyDescent="0.2">
      <c r="A1509" s="1">
        <v>41685</v>
      </c>
      <c r="B1509">
        <v>47</v>
      </c>
      <c r="C1509">
        <v>-6.6666666666666661</v>
      </c>
      <c r="D1509">
        <v>-26.111111111111111</v>
      </c>
      <c r="E1509">
        <v>10.419999999999996</v>
      </c>
    </row>
    <row r="1510" spans="1:5" x14ac:dyDescent="0.2">
      <c r="A1510" s="1">
        <v>41686</v>
      </c>
      <c r="B1510">
        <v>48</v>
      </c>
      <c r="C1510">
        <v>-6.6666666666666661</v>
      </c>
      <c r="D1510">
        <v>-15</v>
      </c>
      <c r="E1510">
        <v>10.89111111111111</v>
      </c>
    </row>
    <row r="1511" spans="1:5" x14ac:dyDescent="0.2">
      <c r="A1511" s="1">
        <v>41687</v>
      </c>
      <c r="B1511">
        <v>49</v>
      </c>
      <c r="C1511">
        <v>-3.8888888888888888</v>
      </c>
      <c r="D1511">
        <v>-10.555555555555555</v>
      </c>
      <c r="E1511">
        <v>8.7977777777777799</v>
      </c>
    </row>
    <row r="1512" spans="1:5" x14ac:dyDescent="0.2">
      <c r="A1512" s="1">
        <v>41688</v>
      </c>
      <c r="B1512">
        <v>50</v>
      </c>
      <c r="C1512">
        <v>-3.8888888888888888</v>
      </c>
      <c r="D1512">
        <v>-16.111111111111111</v>
      </c>
      <c r="E1512">
        <v>9.6266666666666687</v>
      </c>
    </row>
    <row r="1513" spans="1:5" x14ac:dyDescent="0.2">
      <c r="A1513" s="1">
        <v>41689</v>
      </c>
      <c r="B1513">
        <v>51</v>
      </c>
      <c r="C1513">
        <v>6.6666666666666661</v>
      </c>
      <c r="D1513">
        <v>-16.666666666666668</v>
      </c>
      <c r="E1513">
        <v>10.488888888888887</v>
      </c>
    </row>
    <row r="1514" spans="1:5" x14ac:dyDescent="0.2">
      <c r="A1514" s="1">
        <v>41690</v>
      </c>
      <c r="B1514">
        <v>52</v>
      </c>
      <c r="C1514">
        <v>6.1111111111111116</v>
      </c>
      <c r="D1514">
        <v>-5</v>
      </c>
      <c r="E1514">
        <v>10.06</v>
      </c>
    </row>
    <row r="1515" spans="1:5" x14ac:dyDescent="0.2">
      <c r="A1515" s="1">
        <v>41691</v>
      </c>
      <c r="B1515">
        <v>53</v>
      </c>
      <c r="C1515">
        <v>4.4444444444444446</v>
      </c>
      <c r="D1515">
        <v>-6.6666666666666661</v>
      </c>
      <c r="E1515">
        <v>10.406666666666665</v>
      </c>
    </row>
    <row r="1516" spans="1:5" x14ac:dyDescent="0.2">
      <c r="A1516" s="1">
        <v>41692</v>
      </c>
      <c r="B1516">
        <v>54</v>
      </c>
      <c r="C1516">
        <v>-3.8888888888888888</v>
      </c>
      <c r="D1516">
        <v>-11.111111111111111</v>
      </c>
      <c r="E1516">
        <v>10.113333333333337</v>
      </c>
    </row>
    <row r="1517" spans="1:5" x14ac:dyDescent="0.2">
      <c r="A1517" s="1">
        <v>41693</v>
      </c>
      <c r="B1517">
        <v>55</v>
      </c>
      <c r="C1517">
        <v>-3.333333333333333</v>
      </c>
      <c r="D1517">
        <v>-16.111111111111111</v>
      </c>
      <c r="E1517">
        <v>10.037777777777777</v>
      </c>
    </row>
    <row r="1518" spans="1:5" x14ac:dyDescent="0.2">
      <c r="A1518" s="1">
        <v>41694</v>
      </c>
      <c r="B1518">
        <v>56</v>
      </c>
      <c r="C1518">
        <v>-5.5555555555555554</v>
      </c>
      <c r="D1518">
        <v>-17.777777777777779</v>
      </c>
      <c r="E1518">
        <v>11.8</v>
      </c>
    </row>
    <row r="1519" spans="1:5" x14ac:dyDescent="0.2">
      <c r="A1519" s="1">
        <v>41695</v>
      </c>
      <c r="B1519">
        <v>57</v>
      </c>
      <c r="C1519">
        <v>-5.5555555555555554</v>
      </c>
      <c r="D1519">
        <v>-17.222222222222221</v>
      </c>
      <c r="E1519">
        <v>11.313333333333336</v>
      </c>
    </row>
    <row r="1520" spans="1:5" x14ac:dyDescent="0.2">
      <c r="A1520" s="1">
        <v>41696</v>
      </c>
      <c r="B1520">
        <v>58</v>
      </c>
      <c r="C1520">
        <v>-10.555555555555555</v>
      </c>
      <c r="D1520">
        <v>-23.333333333333336</v>
      </c>
      <c r="E1520">
        <v>11.128888888888891</v>
      </c>
    </row>
    <row r="1521" spans="1:5" x14ac:dyDescent="0.2">
      <c r="A1521" s="1">
        <v>41697</v>
      </c>
      <c r="B1521">
        <v>59</v>
      </c>
      <c r="C1521">
        <v>-8.8888888888888893</v>
      </c>
      <c r="D1521">
        <v>-23.333333333333336</v>
      </c>
      <c r="E1521">
        <v>11.87555555555555</v>
      </c>
    </row>
    <row r="1522" spans="1:5" x14ac:dyDescent="0.2">
      <c r="A1522" s="1">
        <v>41698</v>
      </c>
      <c r="B1522">
        <v>60</v>
      </c>
      <c r="C1522">
        <v>-15</v>
      </c>
      <c r="D1522">
        <v>-26.111111111111111</v>
      </c>
      <c r="E1522">
        <v>11.59555555555556</v>
      </c>
    </row>
    <row r="1523" spans="1:5" x14ac:dyDescent="0.2">
      <c r="A1523" s="1">
        <v>41699</v>
      </c>
      <c r="B1523">
        <v>61</v>
      </c>
      <c r="C1523">
        <v>-6.6666666666666661</v>
      </c>
      <c r="D1523">
        <v>-25.555555555555554</v>
      </c>
      <c r="E1523">
        <v>11.271111111111111</v>
      </c>
    </row>
    <row r="1524" spans="1:5" x14ac:dyDescent="0.2">
      <c r="A1524" s="1">
        <v>41700</v>
      </c>
      <c r="B1524">
        <v>62</v>
      </c>
      <c r="C1524">
        <v>-12.222222222222223</v>
      </c>
      <c r="D1524">
        <v>-20.555555555555554</v>
      </c>
      <c r="E1524">
        <v>11.388888888888886</v>
      </c>
    </row>
    <row r="1525" spans="1:5" x14ac:dyDescent="0.2">
      <c r="A1525" s="1">
        <v>41701</v>
      </c>
      <c r="B1525">
        <v>63</v>
      </c>
      <c r="C1525">
        <v>-15</v>
      </c>
      <c r="D1525">
        <v>-26.666666666666664</v>
      </c>
      <c r="E1525">
        <v>10.191111111111111</v>
      </c>
    </row>
    <row r="1526" spans="1:5" x14ac:dyDescent="0.2">
      <c r="A1526" s="1">
        <v>41702</v>
      </c>
      <c r="B1526">
        <v>64</v>
      </c>
      <c r="C1526">
        <v>-9.4444444444444446</v>
      </c>
      <c r="D1526">
        <v>-27.222222222222221</v>
      </c>
      <c r="E1526">
        <v>11.199999999999996</v>
      </c>
    </row>
    <row r="1527" spans="1:5" x14ac:dyDescent="0.2">
      <c r="A1527" s="1">
        <v>41703</v>
      </c>
      <c r="B1527">
        <v>65</v>
      </c>
      <c r="C1527">
        <v>-6.1111111111111116</v>
      </c>
      <c r="D1527">
        <v>-12.222222222222223</v>
      </c>
      <c r="E1527">
        <v>12.780000000000003</v>
      </c>
    </row>
    <row r="1528" spans="1:5" x14ac:dyDescent="0.2">
      <c r="A1528" s="1">
        <v>41704</v>
      </c>
      <c r="B1528">
        <v>66</v>
      </c>
      <c r="C1528">
        <v>-6.1111111111111116</v>
      </c>
      <c r="D1528">
        <v>-23.333333333333336</v>
      </c>
      <c r="E1528">
        <v>13.068888888888889</v>
      </c>
    </row>
    <row r="1529" spans="1:5" x14ac:dyDescent="0.2">
      <c r="A1529" s="1">
        <v>41705</v>
      </c>
      <c r="B1529">
        <v>67</v>
      </c>
      <c r="C1529">
        <v>-2.7777777777777777</v>
      </c>
      <c r="D1529">
        <v>-23.888888888888889</v>
      </c>
      <c r="E1529">
        <v>11.393333333333333</v>
      </c>
    </row>
    <row r="1530" spans="1:5" x14ac:dyDescent="0.2">
      <c r="A1530" s="1">
        <v>41706</v>
      </c>
      <c r="B1530">
        <v>68</v>
      </c>
      <c r="C1530">
        <v>4.4444444444444446</v>
      </c>
      <c r="D1530">
        <v>-9.4444444444444446</v>
      </c>
      <c r="E1530">
        <v>12.291111111111112</v>
      </c>
    </row>
    <row r="1531" spans="1:5" x14ac:dyDescent="0.2">
      <c r="A1531" s="1">
        <v>41707</v>
      </c>
      <c r="B1531">
        <v>69</v>
      </c>
      <c r="C1531">
        <v>0</v>
      </c>
      <c r="D1531">
        <v>-11.666666666666668</v>
      </c>
      <c r="E1531">
        <v>13.813333333333336</v>
      </c>
    </row>
    <row r="1532" spans="1:5" x14ac:dyDescent="0.2">
      <c r="A1532" s="1">
        <v>41708</v>
      </c>
      <c r="B1532">
        <v>70</v>
      </c>
      <c r="C1532">
        <v>4.4444444444444446</v>
      </c>
      <c r="D1532">
        <v>-10.555555555555555</v>
      </c>
      <c r="E1532">
        <v>12.808888888888891</v>
      </c>
    </row>
    <row r="1533" spans="1:5" x14ac:dyDescent="0.2">
      <c r="A1533" s="1">
        <v>41709</v>
      </c>
      <c r="B1533">
        <v>71</v>
      </c>
      <c r="C1533">
        <v>11.666666666666668</v>
      </c>
      <c r="D1533">
        <v>-1.6666666666666665</v>
      </c>
      <c r="E1533">
        <v>12.691111111111107</v>
      </c>
    </row>
    <row r="1534" spans="1:5" x14ac:dyDescent="0.2">
      <c r="A1534" s="1">
        <v>41710</v>
      </c>
      <c r="B1534">
        <v>72</v>
      </c>
      <c r="C1534">
        <v>6.6666666666666661</v>
      </c>
      <c r="D1534">
        <v>-1.6666666666666665</v>
      </c>
      <c r="E1534">
        <v>11.371111111111109</v>
      </c>
    </row>
    <row r="1535" spans="1:5" x14ac:dyDescent="0.2">
      <c r="A1535" s="1">
        <v>41711</v>
      </c>
      <c r="B1535">
        <v>73</v>
      </c>
      <c r="C1535">
        <v>-1.1111111111111112</v>
      </c>
      <c r="D1535">
        <v>-11.666666666666668</v>
      </c>
      <c r="E1535">
        <v>13.164444444444442</v>
      </c>
    </row>
    <row r="1536" spans="1:5" x14ac:dyDescent="0.2">
      <c r="A1536" s="1">
        <v>41712</v>
      </c>
      <c r="B1536">
        <v>74</v>
      </c>
      <c r="C1536">
        <v>6.1111111111111116</v>
      </c>
      <c r="D1536">
        <v>-12.222222222222223</v>
      </c>
      <c r="E1536">
        <v>12.719999999999995</v>
      </c>
    </row>
    <row r="1537" spans="1:5" x14ac:dyDescent="0.2">
      <c r="A1537" s="1">
        <v>41713</v>
      </c>
      <c r="B1537">
        <v>75</v>
      </c>
      <c r="C1537">
        <v>8.8888888888888893</v>
      </c>
      <c r="D1537">
        <v>-3.8888888888888888</v>
      </c>
      <c r="E1537">
        <v>14.366666666666664</v>
      </c>
    </row>
    <row r="1538" spans="1:5" x14ac:dyDescent="0.2">
      <c r="A1538" s="1">
        <v>41714</v>
      </c>
      <c r="B1538">
        <v>76</v>
      </c>
      <c r="C1538">
        <v>2.2222222222222223</v>
      </c>
      <c r="D1538">
        <v>-12.222222222222223</v>
      </c>
      <c r="E1538">
        <v>13.237777777777776</v>
      </c>
    </row>
    <row r="1539" spans="1:5" x14ac:dyDescent="0.2">
      <c r="A1539" s="1">
        <v>41715</v>
      </c>
      <c r="B1539">
        <v>77</v>
      </c>
      <c r="C1539">
        <v>-4.4444444444444446</v>
      </c>
      <c r="D1539">
        <v>-10.555555555555555</v>
      </c>
      <c r="E1539">
        <v>12.584444444444451</v>
      </c>
    </row>
    <row r="1540" spans="1:5" x14ac:dyDescent="0.2">
      <c r="A1540" s="1">
        <v>41716</v>
      </c>
      <c r="B1540">
        <v>78</v>
      </c>
      <c r="C1540">
        <v>2.7777777777777777</v>
      </c>
      <c r="D1540">
        <v>-9.4444444444444446</v>
      </c>
      <c r="E1540">
        <v>12.284444444444446</v>
      </c>
    </row>
    <row r="1541" spans="1:5" x14ac:dyDescent="0.2">
      <c r="A1541" s="1">
        <v>41717</v>
      </c>
      <c r="B1541">
        <v>79</v>
      </c>
      <c r="C1541">
        <v>7.7777777777777777</v>
      </c>
      <c r="D1541">
        <v>-3.333333333333333</v>
      </c>
      <c r="E1541">
        <v>13.337777777777776</v>
      </c>
    </row>
    <row r="1542" spans="1:5" x14ac:dyDescent="0.2">
      <c r="A1542" s="1">
        <v>41718</v>
      </c>
      <c r="B1542">
        <v>80</v>
      </c>
      <c r="C1542">
        <v>2.7777777777777777</v>
      </c>
      <c r="D1542">
        <v>-3.8888888888888888</v>
      </c>
      <c r="E1542">
        <v>15</v>
      </c>
    </row>
    <row r="1543" spans="1:5" x14ac:dyDescent="0.2">
      <c r="A1543" s="1">
        <v>41719</v>
      </c>
      <c r="B1543">
        <v>81</v>
      </c>
      <c r="C1543">
        <v>6.1111111111111116</v>
      </c>
      <c r="D1543">
        <v>-5.5555555555555554</v>
      </c>
      <c r="E1543">
        <v>14.926666666666668</v>
      </c>
    </row>
    <row r="1544" spans="1:5" x14ac:dyDescent="0.2">
      <c r="A1544" s="1">
        <v>41720</v>
      </c>
      <c r="B1544">
        <v>82</v>
      </c>
      <c r="C1544">
        <v>11.111111111111111</v>
      </c>
      <c r="D1544">
        <v>-5.5555555555555554</v>
      </c>
      <c r="E1544">
        <v>16.43333333333333</v>
      </c>
    </row>
    <row r="1545" spans="1:5" x14ac:dyDescent="0.2">
      <c r="A1545" s="1">
        <v>41721</v>
      </c>
      <c r="B1545">
        <v>83</v>
      </c>
      <c r="C1545">
        <v>0.55555555555555558</v>
      </c>
      <c r="D1545">
        <v>-10</v>
      </c>
      <c r="E1545">
        <v>14.304444444444442</v>
      </c>
    </row>
    <row r="1546" spans="1:5" x14ac:dyDescent="0.2">
      <c r="A1546" s="1">
        <v>41722</v>
      </c>
      <c r="B1546">
        <v>84</v>
      </c>
      <c r="C1546">
        <v>-2.2222222222222223</v>
      </c>
      <c r="D1546">
        <v>-10.555555555555555</v>
      </c>
      <c r="E1546">
        <v>14.604444444444443</v>
      </c>
    </row>
    <row r="1547" spans="1:5" x14ac:dyDescent="0.2">
      <c r="A1547" s="1">
        <v>41723</v>
      </c>
      <c r="B1547">
        <v>85</v>
      </c>
      <c r="C1547">
        <v>2.2222222222222223</v>
      </c>
      <c r="D1547">
        <v>-10.555555555555555</v>
      </c>
      <c r="E1547">
        <v>15.69777777777778</v>
      </c>
    </row>
    <row r="1548" spans="1:5" x14ac:dyDescent="0.2">
      <c r="A1548" s="1">
        <v>41724</v>
      </c>
      <c r="B1548">
        <v>86</v>
      </c>
      <c r="C1548">
        <v>-4.4444444444444446</v>
      </c>
      <c r="D1548">
        <v>-12.777777777777777</v>
      </c>
      <c r="E1548">
        <v>14.977777777777776</v>
      </c>
    </row>
    <row r="1549" spans="1:5" x14ac:dyDescent="0.2">
      <c r="A1549" s="1">
        <v>41725</v>
      </c>
      <c r="B1549">
        <v>87</v>
      </c>
      <c r="C1549">
        <v>4.4444444444444446</v>
      </c>
      <c r="D1549">
        <v>-12.777777777777777</v>
      </c>
      <c r="E1549">
        <v>12.684444444444447</v>
      </c>
    </row>
    <row r="1550" spans="1:5" x14ac:dyDescent="0.2">
      <c r="A1550" s="1">
        <v>41726</v>
      </c>
      <c r="B1550">
        <v>88</v>
      </c>
      <c r="C1550">
        <v>6.6666666666666661</v>
      </c>
      <c r="D1550">
        <v>1.6666666666666665</v>
      </c>
      <c r="E1550">
        <v>14.022222222222222</v>
      </c>
    </row>
    <row r="1551" spans="1:5" x14ac:dyDescent="0.2">
      <c r="A1551" s="1">
        <v>41727</v>
      </c>
      <c r="B1551">
        <v>89</v>
      </c>
      <c r="C1551">
        <v>6.6666666666666661</v>
      </c>
      <c r="D1551">
        <v>-1.1111111111111112</v>
      </c>
      <c r="E1551">
        <v>15.895555555555557</v>
      </c>
    </row>
    <row r="1552" spans="1:5" x14ac:dyDescent="0.2">
      <c r="A1552" s="1">
        <v>41728</v>
      </c>
      <c r="B1552">
        <v>90</v>
      </c>
      <c r="C1552">
        <v>8.3333333333333339</v>
      </c>
      <c r="D1552">
        <v>-2.7777777777777777</v>
      </c>
      <c r="E1552">
        <v>14.608888888888893</v>
      </c>
    </row>
    <row r="1553" spans="1:5" x14ac:dyDescent="0.2">
      <c r="A1553" s="1">
        <v>41729</v>
      </c>
      <c r="B1553">
        <v>91</v>
      </c>
      <c r="C1553">
        <v>15</v>
      </c>
      <c r="D1553">
        <v>6.6666666666666661</v>
      </c>
      <c r="E1553">
        <v>13.344444444444447</v>
      </c>
    </row>
    <row r="1554" spans="1:5" x14ac:dyDescent="0.2">
      <c r="A1554" s="1">
        <v>41730</v>
      </c>
      <c r="B1554">
        <v>92</v>
      </c>
      <c r="C1554">
        <v>18.888888888888889</v>
      </c>
      <c r="D1554">
        <v>-3.333333333333333</v>
      </c>
      <c r="E1554">
        <v>14.593333333333337</v>
      </c>
    </row>
    <row r="1555" spans="1:5" x14ac:dyDescent="0.2">
      <c r="A1555" s="1">
        <v>41731</v>
      </c>
      <c r="B1555">
        <v>93</v>
      </c>
      <c r="C1555">
        <v>6.6666666666666661</v>
      </c>
      <c r="D1555">
        <v>-6.1111111111111116</v>
      </c>
      <c r="E1555">
        <v>13.820000000000002</v>
      </c>
    </row>
    <row r="1556" spans="1:5" x14ac:dyDescent="0.2">
      <c r="A1556" s="1">
        <v>41732</v>
      </c>
      <c r="B1556">
        <v>94</v>
      </c>
      <c r="C1556">
        <v>10</v>
      </c>
      <c r="D1556">
        <v>-6.1111111111111116</v>
      </c>
      <c r="E1556">
        <v>15.273333333333332</v>
      </c>
    </row>
    <row r="1557" spans="1:5" x14ac:dyDescent="0.2">
      <c r="A1557" s="1">
        <v>41733</v>
      </c>
      <c r="B1557">
        <v>95</v>
      </c>
      <c r="C1557">
        <v>3.8888888888888888</v>
      </c>
      <c r="D1557">
        <v>0</v>
      </c>
      <c r="E1557">
        <v>14.677777777777782</v>
      </c>
    </row>
    <row r="1558" spans="1:5" x14ac:dyDescent="0.2">
      <c r="A1558" s="1">
        <v>41734</v>
      </c>
      <c r="B1558">
        <v>96</v>
      </c>
      <c r="C1558">
        <v>3.333333333333333</v>
      </c>
      <c r="D1558">
        <v>-4.4444444444444446</v>
      </c>
      <c r="E1558">
        <v>17.008888888888887</v>
      </c>
    </row>
    <row r="1559" spans="1:5" x14ac:dyDescent="0.2">
      <c r="A1559" s="1">
        <v>41735</v>
      </c>
      <c r="B1559">
        <v>97</v>
      </c>
      <c r="C1559">
        <v>12.777777777777777</v>
      </c>
      <c r="D1559">
        <v>-4.4444444444444446</v>
      </c>
      <c r="E1559">
        <v>16.526666666666664</v>
      </c>
    </row>
    <row r="1560" spans="1:5" x14ac:dyDescent="0.2">
      <c r="A1560" s="1">
        <v>41736</v>
      </c>
      <c r="B1560">
        <v>98</v>
      </c>
      <c r="C1560">
        <v>15.555555555555555</v>
      </c>
      <c r="D1560">
        <v>3.8888888888888888</v>
      </c>
      <c r="E1560">
        <v>14.875555555555552</v>
      </c>
    </row>
    <row r="1561" spans="1:5" x14ac:dyDescent="0.2">
      <c r="A1561" s="1">
        <v>41737</v>
      </c>
      <c r="B1561">
        <v>99</v>
      </c>
      <c r="C1561">
        <v>16.666666666666668</v>
      </c>
      <c r="D1561">
        <v>0.55555555555555558</v>
      </c>
      <c r="E1561">
        <v>17.475555555555555</v>
      </c>
    </row>
    <row r="1562" spans="1:5" x14ac:dyDescent="0.2">
      <c r="A1562" s="1">
        <v>41738</v>
      </c>
      <c r="B1562">
        <v>100</v>
      </c>
      <c r="C1562">
        <v>15</v>
      </c>
      <c r="D1562">
        <v>-3.8888888888888888</v>
      </c>
      <c r="E1562">
        <v>17.055555555555557</v>
      </c>
    </row>
    <row r="1563" spans="1:5" x14ac:dyDescent="0.2">
      <c r="A1563" s="1">
        <v>41739</v>
      </c>
      <c r="B1563">
        <v>101</v>
      </c>
      <c r="C1563">
        <v>17.222222222222221</v>
      </c>
      <c r="D1563">
        <v>-3.8888888888888888</v>
      </c>
      <c r="E1563">
        <v>15.882222222222218</v>
      </c>
    </row>
    <row r="1564" spans="1:5" x14ac:dyDescent="0.2">
      <c r="A1564" s="1">
        <v>41740</v>
      </c>
      <c r="B1564">
        <v>102</v>
      </c>
      <c r="C1564">
        <v>17.777777777777779</v>
      </c>
      <c r="D1564">
        <v>0</v>
      </c>
      <c r="E1564">
        <v>15.497777777777774</v>
      </c>
    </row>
    <row r="1565" spans="1:5" x14ac:dyDescent="0.2">
      <c r="A1565" s="1">
        <v>41741</v>
      </c>
      <c r="B1565">
        <v>103</v>
      </c>
      <c r="C1565">
        <v>20.555555555555554</v>
      </c>
      <c r="D1565">
        <v>7.2222222222222223</v>
      </c>
      <c r="E1565">
        <v>18.066666666666666</v>
      </c>
    </row>
    <row r="1566" spans="1:5" x14ac:dyDescent="0.2">
      <c r="A1566" s="1">
        <v>41742</v>
      </c>
      <c r="B1566">
        <v>104</v>
      </c>
      <c r="C1566">
        <v>14.444444444444445</v>
      </c>
      <c r="D1566">
        <v>6.6666666666666661</v>
      </c>
      <c r="E1566">
        <v>17.306666666666665</v>
      </c>
    </row>
    <row r="1567" spans="1:5" x14ac:dyDescent="0.2">
      <c r="A1567" s="1">
        <v>41743</v>
      </c>
      <c r="B1567">
        <v>105</v>
      </c>
      <c r="C1567">
        <v>10</v>
      </c>
      <c r="D1567">
        <v>-0.55555555555555558</v>
      </c>
      <c r="E1567">
        <v>18.091111111111108</v>
      </c>
    </row>
    <row r="1568" spans="1:5" x14ac:dyDescent="0.2">
      <c r="A1568" s="1">
        <v>41744</v>
      </c>
      <c r="B1568">
        <v>106</v>
      </c>
      <c r="C1568">
        <v>0.55555555555555558</v>
      </c>
      <c r="D1568">
        <v>-6.6666666666666661</v>
      </c>
      <c r="E1568">
        <v>15.755555555555551</v>
      </c>
    </row>
    <row r="1569" spans="1:5" x14ac:dyDescent="0.2">
      <c r="A1569" s="1">
        <v>41745</v>
      </c>
      <c r="B1569">
        <v>107</v>
      </c>
      <c r="C1569">
        <v>2.7777777777777777</v>
      </c>
      <c r="D1569">
        <v>-5</v>
      </c>
      <c r="E1569">
        <v>18.606666666666669</v>
      </c>
    </row>
    <row r="1570" spans="1:5" x14ac:dyDescent="0.2">
      <c r="A1570" s="1">
        <v>41746</v>
      </c>
      <c r="B1570">
        <v>108</v>
      </c>
      <c r="C1570">
        <v>11.111111111111111</v>
      </c>
      <c r="D1570">
        <v>-0.55555555555555558</v>
      </c>
      <c r="E1570">
        <v>17.028888888888886</v>
      </c>
    </row>
    <row r="1571" spans="1:5" x14ac:dyDescent="0.2">
      <c r="A1571" s="1">
        <v>41747</v>
      </c>
      <c r="B1571">
        <v>109</v>
      </c>
      <c r="C1571">
        <v>12.777777777777777</v>
      </c>
      <c r="D1571">
        <v>-3.333333333333333</v>
      </c>
      <c r="E1571">
        <v>16.00888888888889</v>
      </c>
    </row>
    <row r="1572" spans="1:5" x14ac:dyDescent="0.2">
      <c r="A1572" s="1">
        <v>41748</v>
      </c>
      <c r="B1572">
        <v>110</v>
      </c>
      <c r="C1572">
        <v>13.333333333333332</v>
      </c>
      <c r="D1572">
        <v>0</v>
      </c>
      <c r="E1572">
        <v>14.822222222222214</v>
      </c>
    </row>
    <row r="1573" spans="1:5" x14ac:dyDescent="0.2">
      <c r="A1573" s="1">
        <v>41749</v>
      </c>
      <c r="B1573">
        <v>111</v>
      </c>
      <c r="C1573">
        <v>20</v>
      </c>
      <c r="D1573">
        <v>1.1111111111111112</v>
      </c>
      <c r="E1573">
        <v>16.506666666666668</v>
      </c>
    </row>
    <row r="1574" spans="1:5" x14ac:dyDescent="0.2">
      <c r="A1574" s="1">
        <v>41750</v>
      </c>
      <c r="B1574">
        <v>112</v>
      </c>
      <c r="C1574">
        <v>22.777777777777779</v>
      </c>
      <c r="D1574">
        <v>10.555555555555555</v>
      </c>
      <c r="E1574">
        <v>16.88</v>
      </c>
    </row>
    <row r="1575" spans="1:5" x14ac:dyDescent="0.2">
      <c r="A1575" s="1">
        <v>41751</v>
      </c>
      <c r="B1575">
        <v>113</v>
      </c>
      <c r="C1575">
        <v>21.666666666666664</v>
      </c>
      <c r="D1575">
        <v>3.333333333333333</v>
      </c>
      <c r="E1575">
        <v>17.740000000000009</v>
      </c>
    </row>
    <row r="1576" spans="1:5" x14ac:dyDescent="0.2">
      <c r="A1576" s="1">
        <v>41752</v>
      </c>
      <c r="B1576">
        <v>114</v>
      </c>
      <c r="C1576">
        <v>15</v>
      </c>
      <c r="D1576">
        <v>-1.6666666666666665</v>
      </c>
      <c r="E1576">
        <v>19.917777777777768</v>
      </c>
    </row>
    <row r="1577" spans="1:5" x14ac:dyDescent="0.2">
      <c r="A1577" s="1">
        <v>41753</v>
      </c>
      <c r="B1577">
        <v>115</v>
      </c>
      <c r="C1577">
        <v>12.777777777777777</v>
      </c>
      <c r="D1577">
        <v>1.6666666666666665</v>
      </c>
      <c r="E1577">
        <v>19.82888888888888</v>
      </c>
    </row>
    <row r="1578" spans="1:5" x14ac:dyDescent="0.2">
      <c r="A1578" s="1">
        <v>41754</v>
      </c>
      <c r="B1578">
        <v>116</v>
      </c>
      <c r="C1578">
        <v>12.222222222222223</v>
      </c>
      <c r="D1578">
        <v>3.333333333333333</v>
      </c>
      <c r="E1578">
        <v>19.919999999999998</v>
      </c>
    </row>
    <row r="1579" spans="1:5" x14ac:dyDescent="0.2">
      <c r="A1579" s="1">
        <v>41755</v>
      </c>
      <c r="B1579">
        <v>117</v>
      </c>
      <c r="C1579">
        <v>18.888888888888889</v>
      </c>
      <c r="D1579">
        <v>2.7777777777777777</v>
      </c>
      <c r="E1579">
        <v>18.355555555555554</v>
      </c>
    </row>
    <row r="1580" spans="1:5" x14ac:dyDescent="0.2">
      <c r="A1580" s="1">
        <v>41756</v>
      </c>
      <c r="B1580">
        <v>118</v>
      </c>
      <c r="C1580">
        <v>12.777777777777777</v>
      </c>
      <c r="D1580">
        <v>4.4444444444444446</v>
      </c>
      <c r="E1580">
        <v>18.562222222222225</v>
      </c>
    </row>
    <row r="1581" spans="1:5" x14ac:dyDescent="0.2">
      <c r="A1581" s="1">
        <v>41757</v>
      </c>
      <c r="B1581">
        <v>119</v>
      </c>
      <c r="C1581">
        <v>10</v>
      </c>
      <c r="D1581">
        <v>5.5555555555555554</v>
      </c>
      <c r="E1581">
        <v>18.202222222222229</v>
      </c>
    </row>
    <row r="1582" spans="1:5" x14ac:dyDescent="0.2">
      <c r="A1582" s="1">
        <v>41758</v>
      </c>
      <c r="B1582">
        <v>120</v>
      </c>
      <c r="C1582">
        <v>8.3333333333333339</v>
      </c>
      <c r="D1582">
        <v>4.4444444444444446</v>
      </c>
      <c r="E1582">
        <v>17.571111111111119</v>
      </c>
    </row>
    <row r="1583" spans="1:5" x14ac:dyDescent="0.2">
      <c r="A1583" s="1">
        <v>41759</v>
      </c>
      <c r="B1583">
        <v>121</v>
      </c>
      <c r="C1583">
        <v>8.3333333333333339</v>
      </c>
      <c r="D1583">
        <v>4.4444444444444446</v>
      </c>
      <c r="E1583">
        <v>19.524444444444448</v>
      </c>
    </row>
    <row r="1584" spans="1:5" x14ac:dyDescent="0.2">
      <c r="A1584" s="1">
        <v>41760</v>
      </c>
      <c r="B1584">
        <v>122</v>
      </c>
      <c r="C1584">
        <v>7.7777777777777777</v>
      </c>
      <c r="D1584">
        <v>3.8888888888888888</v>
      </c>
      <c r="E1584">
        <v>19.262222222222217</v>
      </c>
    </row>
    <row r="1585" spans="1:5" x14ac:dyDescent="0.2">
      <c r="A1585" s="1">
        <v>41761</v>
      </c>
      <c r="B1585">
        <v>123</v>
      </c>
      <c r="C1585">
        <v>10.555555555555555</v>
      </c>
      <c r="D1585">
        <v>6.1111111111111116</v>
      </c>
      <c r="E1585">
        <v>21.293333333333326</v>
      </c>
    </row>
    <row r="1586" spans="1:5" x14ac:dyDescent="0.2">
      <c r="A1586" s="1">
        <v>41762</v>
      </c>
      <c r="B1586">
        <v>124</v>
      </c>
      <c r="C1586">
        <v>12.222222222222223</v>
      </c>
      <c r="D1586">
        <v>2.7777777777777777</v>
      </c>
      <c r="E1586">
        <v>20.195555555555561</v>
      </c>
    </row>
    <row r="1587" spans="1:5" x14ac:dyDescent="0.2">
      <c r="A1587" s="1">
        <v>41763</v>
      </c>
      <c r="B1587">
        <v>125</v>
      </c>
      <c r="C1587">
        <v>17.777777777777779</v>
      </c>
      <c r="D1587">
        <v>6.1111111111111116</v>
      </c>
      <c r="E1587">
        <v>19.100000000000005</v>
      </c>
    </row>
    <row r="1588" spans="1:5" x14ac:dyDescent="0.2">
      <c r="A1588" s="1">
        <v>41764</v>
      </c>
      <c r="B1588">
        <v>126</v>
      </c>
      <c r="C1588">
        <v>18.333333333333332</v>
      </c>
      <c r="D1588">
        <v>6.1111111111111116</v>
      </c>
      <c r="E1588">
        <v>20.082222222222224</v>
      </c>
    </row>
    <row r="1589" spans="1:5" x14ac:dyDescent="0.2">
      <c r="A1589" s="1">
        <v>41765</v>
      </c>
      <c r="B1589">
        <v>127</v>
      </c>
      <c r="C1589">
        <v>15.555555555555555</v>
      </c>
      <c r="D1589">
        <v>5</v>
      </c>
      <c r="E1589">
        <v>17.606666666666673</v>
      </c>
    </row>
    <row r="1590" spans="1:5" x14ac:dyDescent="0.2">
      <c r="A1590" s="1">
        <v>41766</v>
      </c>
      <c r="B1590">
        <v>128</v>
      </c>
      <c r="C1590">
        <v>18.333333333333332</v>
      </c>
      <c r="D1590">
        <v>5.5555555555555554</v>
      </c>
      <c r="E1590">
        <v>18.580000000000002</v>
      </c>
    </row>
    <row r="1591" spans="1:5" x14ac:dyDescent="0.2">
      <c r="A1591" s="1">
        <v>41767</v>
      </c>
      <c r="B1591">
        <v>129</v>
      </c>
      <c r="C1591">
        <v>15.555555555555555</v>
      </c>
      <c r="D1591">
        <v>8.8888888888888893</v>
      </c>
      <c r="E1591">
        <v>20.891111111111112</v>
      </c>
    </row>
    <row r="1592" spans="1:5" x14ac:dyDescent="0.2">
      <c r="A1592" s="1">
        <v>41768</v>
      </c>
      <c r="B1592">
        <v>130</v>
      </c>
      <c r="C1592">
        <v>27.222222222222221</v>
      </c>
      <c r="D1592">
        <v>14.444444444444445</v>
      </c>
      <c r="E1592">
        <v>21.2911111111111</v>
      </c>
    </row>
    <row r="1593" spans="1:5" x14ac:dyDescent="0.2">
      <c r="A1593" s="1">
        <v>41769</v>
      </c>
      <c r="B1593">
        <v>131</v>
      </c>
      <c r="C1593">
        <v>18.333333333333332</v>
      </c>
      <c r="D1593">
        <v>2.7777777777777777</v>
      </c>
      <c r="E1593">
        <v>17.644444444444446</v>
      </c>
    </row>
    <row r="1594" spans="1:5" x14ac:dyDescent="0.2">
      <c r="A1594" s="1">
        <v>41770</v>
      </c>
      <c r="B1594">
        <v>132</v>
      </c>
      <c r="C1594">
        <v>21.111111111111111</v>
      </c>
      <c r="D1594">
        <v>11.111111111111111</v>
      </c>
      <c r="E1594">
        <v>19.975555555555552</v>
      </c>
    </row>
    <row r="1595" spans="1:5" x14ac:dyDescent="0.2">
      <c r="A1595" s="1">
        <v>41771</v>
      </c>
      <c r="B1595">
        <v>133</v>
      </c>
      <c r="C1595">
        <v>25.555555555555554</v>
      </c>
      <c r="D1595">
        <v>16.666666666666668</v>
      </c>
      <c r="E1595">
        <v>19.571111111111115</v>
      </c>
    </row>
    <row r="1596" spans="1:5" x14ac:dyDescent="0.2">
      <c r="A1596" s="1">
        <v>41772</v>
      </c>
      <c r="B1596">
        <v>134</v>
      </c>
      <c r="C1596">
        <v>25</v>
      </c>
      <c r="D1596">
        <v>11.666666666666668</v>
      </c>
      <c r="E1596">
        <v>18.477777777777774</v>
      </c>
    </row>
    <row r="1597" spans="1:5" x14ac:dyDescent="0.2">
      <c r="A1597" s="1">
        <v>41773</v>
      </c>
      <c r="B1597">
        <v>135</v>
      </c>
      <c r="C1597">
        <v>21.111111111111111</v>
      </c>
      <c r="D1597">
        <v>3.8888888888888888</v>
      </c>
      <c r="E1597">
        <v>19.902222222222221</v>
      </c>
    </row>
    <row r="1598" spans="1:5" x14ac:dyDescent="0.2">
      <c r="A1598" s="1">
        <v>41774</v>
      </c>
      <c r="B1598">
        <v>136</v>
      </c>
      <c r="C1598">
        <v>13.333333333333332</v>
      </c>
      <c r="D1598">
        <v>3.333333333333333</v>
      </c>
      <c r="E1598">
        <v>20.839999999999996</v>
      </c>
    </row>
    <row r="1599" spans="1:5" x14ac:dyDescent="0.2">
      <c r="A1599" s="1">
        <v>41775</v>
      </c>
      <c r="B1599">
        <v>137</v>
      </c>
      <c r="C1599">
        <v>12.777777777777777</v>
      </c>
      <c r="D1599">
        <v>2.2222222222222223</v>
      </c>
      <c r="E1599">
        <v>20.335555555555548</v>
      </c>
    </row>
    <row r="1600" spans="1:5" x14ac:dyDescent="0.2">
      <c r="A1600" s="1">
        <v>41776</v>
      </c>
      <c r="B1600">
        <v>138</v>
      </c>
      <c r="C1600">
        <v>12.777777777777777</v>
      </c>
      <c r="D1600">
        <v>0.55555555555555558</v>
      </c>
      <c r="E1600">
        <v>19.555555555555557</v>
      </c>
    </row>
    <row r="1601" spans="1:5" x14ac:dyDescent="0.2">
      <c r="A1601" s="1">
        <v>41777</v>
      </c>
      <c r="B1601">
        <v>139</v>
      </c>
      <c r="C1601">
        <v>17.222222222222221</v>
      </c>
      <c r="D1601">
        <v>0.55555555555555558</v>
      </c>
      <c r="E1601">
        <v>21.506666666666671</v>
      </c>
    </row>
    <row r="1602" spans="1:5" x14ac:dyDescent="0.2">
      <c r="A1602" s="1">
        <v>41778</v>
      </c>
      <c r="B1602">
        <v>140</v>
      </c>
      <c r="C1602">
        <v>23.333333333333336</v>
      </c>
      <c r="D1602">
        <v>10.555555555555555</v>
      </c>
      <c r="E1602">
        <v>22.404444444444444</v>
      </c>
    </row>
    <row r="1603" spans="1:5" x14ac:dyDescent="0.2">
      <c r="A1603" s="1">
        <v>41779</v>
      </c>
      <c r="B1603">
        <v>141</v>
      </c>
      <c r="C1603">
        <v>22.777777777777779</v>
      </c>
      <c r="D1603">
        <v>11.111111111111111</v>
      </c>
      <c r="E1603">
        <v>22.526666666666674</v>
      </c>
    </row>
    <row r="1604" spans="1:5" x14ac:dyDescent="0.2">
      <c r="A1604" s="1">
        <v>41780</v>
      </c>
      <c r="B1604">
        <v>142</v>
      </c>
      <c r="C1604">
        <v>30</v>
      </c>
      <c r="D1604">
        <v>12.777777777777777</v>
      </c>
      <c r="E1604">
        <v>20.664444444444445</v>
      </c>
    </row>
    <row r="1605" spans="1:5" x14ac:dyDescent="0.2">
      <c r="A1605" s="1">
        <v>41781</v>
      </c>
      <c r="B1605">
        <v>143</v>
      </c>
      <c r="C1605">
        <v>28.888888888888889</v>
      </c>
      <c r="D1605">
        <v>8.3333333333333339</v>
      </c>
      <c r="E1605">
        <v>19.966666666666665</v>
      </c>
    </row>
    <row r="1606" spans="1:5" x14ac:dyDescent="0.2">
      <c r="A1606" s="1">
        <v>41782</v>
      </c>
      <c r="B1606">
        <v>144</v>
      </c>
      <c r="C1606">
        <v>23.333333333333336</v>
      </c>
      <c r="D1606">
        <v>5.5555555555555554</v>
      </c>
      <c r="E1606">
        <v>21.091111111111118</v>
      </c>
    </row>
    <row r="1607" spans="1:5" x14ac:dyDescent="0.2">
      <c r="A1607" s="1">
        <v>41783</v>
      </c>
      <c r="B1607">
        <v>145</v>
      </c>
      <c r="C1607">
        <v>22.777777777777779</v>
      </c>
      <c r="D1607">
        <v>6.1111111111111116</v>
      </c>
      <c r="E1607">
        <v>21.435555555555553</v>
      </c>
    </row>
    <row r="1608" spans="1:5" x14ac:dyDescent="0.2">
      <c r="A1608" s="1">
        <v>41784</v>
      </c>
      <c r="B1608">
        <v>146</v>
      </c>
      <c r="C1608">
        <v>24.444444444444446</v>
      </c>
      <c r="D1608">
        <v>5.5555555555555554</v>
      </c>
      <c r="E1608">
        <v>22.319999999999986</v>
      </c>
    </row>
    <row r="1609" spans="1:5" x14ac:dyDescent="0.2">
      <c r="A1609" s="1">
        <v>41785</v>
      </c>
      <c r="B1609">
        <v>147</v>
      </c>
      <c r="C1609">
        <v>28.333333333333336</v>
      </c>
      <c r="D1609">
        <v>17.777777777777779</v>
      </c>
      <c r="E1609">
        <v>21.086666666666666</v>
      </c>
    </row>
    <row r="1610" spans="1:5" x14ac:dyDescent="0.2">
      <c r="A1610" s="1">
        <v>41786</v>
      </c>
      <c r="B1610">
        <v>148</v>
      </c>
      <c r="C1610">
        <v>27.222222222222221</v>
      </c>
      <c r="D1610">
        <v>18.333333333333332</v>
      </c>
      <c r="E1610">
        <v>19.986666666666665</v>
      </c>
    </row>
    <row r="1611" spans="1:5" x14ac:dyDescent="0.2">
      <c r="A1611" s="1">
        <v>41787</v>
      </c>
      <c r="B1611">
        <v>149</v>
      </c>
      <c r="C1611">
        <v>30</v>
      </c>
      <c r="D1611">
        <v>15</v>
      </c>
      <c r="E1611">
        <v>20.988888888888894</v>
      </c>
    </row>
    <row r="1612" spans="1:5" x14ac:dyDescent="0.2">
      <c r="A1612" s="1">
        <v>41788</v>
      </c>
      <c r="B1612">
        <v>150</v>
      </c>
      <c r="C1612">
        <v>23.333333333333336</v>
      </c>
      <c r="D1612">
        <v>11.111111111111111</v>
      </c>
      <c r="E1612">
        <v>21.175555555555562</v>
      </c>
    </row>
    <row r="1613" spans="1:5" x14ac:dyDescent="0.2">
      <c r="A1613" s="1">
        <v>41789</v>
      </c>
      <c r="B1613">
        <v>151</v>
      </c>
      <c r="C1613">
        <v>27.777777777777779</v>
      </c>
      <c r="D1613">
        <v>10</v>
      </c>
      <c r="E1613">
        <v>21.524444444444448</v>
      </c>
    </row>
    <row r="1614" spans="1:5" x14ac:dyDescent="0.2">
      <c r="A1614" s="1">
        <v>41790</v>
      </c>
      <c r="B1614">
        <v>152</v>
      </c>
      <c r="C1614">
        <v>29.444444444444446</v>
      </c>
      <c r="D1614">
        <v>10.555555555555555</v>
      </c>
      <c r="E1614">
        <v>22.935555555555549</v>
      </c>
    </row>
    <row r="1615" spans="1:5" x14ac:dyDescent="0.2">
      <c r="A1615" s="1">
        <v>41791</v>
      </c>
      <c r="B1615">
        <v>153</v>
      </c>
      <c r="C1615">
        <v>30.555555555555554</v>
      </c>
      <c r="D1615">
        <v>17.777777777777779</v>
      </c>
      <c r="E1615">
        <v>22.097777777777782</v>
      </c>
    </row>
    <row r="1616" spans="1:5" x14ac:dyDescent="0.2">
      <c r="A1616" s="1">
        <v>41792</v>
      </c>
      <c r="B1616">
        <v>154</v>
      </c>
      <c r="C1616">
        <v>30.555555555555554</v>
      </c>
      <c r="D1616">
        <v>20</v>
      </c>
      <c r="E1616">
        <v>23.393333333333331</v>
      </c>
    </row>
    <row r="1617" spans="1:5" x14ac:dyDescent="0.2">
      <c r="A1617" s="1">
        <v>41793</v>
      </c>
      <c r="B1617">
        <v>155</v>
      </c>
      <c r="C1617">
        <v>26.666666666666664</v>
      </c>
      <c r="D1617">
        <v>15</v>
      </c>
      <c r="E1617">
        <v>22.279999999999998</v>
      </c>
    </row>
    <row r="1618" spans="1:5" x14ac:dyDescent="0.2">
      <c r="A1618" s="1">
        <v>41794</v>
      </c>
      <c r="B1618">
        <v>156</v>
      </c>
      <c r="C1618">
        <v>25</v>
      </c>
      <c r="D1618">
        <v>15.555555555555555</v>
      </c>
      <c r="E1618">
        <v>21.313333333333325</v>
      </c>
    </row>
    <row r="1619" spans="1:5" x14ac:dyDescent="0.2">
      <c r="A1619" s="1">
        <v>41795</v>
      </c>
      <c r="B1619">
        <v>157</v>
      </c>
      <c r="C1619">
        <v>23.333333333333336</v>
      </c>
      <c r="D1619">
        <v>11.666666666666668</v>
      </c>
      <c r="E1619">
        <v>22.002222222222226</v>
      </c>
    </row>
    <row r="1620" spans="1:5" x14ac:dyDescent="0.2">
      <c r="A1620" s="1">
        <v>41796</v>
      </c>
      <c r="B1620">
        <v>158</v>
      </c>
      <c r="C1620">
        <v>26.111111111111111</v>
      </c>
      <c r="D1620">
        <v>12.222222222222223</v>
      </c>
      <c r="E1620">
        <v>22.086666666666659</v>
      </c>
    </row>
    <row r="1621" spans="1:5" x14ac:dyDescent="0.2">
      <c r="A1621" s="1">
        <v>41797</v>
      </c>
      <c r="B1621">
        <v>159</v>
      </c>
      <c r="C1621">
        <v>27.222222222222221</v>
      </c>
      <c r="D1621">
        <v>13.888888888888889</v>
      </c>
      <c r="E1621">
        <v>23.813333333333325</v>
      </c>
    </row>
    <row r="1622" spans="1:5" x14ac:dyDescent="0.2">
      <c r="A1622" s="1">
        <v>41798</v>
      </c>
      <c r="B1622">
        <v>160</v>
      </c>
      <c r="C1622">
        <v>27.222222222222221</v>
      </c>
      <c r="D1622">
        <v>13.888888888888889</v>
      </c>
      <c r="E1622">
        <v>21.76222222222221</v>
      </c>
    </row>
    <row r="1623" spans="1:5" x14ac:dyDescent="0.2">
      <c r="A1623" s="1">
        <v>41799</v>
      </c>
      <c r="B1623">
        <v>161</v>
      </c>
      <c r="C1623">
        <v>22.777777777777779</v>
      </c>
      <c r="D1623">
        <v>9.4444444444444446</v>
      </c>
      <c r="E1623">
        <v>23.468888888888888</v>
      </c>
    </row>
    <row r="1624" spans="1:5" x14ac:dyDescent="0.2">
      <c r="A1624" s="1">
        <v>41800</v>
      </c>
      <c r="B1624">
        <v>162</v>
      </c>
      <c r="C1624">
        <v>24.444444444444446</v>
      </c>
      <c r="D1624">
        <v>11.111111111111111</v>
      </c>
      <c r="E1624">
        <v>20.566666666666666</v>
      </c>
    </row>
    <row r="1625" spans="1:5" x14ac:dyDescent="0.2">
      <c r="A1625" s="1">
        <v>41801</v>
      </c>
      <c r="B1625">
        <v>163</v>
      </c>
      <c r="C1625">
        <v>21.666666666666664</v>
      </c>
      <c r="D1625">
        <v>15</v>
      </c>
      <c r="E1625">
        <v>21.984444444444435</v>
      </c>
    </row>
    <row r="1626" spans="1:5" x14ac:dyDescent="0.2">
      <c r="A1626" s="1">
        <v>41802</v>
      </c>
      <c r="B1626">
        <v>164</v>
      </c>
      <c r="C1626">
        <v>24.444444444444446</v>
      </c>
      <c r="D1626">
        <v>11.111111111111111</v>
      </c>
      <c r="E1626">
        <v>23.388888888888882</v>
      </c>
    </row>
    <row r="1627" spans="1:5" x14ac:dyDescent="0.2">
      <c r="A1627" s="1">
        <v>41803</v>
      </c>
      <c r="B1627">
        <v>165</v>
      </c>
      <c r="C1627">
        <v>22.777777777777779</v>
      </c>
      <c r="D1627">
        <v>8.8888888888888893</v>
      </c>
      <c r="E1627">
        <v>21.657777777777785</v>
      </c>
    </row>
    <row r="1628" spans="1:5" x14ac:dyDescent="0.2">
      <c r="A1628" s="1">
        <v>41804</v>
      </c>
      <c r="B1628">
        <v>166</v>
      </c>
      <c r="C1628">
        <v>23.888888888888889</v>
      </c>
      <c r="D1628">
        <v>9.4444444444444446</v>
      </c>
      <c r="E1628">
        <v>20.875555555555547</v>
      </c>
    </row>
    <row r="1629" spans="1:5" x14ac:dyDescent="0.2">
      <c r="A1629" s="1">
        <v>41805</v>
      </c>
      <c r="B1629">
        <v>167</v>
      </c>
      <c r="C1629">
        <v>25.555555555555554</v>
      </c>
      <c r="D1629">
        <v>17.222222222222221</v>
      </c>
      <c r="E1629">
        <v>21.88</v>
      </c>
    </row>
    <row r="1630" spans="1:5" x14ac:dyDescent="0.2">
      <c r="A1630" s="1">
        <v>41806</v>
      </c>
      <c r="B1630">
        <v>168</v>
      </c>
      <c r="C1630">
        <v>28.333333333333336</v>
      </c>
      <c r="D1630">
        <v>12.777777777777777</v>
      </c>
      <c r="E1630">
        <v>23.36666666666666</v>
      </c>
    </row>
    <row r="1631" spans="1:5" x14ac:dyDescent="0.2">
      <c r="A1631" s="1">
        <v>41807</v>
      </c>
      <c r="B1631">
        <v>169</v>
      </c>
      <c r="C1631">
        <v>29.444444444444446</v>
      </c>
      <c r="D1631">
        <v>13.888888888888889</v>
      </c>
      <c r="E1631">
        <v>21.613333333333337</v>
      </c>
    </row>
    <row r="1632" spans="1:5" x14ac:dyDescent="0.2">
      <c r="A1632" s="1">
        <v>41808</v>
      </c>
      <c r="B1632">
        <v>170</v>
      </c>
      <c r="C1632">
        <v>29.444444444444446</v>
      </c>
      <c r="D1632">
        <v>18.888888888888889</v>
      </c>
      <c r="E1632">
        <v>23.11333333333333</v>
      </c>
    </row>
    <row r="1633" spans="1:5" x14ac:dyDescent="0.2">
      <c r="A1633" s="1">
        <v>41809</v>
      </c>
      <c r="B1633">
        <v>171</v>
      </c>
      <c r="C1633">
        <v>25.555555555555554</v>
      </c>
      <c r="D1633">
        <v>17.777777777777779</v>
      </c>
      <c r="E1633">
        <v>23.373333333333328</v>
      </c>
    </row>
    <row r="1634" spans="1:5" x14ac:dyDescent="0.2">
      <c r="A1634" s="1">
        <v>41810</v>
      </c>
      <c r="B1634">
        <v>172</v>
      </c>
      <c r="C1634">
        <v>23.888888888888889</v>
      </c>
      <c r="D1634">
        <v>17.777777777777779</v>
      </c>
      <c r="E1634">
        <v>22.980000000000004</v>
      </c>
    </row>
    <row r="1635" spans="1:5" x14ac:dyDescent="0.2">
      <c r="A1635" s="1">
        <v>41811</v>
      </c>
      <c r="B1635">
        <v>173</v>
      </c>
      <c r="C1635">
        <v>28.888888888888889</v>
      </c>
      <c r="D1635">
        <v>18.333333333333332</v>
      </c>
      <c r="E1635">
        <v>22.42444444444444</v>
      </c>
    </row>
    <row r="1636" spans="1:5" x14ac:dyDescent="0.2">
      <c r="A1636" s="1">
        <v>41812</v>
      </c>
      <c r="B1636">
        <v>174</v>
      </c>
      <c r="C1636">
        <v>27.222222222222221</v>
      </c>
      <c r="D1636">
        <v>15</v>
      </c>
      <c r="E1636">
        <v>22.90444444444444</v>
      </c>
    </row>
    <row r="1637" spans="1:5" x14ac:dyDescent="0.2">
      <c r="A1637" s="1">
        <v>41813</v>
      </c>
      <c r="B1637">
        <v>175</v>
      </c>
      <c r="C1637">
        <v>27.222222222222221</v>
      </c>
      <c r="D1637">
        <v>18.333333333333332</v>
      </c>
      <c r="E1637">
        <v>23.068888888888885</v>
      </c>
    </row>
    <row r="1638" spans="1:5" x14ac:dyDescent="0.2">
      <c r="A1638" s="1">
        <v>41814</v>
      </c>
      <c r="B1638">
        <v>176</v>
      </c>
      <c r="C1638">
        <v>28.333333333333336</v>
      </c>
      <c r="D1638">
        <v>17.777777777777779</v>
      </c>
      <c r="E1638">
        <v>23.437777777777779</v>
      </c>
    </row>
    <row r="1639" spans="1:5" x14ac:dyDescent="0.2">
      <c r="A1639" s="1">
        <v>41815</v>
      </c>
      <c r="B1639">
        <v>177</v>
      </c>
      <c r="C1639">
        <v>29.444444444444446</v>
      </c>
      <c r="D1639">
        <v>18.333333333333332</v>
      </c>
      <c r="E1639">
        <v>24.166666666666679</v>
      </c>
    </row>
    <row r="1640" spans="1:5" x14ac:dyDescent="0.2">
      <c r="A1640" s="1">
        <v>41816</v>
      </c>
      <c r="B1640">
        <v>178</v>
      </c>
      <c r="C1640">
        <v>24.444444444444446</v>
      </c>
      <c r="D1640">
        <v>16.666666666666668</v>
      </c>
      <c r="E1640">
        <v>24.371111111111112</v>
      </c>
    </row>
    <row r="1641" spans="1:5" x14ac:dyDescent="0.2">
      <c r="A1641" s="1">
        <v>41817</v>
      </c>
      <c r="B1641">
        <v>179</v>
      </c>
      <c r="C1641">
        <v>27.222222222222221</v>
      </c>
      <c r="D1641">
        <v>16.666666666666668</v>
      </c>
      <c r="E1641">
        <v>22.171111111111113</v>
      </c>
    </row>
    <row r="1642" spans="1:5" x14ac:dyDescent="0.2">
      <c r="A1642" s="1">
        <v>41818</v>
      </c>
      <c r="B1642">
        <v>180</v>
      </c>
      <c r="C1642">
        <v>29.444444444444446</v>
      </c>
      <c r="D1642">
        <v>19.444444444444443</v>
      </c>
      <c r="E1642">
        <v>22.31111111111111</v>
      </c>
    </row>
    <row r="1643" spans="1:5" x14ac:dyDescent="0.2">
      <c r="A1643" s="1">
        <v>41819</v>
      </c>
      <c r="B1643">
        <v>181</v>
      </c>
      <c r="C1643">
        <v>29.444444444444446</v>
      </c>
      <c r="D1643">
        <v>18.333333333333332</v>
      </c>
      <c r="E1643">
        <v>25.455555555555552</v>
      </c>
    </row>
    <row r="1644" spans="1:5" x14ac:dyDescent="0.2">
      <c r="A1644" s="1">
        <v>41820</v>
      </c>
      <c r="B1644">
        <v>182</v>
      </c>
      <c r="C1644">
        <v>26.111111111111111</v>
      </c>
      <c r="D1644">
        <v>18.333333333333332</v>
      </c>
      <c r="E1644">
        <v>25.371111111111109</v>
      </c>
    </row>
    <row r="1645" spans="1:5" x14ac:dyDescent="0.2">
      <c r="A1645" s="1">
        <v>41821</v>
      </c>
      <c r="B1645">
        <v>183</v>
      </c>
      <c r="C1645">
        <v>29.444444444444446</v>
      </c>
      <c r="D1645">
        <v>17.222222222222221</v>
      </c>
      <c r="E1645">
        <v>23.746666666666659</v>
      </c>
    </row>
    <row r="1646" spans="1:5" x14ac:dyDescent="0.2">
      <c r="A1646" s="1">
        <v>41822</v>
      </c>
      <c r="B1646">
        <v>184</v>
      </c>
      <c r="C1646">
        <v>26.111111111111111</v>
      </c>
      <c r="D1646">
        <v>13.333333333333332</v>
      </c>
      <c r="E1646">
        <v>22.228888888888893</v>
      </c>
    </row>
    <row r="1647" spans="1:5" x14ac:dyDescent="0.2">
      <c r="A1647" s="1">
        <v>41823</v>
      </c>
      <c r="B1647">
        <v>185</v>
      </c>
      <c r="C1647">
        <v>19.444444444444443</v>
      </c>
      <c r="D1647">
        <v>10</v>
      </c>
      <c r="E1647">
        <v>22.664444444444449</v>
      </c>
    </row>
    <row r="1648" spans="1:5" x14ac:dyDescent="0.2">
      <c r="A1648" s="1">
        <v>41824</v>
      </c>
      <c r="B1648">
        <v>186</v>
      </c>
      <c r="C1648">
        <v>24.444444444444446</v>
      </c>
      <c r="D1648">
        <v>10.555555555555555</v>
      </c>
      <c r="E1648">
        <v>24.606666666666666</v>
      </c>
    </row>
    <row r="1649" spans="1:5" x14ac:dyDescent="0.2">
      <c r="A1649" s="1">
        <v>41825</v>
      </c>
      <c r="B1649">
        <v>187</v>
      </c>
      <c r="C1649">
        <v>26.111111111111111</v>
      </c>
      <c r="D1649">
        <v>12.777777777777777</v>
      </c>
      <c r="E1649">
        <v>23.071111111111112</v>
      </c>
    </row>
    <row r="1650" spans="1:5" x14ac:dyDescent="0.2">
      <c r="A1650" s="1">
        <v>41826</v>
      </c>
      <c r="B1650">
        <v>188</v>
      </c>
      <c r="C1650">
        <v>24.444444444444446</v>
      </c>
      <c r="D1650">
        <v>15.555555555555555</v>
      </c>
      <c r="E1650">
        <v>23.468888888888888</v>
      </c>
    </row>
    <row r="1651" spans="1:5" x14ac:dyDescent="0.2">
      <c r="A1651" s="1">
        <v>41827</v>
      </c>
      <c r="B1651">
        <v>189</v>
      </c>
      <c r="C1651">
        <v>26.666666666666664</v>
      </c>
      <c r="D1651">
        <v>17.222222222222221</v>
      </c>
      <c r="E1651">
        <v>22.911111111111111</v>
      </c>
    </row>
    <row r="1652" spans="1:5" x14ac:dyDescent="0.2">
      <c r="A1652" s="1">
        <v>41828</v>
      </c>
      <c r="B1652">
        <v>190</v>
      </c>
      <c r="C1652">
        <v>28.888888888888889</v>
      </c>
      <c r="D1652">
        <v>17.222222222222221</v>
      </c>
      <c r="E1652">
        <v>22.133333333333333</v>
      </c>
    </row>
    <row r="1653" spans="1:5" x14ac:dyDescent="0.2">
      <c r="A1653" s="1">
        <v>41829</v>
      </c>
      <c r="B1653">
        <v>191</v>
      </c>
      <c r="C1653">
        <v>25.555555555555554</v>
      </c>
      <c r="D1653">
        <v>12.777777777777777</v>
      </c>
      <c r="E1653">
        <v>23.479999999999993</v>
      </c>
    </row>
    <row r="1654" spans="1:5" x14ac:dyDescent="0.2">
      <c r="A1654" s="1">
        <v>41830</v>
      </c>
      <c r="B1654">
        <v>192</v>
      </c>
      <c r="C1654">
        <v>23.888888888888889</v>
      </c>
      <c r="D1654">
        <v>10</v>
      </c>
      <c r="E1654">
        <v>23.637777777777778</v>
      </c>
    </row>
    <row r="1655" spans="1:5" x14ac:dyDescent="0.2">
      <c r="A1655" s="1">
        <v>41831</v>
      </c>
      <c r="B1655">
        <v>193</v>
      </c>
      <c r="C1655">
        <v>26.666666666666664</v>
      </c>
      <c r="D1655">
        <v>11.666666666666668</v>
      </c>
      <c r="E1655">
        <v>22.757777777777775</v>
      </c>
    </row>
    <row r="1656" spans="1:5" x14ac:dyDescent="0.2">
      <c r="A1656" s="1">
        <v>41832</v>
      </c>
      <c r="B1656">
        <v>194</v>
      </c>
      <c r="C1656">
        <v>25</v>
      </c>
      <c r="D1656">
        <v>15.555555555555555</v>
      </c>
      <c r="E1656">
        <v>22.486666666666665</v>
      </c>
    </row>
    <row r="1657" spans="1:5" x14ac:dyDescent="0.2">
      <c r="A1657" s="1">
        <v>41833</v>
      </c>
      <c r="B1657">
        <v>195</v>
      </c>
      <c r="C1657">
        <v>25.555555555555554</v>
      </c>
      <c r="D1657">
        <v>17.222222222222221</v>
      </c>
      <c r="E1657">
        <v>23.213333333333335</v>
      </c>
    </row>
    <row r="1658" spans="1:5" x14ac:dyDescent="0.2">
      <c r="A1658" s="1">
        <v>41834</v>
      </c>
      <c r="B1658">
        <v>196</v>
      </c>
      <c r="C1658">
        <v>27.777777777777779</v>
      </c>
      <c r="D1658">
        <v>12.222222222222223</v>
      </c>
      <c r="E1658">
        <v>23.213333333333335</v>
      </c>
    </row>
    <row r="1659" spans="1:5" x14ac:dyDescent="0.2">
      <c r="A1659" s="1">
        <v>41835</v>
      </c>
      <c r="B1659">
        <v>197</v>
      </c>
      <c r="C1659">
        <v>23.888888888888889</v>
      </c>
      <c r="D1659">
        <v>11.111111111111111</v>
      </c>
      <c r="E1659">
        <v>24.926666666666669</v>
      </c>
    </row>
    <row r="1660" spans="1:5" x14ac:dyDescent="0.2">
      <c r="A1660" s="1">
        <v>41836</v>
      </c>
      <c r="B1660">
        <v>198</v>
      </c>
      <c r="C1660">
        <v>23.888888888888889</v>
      </c>
      <c r="D1660">
        <v>10</v>
      </c>
      <c r="E1660">
        <v>22.395555555555553</v>
      </c>
    </row>
    <row r="1661" spans="1:5" x14ac:dyDescent="0.2">
      <c r="A1661" s="1">
        <v>41837</v>
      </c>
      <c r="B1661">
        <v>199</v>
      </c>
      <c r="C1661">
        <v>22.222222222222221</v>
      </c>
      <c r="D1661">
        <v>8.8888888888888893</v>
      </c>
      <c r="E1661">
        <v>20.604444444444447</v>
      </c>
    </row>
    <row r="1662" spans="1:5" x14ac:dyDescent="0.2">
      <c r="A1662" s="1">
        <v>41838</v>
      </c>
      <c r="B1662">
        <v>200</v>
      </c>
      <c r="C1662">
        <v>24.444444444444446</v>
      </c>
      <c r="D1662">
        <v>8.8888888888888893</v>
      </c>
      <c r="E1662">
        <v>19.959999999999997</v>
      </c>
    </row>
    <row r="1663" spans="1:5" x14ac:dyDescent="0.2">
      <c r="A1663" s="1">
        <v>41839</v>
      </c>
      <c r="B1663">
        <v>201</v>
      </c>
      <c r="C1663">
        <v>26.666666666666664</v>
      </c>
      <c r="D1663">
        <v>11.111111111111111</v>
      </c>
      <c r="E1663">
        <v>21.315555555555552</v>
      </c>
    </row>
    <row r="1664" spans="1:5" x14ac:dyDescent="0.2">
      <c r="A1664" s="1">
        <v>41840</v>
      </c>
      <c r="B1664">
        <v>202</v>
      </c>
      <c r="C1664">
        <v>26.111111111111111</v>
      </c>
      <c r="D1664">
        <v>12.222222222222223</v>
      </c>
      <c r="E1664">
        <v>21.008888888888883</v>
      </c>
    </row>
    <row r="1665" spans="1:5" x14ac:dyDescent="0.2">
      <c r="A1665" s="1">
        <v>41841</v>
      </c>
      <c r="B1665">
        <v>203</v>
      </c>
      <c r="C1665">
        <v>27.222222222222221</v>
      </c>
      <c r="D1665">
        <v>16.111111111111111</v>
      </c>
      <c r="E1665">
        <v>22.064444444444447</v>
      </c>
    </row>
    <row r="1666" spans="1:5" x14ac:dyDescent="0.2">
      <c r="A1666" s="1">
        <v>41842</v>
      </c>
      <c r="B1666">
        <v>204</v>
      </c>
      <c r="C1666">
        <v>30</v>
      </c>
      <c r="D1666">
        <v>17.222222222222221</v>
      </c>
      <c r="E1666">
        <v>21.877777777777776</v>
      </c>
    </row>
    <row r="1667" spans="1:5" x14ac:dyDescent="0.2">
      <c r="A1667" s="1">
        <v>41843</v>
      </c>
      <c r="B1667">
        <v>205</v>
      </c>
      <c r="C1667">
        <v>33.333333333333336</v>
      </c>
      <c r="D1667">
        <v>13.888888888888889</v>
      </c>
      <c r="E1667">
        <v>23.522222222222226</v>
      </c>
    </row>
    <row r="1668" spans="1:5" x14ac:dyDescent="0.2">
      <c r="A1668" s="1">
        <v>41844</v>
      </c>
      <c r="B1668">
        <v>206</v>
      </c>
      <c r="C1668">
        <v>26.111111111111111</v>
      </c>
      <c r="D1668">
        <v>11.111111111111111</v>
      </c>
      <c r="E1668">
        <v>21.008888888888887</v>
      </c>
    </row>
    <row r="1669" spans="1:5" x14ac:dyDescent="0.2">
      <c r="A1669" s="1">
        <v>41845</v>
      </c>
      <c r="B1669">
        <v>207</v>
      </c>
      <c r="C1669">
        <v>26.666666666666664</v>
      </c>
      <c r="D1669">
        <v>11.666666666666668</v>
      </c>
      <c r="E1669">
        <v>20.684444444444445</v>
      </c>
    </row>
    <row r="1670" spans="1:5" x14ac:dyDescent="0.2">
      <c r="A1670" s="1">
        <v>41846</v>
      </c>
      <c r="B1670">
        <v>208</v>
      </c>
      <c r="C1670">
        <v>26.111111111111111</v>
      </c>
      <c r="D1670">
        <v>16.666666666666668</v>
      </c>
      <c r="E1670">
        <v>21.106666666666669</v>
      </c>
    </row>
    <row r="1671" spans="1:5" x14ac:dyDescent="0.2">
      <c r="A1671" s="1">
        <v>41847</v>
      </c>
      <c r="B1671">
        <v>209</v>
      </c>
      <c r="C1671">
        <v>26.111111111111111</v>
      </c>
      <c r="D1671">
        <v>17.222222222222221</v>
      </c>
      <c r="E1671">
        <v>20.757777777777772</v>
      </c>
    </row>
    <row r="1672" spans="1:5" x14ac:dyDescent="0.2">
      <c r="A1672" s="1">
        <v>41848</v>
      </c>
      <c r="B1672">
        <v>210</v>
      </c>
      <c r="C1672">
        <v>25</v>
      </c>
      <c r="D1672">
        <v>11.666666666666668</v>
      </c>
      <c r="E1672">
        <v>21.942222222222224</v>
      </c>
    </row>
    <row r="1673" spans="1:5" x14ac:dyDescent="0.2">
      <c r="A1673" s="1">
        <v>41849</v>
      </c>
      <c r="B1673">
        <v>211</v>
      </c>
      <c r="C1673">
        <v>22.777777777777779</v>
      </c>
      <c r="D1673">
        <v>12.222222222222223</v>
      </c>
      <c r="E1673">
        <v>21.31999999999999</v>
      </c>
    </row>
    <row r="1674" spans="1:5" x14ac:dyDescent="0.2">
      <c r="A1674" s="1">
        <v>41850</v>
      </c>
      <c r="B1674">
        <v>212</v>
      </c>
      <c r="C1674">
        <v>26.111111111111111</v>
      </c>
      <c r="D1674">
        <v>11.666666666666668</v>
      </c>
      <c r="E1674">
        <v>21.69777777777778</v>
      </c>
    </row>
    <row r="1675" spans="1:5" x14ac:dyDescent="0.2">
      <c r="A1675" s="1">
        <v>41851</v>
      </c>
      <c r="B1675">
        <v>213</v>
      </c>
      <c r="C1675">
        <v>25</v>
      </c>
      <c r="D1675">
        <v>12.222222222222223</v>
      </c>
      <c r="E1675">
        <v>21.27999999999999</v>
      </c>
    </row>
    <row r="1676" spans="1:5" x14ac:dyDescent="0.2">
      <c r="A1676" s="1">
        <v>41852</v>
      </c>
      <c r="B1676">
        <v>214</v>
      </c>
      <c r="C1676">
        <v>27.222222222222221</v>
      </c>
      <c r="D1676">
        <v>12.222222222222223</v>
      </c>
      <c r="E1676">
        <v>22.631111111111117</v>
      </c>
    </row>
    <row r="1677" spans="1:5" x14ac:dyDescent="0.2">
      <c r="A1677" s="1">
        <v>41853</v>
      </c>
      <c r="B1677">
        <v>215</v>
      </c>
      <c r="C1677">
        <v>28.888888888888889</v>
      </c>
      <c r="D1677">
        <v>11.111111111111111</v>
      </c>
      <c r="E1677">
        <v>21.322222222222216</v>
      </c>
    </row>
    <row r="1678" spans="1:5" x14ac:dyDescent="0.2">
      <c r="A1678" s="1">
        <v>41854</v>
      </c>
      <c r="B1678">
        <v>216</v>
      </c>
      <c r="C1678">
        <v>30</v>
      </c>
      <c r="D1678">
        <v>13.888888888888889</v>
      </c>
      <c r="E1678">
        <v>19.813333333333325</v>
      </c>
    </row>
    <row r="1679" spans="1:5" x14ac:dyDescent="0.2">
      <c r="A1679" s="1">
        <v>41855</v>
      </c>
      <c r="B1679">
        <v>217</v>
      </c>
      <c r="C1679">
        <v>29.444444444444446</v>
      </c>
      <c r="D1679">
        <v>15.555555555555555</v>
      </c>
      <c r="E1679">
        <v>19.868888888888886</v>
      </c>
    </row>
    <row r="1680" spans="1:5" x14ac:dyDescent="0.2">
      <c r="A1680" s="1">
        <v>41856</v>
      </c>
      <c r="B1680">
        <v>218</v>
      </c>
      <c r="C1680">
        <v>28.333333333333336</v>
      </c>
      <c r="D1680">
        <v>15.555555555555555</v>
      </c>
      <c r="E1680">
        <v>20.691111111111113</v>
      </c>
    </row>
    <row r="1681" spans="1:5" x14ac:dyDescent="0.2">
      <c r="A1681" s="1">
        <v>41857</v>
      </c>
      <c r="B1681">
        <v>219</v>
      </c>
      <c r="C1681">
        <v>26.111111111111111</v>
      </c>
      <c r="D1681">
        <v>14.444444444444445</v>
      </c>
      <c r="E1681">
        <v>21.084444444444447</v>
      </c>
    </row>
    <row r="1682" spans="1:5" x14ac:dyDescent="0.2">
      <c r="A1682" s="1">
        <v>41858</v>
      </c>
      <c r="B1682">
        <v>220</v>
      </c>
      <c r="C1682">
        <v>27.222222222222221</v>
      </c>
      <c r="D1682">
        <v>12.222222222222223</v>
      </c>
      <c r="E1682">
        <v>20.291111111111103</v>
      </c>
    </row>
    <row r="1683" spans="1:5" x14ac:dyDescent="0.2">
      <c r="A1683" s="1">
        <v>41859</v>
      </c>
      <c r="B1683">
        <v>221</v>
      </c>
      <c r="C1683">
        <v>28.333333333333336</v>
      </c>
      <c r="D1683">
        <v>12.777777777777777</v>
      </c>
      <c r="E1683">
        <v>20.335555555555551</v>
      </c>
    </row>
    <row r="1684" spans="1:5" x14ac:dyDescent="0.2">
      <c r="A1684" s="1">
        <v>41860</v>
      </c>
      <c r="B1684">
        <v>222</v>
      </c>
      <c r="C1684">
        <v>28.888888888888889</v>
      </c>
      <c r="D1684">
        <v>12.222222222222223</v>
      </c>
      <c r="E1684">
        <v>20.286666666666665</v>
      </c>
    </row>
    <row r="1685" spans="1:5" x14ac:dyDescent="0.2">
      <c r="A1685" s="1">
        <v>41861</v>
      </c>
      <c r="B1685">
        <v>223</v>
      </c>
      <c r="C1685">
        <v>26.666666666666664</v>
      </c>
      <c r="D1685">
        <v>16.666666666666668</v>
      </c>
      <c r="E1685">
        <v>19.695555555555561</v>
      </c>
    </row>
    <row r="1686" spans="1:5" x14ac:dyDescent="0.2">
      <c r="A1686" s="1">
        <v>41862</v>
      </c>
      <c r="B1686">
        <v>224</v>
      </c>
      <c r="C1686">
        <v>28.333333333333336</v>
      </c>
      <c r="D1686">
        <v>14.444444444444445</v>
      </c>
      <c r="E1686">
        <v>19.864444444444441</v>
      </c>
    </row>
    <row r="1687" spans="1:5" x14ac:dyDescent="0.2">
      <c r="A1687" s="1">
        <v>41863</v>
      </c>
      <c r="B1687">
        <v>225</v>
      </c>
      <c r="C1687">
        <v>28.333333333333336</v>
      </c>
      <c r="D1687">
        <v>14.444444444444445</v>
      </c>
      <c r="E1687">
        <v>19.211111111111116</v>
      </c>
    </row>
    <row r="1688" spans="1:5" x14ac:dyDescent="0.2">
      <c r="A1688" s="1">
        <v>41864</v>
      </c>
      <c r="B1688">
        <v>226</v>
      </c>
      <c r="C1688">
        <v>25</v>
      </c>
      <c r="D1688">
        <v>11.111111111111111</v>
      </c>
      <c r="E1688">
        <v>19.971111111111117</v>
      </c>
    </row>
    <row r="1689" spans="1:5" x14ac:dyDescent="0.2">
      <c r="A1689" s="1">
        <v>41865</v>
      </c>
      <c r="B1689">
        <v>227</v>
      </c>
      <c r="C1689">
        <v>28.888888888888889</v>
      </c>
      <c r="D1689">
        <v>10.555555555555555</v>
      </c>
      <c r="E1689">
        <v>19.895555555555553</v>
      </c>
    </row>
    <row r="1690" spans="1:5" x14ac:dyDescent="0.2">
      <c r="A1690" s="1">
        <v>41866</v>
      </c>
      <c r="B1690">
        <v>228</v>
      </c>
      <c r="C1690">
        <v>27.222222222222221</v>
      </c>
      <c r="D1690">
        <v>7.2222222222222223</v>
      </c>
      <c r="E1690">
        <v>19.86</v>
      </c>
    </row>
    <row r="1691" spans="1:5" x14ac:dyDescent="0.2">
      <c r="A1691" s="1">
        <v>41867</v>
      </c>
      <c r="B1691">
        <v>229</v>
      </c>
      <c r="C1691">
        <v>27.222222222222221</v>
      </c>
      <c r="D1691">
        <v>7.7777777777777777</v>
      </c>
      <c r="E1691">
        <v>19.584444444444447</v>
      </c>
    </row>
    <row r="1692" spans="1:5" x14ac:dyDescent="0.2">
      <c r="A1692" s="1">
        <v>41868</v>
      </c>
      <c r="B1692">
        <v>230</v>
      </c>
      <c r="C1692">
        <v>29.444444444444446</v>
      </c>
      <c r="D1692">
        <v>16.666666666666668</v>
      </c>
      <c r="E1692">
        <v>18.513333333333335</v>
      </c>
    </row>
    <row r="1693" spans="1:5" x14ac:dyDescent="0.2">
      <c r="A1693" s="1">
        <v>41869</v>
      </c>
      <c r="B1693">
        <v>231</v>
      </c>
      <c r="C1693">
        <v>27.222222222222221</v>
      </c>
      <c r="D1693">
        <v>16.666666666666668</v>
      </c>
      <c r="E1693">
        <v>18.513333333333335</v>
      </c>
    </row>
    <row r="1694" spans="1:5" x14ac:dyDescent="0.2">
      <c r="A1694" s="1">
        <v>41870</v>
      </c>
      <c r="B1694">
        <v>232</v>
      </c>
      <c r="C1694">
        <v>28.888888888888889</v>
      </c>
      <c r="D1694">
        <v>17.222222222222221</v>
      </c>
      <c r="E1694">
        <v>20.05777777777778</v>
      </c>
    </row>
    <row r="1695" spans="1:5" x14ac:dyDescent="0.2">
      <c r="A1695" s="1">
        <v>41871</v>
      </c>
      <c r="B1695">
        <v>233</v>
      </c>
      <c r="C1695">
        <v>28.333333333333336</v>
      </c>
      <c r="D1695">
        <v>15</v>
      </c>
      <c r="E1695">
        <v>18.846666666666664</v>
      </c>
    </row>
    <row r="1696" spans="1:5" x14ac:dyDescent="0.2">
      <c r="A1696" s="1">
        <v>41872</v>
      </c>
      <c r="B1696">
        <v>234</v>
      </c>
      <c r="C1696">
        <v>30.555555555555554</v>
      </c>
      <c r="D1696">
        <v>16.111111111111111</v>
      </c>
      <c r="E1696">
        <v>16.657777777777788</v>
      </c>
    </row>
    <row r="1697" spans="1:5" x14ac:dyDescent="0.2">
      <c r="A1697" s="1">
        <v>41873</v>
      </c>
      <c r="B1697">
        <v>235</v>
      </c>
      <c r="C1697">
        <v>26.666666666666664</v>
      </c>
      <c r="D1697">
        <v>20</v>
      </c>
      <c r="E1697">
        <v>17.182222222222222</v>
      </c>
    </row>
    <row r="1698" spans="1:5" x14ac:dyDescent="0.2">
      <c r="A1698" s="1">
        <v>41874</v>
      </c>
      <c r="B1698">
        <v>236</v>
      </c>
      <c r="C1698">
        <v>32.777777777777779</v>
      </c>
      <c r="D1698">
        <v>21.666666666666664</v>
      </c>
      <c r="E1698">
        <v>17.515555555555554</v>
      </c>
    </row>
    <row r="1699" spans="1:5" x14ac:dyDescent="0.2">
      <c r="A1699" s="1">
        <v>41875</v>
      </c>
      <c r="B1699">
        <v>237</v>
      </c>
      <c r="C1699">
        <v>26.666666666666664</v>
      </c>
      <c r="D1699">
        <v>20.555555555555554</v>
      </c>
      <c r="E1699">
        <v>17.753333333333327</v>
      </c>
    </row>
    <row r="1700" spans="1:5" x14ac:dyDescent="0.2">
      <c r="A1700" s="1">
        <v>41876</v>
      </c>
      <c r="B1700">
        <v>238</v>
      </c>
      <c r="C1700">
        <v>31.111111111111111</v>
      </c>
      <c r="D1700">
        <v>22.222222222222221</v>
      </c>
      <c r="E1700">
        <v>17.366666666666664</v>
      </c>
    </row>
    <row r="1701" spans="1:5" x14ac:dyDescent="0.2">
      <c r="A1701" s="1">
        <v>41877</v>
      </c>
      <c r="B1701">
        <v>239</v>
      </c>
      <c r="C1701">
        <v>27.222222222222221</v>
      </c>
      <c r="D1701">
        <v>19.444444444444443</v>
      </c>
      <c r="E1701">
        <v>17.388888888888886</v>
      </c>
    </row>
    <row r="1702" spans="1:5" x14ac:dyDescent="0.2">
      <c r="A1702" s="1">
        <v>41878</v>
      </c>
      <c r="B1702">
        <v>240</v>
      </c>
      <c r="C1702">
        <v>25.555555555555554</v>
      </c>
      <c r="D1702">
        <v>15</v>
      </c>
      <c r="E1702">
        <v>18.282222222222217</v>
      </c>
    </row>
    <row r="1703" spans="1:5" x14ac:dyDescent="0.2">
      <c r="A1703" s="1">
        <v>41879</v>
      </c>
      <c r="B1703">
        <v>241</v>
      </c>
      <c r="C1703">
        <v>25</v>
      </c>
      <c r="D1703">
        <v>11.666666666666668</v>
      </c>
      <c r="E1703">
        <v>19.166666666666675</v>
      </c>
    </row>
    <row r="1704" spans="1:5" x14ac:dyDescent="0.2">
      <c r="A1704" s="1">
        <v>41880</v>
      </c>
      <c r="B1704">
        <v>242</v>
      </c>
      <c r="C1704">
        <v>25</v>
      </c>
      <c r="D1704">
        <v>12.222222222222223</v>
      </c>
      <c r="E1704">
        <v>17.893333333333331</v>
      </c>
    </row>
    <row r="1705" spans="1:5" x14ac:dyDescent="0.2">
      <c r="A1705" s="1">
        <v>41881</v>
      </c>
      <c r="B1705">
        <v>243</v>
      </c>
      <c r="C1705">
        <v>30</v>
      </c>
      <c r="D1705">
        <v>18.888888888888889</v>
      </c>
      <c r="E1705">
        <v>18.108888888888892</v>
      </c>
    </row>
    <row r="1706" spans="1:5" x14ac:dyDescent="0.2">
      <c r="A1706" s="1">
        <v>41882</v>
      </c>
      <c r="B1706">
        <v>244</v>
      </c>
      <c r="C1706">
        <v>27.222222222222221</v>
      </c>
      <c r="D1706">
        <v>15.555555555555555</v>
      </c>
      <c r="E1706">
        <v>18.124444444444446</v>
      </c>
    </row>
    <row r="1707" spans="1:5" x14ac:dyDescent="0.2">
      <c r="A1707" s="1">
        <v>41883</v>
      </c>
      <c r="B1707">
        <v>245</v>
      </c>
      <c r="C1707">
        <v>29.444444444444446</v>
      </c>
      <c r="D1707">
        <v>16.666666666666668</v>
      </c>
      <c r="E1707">
        <v>17.782222222222217</v>
      </c>
    </row>
    <row r="1708" spans="1:5" x14ac:dyDescent="0.2">
      <c r="A1708" s="1">
        <v>41884</v>
      </c>
      <c r="B1708">
        <v>246</v>
      </c>
      <c r="C1708">
        <v>26.111111111111111</v>
      </c>
      <c r="D1708">
        <v>13.888888888888889</v>
      </c>
      <c r="E1708">
        <v>18.233333333333341</v>
      </c>
    </row>
    <row r="1709" spans="1:5" x14ac:dyDescent="0.2">
      <c r="A1709" s="1">
        <v>41885</v>
      </c>
      <c r="B1709">
        <v>247</v>
      </c>
      <c r="C1709">
        <v>25.555555555555554</v>
      </c>
      <c r="D1709">
        <v>10.555555555555555</v>
      </c>
      <c r="E1709">
        <v>17.279999999999994</v>
      </c>
    </row>
    <row r="1710" spans="1:5" x14ac:dyDescent="0.2">
      <c r="A1710" s="1">
        <v>41886</v>
      </c>
      <c r="B1710">
        <v>248</v>
      </c>
      <c r="C1710">
        <v>27.777777777777779</v>
      </c>
      <c r="D1710">
        <v>11.666666666666668</v>
      </c>
      <c r="E1710">
        <v>17.504444444444449</v>
      </c>
    </row>
    <row r="1711" spans="1:5" x14ac:dyDescent="0.2">
      <c r="A1711" s="1">
        <v>41887</v>
      </c>
      <c r="B1711">
        <v>249</v>
      </c>
      <c r="C1711">
        <v>28.888888888888889</v>
      </c>
      <c r="D1711">
        <v>21.666666666666664</v>
      </c>
      <c r="E1711">
        <v>17.331111111111102</v>
      </c>
    </row>
    <row r="1712" spans="1:5" x14ac:dyDescent="0.2">
      <c r="A1712" s="1">
        <v>41888</v>
      </c>
      <c r="B1712">
        <v>250</v>
      </c>
      <c r="C1712">
        <v>23.333333333333336</v>
      </c>
      <c r="D1712">
        <v>9.4444444444444446</v>
      </c>
      <c r="E1712">
        <v>16.582222222222228</v>
      </c>
    </row>
    <row r="1713" spans="1:5" x14ac:dyDescent="0.2">
      <c r="A1713" s="1">
        <v>41889</v>
      </c>
      <c r="B1713">
        <v>251</v>
      </c>
      <c r="C1713">
        <v>23.888888888888889</v>
      </c>
      <c r="D1713">
        <v>8.3333333333333339</v>
      </c>
      <c r="E1713">
        <v>15.802222222222218</v>
      </c>
    </row>
    <row r="1714" spans="1:5" x14ac:dyDescent="0.2">
      <c r="A1714" s="1">
        <v>41890</v>
      </c>
      <c r="B1714">
        <v>252</v>
      </c>
      <c r="C1714">
        <v>26.111111111111111</v>
      </c>
      <c r="D1714">
        <v>9.4444444444444446</v>
      </c>
      <c r="E1714">
        <v>16.022222222222219</v>
      </c>
    </row>
    <row r="1715" spans="1:5" x14ac:dyDescent="0.2">
      <c r="A1715" s="1">
        <v>41891</v>
      </c>
      <c r="B1715">
        <v>253</v>
      </c>
      <c r="C1715">
        <v>23.888888888888889</v>
      </c>
      <c r="D1715">
        <v>8.8888888888888893</v>
      </c>
      <c r="E1715">
        <v>15.893333333333333</v>
      </c>
    </row>
    <row r="1716" spans="1:5" x14ac:dyDescent="0.2">
      <c r="A1716" s="1">
        <v>41892</v>
      </c>
      <c r="B1716">
        <v>254</v>
      </c>
      <c r="C1716">
        <v>26.111111111111111</v>
      </c>
      <c r="D1716">
        <v>13.333333333333332</v>
      </c>
      <c r="E1716">
        <v>17.87555555555555</v>
      </c>
    </row>
    <row r="1717" spans="1:5" x14ac:dyDescent="0.2">
      <c r="A1717" s="1">
        <v>41893</v>
      </c>
      <c r="B1717">
        <v>255</v>
      </c>
      <c r="C1717">
        <v>21.111111111111111</v>
      </c>
      <c r="D1717">
        <v>7.2222222222222223</v>
      </c>
      <c r="E1717">
        <v>15.27777777777778</v>
      </c>
    </row>
    <row r="1718" spans="1:5" x14ac:dyDescent="0.2">
      <c r="A1718" s="1">
        <v>41894</v>
      </c>
      <c r="B1718">
        <v>256</v>
      </c>
      <c r="C1718">
        <v>12.222222222222223</v>
      </c>
      <c r="D1718">
        <v>5</v>
      </c>
      <c r="E1718">
        <v>14.684444444444448</v>
      </c>
    </row>
    <row r="1719" spans="1:5" x14ac:dyDescent="0.2">
      <c r="A1719" s="1">
        <v>41895</v>
      </c>
      <c r="B1719">
        <v>257</v>
      </c>
      <c r="C1719">
        <v>9.4444444444444446</v>
      </c>
      <c r="D1719">
        <v>0.55555555555555558</v>
      </c>
      <c r="E1719">
        <v>14.008888888888889</v>
      </c>
    </row>
    <row r="1720" spans="1:5" x14ac:dyDescent="0.2">
      <c r="A1720" s="1">
        <v>41896</v>
      </c>
      <c r="B1720">
        <v>258</v>
      </c>
      <c r="C1720">
        <v>15</v>
      </c>
      <c r="D1720">
        <v>2.7777777777777777</v>
      </c>
      <c r="E1720">
        <v>14.540000000000001</v>
      </c>
    </row>
    <row r="1721" spans="1:5" x14ac:dyDescent="0.2">
      <c r="A1721" s="1">
        <v>41897</v>
      </c>
      <c r="B1721">
        <v>259</v>
      </c>
      <c r="C1721">
        <v>18.888888888888889</v>
      </c>
      <c r="D1721">
        <v>8.8888888888888893</v>
      </c>
      <c r="E1721">
        <v>14.833333333333339</v>
      </c>
    </row>
    <row r="1722" spans="1:5" x14ac:dyDescent="0.2">
      <c r="A1722" s="1">
        <v>41898</v>
      </c>
      <c r="B1722">
        <v>260</v>
      </c>
      <c r="C1722">
        <v>18.888888888888889</v>
      </c>
      <c r="D1722">
        <v>3.8888888888888888</v>
      </c>
      <c r="E1722">
        <v>14.604444444444445</v>
      </c>
    </row>
    <row r="1723" spans="1:5" x14ac:dyDescent="0.2">
      <c r="A1723" s="1">
        <v>41899</v>
      </c>
      <c r="B1723">
        <v>261</v>
      </c>
      <c r="C1723">
        <v>18.888888888888889</v>
      </c>
      <c r="D1723">
        <v>3.333333333333333</v>
      </c>
      <c r="E1723">
        <v>14.57555555555556</v>
      </c>
    </row>
    <row r="1724" spans="1:5" x14ac:dyDescent="0.2">
      <c r="A1724" s="1">
        <v>41900</v>
      </c>
      <c r="B1724">
        <v>262</v>
      </c>
      <c r="C1724">
        <v>21.666666666666664</v>
      </c>
      <c r="D1724">
        <v>4.4444444444444446</v>
      </c>
      <c r="E1724">
        <v>13.008888888888889</v>
      </c>
    </row>
    <row r="1725" spans="1:5" x14ac:dyDescent="0.2">
      <c r="A1725" s="1">
        <v>41901</v>
      </c>
      <c r="B1725">
        <v>263</v>
      </c>
      <c r="C1725">
        <v>21.666666666666664</v>
      </c>
      <c r="D1725">
        <v>6.1111111111111116</v>
      </c>
      <c r="E1725">
        <v>13.331111111111113</v>
      </c>
    </row>
    <row r="1726" spans="1:5" x14ac:dyDescent="0.2">
      <c r="A1726" s="1">
        <v>41902</v>
      </c>
      <c r="B1726">
        <v>264</v>
      </c>
      <c r="C1726">
        <v>23.333333333333336</v>
      </c>
      <c r="D1726">
        <v>11.111111111111111</v>
      </c>
      <c r="E1726">
        <v>13.533333333333333</v>
      </c>
    </row>
    <row r="1727" spans="1:5" x14ac:dyDescent="0.2">
      <c r="A1727" s="1">
        <v>41903</v>
      </c>
      <c r="B1727">
        <v>265</v>
      </c>
      <c r="C1727">
        <v>24.444444444444446</v>
      </c>
      <c r="D1727">
        <v>11.111111111111111</v>
      </c>
      <c r="E1727">
        <v>13.317777777777776</v>
      </c>
    </row>
    <row r="1728" spans="1:5" x14ac:dyDescent="0.2">
      <c r="A1728" s="1">
        <v>41904</v>
      </c>
      <c r="B1728">
        <v>266</v>
      </c>
      <c r="C1728">
        <v>17.777777777777779</v>
      </c>
      <c r="D1728">
        <v>2.7777777777777777</v>
      </c>
      <c r="E1728">
        <v>13.562222222222227</v>
      </c>
    </row>
    <row r="1729" spans="1:5" x14ac:dyDescent="0.2">
      <c r="A1729" s="1">
        <v>41905</v>
      </c>
      <c r="B1729">
        <v>267</v>
      </c>
      <c r="C1729">
        <v>20.555555555555554</v>
      </c>
      <c r="D1729">
        <v>3.8888888888888888</v>
      </c>
      <c r="E1729">
        <v>13.764444444444443</v>
      </c>
    </row>
    <row r="1730" spans="1:5" x14ac:dyDescent="0.2">
      <c r="A1730" s="1">
        <v>41906</v>
      </c>
      <c r="B1730">
        <v>268</v>
      </c>
      <c r="C1730">
        <v>23.333333333333336</v>
      </c>
      <c r="D1730">
        <v>4.4444444444444446</v>
      </c>
      <c r="E1730">
        <v>13.388888888888891</v>
      </c>
    </row>
    <row r="1731" spans="1:5" x14ac:dyDescent="0.2">
      <c r="A1731" s="1">
        <v>41907</v>
      </c>
      <c r="B1731">
        <v>269</v>
      </c>
      <c r="C1731">
        <v>21.111111111111111</v>
      </c>
      <c r="D1731">
        <v>9.4444444444444446</v>
      </c>
      <c r="E1731">
        <v>13.502222222222223</v>
      </c>
    </row>
    <row r="1732" spans="1:5" x14ac:dyDescent="0.2">
      <c r="A1732" s="1">
        <v>41908</v>
      </c>
      <c r="B1732">
        <v>270</v>
      </c>
      <c r="C1732">
        <v>25.555555555555554</v>
      </c>
      <c r="D1732">
        <v>6.6666666666666661</v>
      </c>
      <c r="E1732">
        <v>14.011111111111109</v>
      </c>
    </row>
    <row r="1733" spans="1:5" x14ac:dyDescent="0.2">
      <c r="A1733" s="1">
        <v>41909</v>
      </c>
      <c r="B1733">
        <v>271</v>
      </c>
      <c r="C1733">
        <v>26.666666666666664</v>
      </c>
      <c r="D1733">
        <v>6.6666666666666661</v>
      </c>
      <c r="E1733">
        <v>12.597777777777782</v>
      </c>
    </row>
    <row r="1734" spans="1:5" x14ac:dyDescent="0.2">
      <c r="A1734" s="1">
        <v>41910</v>
      </c>
      <c r="B1734">
        <v>272</v>
      </c>
      <c r="C1734">
        <v>27.777777777777779</v>
      </c>
      <c r="D1734">
        <v>8.8888888888888893</v>
      </c>
      <c r="E1734">
        <v>13.12666666666667</v>
      </c>
    </row>
    <row r="1735" spans="1:5" x14ac:dyDescent="0.2">
      <c r="A1735" s="1">
        <v>41911</v>
      </c>
      <c r="B1735">
        <v>273</v>
      </c>
      <c r="C1735">
        <v>28.333333333333336</v>
      </c>
      <c r="D1735">
        <v>10.555555555555555</v>
      </c>
      <c r="E1735">
        <v>13.026666666666667</v>
      </c>
    </row>
    <row r="1736" spans="1:5" x14ac:dyDescent="0.2">
      <c r="A1736" s="1">
        <v>41912</v>
      </c>
      <c r="B1736">
        <v>274</v>
      </c>
      <c r="C1736">
        <v>27.777777777777779</v>
      </c>
      <c r="D1736">
        <v>6.6666666666666661</v>
      </c>
      <c r="E1736">
        <v>13.155555555555559</v>
      </c>
    </row>
    <row r="1737" spans="1:5" x14ac:dyDescent="0.2">
      <c r="A1737" s="1">
        <v>41913</v>
      </c>
      <c r="B1737">
        <v>275</v>
      </c>
      <c r="C1737">
        <v>13.888888888888889</v>
      </c>
      <c r="D1737">
        <v>6.6666666666666661</v>
      </c>
      <c r="E1737">
        <v>13.037777777777777</v>
      </c>
    </row>
    <row r="1738" spans="1:5" x14ac:dyDescent="0.2">
      <c r="A1738" s="1">
        <v>41914</v>
      </c>
      <c r="B1738">
        <v>276</v>
      </c>
      <c r="C1738">
        <v>21.111111111111111</v>
      </c>
      <c r="D1738">
        <v>9.4444444444444446</v>
      </c>
      <c r="E1738">
        <v>12.082222222222223</v>
      </c>
    </row>
    <row r="1739" spans="1:5" x14ac:dyDescent="0.2">
      <c r="A1739" s="1">
        <v>41915</v>
      </c>
      <c r="B1739">
        <v>277</v>
      </c>
      <c r="C1739">
        <v>21.111111111111111</v>
      </c>
      <c r="D1739">
        <v>10</v>
      </c>
      <c r="E1739">
        <v>12.068888888888893</v>
      </c>
    </row>
    <row r="1740" spans="1:5" x14ac:dyDescent="0.2">
      <c r="A1740" s="1">
        <v>41916</v>
      </c>
      <c r="B1740">
        <v>278</v>
      </c>
      <c r="C1740">
        <v>11.111111111111111</v>
      </c>
      <c r="D1740">
        <v>1.1111111111111112</v>
      </c>
      <c r="E1740">
        <v>12.471111111111115</v>
      </c>
    </row>
    <row r="1741" spans="1:5" x14ac:dyDescent="0.2">
      <c r="A1741" s="1">
        <v>41917</v>
      </c>
      <c r="B1741">
        <v>279</v>
      </c>
      <c r="C1741">
        <v>11.666666666666668</v>
      </c>
      <c r="D1741">
        <v>-1.1111111111111112</v>
      </c>
      <c r="E1741">
        <v>11.631111111111114</v>
      </c>
    </row>
    <row r="1742" spans="1:5" x14ac:dyDescent="0.2">
      <c r="A1742" s="1">
        <v>41918</v>
      </c>
      <c r="B1742">
        <v>280</v>
      </c>
      <c r="C1742">
        <v>12.222222222222223</v>
      </c>
      <c r="D1742">
        <v>0</v>
      </c>
      <c r="E1742">
        <v>11.757777777777779</v>
      </c>
    </row>
    <row r="1743" spans="1:5" x14ac:dyDescent="0.2">
      <c r="A1743" s="1">
        <v>41919</v>
      </c>
      <c r="B1743">
        <v>281</v>
      </c>
      <c r="C1743">
        <v>13.888888888888889</v>
      </c>
      <c r="D1743">
        <v>5</v>
      </c>
      <c r="E1743">
        <v>10.711111111111109</v>
      </c>
    </row>
    <row r="1744" spans="1:5" x14ac:dyDescent="0.2">
      <c r="A1744" s="1">
        <v>41920</v>
      </c>
      <c r="B1744">
        <v>282</v>
      </c>
      <c r="C1744">
        <v>18.333333333333332</v>
      </c>
      <c r="D1744">
        <v>1.6666666666666665</v>
      </c>
      <c r="E1744">
        <v>11.008888888888887</v>
      </c>
    </row>
    <row r="1745" spans="1:5" x14ac:dyDescent="0.2">
      <c r="A1745" s="1">
        <v>41921</v>
      </c>
      <c r="B1745">
        <v>283</v>
      </c>
      <c r="C1745">
        <v>18.333333333333332</v>
      </c>
      <c r="D1745">
        <v>0</v>
      </c>
      <c r="E1745">
        <v>11.120000000000003</v>
      </c>
    </row>
    <row r="1746" spans="1:5" x14ac:dyDescent="0.2">
      <c r="A1746" s="1">
        <v>41922</v>
      </c>
      <c r="B1746">
        <v>284</v>
      </c>
      <c r="C1746">
        <v>18.888888888888889</v>
      </c>
      <c r="D1746">
        <v>-2.2222222222222223</v>
      </c>
      <c r="E1746">
        <v>11.48</v>
      </c>
    </row>
    <row r="1747" spans="1:5" x14ac:dyDescent="0.2">
      <c r="A1747" s="1">
        <v>41923</v>
      </c>
      <c r="B1747">
        <v>285</v>
      </c>
      <c r="C1747">
        <v>18.333333333333332</v>
      </c>
      <c r="D1747">
        <v>-2.2222222222222223</v>
      </c>
      <c r="E1747">
        <v>10.637777777777782</v>
      </c>
    </row>
    <row r="1748" spans="1:5" x14ac:dyDescent="0.2">
      <c r="A1748" s="1">
        <v>41924</v>
      </c>
      <c r="B1748">
        <v>286</v>
      </c>
      <c r="C1748">
        <v>16.111111111111111</v>
      </c>
      <c r="D1748">
        <v>-0.55555555555555558</v>
      </c>
      <c r="E1748">
        <v>10.895555555555555</v>
      </c>
    </row>
    <row r="1749" spans="1:5" x14ac:dyDescent="0.2">
      <c r="A1749" s="1">
        <v>41925</v>
      </c>
      <c r="B1749">
        <v>287</v>
      </c>
      <c r="C1749">
        <v>16.666666666666668</v>
      </c>
      <c r="D1749">
        <v>7.7777777777777777</v>
      </c>
      <c r="E1749">
        <v>10.784444444444448</v>
      </c>
    </row>
    <row r="1750" spans="1:5" x14ac:dyDescent="0.2">
      <c r="A1750" s="1">
        <v>41926</v>
      </c>
      <c r="B1750">
        <v>288</v>
      </c>
      <c r="C1750">
        <v>15</v>
      </c>
      <c r="D1750">
        <v>10.555555555555555</v>
      </c>
      <c r="E1750">
        <v>10.637777777777782</v>
      </c>
    </row>
    <row r="1751" spans="1:5" x14ac:dyDescent="0.2">
      <c r="A1751" s="1">
        <v>41927</v>
      </c>
      <c r="B1751">
        <v>289</v>
      </c>
      <c r="C1751">
        <v>12.222222222222223</v>
      </c>
      <c r="D1751">
        <v>8.8888888888888893</v>
      </c>
      <c r="E1751">
        <v>10.64666666666667</v>
      </c>
    </row>
    <row r="1752" spans="1:5" x14ac:dyDescent="0.2">
      <c r="A1752" s="1">
        <v>41928</v>
      </c>
      <c r="B1752">
        <v>290</v>
      </c>
      <c r="C1752">
        <v>12.222222222222223</v>
      </c>
      <c r="D1752">
        <v>6.6666666666666661</v>
      </c>
      <c r="E1752">
        <v>10.311111111111112</v>
      </c>
    </row>
    <row r="1753" spans="1:5" x14ac:dyDescent="0.2">
      <c r="A1753" s="1">
        <v>41929</v>
      </c>
      <c r="B1753">
        <v>291</v>
      </c>
      <c r="C1753">
        <v>18.333333333333332</v>
      </c>
      <c r="D1753">
        <v>5.5555555555555554</v>
      </c>
      <c r="E1753">
        <v>9.4244444444444415</v>
      </c>
    </row>
    <row r="1754" spans="1:5" x14ac:dyDescent="0.2">
      <c r="A1754" s="1">
        <v>41930</v>
      </c>
      <c r="B1754">
        <v>292</v>
      </c>
      <c r="C1754">
        <v>12.777777777777777</v>
      </c>
      <c r="D1754">
        <v>6.1111111111111116</v>
      </c>
      <c r="E1754">
        <v>9.5977777777777806</v>
      </c>
    </row>
    <row r="1755" spans="1:5" x14ac:dyDescent="0.2">
      <c r="A1755" s="1">
        <v>41931</v>
      </c>
      <c r="B1755">
        <v>293</v>
      </c>
      <c r="C1755">
        <v>12.777777777777777</v>
      </c>
      <c r="D1755">
        <v>-2.2222222222222223</v>
      </c>
      <c r="E1755">
        <v>9.0800000000000036</v>
      </c>
    </row>
    <row r="1756" spans="1:5" x14ac:dyDescent="0.2">
      <c r="A1756" s="1">
        <v>41932</v>
      </c>
      <c r="B1756">
        <v>294</v>
      </c>
      <c r="C1756">
        <v>14.444444444444445</v>
      </c>
      <c r="D1756">
        <v>-2.2222222222222223</v>
      </c>
      <c r="E1756">
        <v>8.8311111111111114</v>
      </c>
    </row>
    <row r="1757" spans="1:5" x14ac:dyDescent="0.2">
      <c r="A1757" s="1">
        <v>41933</v>
      </c>
      <c r="B1757">
        <v>295</v>
      </c>
      <c r="C1757">
        <v>16.666666666666668</v>
      </c>
      <c r="D1757">
        <v>4.4444444444444446</v>
      </c>
      <c r="E1757">
        <v>8.6733333333333285</v>
      </c>
    </row>
    <row r="1758" spans="1:5" x14ac:dyDescent="0.2">
      <c r="A1758" s="1">
        <v>41934</v>
      </c>
      <c r="B1758">
        <v>296</v>
      </c>
      <c r="C1758">
        <v>15.555555555555555</v>
      </c>
      <c r="D1758">
        <v>-2.2222222222222223</v>
      </c>
      <c r="E1758">
        <v>7.8955555555555543</v>
      </c>
    </row>
    <row r="1759" spans="1:5" x14ac:dyDescent="0.2">
      <c r="A1759" s="1">
        <v>41935</v>
      </c>
      <c r="B1759">
        <v>297</v>
      </c>
      <c r="C1759">
        <v>15</v>
      </c>
      <c r="D1759">
        <v>-2.2222222222222223</v>
      </c>
      <c r="E1759">
        <v>8.4711111111111119</v>
      </c>
    </row>
    <row r="1760" spans="1:5" x14ac:dyDescent="0.2">
      <c r="A1760" s="1">
        <v>41936</v>
      </c>
      <c r="B1760">
        <v>298</v>
      </c>
      <c r="C1760">
        <v>9.4444444444444446</v>
      </c>
      <c r="D1760">
        <v>5.5555555555555554</v>
      </c>
      <c r="E1760">
        <v>8.9599999999999991</v>
      </c>
    </row>
    <row r="1761" spans="1:5" x14ac:dyDescent="0.2">
      <c r="A1761" s="1">
        <v>41937</v>
      </c>
      <c r="B1761">
        <v>299</v>
      </c>
      <c r="C1761">
        <v>17.222222222222221</v>
      </c>
      <c r="D1761">
        <v>8.3333333333333339</v>
      </c>
      <c r="E1761">
        <v>9.0155555555555544</v>
      </c>
    </row>
    <row r="1762" spans="1:5" x14ac:dyDescent="0.2">
      <c r="A1762" s="1">
        <v>41938</v>
      </c>
      <c r="B1762">
        <v>300</v>
      </c>
      <c r="C1762">
        <v>20</v>
      </c>
      <c r="D1762">
        <v>-2.2222222222222223</v>
      </c>
      <c r="E1762">
        <v>8.5622222222222231</v>
      </c>
    </row>
    <row r="1763" spans="1:5" x14ac:dyDescent="0.2">
      <c r="A1763" s="1">
        <v>41939</v>
      </c>
      <c r="B1763">
        <v>301</v>
      </c>
      <c r="C1763">
        <v>17.777777777777779</v>
      </c>
      <c r="D1763">
        <v>6.1111111111111116</v>
      </c>
      <c r="E1763">
        <v>9.3444444444444468</v>
      </c>
    </row>
    <row r="1764" spans="1:5" x14ac:dyDescent="0.2">
      <c r="A1764" s="1">
        <v>41940</v>
      </c>
      <c r="B1764">
        <v>302</v>
      </c>
      <c r="C1764">
        <v>23.888888888888889</v>
      </c>
      <c r="D1764">
        <v>7.2222222222222223</v>
      </c>
      <c r="E1764">
        <v>8.6866666666666656</v>
      </c>
    </row>
    <row r="1765" spans="1:5" x14ac:dyDescent="0.2">
      <c r="A1765" s="1">
        <v>41941</v>
      </c>
      <c r="B1765">
        <v>303</v>
      </c>
      <c r="C1765">
        <v>11.111111111111111</v>
      </c>
      <c r="D1765">
        <v>5</v>
      </c>
      <c r="E1765">
        <v>8.1999999999999975</v>
      </c>
    </row>
    <row r="1766" spans="1:5" x14ac:dyDescent="0.2">
      <c r="A1766" s="1">
        <v>41942</v>
      </c>
      <c r="B1766">
        <v>304</v>
      </c>
      <c r="C1766">
        <v>8.8888888888888893</v>
      </c>
      <c r="D1766">
        <v>-1.6666666666666665</v>
      </c>
      <c r="E1766">
        <v>7.120000000000001</v>
      </c>
    </row>
    <row r="1767" spans="1:5" x14ac:dyDescent="0.2">
      <c r="A1767" s="1">
        <v>41943</v>
      </c>
      <c r="B1767">
        <v>305</v>
      </c>
      <c r="C1767">
        <v>8.8888888888888893</v>
      </c>
      <c r="D1767">
        <v>-1.1111111111111112</v>
      </c>
      <c r="E1767">
        <v>6.913333333333334</v>
      </c>
    </row>
    <row r="1768" spans="1:5" x14ac:dyDescent="0.2">
      <c r="A1768" s="1">
        <v>41944</v>
      </c>
      <c r="B1768">
        <v>306</v>
      </c>
      <c r="C1768">
        <v>8.8888888888888893</v>
      </c>
      <c r="D1768">
        <v>-8.3333333333333339</v>
      </c>
      <c r="E1768">
        <v>7.6555555555555559</v>
      </c>
    </row>
    <row r="1769" spans="1:5" x14ac:dyDescent="0.2">
      <c r="A1769" s="1">
        <v>41945</v>
      </c>
      <c r="B1769">
        <v>307</v>
      </c>
      <c r="C1769">
        <v>7.2222222222222223</v>
      </c>
      <c r="D1769">
        <v>-7.2222222222222223</v>
      </c>
      <c r="E1769">
        <v>7.1822222222222205</v>
      </c>
    </row>
    <row r="1770" spans="1:5" x14ac:dyDescent="0.2">
      <c r="A1770" s="1">
        <v>41946</v>
      </c>
      <c r="B1770">
        <v>308</v>
      </c>
      <c r="C1770">
        <v>12.222222222222223</v>
      </c>
      <c r="D1770">
        <v>0.55555555555555558</v>
      </c>
      <c r="E1770">
        <v>7.5955555555555545</v>
      </c>
    </row>
    <row r="1771" spans="1:5" x14ac:dyDescent="0.2">
      <c r="A1771" s="1">
        <v>41947</v>
      </c>
      <c r="B1771">
        <v>309</v>
      </c>
      <c r="C1771">
        <v>15</v>
      </c>
      <c r="D1771">
        <v>3.333333333333333</v>
      </c>
      <c r="E1771">
        <v>6.7955555555555573</v>
      </c>
    </row>
    <row r="1772" spans="1:5" x14ac:dyDescent="0.2">
      <c r="A1772" s="1">
        <v>41948</v>
      </c>
      <c r="B1772">
        <v>310</v>
      </c>
      <c r="C1772">
        <v>11.111111111111111</v>
      </c>
      <c r="D1772">
        <v>1.1111111111111112</v>
      </c>
      <c r="E1772">
        <v>6.6288888888888904</v>
      </c>
    </row>
    <row r="1773" spans="1:5" x14ac:dyDescent="0.2">
      <c r="A1773" s="1">
        <v>41949</v>
      </c>
      <c r="B1773">
        <v>311</v>
      </c>
      <c r="C1773">
        <v>10.555555555555555</v>
      </c>
      <c r="D1773">
        <v>0</v>
      </c>
      <c r="E1773">
        <v>7.4622222222222225</v>
      </c>
    </row>
    <row r="1774" spans="1:5" x14ac:dyDescent="0.2">
      <c r="A1774" s="1">
        <v>41950</v>
      </c>
      <c r="B1774">
        <v>312</v>
      </c>
      <c r="C1774">
        <v>3.8888888888888888</v>
      </c>
      <c r="D1774">
        <v>-1.6666666666666665</v>
      </c>
      <c r="E1774">
        <v>6.4088888888888897</v>
      </c>
    </row>
    <row r="1775" spans="1:5" x14ac:dyDescent="0.2">
      <c r="A1775" s="1">
        <v>41951</v>
      </c>
      <c r="B1775">
        <v>313</v>
      </c>
      <c r="C1775">
        <v>5.5555555555555554</v>
      </c>
      <c r="D1775">
        <v>-1.6666666666666665</v>
      </c>
      <c r="E1775">
        <v>6.8622222222222238</v>
      </c>
    </row>
    <row r="1776" spans="1:5" x14ac:dyDescent="0.2">
      <c r="A1776" s="1">
        <v>41952</v>
      </c>
      <c r="B1776">
        <v>314</v>
      </c>
      <c r="C1776">
        <v>7.2222222222222223</v>
      </c>
      <c r="D1776">
        <v>0</v>
      </c>
      <c r="E1776">
        <v>6.8200000000000012</v>
      </c>
    </row>
    <row r="1777" spans="1:5" x14ac:dyDescent="0.2">
      <c r="A1777" s="1">
        <v>41953</v>
      </c>
      <c r="B1777">
        <v>315</v>
      </c>
      <c r="C1777">
        <v>8.8888888888888893</v>
      </c>
      <c r="D1777">
        <v>0.55555555555555558</v>
      </c>
      <c r="E1777">
        <v>7.075555555555554</v>
      </c>
    </row>
    <row r="1778" spans="1:5" x14ac:dyDescent="0.2">
      <c r="A1778" s="1">
        <v>41954</v>
      </c>
      <c r="B1778">
        <v>316</v>
      </c>
      <c r="C1778">
        <v>13.888888888888889</v>
      </c>
      <c r="D1778">
        <v>1.1111111111111112</v>
      </c>
      <c r="E1778">
        <v>6.7977777777777781</v>
      </c>
    </row>
    <row r="1779" spans="1:5" x14ac:dyDescent="0.2">
      <c r="A1779" s="1">
        <v>41955</v>
      </c>
      <c r="B1779">
        <v>317</v>
      </c>
      <c r="C1779">
        <v>2.2222222222222223</v>
      </c>
      <c r="D1779">
        <v>-8.3333333333333339</v>
      </c>
      <c r="E1779">
        <v>6.2888888888888914</v>
      </c>
    </row>
    <row r="1780" spans="1:5" x14ac:dyDescent="0.2">
      <c r="A1780" s="1">
        <v>41956</v>
      </c>
      <c r="B1780">
        <v>318</v>
      </c>
      <c r="C1780">
        <v>-3.8888888888888888</v>
      </c>
      <c r="D1780">
        <v>-7.7777777777777777</v>
      </c>
      <c r="E1780">
        <v>6.3822222222222242</v>
      </c>
    </row>
    <row r="1781" spans="1:5" x14ac:dyDescent="0.2">
      <c r="A1781" s="1">
        <v>41957</v>
      </c>
      <c r="B1781">
        <v>319</v>
      </c>
      <c r="C1781">
        <v>-3.333333333333333</v>
      </c>
      <c r="D1781">
        <v>-6.1111111111111116</v>
      </c>
      <c r="E1781">
        <v>5.5888888888888895</v>
      </c>
    </row>
    <row r="1782" spans="1:5" x14ac:dyDescent="0.2">
      <c r="A1782" s="1">
        <v>41958</v>
      </c>
      <c r="B1782">
        <v>320</v>
      </c>
      <c r="C1782">
        <v>-3.333333333333333</v>
      </c>
      <c r="D1782">
        <v>-13.888888888888889</v>
      </c>
      <c r="E1782">
        <v>6.2133333333333303</v>
      </c>
    </row>
    <row r="1783" spans="1:5" x14ac:dyDescent="0.2">
      <c r="A1783" s="1">
        <v>41959</v>
      </c>
      <c r="B1783">
        <v>321</v>
      </c>
      <c r="C1783">
        <v>-3.8888888888888888</v>
      </c>
      <c r="D1783">
        <v>-10.555555555555555</v>
      </c>
      <c r="E1783">
        <v>6.3666666666666654</v>
      </c>
    </row>
    <row r="1784" spans="1:5" x14ac:dyDescent="0.2">
      <c r="A1784" s="1">
        <v>41960</v>
      </c>
      <c r="B1784">
        <v>322</v>
      </c>
      <c r="C1784">
        <v>-3.333333333333333</v>
      </c>
      <c r="D1784">
        <v>-16.111111111111111</v>
      </c>
      <c r="E1784">
        <v>6.0955555555555545</v>
      </c>
    </row>
    <row r="1785" spans="1:5" x14ac:dyDescent="0.2">
      <c r="A1785" s="1">
        <v>41961</v>
      </c>
      <c r="B1785">
        <v>323</v>
      </c>
      <c r="C1785">
        <v>-9.4444444444444446</v>
      </c>
      <c r="D1785">
        <v>-15.555555555555555</v>
      </c>
      <c r="E1785">
        <v>5.8177777777777795</v>
      </c>
    </row>
    <row r="1786" spans="1:5" x14ac:dyDescent="0.2">
      <c r="A1786" s="1">
        <v>41962</v>
      </c>
      <c r="B1786">
        <v>324</v>
      </c>
      <c r="C1786">
        <v>-7.7777777777777777</v>
      </c>
      <c r="D1786">
        <v>-13.888888888888889</v>
      </c>
      <c r="E1786">
        <v>5.0466666666666669</v>
      </c>
    </row>
    <row r="1787" spans="1:5" x14ac:dyDescent="0.2">
      <c r="A1787" s="1">
        <v>41963</v>
      </c>
      <c r="B1787">
        <v>325</v>
      </c>
      <c r="C1787">
        <v>-3.333333333333333</v>
      </c>
      <c r="D1787">
        <v>-13.333333333333332</v>
      </c>
      <c r="E1787">
        <v>6.0044444444444434</v>
      </c>
    </row>
    <row r="1788" spans="1:5" x14ac:dyDescent="0.2">
      <c r="A1788" s="1">
        <v>41964</v>
      </c>
      <c r="B1788">
        <v>326</v>
      </c>
      <c r="C1788">
        <v>-5</v>
      </c>
      <c r="D1788">
        <v>-18.888888888888889</v>
      </c>
      <c r="E1788">
        <v>6.1799999999999979</v>
      </c>
    </row>
    <row r="1789" spans="1:5" x14ac:dyDescent="0.2">
      <c r="A1789" s="1">
        <v>41965</v>
      </c>
      <c r="B1789">
        <v>327</v>
      </c>
      <c r="C1789">
        <v>1.6666666666666665</v>
      </c>
      <c r="D1789">
        <v>-18.333333333333332</v>
      </c>
      <c r="E1789">
        <v>5.3200000000000021</v>
      </c>
    </row>
    <row r="1790" spans="1:5" x14ac:dyDescent="0.2">
      <c r="A1790" s="1">
        <v>41966</v>
      </c>
      <c r="B1790">
        <v>328</v>
      </c>
      <c r="C1790">
        <v>11.111111111111111</v>
      </c>
      <c r="D1790">
        <v>1.6666666666666665</v>
      </c>
      <c r="E1790">
        <v>5.6422222222222205</v>
      </c>
    </row>
    <row r="1791" spans="1:5" x14ac:dyDescent="0.2">
      <c r="A1791" s="1">
        <v>41967</v>
      </c>
      <c r="B1791">
        <v>329</v>
      </c>
      <c r="C1791">
        <v>10</v>
      </c>
      <c r="D1791">
        <v>3.8888888888888888</v>
      </c>
      <c r="E1791">
        <v>5.8155555555555578</v>
      </c>
    </row>
    <row r="1792" spans="1:5" x14ac:dyDescent="0.2">
      <c r="A1792" s="1">
        <v>41968</v>
      </c>
      <c r="B1792">
        <v>330</v>
      </c>
      <c r="C1792">
        <v>3.8888888888888888</v>
      </c>
      <c r="D1792">
        <v>-7.7777777777777777</v>
      </c>
      <c r="E1792">
        <v>4.8911111111111119</v>
      </c>
    </row>
    <row r="1793" spans="1:5" x14ac:dyDescent="0.2">
      <c r="A1793" s="1">
        <v>41969</v>
      </c>
      <c r="B1793">
        <v>331</v>
      </c>
      <c r="C1793">
        <v>-0.55555555555555558</v>
      </c>
      <c r="D1793">
        <v>-18.888888888888889</v>
      </c>
      <c r="E1793">
        <v>4.6599999999999984</v>
      </c>
    </row>
    <row r="1794" spans="1:5" x14ac:dyDescent="0.2">
      <c r="A1794" s="1">
        <v>41970</v>
      </c>
      <c r="B1794">
        <v>332</v>
      </c>
      <c r="C1794">
        <v>-5.5555555555555554</v>
      </c>
      <c r="D1794">
        <v>-13.333333333333332</v>
      </c>
      <c r="E1794">
        <v>5.6022222222222222</v>
      </c>
    </row>
    <row r="1795" spans="1:5" x14ac:dyDescent="0.2">
      <c r="A1795" s="1">
        <v>41971</v>
      </c>
      <c r="B1795">
        <v>333</v>
      </c>
      <c r="C1795">
        <v>-8.3333333333333339</v>
      </c>
      <c r="D1795">
        <v>-17.222222222222221</v>
      </c>
      <c r="E1795">
        <v>5.1000000000000005</v>
      </c>
    </row>
    <row r="1796" spans="1:5" x14ac:dyDescent="0.2">
      <c r="A1796" s="1">
        <v>41972</v>
      </c>
      <c r="B1796">
        <v>334</v>
      </c>
      <c r="C1796">
        <v>-2.7777777777777777</v>
      </c>
      <c r="D1796">
        <v>-9.4444444444444446</v>
      </c>
      <c r="E1796">
        <v>5.0266666666666673</v>
      </c>
    </row>
    <row r="1797" spans="1:5" x14ac:dyDescent="0.2">
      <c r="A1797" s="1">
        <v>41973</v>
      </c>
      <c r="B1797">
        <v>335</v>
      </c>
      <c r="C1797">
        <v>7.2222222222222223</v>
      </c>
      <c r="D1797">
        <v>-2.7777777777777777</v>
      </c>
      <c r="E1797">
        <v>5.1866666666666648</v>
      </c>
    </row>
    <row r="1798" spans="1:5" x14ac:dyDescent="0.2">
      <c r="A1798" s="1">
        <v>41974</v>
      </c>
      <c r="B1798">
        <v>336</v>
      </c>
      <c r="C1798">
        <v>-1.1111111111111112</v>
      </c>
      <c r="D1798">
        <v>-13.333333333333332</v>
      </c>
      <c r="E1798">
        <v>5.5222222222222221</v>
      </c>
    </row>
    <row r="1799" spans="1:5" x14ac:dyDescent="0.2">
      <c r="A1799" s="1">
        <v>41975</v>
      </c>
      <c r="B1799">
        <v>337</v>
      </c>
      <c r="C1799">
        <v>-10</v>
      </c>
      <c r="D1799">
        <v>-16.111111111111111</v>
      </c>
      <c r="E1799">
        <v>4.9666666666666659</v>
      </c>
    </row>
    <row r="1800" spans="1:5" x14ac:dyDescent="0.2">
      <c r="A1800" s="1">
        <v>41976</v>
      </c>
      <c r="B1800">
        <v>338</v>
      </c>
      <c r="C1800">
        <v>-1.1111111111111112</v>
      </c>
      <c r="D1800">
        <v>-10</v>
      </c>
      <c r="E1800">
        <v>5.1911111111111108</v>
      </c>
    </row>
    <row r="1801" spans="1:5" x14ac:dyDescent="0.2">
      <c r="A1801" s="1">
        <v>41977</v>
      </c>
      <c r="B1801">
        <v>339</v>
      </c>
      <c r="C1801">
        <v>-0.55555555555555558</v>
      </c>
      <c r="D1801">
        <v>-9.4444444444444446</v>
      </c>
      <c r="E1801">
        <v>5.08</v>
      </c>
    </row>
    <row r="1802" spans="1:5" x14ac:dyDescent="0.2">
      <c r="A1802" s="1">
        <v>41978</v>
      </c>
      <c r="B1802">
        <v>340</v>
      </c>
      <c r="C1802">
        <v>-0.55555555555555558</v>
      </c>
      <c r="D1802">
        <v>-7.2222222222222223</v>
      </c>
      <c r="E1802">
        <v>5.3800000000000008</v>
      </c>
    </row>
    <row r="1803" spans="1:5" x14ac:dyDescent="0.2">
      <c r="A1803" s="1">
        <v>41979</v>
      </c>
      <c r="B1803">
        <v>341</v>
      </c>
      <c r="C1803">
        <v>1.1111111111111112</v>
      </c>
      <c r="D1803">
        <v>-5.5555555555555554</v>
      </c>
      <c r="E1803">
        <v>5.1688888888888878</v>
      </c>
    </row>
    <row r="1804" spans="1:5" x14ac:dyDescent="0.2">
      <c r="A1804" s="1">
        <v>41980</v>
      </c>
      <c r="B1804">
        <v>342</v>
      </c>
      <c r="C1804">
        <v>1.6666666666666665</v>
      </c>
      <c r="D1804">
        <v>-9.4444444444444446</v>
      </c>
      <c r="E1804">
        <v>5.0244444444444447</v>
      </c>
    </row>
    <row r="1805" spans="1:5" x14ac:dyDescent="0.2">
      <c r="A1805" s="1">
        <v>41981</v>
      </c>
      <c r="B1805">
        <v>343</v>
      </c>
      <c r="C1805">
        <v>1.6666666666666665</v>
      </c>
      <c r="D1805">
        <v>-0.55555555555555558</v>
      </c>
      <c r="E1805">
        <v>4.9955555555555549</v>
      </c>
    </row>
    <row r="1806" spans="1:5" x14ac:dyDescent="0.2">
      <c r="A1806" s="1">
        <v>41982</v>
      </c>
      <c r="B1806">
        <v>344</v>
      </c>
      <c r="C1806">
        <v>0.55555555555555558</v>
      </c>
      <c r="D1806">
        <v>-1.6666666666666665</v>
      </c>
      <c r="E1806">
        <v>4.9866666666666664</v>
      </c>
    </row>
    <row r="1807" spans="1:5" x14ac:dyDescent="0.2">
      <c r="A1807" s="1">
        <v>41983</v>
      </c>
      <c r="B1807">
        <v>345</v>
      </c>
      <c r="C1807">
        <v>0.55555555555555558</v>
      </c>
      <c r="D1807">
        <v>-5.5555555555555554</v>
      </c>
      <c r="E1807">
        <v>5.0311111111111106</v>
      </c>
    </row>
    <row r="1808" spans="1:5" x14ac:dyDescent="0.2">
      <c r="A1808" s="1">
        <v>41984</v>
      </c>
      <c r="B1808">
        <v>346</v>
      </c>
      <c r="C1808">
        <v>-3.8888888888888888</v>
      </c>
      <c r="D1808">
        <v>-6.1111111111111116</v>
      </c>
      <c r="E1808">
        <v>4.826666666666668</v>
      </c>
    </row>
    <row r="1809" spans="1:5" x14ac:dyDescent="0.2">
      <c r="A1809" s="1">
        <v>41985</v>
      </c>
      <c r="B1809">
        <v>347</v>
      </c>
      <c r="C1809">
        <v>-1.1111111111111112</v>
      </c>
      <c r="D1809">
        <v>-6.6666666666666661</v>
      </c>
      <c r="E1809">
        <v>5.126666666666666</v>
      </c>
    </row>
    <row r="1810" spans="1:5" x14ac:dyDescent="0.2">
      <c r="A1810" s="1">
        <v>41986</v>
      </c>
      <c r="B1810">
        <v>348</v>
      </c>
      <c r="C1810">
        <v>1.1111111111111112</v>
      </c>
      <c r="D1810">
        <v>-2.7777777777777777</v>
      </c>
      <c r="E1810">
        <v>4.9755555555555553</v>
      </c>
    </row>
    <row r="1811" spans="1:5" x14ac:dyDescent="0.2">
      <c r="A1811" s="1">
        <v>41987</v>
      </c>
      <c r="B1811">
        <v>349</v>
      </c>
      <c r="C1811">
        <v>5.5555555555555554</v>
      </c>
      <c r="D1811">
        <v>1.1111111111111112</v>
      </c>
      <c r="E1811">
        <v>4.8177777777777795</v>
      </c>
    </row>
    <row r="1812" spans="1:5" x14ac:dyDescent="0.2">
      <c r="A1812" s="1">
        <v>41988</v>
      </c>
      <c r="B1812">
        <v>350</v>
      </c>
      <c r="C1812">
        <v>7.7777777777777777</v>
      </c>
      <c r="D1812">
        <v>3.333333333333333</v>
      </c>
      <c r="E1812">
        <v>5.1622222222222209</v>
      </c>
    </row>
    <row r="1813" spans="1:5" x14ac:dyDescent="0.2">
      <c r="A1813" s="1">
        <v>41989</v>
      </c>
      <c r="B1813">
        <v>351</v>
      </c>
      <c r="C1813">
        <v>7.2222222222222223</v>
      </c>
      <c r="D1813">
        <v>3.8888888888888888</v>
      </c>
      <c r="E1813">
        <v>5.1977777777777758</v>
      </c>
    </row>
    <row r="1814" spans="1:5" x14ac:dyDescent="0.2">
      <c r="A1814" s="1">
        <v>41990</v>
      </c>
      <c r="B1814">
        <v>352</v>
      </c>
      <c r="C1814">
        <v>5</v>
      </c>
      <c r="D1814">
        <v>-5.5555555555555554</v>
      </c>
      <c r="E1814">
        <v>5.0222222222222221</v>
      </c>
    </row>
    <row r="1815" spans="1:5" x14ac:dyDescent="0.2">
      <c r="A1815" s="1">
        <v>41991</v>
      </c>
      <c r="B1815">
        <v>353</v>
      </c>
      <c r="C1815">
        <v>-2.7777777777777777</v>
      </c>
      <c r="D1815">
        <v>-10</v>
      </c>
      <c r="E1815">
        <v>4.9799999999999986</v>
      </c>
    </row>
    <row r="1816" spans="1:5" x14ac:dyDescent="0.2">
      <c r="A1816" s="1">
        <v>41992</v>
      </c>
      <c r="B1816">
        <v>354</v>
      </c>
      <c r="C1816">
        <v>-3.333333333333333</v>
      </c>
      <c r="D1816">
        <v>-8.3333333333333339</v>
      </c>
      <c r="E1816">
        <v>5.408888888888888</v>
      </c>
    </row>
    <row r="1817" spans="1:5" x14ac:dyDescent="0.2">
      <c r="A1817" s="1">
        <v>41993</v>
      </c>
      <c r="B1817">
        <v>355</v>
      </c>
      <c r="C1817">
        <v>-2.7777777777777777</v>
      </c>
      <c r="D1817">
        <v>-5</v>
      </c>
      <c r="E1817">
        <v>5.52</v>
      </c>
    </row>
    <row r="1818" spans="1:5" x14ac:dyDescent="0.2">
      <c r="A1818" s="1">
        <v>41994</v>
      </c>
      <c r="B1818">
        <v>356</v>
      </c>
      <c r="C1818">
        <v>1.1111111111111112</v>
      </c>
      <c r="D1818">
        <v>-2.7777777777777777</v>
      </c>
      <c r="E1818">
        <v>4.9644444444444442</v>
      </c>
    </row>
    <row r="1819" spans="1:5" x14ac:dyDescent="0.2">
      <c r="A1819" s="1">
        <v>41995</v>
      </c>
      <c r="B1819">
        <v>357</v>
      </c>
      <c r="C1819">
        <v>2.7777777777777777</v>
      </c>
      <c r="D1819">
        <v>1.1111111111111112</v>
      </c>
      <c r="E1819">
        <v>4.83777777777778</v>
      </c>
    </row>
    <row r="1820" spans="1:5" x14ac:dyDescent="0.2">
      <c r="A1820" s="1">
        <v>41996</v>
      </c>
      <c r="B1820">
        <v>358</v>
      </c>
      <c r="C1820">
        <v>3.333333333333333</v>
      </c>
      <c r="D1820">
        <v>0.55555555555555558</v>
      </c>
      <c r="E1820">
        <v>5.028888888888889</v>
      </c>
    </row>
    <row r="1821" spans="1:5" x14ac:dyDescent="0.2">
      <c r="A1821" s="1">
        <v>41997</v>
      </c>
      <c r="B1821">
        <v>359</v>
      </c>
      <c r="C1821">
        <v>5</v>
      </c>
      <c r="D1821">
        <v>0.55555555555555558</v>
      </c>
      <c r="E1821">
        <v>5.6022222222222213</v>
      </c>
    </row>
    <row r="1822" spans="1:5" x14ac:dyDescent="0.2">
      <c r="A1822" s="1">
        <v>41998</v>
      </c>
      <c r="B1822">
        <v>360</v>
      </c>
      <c r="C1822">
        <v>1.1111111111111112</v>
      </c>
      <c r="D1822">
        <v>-0.55555555555555558</v>
      </c>
      <c r="E1822">
        <v>5.1066666666666656</v>
      </c>
    </row>
    <row r="1823" spans="1:5" x14ac:dyDescent="0.2">
      <c r="A1823" s="1">
        <v>41999</v>
      </c>
      <c r="B1823">
        <v>361</v>
      </c>
      <c r="C1823">
        <v>5</v>
      </c>
      <c r="D1823">
        <v>-0.55555555555555558</v>
      </c>
      <c r="E1823">
        <v>5.1711111111111112</v>
      </c>
    </row>
    <row r="1824" spans="1:5" x14ac:dyDescent="0.2">
      <c r="A1824" s="1">
        <v>42000</v>
      </c>
      <c r="B1824">
        <v>362</v>
      </c>
      <c r="C1824">
        <v>8.3333333333333339</v>
      </c>
      <c r="D1824">
        <v>-1.6666666666666665</v>
      </c>
      <c r="E1824">
        <v>4.5044444444444451</v>
      </c>
    </row>
    <row r="1825" spans="1:5" x14ac:dyDescent="0.2">
      <c r="A1825" s="1">
        <v>42001</v>
      </c>
      <c r="B1825">
        <v>363</v>
      </c>
      <c r="C1825">
        <v>1.6666666666666665</v>
      </c>
      <c r="D1825">
        <v>-8.8888888888888893</v>
      </c>
      <c r="E1825">
        <v>5.0888888888888868</v>
      </c>
    </row>
    <row r="1826" spans="1:5" x14ac:dyDescent="0.2">
      <c r="A1826" s="1">
        <v>42002</v>
      </c>
      <c r="B1826">
        <v>364</v>
      </c>
      <c r="C1826">
        <v>-0.55555555555555558</v>
      </c>
      <c r="D1826">
        <v>-9.4444444444444446</v>
      </c>
      <c r="E1826">
        <v>4.8688888888888897</v>
      </c>
    </row>
    <row r="1827" spans="1:5" x14ac:dyDescent="0.2">
      <c r="A1827" s="1">
        <v>42003</v>
      </c>
      <c r="B1827">
        <v>365</v>
      </c>
      <c r="C1827">
        <v>-5</v>
      </c>
      <c r="D1827">
        <v>-17.222222222222221</v>
      </c>
      <c r="E1827">
        <v>5.3977777777777805</v>
      </c>
    </row>
    <row r="1828" spans="1:5" x14ac:dyDescent="0.2">
      <c r="A1828" s="1">
        <v>42004</v>
      </c>
      <c r="B1828">
        <v>1</v>
      </c>
      <c r="C1828">
        <v>-10</v>
      </c>
      <c r="D1828">
        <v>-18.888888888888889</v>
      </c>
      <c r="E1828">
        <v>4.9911111111111106</v>
      </c>
    </row>
    <row r="1829" spans="1:5" x14ac:dyDescent="0.2">
      <c r="A1829" s="1">
        <v>42005</v>
      </c>
      <c r="B1829">
        <v>2</v>
      </c>
      <c r="C1829">
        <v>-7.7777777777777777</v>
      </c>
      <c r="D1829">
        <v>-18.888888888888889</v>
      </c>
      <c r="E1829">
        <v>5.0022222222222226</v>
      </c>
    </row>
    <row r="1830" spans="1:5" x14ac:dyDescent="0.2">
      <c r="A1830" s="1">
        <v>42006</v>
      </c>
      <c r="B1830">
        <v>3</v>
      </c>
      <c r="C1830">
        <v>0</v>
      </c>
      <c r="D1830">
        <v>-11.111111111111111</v>
      </c>
      <c r="E1830">
        <v>5.4333333333333336</v>
      </c>
    </row>
    <row r="1831" spans="1:5" x14ac:dyDescent="0.2">
      <c r="A1831" s="1">
        <v>42007</v>
      </c>
      <c r="B1831">
        <v>4</v>
      </c>
      <c r="C1831">
        <v>0</v>
      </c>
      <c r="D1831">
        <v>-10</v>
      </c>
      <c r="E1831">
        <v>5.8600000000000012</v>
      </c>
    </row>
    <row r="1832" spans="1:5" x14ac:dyDescent="0.2">
      <c r="A1832" s="1">
        <v>42008</v>
      </c>
      <c r="B1832">
        <v>5</v>
      </c>
      <c r="C1832">
        <v>-0.55555555555555558</v>
      </c>
      <c r="D1832">
        <v>-10</v>
      </c>
      <c r="E1832">
        <v>5.8844444444444459</v>
      </c>
    </row>
    <row r="1833" spans="1:5" x14ac:dyDescent="0.2">
      <c r="A1833" s="1">
        <v>42009</v>
      </c>
      <c r="B1833">
        <v>6</v>
      </c>
      <c r="C1833">
        <v>-10</v>
      </c>
      <c r="D1833">
        <v>-25</v>
      </c>
      <c r="E1833">
        <v>5.9622222222222225</v>
      </c>
    </row>
    <row r="1834" spans="1:5" x14ac:dyDescent="0.2">
      <c r="A1834" s="1">
        <v>42010</v>
      </c>
      <c r="B1834">
        <v>7</v>
      </c>
      <c r="C1834">
        <v>-12.222222222222223</v>
      </c>
      <c r="D1834">
        <v>-25.555555555555554</v>
      </c>
      <c r="E1834">
        <v>6.1066666666666682</v>
      </c>
    </row>
    <row r="1835" spans="1:5" x14ac:dyDescent="0.2">
      <c r="A1835" s="1">
        <v>42011</v>
      </c>
      <c r="B1835">
        <v>8</v>
      </c>
      <c r="C1835">
        <v>-11.111111111111111</v>
      </c>
      <c r="D1835">
        <v>-24.444444444444446</v>
      </c>
      <c r="E1835">
        <v>6.2755555555555587</v>
      </c>
    </row>
    <row r="1836" spans="1:5" x14ac:dyDescent="0.2">
      <c r="A1836" s="1">
        <v>42012</v>
      </c>
      <c r="B1836">
        <v>9</v>
      </c>
      <c r="C1836">
        <v>-18.333333333333332</v>
      </c>
      <c r="D1836">
        <v>-23.333333333333336</v>
      </c>
      <c r="E1836">
        <v>6.2377777777777776</v>
      </c>
    </row>
    <row r="1837" spans="1:5" x14ac:dyDescent="0.2">
      <c r="A1837" s="1">
        <v>42013</v>
      </c>
      <c r="B1837">
        <v>10</v>
      </c>
      <c r="C1837">
        <v>-11.666666666666668</v>
      </c>
      <c r="D1837">
        <v>-21.111111111111111</v>
      </c>
      <c r="E1837">
        <v>6.6755555555555537</v>
      </c>
    </row>
    <row r="1838" spans="1:5" x14ac:dyDescent="0.2">
      <c r="A1838" s="1">
        <v>42014</v>
      </c>
      <c r="B1838">
        <v>11</v>
      </c>
      <c r="C1838">
        <v>-15</v>
      </c>
      <c r="D1838">
        <v>-23.888888888888889</v>
      </c>
      <c r="E1838">
        <v>5.9155555555555575</v>
      </c>
    </row>
    <row r="1839" spans="1:5" x14ac:dyDescent="0.2">
      <c r="A1839" s="1">
        <v>42015</v>
      </c>
      <c r="B1839">
        <v>12</v>
      </c>
      <c r="C1839">
        <v>-5.5555555555555554</v>
      </c>
      <c r="D1839">
        <v>-18.888888888888889</v>
      </c>
      <c r="E1839">
        <v>5.7666666666666666</v>
      </c>
    </row>
    <row r="1840" spans="1:5" x14ac:dyDescent="0.2">
      <c r="A1840" s="1">
        <v>42016</v>
      </c>
      <c r="B1840">
        <v>13</v>
      </c>
      <c r="C1840">
        <v>-3.8888888888888888</v>
      </c>
      <c r="D1840">
        <v>-15</v>
      </c>
      <c r="E1840">
        <v>6.44</v>
      </c>
    </row>
    <row r="1841" spans="1:5" x14ac:dyDescent="0.2">
      <c r="A1841" s="1">
        <v>42017</v>
      </c>
      <c r="B1841">
        <v>14</v>
      </c>
      <c r="C1841">
        <v>-9.4444444444444446</v>
      </c>
      <c r="D1841">
        <v>-25</v>
      </c>
      <c r="E1841">
        <v>6.0333333333333332</v>
      </c>
    </row>
    <row r="1842" spans="1:5" x14ac:dyDescent="0.2">
      <c r="A1842" s="1">
        <v>42018</v>
      </c>
      <c r="B1842">
        <v>15</v>
      </c>
      <c r="C1842">
        <v>-7.7777777777777777</v>
      </c>
      <c r="D1842">
        <v>-26.111111111111111</v>
      </c>
      <c r="E1842">
        <v>6.6888888888888864</v>
      </c>
    </row>
    <row r="1843" spans="1:5" x14ac:dyDescent="0.2">
      <c r="A1843" s="1">
        <v>42019</v>
      </c>
      <c r="B1843">
        <v>16</v>
      </c>
      <c r="C1843">
        <v>-5.5555555555555554</v>
      </c>
      <c r="D1843">
        <v>-13.333333333333332</v>
      </c>
      <c r="E1843">
        <v>6.5733333333333333</v>
      </c>
    </row>
    <row r="1844" spans="1:5" x14ac:dyDescent="0.2">
      <c r="A1844" s="1">
        <v>42020</v>
      </c>
      <c r="B1844">
        <v>17</v>
      </c>
      <c r="C1844">
        <v>2.2222222222222223</v>
      </c>
      <c r="D1844">
        <v>-5.5555555555555554</v>
      </c>
      <c r="E1844">
        <v>6.46</v>
      </c>
    </row>
    <row r="1845" spans="1:5" x14ac:dyDescent="0.2">
      <c r="A1845" s="1">
        <v>42021</v>
      </c>
      <c r="B1845">
        <v>18</v>
      </c>
      <c r="C1845">
        <v>4.4444444444444446</v>
      </c>
      <c r="D1845">
        <v>-4.4444444444444446</v>
      </c>
      <c r="E1845">
        <v>6.8355555555555547</v>
      </c>
    </row>
    <row r="1846" spans="1:5" x14ac:dyDescent="0.2">
      <c r="A1846" s="1">
        <v>42022</v>
      </c>
      <c r="B1846">
        <v>19</v>
      </c>
      <c r="C1846">
        <v>4.4444444444444446</v>
      </c>
      <c r="D1846">
        <v>0.55555555555555558</v>
      </c>
      <c r="E1846">
        <v>6.5555555555555554</v>
      </c>
    </row>
    <row r="1847" spans="1:5" x14ac:dyDescent="0.2">
      <c r="A1847" s="1">
        <v>42023</v>
      </c>
      <c r="B1847">
        <v>20</v>
      </c>
      <c r="C1847">
        <v>5.5555555555555554</v>
      </c>
      <c r="D1847">
        <v>-7.2222222222222223</v>
      </c>
      <c r="E1847">
        <v>6.5533333333333337</v>
      </c>
    </row>
    <row r="1848" spans="1:5" x14ac:dyDescent="0.2">
      <c r="A1848" s="1">
        <v>42024</v>
      </c>
      <c r="B1848">
        <v>21</v>
      </c>
      <c r="C1848">
        <v>1.1111111111111112</v>
      </c>
      <c r="D1848">
        <v>-7.2222222222222223</v>
      </c>
      <c r="E1848">
        <v>6.5222222222222221</v>
      </c>
    </row>
    <row r="1849" spans="1:5" x14ac:dyDescent="0.2">
      <c r="A1849" s="1">
        <v>42025</v>
      </c>
      <c r="B1849">
        <v>22</v>
      </c>
      <c r="C1849">
        <v>-0.55555555555555558</v>
      </c>
      <c r="D1849">
        <v>-2.7777777777777777</v>
      </c>
      <c r="E1849">
        <v>6.1199999999999992</v>
      </c>
    </row>
    <row r="1850" spans="1:5" x14ac:dyDescent="0.2">
      <c r="A1850" s="1">
        <v>42026</v>
      </c>
      <c r="B1850">
        <v>23</v>
      </c>
      <c r="C1850">
        <v>-1.6666666666666665</v>
      </c>
      <c r="D1850">
        <v>-3.333333333333333</v>
      </c>
      <c r="E1850">
        <v>7.2466666666666661</v>
      </c>
    </row>
    <row r="1851" spans="1:5" x14ac:dyDescent="0.2">
      <c r="A1851" s="1">
        <v>42027</v>
      </c>
      <c r="B1851">
        <v>24</v>
      </c>
      <c r="C1851">
        <v>0</v>
      </c>
      <c r="D1851">
        <v>-3.333333333333333</v>
      </c>
      <c r="E1851">
        <v>6.8688888888888879</v>
      </c>
    </row>
    <row r="1852" spans="1:5" x14ac:dyDescent="0.2">
      <c r="A1852" s="1">
        <v>42028</v>
      </c>
      <c r="B1852">
        <v>25</v>
      </c>
      <c r="C1852">
        <v>1.6666666666666665</v>
      </c>
      <c r="D1852">
        <v>-3.333333333333333</v>
      </c>
      <c r="E1852">
        <v>7.0244444444444447</v>
      </c>
    </row>
    <row r="1853" spans="1:5" x14ac:dyDescent="0.2">
      <c r="A1853" s="1">
        <v>42029</v>
      </c>
      <c r="B1853">
        <v>26</v>
      </c>
      <c r="C1853">
        <v>0.55555555555555558</v>
      </c>
      <c r="D1853">
        <v>-5.5555555555555554</v>
      </c>
      <c r="E1853">
        <v>7.3288888888888888</v>
      </c>
    </row>
    <row r="1854" spans="1:5" x14ac:dyDescent="0.2">
      <c r="A1854" s="1">
        <v>42030</v>
      </c>
      <c r="B1854">
        <v>27</v>
      </c>
      <c r="C1854">
        <v>-4.4444444444444446</v>
      </c>
      <c r="D1854">
        <v>-12.222222222222223</v>
      </c>
      <c r="E1854">
        <v>7.4177777777777756</v>
      </c>
    </row>
    <row r="1855" spans="1:5" x14ac:dyDescent="0.2">
      <c r="A1855" s="1">
        <v>42031</v>
      </c>
      <c r="B1855">
        <v>28</v>
      </c>
      <c r="C1855">
        <v>-4.4444444444444446</v>
      </c>
      <c r="D1855">
        <v>-9.4444444444444446</v>
      </c>
      <c r="E1855">
        <v>7.677777777777778</v>
      </c>
    </row>
    <row r="1856" spans="1:5" x14ac:dyDescent="0.2">
      <c r="A1856" s="1">
        <v>42032</v>
      </c>
      <c r="B1856">
        <v>29</v>
      </c>
      <c r="C1856">
        <v>-2.7777777777777777</v>
      </c>
      <c r="D1856">
        <v>-6.1111111111111116</v>
      </c>
      <c r="E1856">
        <v>7.3044444444444458</v>
      </c>
    </row>
    <row r="1857" spans="1:5" x14ac:dyDescent="0.2">
      <c r="A1857" s="1">
        <v>42033</v>
      </c>
      <c r="B1857">
        <v>30</v>
      </c>
      <c r="C1857">
        <v>0.55555555555555558</v>
      </c>
      <c r="D1857">
        <v>-5</v>
      </c>
      <c r="E1857">
        <v>8</v>
      </c>
    </row>
    <row r="1858" spans="1:5" x14ac:dyDescent="0.2">
      <c r="A1858" s="1">
        <v>42034</v>
      </c>
      <c r="B1858">
        <v>31</v>
      </c>
      <c r="C1858">
        <v>1.1111111111111112</v>
      </c>
      <c r="D1858">
        <v>-11.666666666666668</v>
      </c>
      <c r="E1858">
        <v>7.6400000000000041</v>
      </c>
    </row>
    <row r="1859" spans="1:5" x14ac:dyDescent="0.2">
      <c r="A1859" s="1">
        <v>42035</v>
      </c>
      <c r="B1859">
        <v>32</v>
      </c>
      <c r="C1859">
        <v>-3.333333333333333</v>
      </c>
      <c r="D1859">
        <v>-12.222222222222223</v>
      </c>
      <c r="E1859">
        <v>7.5244444444444474</v>
      </c>
    </row>
    <row r="1860" spans="1:5" x14ac:dyDescent="0.2">
      <c r="A1860" s="1">
        <v>42036</v>
      </c>
      <c r="B1860">
        <v>33</v>
      </c>
      <c r="C1860">
        <v>0.55555555555555558</v>
      </c>
      <c r="D1860">
        <v>-10</v>
      </c>
      <c r="E1860">
        <v>7.8222222222222237</v>
      </c>
    </row>
    <row r="1861" spans="1:5" x14ac:dyDescent="0.2">
      <c r="A1861" s="1">
        <v>42037</v>
      </c>
      <c r="B1861">
        <v>34</v>
      </c>
      <c r="C1861">
        <v>-8.3333333333333339</v>
      </c>
      <c r="D1861">
        <v>-20</v>
      </c>
      <c r="E1861">
        <v>7.9933333333333367</v>
      </c>
    </row>
    <row r="1862" spans="1:5" x14ac:dyDescent="0.2">
      <c r="A1862" s="1">
        <v>42038</v>
      </c>
      <c r="B1862">
        <v>35</v>
      </c>
      <c r="C1862">
        <v>-10</v>
      </c>
      <c r="D1862">
        <v>-22.222222222222221</v>
      </c>
      <c r="E1862">
        <v>8.8044444444444458</v>
      </c>
    </row>
    <row r="1863" spans="1:5" x14ac:dyDescent="0.2">
      <c r="A1863" s="1">
        <v>42039</v>
      </c>
      <c r="B1863">
        <v>36</v>
      </c>
      <c r="C1863">
        <v>-8.3333333333333339</v>
      </c>
      <c r="D1863">
        <v>-23.333333333333336</v>
      </c>
      <c r="E1863">
        <v>8.4622222222222199</v>
      </c>
    </row>
    <row r="1864" spans="1:5" x14ac:dyDescent="0.2">
      <c r="A1864" s="1">
        <v>42040</v>
      </c>
      <c r="B1864">
        <v>37</v>
      </c>
      <c r="C1864">
        <v>-7.7777777777777777</v>
      </c>
      <c r="D1864">
        <v>-28.888888888888889</v>
      </c>
      <c r="E1864">
        <v>8.9911111111111115</v>
      </c>
    </row>
    <row r="1865" spans="1:5" x14ac:dyDescent="0.2">
      <c r="A1865" s="1">
        <v>42041</v>
      </c>
      <c r="B1865">
        <v>38</v>
      </c>
      <c r="C1865">
        <v>-10</v>
      </c>
      <c r="D1865">
        <v>-27.222222222222221</v>
      </c>
      <c r="E1865">
        <v>9.43333333333333</v>
      </c>
    </row>
    <row r="1866" spans="1:5" x14ac:dyDescent="0.2">
      <c r="A1866" s="1">
        <v>42042</v>
      </c>
      <c r="B1866">
        <v>39</v>
      </c>
      <c r="C1866">
        <v>-1.1111111111111112</v>
      </c>
      <c r="D1866">
        <v>-12.222222222222223</v>
      </c>
      <c r="E1866">
        <v>9.0800000000000036</v>
      </c>
    </row>
    <row r="1867" spans="1:5" x14ac:dyDescent="0.2">
      <c r="A1867" s="1">
        <v>42043</v>
      </c>
      <c r="B1867">
        <v>40</v>
      </c>
      <c r="C1867">
        <v>3.8888888888888888</v>
      </c>
      <c r="D1867">
        <v>-11.666666666666668</v>
      </c>
      <c r="E1867">
        <v>9.9822222222222212</v>
      </c>
    </row>
    <row r="1868" spans="1:5" x14ac:dyDescent="0.2">
      <c r="A1868" s="1">
        <v>42044</v>
      </c>
      <c r="B1868">
        <v>41</v>
      </c>
      <c r="C1868">
        <v>3.333333333333333</v>
      </c>
      <c r="D1868">
        <v>-6.6666666666666661</v>
      </c>
      <c r="E1868">
        <v>8.9066666666666627</v>
      </c>
    </row>
    <row r="1869" spans="1:5" x14ac:dyDescent="0.2">
      <c r="A1869" s="1">
        <v>42045</v>
      </c>
      <c r="B1869">
        <v>42</v>
      </c>
      <c r="C1869">
        <v>-1.6666666666666665</v>
      </c>
      <c r="D1869">
        <v>-16.111111111111111</v>
      </c>
      <c r="E1869">
        <v>9.7333333333333325</v>
      </c>
    </row>
    <row r="1870" spans="1:5" x14ac:dyDescent="0.2">
      <c r="A1870" s="1">
        <v>42046</v>
      </c>
      <c r="B1870">
        <v>43</v>
      </c>
      <c r="C1870">
        <v>0</v>
      </c>
      <c r="D1870">
        <v>-15</v>
      </c>
      <c r="E1870">
        <v>10.073333333333336</v>
      </c>
    </row>
    <row r="1871" spans="1:5" x14ac:dyDescent="0.2">
      <c r="A1871" s="1">
        <v>42047</v>
      </c>
      <c r="B1871">
        <v>44</v>
      </c>
      <c r="C1871">
        <v>0</v>
      </c>
      <c r="D1871">
        <v>-15.555555555555555</v>
      </c>
      <c r="E1871">
        <v>8.4711111111111101</v>
      </c>
    </row>
    <row r="1872" spans="1:5" x14ac:dyDescent="0.2">
      <c r="A1872" s="1">
        <v>42048</v>
      </c>
      <c r="B1872">
        <v>45</v>
      </c>
      <c r="C1872">
        <v>-11.111111111111111</v>
      </c>
      <c r="D1872">
        <v>-20.555555555555554</v>
      </c>
      <c r="E1872">
        <v>9.2622222222222241</v>
      </c>
    </row>
    <row r="1873" spans="1:5" x14ac:dyDescent="0.2">
      <c r="A1873" s="1">
        <v>42049</v>
      </c>
      <c r="B1873">
        <v>46</v>
      </c>
      <c r="C1873">
        <v>-2.7777777777777777</v>
      </c>
      <c r="D1873">
        <v>-17.777777777777779</v>
      </c>
      <c r="E1873">
        <v>9.7844444444444445</v>
      </c>
    </row>
    <row r="1874" spans="1:5" x14ac:dyDescent="0.2">
      <c r="A1874" s="1">
        <v>42050</v>
      </c>
      <c r="B1874">
        <v>47</v>
      </c>
      <c r="C1874">
        <v>-14.444444444444445</v>
      </c>
      <c r="D1874">
        <v>-20.555555555555554</v>
      </c>
      <c r="E1874">
        <v>10.419999999999996</v>
      </c>
    </row>
    <row r="1875" spans="1:5" x14ac:dyDescent="0.2">
      <c r="A1875" s="1">
        <v>42051</v>
      </c>
      <c r="B1875">
        <v>48</v>
      </c>
      <c r="C1875">
        <v>-11.666666666666668</v>
      </c>
      <c r="D1875">
        <v>-15</v>
      </c>
      <c r="E1875">
        <v>10.89111111111111</v>
      </c>
    </row>
    <row r="1876" spans="1:5" x14ac:dyDescent="0.2">
      <c r="A1876" s="1">
        <v>42052</v>
      </c>
      <c r="B1876">
        <v>49</v>
      </c>
      <c r="C1876">
        <v>-8.3333333333333339</v>
      </c>
      <c r="D1876">
        <v>-12.222222222222223</v>
      </c>
      <c r="E1876">
        <v>8.7977777777777799</v>
      </c>
    </row>
    <row r="1877" spans="1:5" x14ac:dyDescent="0.2">
      <c r="A1877" s="1">
        <v>42053</v>
      </c>
      <c r="B1877">
        <v>50</v>
      </c>
      <c r="C1877">
        <v>-9.4444444444444446</v>
      </c>
      <c r="D1877">
        <v>-17.222222222222221</v>
      </c>
      <c r="E1877">
        <v>9.6266666666666687</v>
      </c>
    </row>
    <row r="1878" spans="1:5" x14ac:dyDescent="0.2">
      <c r="A1878" s="1">
        <v>42054</v>
      </c>
      <c r="B1878">
        <v>51</v>
      </c>
      <c r="C1878">
        <v>-16.666666666666668</v>
      </c>
      <c r="D1878">
        <v>-26.111111111111111</v>
      </c>
      <c r="E1878">
        <v>10.488888888888887</v>
      </c>
    </row>
    <row r="1879" spans="1:5" x14ac:dyDescent="0.2">
      <c r="A1879" s="1">
        <v>42055</v>
      </c>
      <c r="B1879">
        <v>52</v>
      </c>
      <c r="C1879">
        <v>-15</v>
      </c>
      <c r="D1879">
        <v>-26.111111111111111</v>
      </c>
      <c r="E1879">
        <v>10.06</v>
      </c>
    </row>
    <row r="1880" spans="1:5" x14ac:dyDescent="0.2">
      <c r="A1880" s="1">
        <v>42056</v>
      </c>
      <c r="B1880">
        <v>53</v>
      </c>
      <c r="C1880">
        <v>-5</v>
      </c>
      <c r="D1880">
        <v>-17.222222222222221</v>
      </c>
      <c r="E1880">
        <v>10.406666666666665</v>
      </c>
    </row>
    <row r="1881" spans="1:5" x14ac:dyDescent="0.2">
      <c r="A1881" s="1">
        <v>42057</v>
      </c>
      <c r="B1881">
        <v>54</v>
      </c>
      <c r="C1881">
        <v>-1.1111111111111112</v>
      </c>
      <c r="D1881">
        <v>-15</v>
      </c>
      <c r="E1881">
        <v>10.113333333333337</v>
      </c>
    </row>
    <row r="1882" spans="1:5" x14ac:dyDescent="0.2">
      <c r="A1882" s="1">
        <v>42058</v>
      </c>
      <c r="B1882">
        <v>55</v>
      </c>
      <c r="C1882">
        <v>-13.333333333333332</v>
      </c>
      <c r="D1882">
        <v>-26.111111111111111</v>
      </c>
      <c r="E1882">
        <v>10.037777777777777</v>
      </c>
    </row>
    <row r="1883" spans="1:5" x14ac:dyDescent="0.2">
      <c r="A1883" s="1">
        <v>42059</v>
      </c>
      <c r="B1883">
        <v>56</v>
      </c>
      <c r="C1883">
        <v>-10</v>
      </c>
      <c r="D1883">
        <v>-26.111111111111111</v>
      </c>
      <c r="E1883">
        <v>11.8</v>
      </c>
    </row>
    <row r="1884" spans="1:5" x14ac:dyDescent="0.2">
      <c r="A1884" s="1">
        <v>42060</v>
      </c>
      <c r="B1884">
        <v>57</v>
      </c>
      <c r="C1884">
        <v>1.1111111111111112</v>
      </c>
      <c r="D1884">
        <v>-13.888888888888889</v>
      </c>
      <c r="E1884">
        <v>11.313333333333336</v>
      </c>
    </row>
    <row r="1885" spans="1:5" x14ac:dyDescent="0.2">
      <c r="A1885" s="1">
        <v>42061</v>
      </c>
      <c r="B1885">
        <v>58</v>
      </c>
      <c r="C1885">
        <v>-9.4444444444444446</v>
      </c>
      <c r="D1885">
        <v>-16.666666666666668</v>
      </c>
      <c r="E1885">
        <v>11.128888888888891</v>
      </c>
    </row>
    <row r="1886" spans="1:5" x14ac:dyDescent="0.2">
      <c r="A1886" s="1">
        <v>42062</v>
      </c>
      <c r="B1886">
        <v>59</v>
      </c>
      <c r="C1886">
        <v>-10.555555555555555</v>
      </c>
      <c r="D1886">
        <v>-23.333333333333336</v>
      </c>
      <c r="E1886">
        <v>11.87555555555555</v>
      </c>
    </row>
    <row r="1887" spans="1:5" x14ac:dyDescent="0.2">
      <c r="A1887" s="1">
        <v>42063</v>
      </c>
      <c r="B1887">
        <v>60</v>
      </c>
      <c r="C1887">
        <v>-8.8888888888888893</v>
      </c>
      <c r="D1887">
        <v>-23.888888888888889</v>
      </c>
      <c r="E1887">
        <v>11.59555555555556</v>
      </c>
    </row>
    <row r="1888" spans="1:5" x14ac:dyDescent="0.2">
      <c r="A1888" s="1">
        <v>42064</v>
      </c>
      <c r="B1888">
        <v>61</v>
      </c>
      <c r="C1888">
        <v>-5.5555555555555554</v>
      </c>
      <c r="D1888">
        <v>-14.444444444444445</v>
      </c>
      <c r="E1888">
        <v>11.271111111111111</v>
      </c>
    </row>
    <row r="1889" spans="1:5" x14ac:dyDescent="0.2">
      <c r="A1889" s="1">
        <v>42065</v>
      </c>
      <c r="B1889">
        <v>62</v>
      </c>
      <c r="C1889">
        <v>-2.2222222222222223</v>
      </c>
      <c r="D1889">
        <v>-16.111111111111111</v>
      </c>
      <c r="E1889">
        <v>11.388888888888886</v>
      </c>
    </row>
    <row r="1890" spans="1:5" x14ac:dyDescent="0.2">
      <c r="A1890" s="1">
        <v>42066</v>
      </c>
      <c r="B1890">
        <v>63</v>
      </c>
      <c r="C1890">
        <v>-2.2222222222222223</v>
      </c>
      <c r="D1890">
        <v>-16.111111111111111</v>
      </c>
      <c r="E1890">
        <v>10.191111111111111</v>
      </c>
    </row>
    <row r="1891" spans="1:5" x14ac:dyDescent="0.2">
      <c r="A1891" s="1">
        <v>42067</v>
      </c>
      <c r="B1891">
        <v>64</v>
      </c>
      <c r="C1891">
        <v>-1.1111111111111112</v>
      </c>
      <c r="D1891">
        <v>-12.777777777777777</v>
      </c>
      <c r="E1891">
        <v>11.199999999999996</v>
      </c>
    </row>
    <row r="1892" spans="1:5" x14ac:dyDescent="0.2">
      <c r="A1892" s="1">
        <v>42068</v>
      </c>
      <c r="B1892">
        <v>65</v>
      </c>
      <c r="C1892">
        <v>-8.3333333333333339</v>
      </c>
      <c r="D1892">
        <v>-21.111111111111111</v>
      </c>
      <c r="E1892">
        <v>12.780000000000003</v>
      </c>
    </row>
    <row r="1893" spans="1:5" x14ac:dyDescent="0.2">
      <c r="A1893" s="1">
        <v>42069</v>
      </c>
      <c r="B1893">
        <v>66</v>
      </c>
      <c r="C1893">
        <v>-10</v>
      </c>
      <c r="D1893">
        <v>-22.222222222222221</v>
      </c>
      <c r="E1893">
        <v>13.068888888888889</v>
      </c>
    </row>
    <row r="1894" spans="1:5" x14ac:dyDescent="0.2">
      <c r="A1894" s="1">
        <v>42070</v>
      </c>
      <c r="B1894">
        <v>67</v>
      </c>
      <c r="C1894">
        <v>-1.6666666666666665</v>
      </c>
      <c r="D1894">
        <v>-18.888888888888889</v>
      </c>
      <c r="E1894">
        <v>11.393333333333333</v>
      </c>
    </row>
    <row r="1895" spans="1:5" x14ac:dyDescent="0.2">
      <c r="A1895" s="1">
        <v>42071</v>
      </c>
      <c r="B1895">
        <v>68</v>
      </c>
      <c r="C1895">
        <v>6.6666666666666661</v>
      </c>
      <c r="D1895">
        <v>-7.2222222222222223</v>
      </c>
      <c r="E1895">
        <v>12.291111111111112</v>
      </c>
    </row>
    <row r="1896" spans="1:5" x14ac:dyDescent="0.2">
      <c r="A1896" s="1">
        <v>42072</v>
      </c>
      <c r="B1896">
        <v>69</v>
      </c>
      <c r="C1896">
        <v>8.8888888888888893</v>
      </c>
      <c r="D1896">
        <v>-5</v>
      </c>
      <c r="E1896">
        <v>13.813333333333336</v>
      </c>
    </row>
    <row r="1897" spans="1:5" x14ac:dyDescent="0.2">
      <c r="A1897" s="1">
        <v>42073</v>
      </c>
      <c r="B1897">
        <v>70</v>
      </c>
      <c r="C1897">
        <v>11.111111111111111</v>
      </c>
      <c r="D1897">
        <v>-5.5555555555555554</v>
      </c>
      <c r="E1897">
        <v>12.808888888888891</v>
      </c>
    </row>
    <row r="1898" spans="1:5" x14ac:dyDescent="0.2">
      <c r="A1898" s="1">
        <v>42074</v>
      </c>
      <c r="B1898">
        <v>71</v>
      </c>
      <c r="C1898">
        <v>13.888888888888889</v>
      </c>
      <c r="D1898">
        <v>-3.8888888888888888</v>
      </c>
      <c r="E1898">
        <v>12.691111111111107</v>
      </c>
    </row>
    <row r="1899" spans="1:5" x14ac:dyDescent="0.2">
      <c r="A1899" s="1">
        <v>42075</v>
      </c>
      <c r="B1899">
        <v>72</v>
      </c>
      <c r="C1899">
        <v>13.888888888888889</v>
      </c>
      <c r="D1899">
        <v>-5</v>
      </c>
      <c r="E1899">
        <v>11.371111111111109</v>
      </c>
    </row>
    <row r="1900" spans="1:5" x14ac:dyDescent="0.2">
      <c r="A1900" s="1">
        <v>42076</v>
      </c>
      <c r="B1900">
        <v>73</v>
      </c>
      <c r="C1900">
        <v>14.444444444444445</v>
      </c>
      <c r="D1900">
        <v>-2.7777777777777777</v>
      </c>
      <c r="E1900">
        <v>13.164444444444442</v>
      </c>
    </row>
    <row r="1901" spans="1:5" x14ac:dyDescent="0.2">
      <c r="A1901" s="1">
        <v>42077</v>
      </c>
      <c r="B1901">
        <v>74</v>
      </c>
      <c r="C1901">
        <v>20</v>
      </c>
      <c r="D1901">
        <v>-2.2222222222222223</v>
      </c>
      <c r="E1901">
        <v>12.719999999999995</v>
      </c>
    </row>
    <row r="1902" spans="1:5" x14ac:dyDescent="0.2">
      <c r="A1902" s="1">
        <v>42078</v>
      </c>
      <c r="B1902">
        <v>75</v>
      </c>
      <c r="C1902">
        <v>15.555555555555555</v>
      </c>
      <c r="D1902">
        <v>-5</v>
      </c>
      <c r="E1902">
        <v>14.366666666666664</v>
      </c>
    </row>
    <row r="1903" spans="1:5" x14ac:dyDescent="0.2">
      <c r="A1903" s="1">
        <v>42079</v>
      </c>
      <c r="B1903">
        <v>76</v>
      </c>
      <c r="C1903">
        <v>16.111111111111111</v>
      </c>
      <c r="D1903">
        <v>1.6666666666666665</v>
      </c>
      <c r="E1903">
        <v>13.237777777777776</v>
      </c>
    </row>
    <row r="1904" spans="1:5" x14ac:dyDescent="0.2">
      <c r="A1904" s="1">
        <v>42080</v>
      </c>
      <c r="B1904">
        <v>77</v>
      </c>
      <c r="C1904">
        <v>22.222222222222221</v>
      </c>
      <c r="D1904">
        <v>1.1111111111111112</v>
      </c>
      <c r="E1904">
        <v>12.584444444444451</v>
      </c>
    </row>
    <row r="1905" spans="1:5" x14ac:dyDescent="0.2">
      <c r="A1905" s="1">
        <v>42081</v>
      </c>
      <c r="B1905">
        <v>78</v>
      </c>
      <c r="C1905">
        <v>7.2222222222222223</v>
      </c>
      <c r="D1905">
        <v>-6.1111111111111116</v>
      </c>
      <c r="E1905">
        <v>12.284444444444446</v>
      </c>
    </row>
    <row r="1906" spans="1:5" x14ac:dyDescent="0.2">
      <c r="A1906" s="1">
        <v>42082</v>
      </c>
      <c r="B1906">
        <v>79</v>
      </c>
      <c r="C1906">
        <v>10</v>
      </c>
      <c r="D1906">
        <v>-5.5555555555555554</v>
      </c>
      <c r="E1906">
        <v>13.337777777777776</v>
      </c>
    </row>
    <row r="1907" spans="1:5" x14ac:dyDescent="0.2">
      <c r="A1907" s="1">
        <v>42083</v>
      </c>
      <c r="B1907">
        <v>80</v>
      </c>
      <c r="C1907">
        <v>8.8888888888888893</v>
      </c>
      <c r="D1907">
        <v>0.55555555555555558</v>
      </c>
      <c r="E1907">
        <v>15</v>
      </c>
    </row>
    <row r="1908" spans="1:5" x14ac:dyDescent="0.2">
      <c r="A1908" s="1">
        <v>42084</v>
      </c>
      <c r="B1908">
        <v>81</v>
      </c>
      <c r="C1908">
        <v>15</v>
      </c>
      <c r="D1908">
        <v>-1.1111111111111112</v>
      </c>
      <c r="E1908">
        <v>14.926666666666668</v>
      </c>
    </row>
    <row r="1909" spans="1:5" x14ac:dyDescent="0.2">
      <c r="A1909" s="1">
        <v>42085</v>
      </c>
      <c r="B1909">
        <v>82</v>
      </c>
      <c r="C1909">
        <v>9.4444444444444446</v>
      </c>
      <c r="D1909">
        <v>-3.8888888888888888</v>
      </c>
      <c r="E1909">
        <v>16.43333333333333</v>
      </c>
    </row>
    <row r="1910" spans="1:5" x14ac:dyDescent="0.2">
      <c r="A1910" s="1">
        <v>42086</v>
      </c>
      <c r="B1910">
        <v>83</v>
      </c>
      <c r="C1910">
        <v>1.6666666666666665</v>
      </c>
      <c r="D1910">
        <v>-4.4444444444444446</v>
      </c>
      <c r="E1910">
        <v>14.304444444444442</v>
      </c>
    </row>
    <row r="1911" spans="1:5" x14ac:dyDescent="0.2">
      <c r="A1911" s="1">
        <v>42087</v>
      </c>
      <c r="B1911">
        <v>84</v>
      </c>
      <c r="C1911">
        <v>1.1111111111111112</v>
      </c>
      <c r="D1911">
        <v>-12.777777777777777</v>
      </c>
      <c r="E1911">
        <v>14.604444444444443</v>
      </c>
    </row>
    <row r="1912" spans="1:5" x14ac:dyDescent="0.2">
      <c r="A1912" s="1">
        <v>42088</v>
      </c>
      <c r="B1912">
        <v>85</v>
      </c>
      <c r="C1912">
        <v>4.4444444444444446</v>
      </c>
      <c r="D1912">
        <v>-10</v>
      </c>
      <c r="E1912">
        <v>15.69777777777778</v>
      </c>
    </row>
    <row r="1913" spans="1:5" x14ac:dyDescent="0.2">
      <c r="A1913" s="1">
        <v>42089</v>
      </c>
      <c r="B1913">
        <v>86</v>
      </c>
      <c r="C1913">
        <v>7.2222222222222223</v>
      </c>
      <c r="D1913">
        <v>-1.6666666666666665</v>
      </c>
      <c r="E1913">
        <v>14.977777777777776</v>
      </c>
    </row>
    <row r="1914" spans="1:5" x14ac:dyDescent="0.2">
      <c r="A1914" s="1">
        <v>42090</v>
      </c>
      <c r="B1914">
        <v>87</v>
      </c>
      <c r="C1914">
        <v>2.7777777777777777</v>
      </c>
      <c r="D1914">
        <v>-8.8888888888888893</v>
      </c>
      <c r="E1914">
        <v>12.684444444444447</v>
      </c>
    </row>
    <row r="1915" spans="1:5" x14ac:dyDescent="0.2">
      <c r="A1915" s="1">
        <v>42091</v>
      </c>
      <c r="B1915">
        <v>88</v>
      </c>
      <c r="C1915">
        <v>2.2222222222222223</v>
      </c>
      <c r="D1915">
        <v>-10</v>
      </c>
      <c r="E1915">
        <v>14.022222222222222</v>
      </c>
    </row>
    <row r="1916" spans="1:5" x14ac:dyDescent="0.2">
      <c r="A1916" s="1">
        <v>42092</v>
      </c>
      <c r="B1916">
        <v>89</v>
      </c>
      <c r="C1916">
        <v>3.8888888888888888</v>
      </c>
      <c r="D1916">
        <v>-2.2222222222222223</v>
      </c>
      <c r="E1916">
        <v>15.895555555555557</v>
      </c>
    </row>
    <row r="1917" spans="1:5" x14ac:dyDescent="0.2">
      <c r="A1917" s="1">
        <v>42093</v>
      </c>
      <c r="B1917">
        <v>90</v>
      </c>
      <c r="C1917">
        <v>7.2222222222222223</v>
      </c>
      <c r="D1917">
        <v>-3.8888888888888888</v>
      </c>
      <c r="E1917">
        <v>14.608888888888893</v>
      </c>
    </row>
    <row r="1918" spans="1:5" x14ac:dyDescent="0.2">
      <c r="A1918" s="1">
        <v>42094</v>
      </c>
      <c r="B1918">
        <v>91</v>
      </c>
      <c r="C1918">
        <v>13.888888888888889</v>
      </c>
      <c r="D1918">
        <v>-3.333333333333333</v>
      </c>
      <c r="E1918">
        <v>13.344444444444447</v>
      </c>
    </row>
    <row r="1919" spans="1:5" x14ac:dyDescent="0.2">
      <c r="A1919" s="1">
        <v>42095</v>
      </c>
      <c r="B1919">
        <v>92</v>
      </c>
      <c r="C1919">
        <v>17.222222222222221</v>
      </c>
      <c r="D1919">
        <v>-1.6666666666666665</v>
      </c>
      <c r="E1919">
        <v>14.593333333333337</v>
      </c>
    </row>
    <row r="1920" spans="1:5" x14ac:dyDescent="0.2">
      <c r="A1920" s="1">
        <v>42096</v>
      </c>
      <c r="B1920">
        <v>93</v>
      </c>
      <c r="C1920">
        <v>25</v>
      </c>
      <c r="D1920">
        <v>1.6666666666666665</v>
      </c>
      <c r="E1920">
        <v>13.820000000000002</v>
      </c>
    </row>
    <row r="1921" spans="1:5" x14ac:dyDescent="0.2">
      <c r="A1921" s="1">
        <v>42097</v>
      </c>
      <c r="B1921">
        <v>94</v>
      </c>
      <c r="C1921">
        <v>18.888888888888889</v>
      </c>
      <c r="D1921">
        <v>3.8888888888888888</v>
      </c>
      <c r="E1921">
        <v>15.273333333333332</v>
      </c>
    </row>
    <row r="1922" spans="1:5" x14ac:dyDescent="0.2">
      <c r="A1922" s="1">
        <v>42098</v>
      </c>
      <c r="B1922">
        <v>95</v>
      </c>
      <c r="C1922">
        <v>6.6666666666666661</v>
      </c>
      <c r="D1922">
        <v>-5.5555555555555554</v>
      </c>
      <c r="E1922">
        <v>14.677777777777782</v>
      </c>
    </row>
    <row r="1923" spans="1:5" x14ac:dyDescent="0.2">
      <c r="A1923" s="1">
        <v>42099</v>
      </c>
      <c r="B1923">
        <v>96</v>
      </c>
      <c r="C1923">
        <v>14.444444444444445</v>
      </c>
      <c r="D1923">
        <v>0</v>
      </c>
      <c r="E1923">
        <v>17.008888888888887</v>
      </c>
    </row>
    <row r="1924" spans="1:5" x14ac:dyDescent="0.2">
      <c r="A1924" s="1">
        <v>42100</v>
      </c>
      <c r="B1924">
        <v>97</v>
      </c>
      <c r="C1924">
        <v>16.666666666666668</v>
      </c>
      <c r="D1924">
        <v>0</v>
      </c>
      <c r="E1924">
        <v>16.526666666666664</v>
      </c>
    </row>
    <row r="1925" spans="1:5" x14ac:dyDescent="0.2">
      <c r="A1925" s="1">
        <v>42101</v>
      </c>
      <c r="B1925">
        <v>98</v>
      </c>
      <c r="C1925">
        <v>16.111111111111111</v>
      </c>
      <c r="D1925">
        <v>0</v>
      </c>
      <c r="E1925">
        <v>14.875555555555552</v>
      </c>
    </row>
    <row r="1926" spans="1:5" x14ac:dyDescent="0.2">
      <c r="A1926" s="1">
        <v>42102</v>
      </c>
      <c r="B1926">
        <v>99</v>
      </c>
      <c r="C1926">
        <v>7.7777777777777777</v>
      </c>
      <c r="D1926">
        <v>2.7777777777777777</v>
      </c>
      <c r="E1926">
        <v>17.475555555555555</v>
      </c>
    </row>
    <row r="1927" spans="1:5" x14ac:dyDescent="0.2">
      <c r="A1927" s="1">
        <v>42103</v>
      </c>
      <c r="B1927">
        <v>100</v>
      </c>
      <c r="C1927">
        <v>6.6666666666666661</v>
      </c>
      <c r="D1927">
        <v>3.333333333333333</v>
      </c>
      <c r="E1927">
        <v>17.055555555555557</v>
      </c>
    </row>
    <row r="1928" spans="1:5" x14ac:dyDescent="0.2">
      <c r="A1928" s="1">
        <v>42104</v>
      </c>
      <c r="B1928">
        <v>101</v>
      </c>
      <c r="C1928">
        <v>11.111111111111111</v>
      </c>
      <c r="D1928">
        <v>2.2222222222222223</v>
      </c>
      <c r="E1928">
        <v>15.882222222222218</v>
      </c>
    </row>
    <row r="1929" spans="1:5" x14ac:dyDescent="0.2">
      <c r="A1929" s="1">
        <v>42105</v>
      </c>
      <c r="B1929">
        <v>102</v>
      </c>
      <c r="C1929">
        <v>11.111111111111111</v>
      </c>
      <c r="D1929">
        <v>0.55555555555555558</v>
      </c>
      <c r="E1929">
        <v>15.497777777777774</v>
      </c>
    </row>
    <row r="1930" spans="1:5" x14ac:dyDescent="0.2">
      <c r="A1930" s="1">
        <v>42106</v>
      </c>
      <c r="B1930">
        <v>103</v>
      </c>
      <c r="C1930">
        <v>21.111111111111111</v>
      </c>
      <c r="D1930">
        <v>5.5555555555555554</v>
      </c>
      <c r="E1930">
        <v>18.066666666666666</v>
      </c>
    </row>
    <row r="1931" spans="1:5" x14ac:dyDescent="0.2">
      <c r="A1931" s="1">
        <v>42107</v>
      </c>
      <c r="B1931">
        <v>104</v>
      </c>
      <c r="C1931">
        <v>21.666666666666664</v>
      </c>
      <c r="D1931">
        <v>10.555555555555555</v>
      </c>
      <c r="E1931">
        <v>17.306666666666665</v>
      </c>
    </row>
    <row r="1932" spans="1:5" x14ac:dyDescent="0.2">
      <c r="A1932" s="1">
        <v>42108</v>
      </c>
      <c r="B1932">
        <v>105</v>
      </c>
      <c r="C1932">
        <v>18.333333333333332</v>
      </c>
      <c r="D1932">
        <v>-1.1111111111111112</v>
      </c>
      <c r="E1932">
        <v>18.091111111111108</v>
      </c>
    </row>
    <row r="1933" spans="1:5" x14ac:dyDescent="0.2">
      <c r="A1933" s="1">
        <v>42109</v>
      </c>
      <c r="B1933">
        <v>106</v>
      </c>
      <c r="C1933">
        <v>19.444444444444443</v>
      </c>
      <c r="D1933">
        <v>-0.55555555555555558</v>
      </c>
      <c r="E1933">
        <v>15.755555555555551</v>
      </c>
    </row>
    <row r="1934" spans="1:5" x14ac:dyDescent="0.2">
      <c r="A1934" s="1">
        <v>42110</v>
      </c>
      <c r="B1934">
        <v>107</v>
      </c>
      <c r="C1934">
        <v>20.555555555555554</v>
      </c>
      <c r="D1934">
        <v>1.1111111111111112</v>
      </c>
      <c r="E1934">
        <v>18.606666666666669</v>
      </c>
    </row>
    <row r="1935" spans="1:5" x14ac:dyDescent="0.2">
      <c r="A1935" s="1">
        <v>42111</v>
      </c>
      <c r="B1935">
        <v>108</v>
      </c>
      <c r="C1935">
        <v>22.777777777777779</v>
      </c>
      <c r="D1935">
        <v>2.2222222222222223</v>
      </c>
      <c r="E1935">
        <v>17.028888888888886</v>
      </c>
    </row>
    <row r="1936" spans="1:5" x14ac:dyDescent="0.2">
      <c r="A1936" s="1">
        <v>42112</v>
      </c>
      <c r="B1936">
        <v>109</v>
      </c>
      <c r="C1936">
        <v>25.555555555555554</v>
      </c>
      <c r="D1936">
        <v>3.8888888888888888</v>
      </c>
      <c r="E1936">
        <v>16.00888888888889</v>
      </c>
    </row>
    <row r="1937" spans="1:5" x14ac:dyDescent="0.2">
      <c r="A1937" s="1">
        <v>42113</v>
      </c>
      <c r="B1937">
        <v>110</v>
      </c>
      <c r="C1937">
        <v>20.555555555555554</v>
      </c>
      <c r="D1937">
        <v>3.8888888888888888</v>
      </c>
      <c r="E1937">
        <v>14.822222222222214</v>
      </c>
    </row>
    <row r="1938" spans="1:5" x14ac:dyDescent="0.2">
      <c r="A1938" s="1">
        <v>42114</v>
      </c>
      <c r="B1938">
        <v>111</v>
      </c>
      <c r="C1938">
        <v>23.888888888888889</v>
      </c>
      <c r="D1938">
        <v>8.3333333333333339</v>
      </c>
      <c r="E1938">
        <v>16.506666666666668</v>
      </c>
    </row>
    <row r="1939" spans="1:5" x14ac:dyDescent="0.2">
      <c r="A1939" s="1">
        <v>42115</v>
      </c>
      <c r="B1939">
        <v>112</v>
      </c>
      <c r="C1939">
        <v>8.3333333333333339</v>
      </c>
      <c r="D1939">
        <v>1.6666666666666665</v>
      </c>
      <c r="E1939">
        <v>16.88</v>
      </c>
    </row>
    <row r="1940" spans="1:5" x14ac:dyDescent="0.2">
      <c r="A1940" s="1">
        <v>42116</v>
      </c>
      <c r="B1940">
        <v>113</v>
      </c>
      <c r="C1940">
        <v>5</v>
      </c>
      <c r="D1940">
        <v>-0.55555555555555558</v>
      </c>
      <c r="E1940">
        <v>17.740000000000009</v>
      </c>
    </row>
    <row r="1941" spans="1:5" x14ac:dyDescent="0.2">
      <c r="A1941" s="1">
        <v>42117</v>
      </c>
      <c r="B1941">
        <v>114</v>
      </c>
      <c r="C1941">
        <v>8.8888888888888893</v>
      </c>
      <c r="D1941">
        <v>-4.4444444444444446</v>
      </c>
      <c r="E1941">
        <v>19.917777777777768</v>
      </c>
    </row>
    <row r="1942" spans="1:5" x14ac:dyDescent="0.2">
      <c r="A1942" s="1">
        <v>42118</v>
      </c>
      <c r="B1942">
        <v>115</v>
      </c>
      <c r="C1942">
        <v>12.222222222222223</v>
      </c>
      <c r="D1942">
        <v>-6.1111111111111116</v>
      </c>
      <c r="E1942">
        <v>19.82888888888888</v>
      </c>
    </row>
    <row r="1943" spans="1:5" x14ac:dyDescent="0.2">
      <c r="A1943" s="1">
        <v>42119</v>
      </c>
      <c r="B1943">
        <v>116</v>
      </c>
      <c r="C1943">
        <v>12.222222222222223</v>
      </c>
      <c r="D1943">
        <v>-4.4444444444444446</v>
      </c>
      <c r="E1943">
        <v>19.919999999999998</v>
      </c>
    </row>
    <row r="1944" spans="1:5" x14ac:dyDescent="0.2">
      <c r="A1944" s="1">
        <v>42120</v>
      </c>
      <c r="B1944">
        <v>117</v>
      </c>
      <c r="C1944">
        <v>11.111111111111111</v>
      </c>
      <c r="D1944">
        <v>-2.7777777777777777</v>
      </c>
      <c r="E1944">
        <v>18.355555555555554</v>
      </c>
    </row>
    <row r="1945" spans="1:5" x14ac:dyDescent="0.2">
      <c r="A1945" s="1">
        <v>42121</v>
      </c>
      <c r="B1945">
        <v>118</v>
      </c>
      <c r="C1945">
        <v>16.111111111111111</v>
      </c>
      <c r="D1945">
        <v>-2.2222222222222223</v>
      </c>
      <c r="E1945">
        <v>18.562222222222225</v>
      </c>
    </row>
    <row r="1946" spans="1:5" x14ac:dyDescent="0.2">
      <c r="A1946" s="1">
        <v>42122</v>
      </c>
      <c r="B1946">
        <v>119</v>
      </c>
      <c r="C1946">
        <v>18.888888888888889</v>
      </c>
      <c r="D1946">
        <v>-1.1111111111111112</v>
      </c>
      <c r="E1946">
        <v>18.202222222222229</v>
      </c>
    </row>
    <row r="1947" spans="1:5" x14ac:dyDescent="0.2">
      <c r="A1947" s="1">
        <v>42123</v>
      </c>
      <c r="B1947">
        <v>120</v>
      </c>
      <c r="C1947">
        <v>20</v>
      </c>
      <c r="D1947">
        <v>0.55555555555555558</v>
      </c>
      <c r="E1947">
        <v>17.571111111111119</v>
      </c>
    </row>
    <row r="1948" spans="1:5" x14ac:dyDescent="0.2">
      <c r="A1948" s="1">
        <v>42124</v>
      </c>
      <c r="B1948">
        <v>121</v>
      </c>
      <c r="C1948">
        <v>20</v>
      </c>
      <c r="D1948">
        <v>-1.6666666666666665</v>
      </c>
      <c r="E1948">
        <v>19.524444444444448</v>
      </c>
    </row>
    <row r="1949" spans="1:5" x14ac:dyDescent="0.2">
      <c r="A1949" s="1">
        <v>42125</v>
      </c>
      <c r="B1949">
        <v>122</v>
      </c>
      <c r="C1949">
        <v>17.222222222222221</v>
      </c>
      <c r="D1949">
        <v>-0.55555555555555558</v>
      </c>
      <c r="E1949">
        <v>19.262222222222217</v>
      </c>
    </row>
    <row r="1950" spans="1:5" x14ac:dyDescent="0.2">
      <c r="A1950" s="1">
        <v>42126</v>
      </c>
      <c r="B1950">
        <v>123</v>
      </c>
      <c r="C1950">
        <v>19.444444444444443</v>
      </c>
      <c r="D1950">
        <v>0</v>
      </c>
      <c r="E1950">
        <v>21.293333333333326</v>
      </c>
    </row>
    <row r="1951" spans="1:5" x14ac:dyDescent="0.2">
      <c r="A1951" s="1">
        <v>42127</v>
      </c>
      <c r="B1951">
        <v>124</v>
      </c>
      <c r="C1951">
        <v>25</v>
      </c>
      <c r="D1951">
        <v>10.555555555555555</v>
      </c>
      <c r="E1951">
        <v>20.195555555555561</v>
      </c>
    </row>
    <row r="1952" spans="1:5" x14ac:dyDescent="0.2">
      <c r="A1952" s="1">
        <v>42128</v>
      </c>
      <c r="B1952">
        <v>125</v>
      </c>
      <c r="C1952">
        <v>24.444444444444446</v>
      </c>
      <c r="D1952">
        <v>12.777777777777777</v>
      </c>
      <c r="E1952">
        <v>19.100000000000005</v>
      </c>
    </row>
    <row r="1953" spans="1:5" x14ac:dyDescent="0.2">
      <c r="A1953" s="1">
        <v>42129</v>
      </c>
      <c r="B1953">
        <v>126</v>
      </c>
      <c r="C1953">
        <v>23.333333333333336</v>
      </c>
      <c r="D1953">
        <v>9.4444444444444446</v>
      </c>
      <c r="E1953">
        <v>20.082222222222224</v>
      </c>
    </row>
    <row r="1954" spans="1:5" x14ac:dyDescent="0.2">
      <c r="A1954" s="1">
        <v>42130</v>
      </c>
      <c r="B1954">
        <v>127</v>
      </c>
      <c r="C1954">
        <v>13.333333333333332</v>
      </c>
      <c r="D1954">
        <v>8.8888888888888893</v>
      </c>
      <c r="E1954">
        <v>17.606666666666673</v>
      </c>
    </row>
    <row r="1955" spans="1:5" x14ac:dyDescent="0.2">
      <c r="A1955" s="1">
        <v>42131</v>
      </c>
      <c r="B1955">
        <v>128</v>
      </c>
      <c r="C1955">
        <v>25</v>
      </c>
      <c r="D1955">
        <v>10</v>
      </c>
      <c r="E1955">
        <v>18.580000000000002</v>
      </c>
    </row>
    <row r="1956" spans="1:5" x14ac:dyDescent="0.2">
      <c r="A1956" s="1">
        <v>42132</v>
      </c>
      <c r="B1956">
        <v>129</v>
      </c>
      <c r="C1956">
        <v>27.777777777777779</v>
      </c>
      <c r="D1956">
        <v>16.111111111111111</v>
      </c>
      <c r="E1956">
        <v>20.891111111111112</v>
      </c>
    </row>
    <row r="1957" spans="1:5" x14ac:dyDescent="0.2">
      <c r="A1957" s="1">
        <v>42133</v>
      </c>
      <c r="B1957">
        <v>130</v>
      </c>
      <c r="C1957">
        <v>23.333333333333336</v>
      </c>
      <c r="D1957">
        <v>13.333333333333332</v>
      </c>
      <c r="E1957">
        <v>21.2911111111111</v>
      </c>
    </row>
    <row r="1958" spans="1:5" x14ac:dyDescent="0.2">
      <c r="A1958" s="1">
        <v>42134</v>
      </c>
      <c r="B1958">
        <v>131</v>
      </c>
      <c r="C1958">
        <v>23.333333333333336</v>
      </c>
      <c r="D1958">
        <v>9.4444444444444446</v>
      </c>
      <c r="E1958">
        <v>17.644444444444446</v>
      </c>
    </row>
    <row r="1959" spans="1:5" x14ac:dyDescent="0.2">
      <c r="A1959" s="1">
        <v>42135</v>
      </c>
      <c r="B1959">
        <v>132</v>
      </c>
      <c r="C1959">
        <v>15</v>
      </c>
      <c r="D1959">
        <v>10.555555555555555</v>
      </c>
      <c r="E1959">
        <v>19.975555555555552</v>
      </c>
    </row>
    <row r="1960" spans="1:5" x14ac:dyDescent="0.2">
      <c r="A1960" s="1">
        <v>42136</v>
      </c>
      <c r="B1960">
        <v>133</v>
      </c>
      <c r="C1960">
        <v>17.777777777777779</v>
      </c>
      <c r="D1960">
        <v>6.6666666666666661</v>
      </c>
      <c r="E1960">
        <v>19.571111111111115</v>
      </c>
    </row>
    <row r="1961" spans="1:5" x14ac:dyDescent="0.2">
      <c r="A1961" s="1">
        <v>42137</v>
      </c>
      <c r="B1961">
        <v>134</v>
      </c>
      <c r="C1961">
        <v>11.666666666666668</v>
      </c>
      <c r="D1961">
        <v>-0.55555555555555558</v>
      </c>
      <c r="E1961">
        <v>18.477777777777774</v>
      </c>
    </row>
    <row r="1962" spans="1:5" x14ac:dyDescent="0.2">
      <c r="A1962" s="1">
        <v>42138</v>
      </c>
      <c r="B1962">
        <v>135</v>
      </c>
      <c r="C1962">
        <v>17.222222222222221</v>
      </c>
      <c r="D1962">
        <v>0.55555555555555558</v>
      </c>
      <c r="E1962">
        <v>19.902222222222221</v>
      </c>
    </row>
    <row r="1963" spans="1:5" x14ac:dyDescent="0.2">
      <c r="A1963" s="1">
        <v>42139</v>
      </c>
      <c r="B1963">
        <v>136</v>
      </c>
      <c r="C1963">
        <v>18.333333333333332</v>
      </c>
      <c r="D1963">
        <v>5.5555555555555554</v>
      </c>
      <c r="E1963">
        <v>20.839999999999996</v>
      </c>
    </row>
    <row r="1964" spans="1:5" x14ac:dyDescent="0.2">
      <c r="A1964" s="1">
        <v>42140</v>
      </c>
      <c r="B1964">
        <v>137</v>
      </c>
      <c r="C1964">
        <v>23.888888888888889</v>
      </c>
      <c r="D1964">
        <v>13.333333333333332</v>
      </c>
      <c r="E1964">
        <v>20.335555555555548</v>
      </c>
    </row>
    <row r="1965" spans="1:5" x14ac:dyDescent="0.2">
      <c r="A1965" s="1">
        <v>42141</v>
      </c>
      <c r="B1965">
        <v>138</v>
      </c>
      <c r="C1965">
        <v>26.666666666666664</v>
      </c>
      <c r="D1965">
        <v>16.111111111111111</v>
      </c>
      <c r="E1965">
        <v>19.555555555555557</v>
      </c>
    </row>
    <row r="1966" spans="1:5" x14ac:dyDescent="0.2">
      <c r="A1966" s="1">
        <v>42142</v>
      </c>
      <c r="B1966">
        <v>139</v>
      </c>
      <c r="C1966">
        <v>27.222222222222221</v>
      </c>
      <c r="D1966">
        <v>14.444444444444445</v>
      </c>
      <c r="E1966">
        <v>21.506666666666671</v>
      </c>
    </row>
    <row r="1967" spans="1:5" x14ac:dyDescent="0.2">
      <c r="A1967" s="1">
        <v>42143</v>
      </c>
      <c r="B1967">
        <v>140</v>
      </c>
      <c r="C1967">
        <v>15</v>
      </c>
      <c r="D1967">
        <v>5.5555555555555554</v>
      </c>
      <c r="E1967">
        <v>22.404444444444444</v>
      </c>
    </row>
    <row r="1968" spans="1:5" x14ac:dyDescent="0.2">
      <c r="A1968" s="1">
        <v>42144</v>
      </c>
      <c r="B1968">
        <v>141</v>
      </c>
      <c r="C1968">
        <v>15</v>
      </c>
      <c r="D1968">
        <v>5</v>
      </c>
      <c r="E1968">
        <v>22.526666666666674</v>
      </c>
    </row>
    <row r="1969" spans="1:5" x14ac:dyDescent="0.2">
      <c r="A1969" s="1">
        <v>42145</v>
      </c>
      <c r="B1969">
        <v>142</v>
      </c>
      <c r="C1969">
        <v>11.111111111111111</v>
      </c>
      <c r="D1969">
        <v>3.8888888888888888</v>
      </c>
      <c r="E1969">
        <v>20.664444444444445</v>
      </c>
    </row>
    <row r="1970" spans="1:5" x14ac:dyDescent="0.2">
      <c r="A1970" s="1">
        <v>42146</v>
      </c>
      <c r="B1970">
        <v>143</v>
      </c>
      <c r="C1970">
        <v>23.888888888888889</v>
      </c>
      <c r="D1970">
        <v>3.8888888888888888</v>
      </c>
      <c r="E1970">
        <v>19.966666666666665</v>
      </c>
    </row>
    <row r="1971" spans="1:5" x14ac:dyDescent="0.2">
      <c r="A1971" s="1">
        <v>42147</v>
      </c>
      <c r="B1971">
        <v>144</v>
      </c>
      <c r="C1971">
        <v>23.333333333333336</v>
      </c>
      <c r="D1971">
        <v>3.8888888888888888</v>
      </c>
      <c r="E1971">
        <v>21.091111111111118</v>
      </c>
    </row>
    <row r="1972" spans="1:5" x14ac:dyDescent="0.2">
      <c r="A1972" s="1">
        <v>42148</v>
      </c>
      <c r="B1972">
        <v>145</v>
      </c>
      <c r="C1972">
        <v>26.666666666666664</v>
      </c>
      <c r="D1972">
        <v>10</v>
      </c>
      <c r="E1972">
        <v>21.435555555555553</v>
      </c>
    </row>
    <row r="1973" spans="1:5" x14ac:dyDescent="0.2">
      <c r="A1973" s="1">
        <v>42149</v>
      </c>
      <c r="B1973">
        <v>146</v>
      </c>
      <c r="C1973">
        <v>19.444444444444443</v>
      </c>
      <c r="D1973">
        <v>13.888888888888889</v>
      </c>
      <c r="E1973">
        <v>22.319999999999986</v>
      </c>
    </row>
    <row r="1974" spans="1:5" x14ac:dyDescent="0.2">
      <c r="A1974" s="1">
        <v>42150</v>
      </c>
      <c r="B1974">
        <v>147</v>
      </c>
      <c r="C1974">
        <v>25.555555555555554</v>
      </c>
      <c r="D1974">
        <v>16.666666666666668</v>
      </c>
      <c r="E1974">
        <v>21.086666666666666</v>
      </c>
    </row>
    <row r="1975" spans="1:5" x14ac:dyDescent="0.2">
      <c r="A1975" s="1">
        <v>42151</v>
      </c>
      <c r="B1975">
        <v>148</v>
      </c>
      <c r="C1975">
        <v>23.888888888888889</v>
      </c>
      <c r="D1975">
        <v>14.444444444444445</v>
      </c>
      <c r="E1975">
        <v>19.986666666666665</v>
      </c>
    </row>
    <row r="1976" spans="1:5" x14ac:dyDescent="0.2">
      <c r="A1976" s="1">
        <v>42152</v>
      </c>
      <c r="B1976">
        <v>149</v>
      </c>
      <c r="C1976">
        <v>25.555555555555554</v>
      </c>
      <c r="D1976">
        <v>12.222222222222223</v>
      </c>
      <c r="E1976">
        <v>20.988888888888894</v>
      </c>
    </row>
    <row r="1977" spans="1:5" x14ac:dyDescent="0.2">
      <c r="A1977" s="1">
        <v>42153</v>
      </c>
      <c r="B1977">
        <v>150</v>
      </c>
      <c r="C1977">
        <v>27.777777777777779</v>
      </c>
      <c r="D1977">
        <v>12.777777777777777</v>
      </c>
      <c r="E1977">
        <v>21.175555555555562</v>
      </c>
    </row>
    <row r="1978" spans="1:5" x14ac:dyDescent="0.2">
      <c r="A1978" s="1">
        <v>42154</v>
      </c>
      <c r="B1978">
        <v>151</v>
      </c>
      <c r="C1978">
        <v>25.555555555555554</v>
      </c>
      <c r="D1978">
        <v>16.666666666666668</v>
      </c>
      <c r="E1978">
        <v>21.524444444444448</v>
      </c>
    </row>
    <row r="1979" spans="1:5" x14ac:dyDescent="0.2">
      <c r="A1979" s="1">
        <v>42155</v>
      </c>
      <c r="B1979">
        <v>152</v>
      </c>
      <c r="C1979">
        <v>18.333333333333332</v>
      </c>
      <c r="D1979">
        <v>5</v>
      </c>
      <c r="E1979">
        <v>22.935555555555549</v>
      </c>
    </row>
    <row r="1980" spans="1:5" x14ac:dyDescent="0.2">
      <c r="A1980" s="1">
        <v>42156</v>
      </c>
      <c r="B1980">
        <v>153</v>
      </c>
      <c r="C1980">
        <v>17.222222222222221</v>
      </c>
      <c r="D1980">
        <v>3.333333333333333</v>
      </c>
      <c r="E1980">
        <v>22.097777777777782</v>
      </c>
    </row>
    <row r="1981" spans="1:5" x14ac:dyDescent="0.2">
      <c r="A1981" s="1">
        <v>42157</v>
      </c>
      <c r="B1981">
        <v>154</v>
      </c>
      <c r="C1981">
        <v>20</v>
      </c>
      <c r="D1981">
        <v>2.7777777777777777</v>
      </c>
      <c r="E1981">
        <v>23.393333333333331</v>
      </c>
    </row>
    <row r="1982" spans="1:5" x14ac:dyDescent="0.2">
      <c r="A1982" s="1">
        <v>42158</v>
      </c>
      <c r="B1982">
        <v>155</v>
      </c>
      <c r="C1982">
        <v>22.222222222222221</v>
      </c>
      <c r="D1982">
        <v>4.4444444444444446</v>
      </c>
      <c r="E1982">
        <v>22.279999999999998</v>
      </c>
    </row>
    <row r="1983" spans="1:5" x14ac:dyDescent="0.2">
      <c r="A1983" s="1">
        <v>42159</v>
      </c>
      <c r="B1983">
        <v>156</v>
      </c>
      <c r="C1983">
        <v>25</v>
      </c>
      <c r="D1983">
        <v>13.333333333333332</v>
      </c>
      <c r="E1983">
        <v>21.313333333333325</v>
      </c>
    </row>
    <row r="1984" spans="1:5" x14ac:dyDescent="0.2">
      <c r="A1984" s="1">
        <v>42160</v>
      </c>
      <c r="B1984">
        <v>157</v>
      </c>
      <c r="C1984">
        <v>26.666666666666664</v>
      </c>
      <c r="D1984">
        <v>14.444444444444445</v>
      </c>
      <c r="E1984">
        <v>22.002222222222226</v>
      </c>
    </row>
    <row r="1985" spans="1:5" x14ac:dyDescent="0.2">
      <c r="A1985" s="1">
        <v>42161</v>
      </c>
      <c r="B1985">
        <v>158</v>
      </c>
      <c r="C1985">
        <v>22.222222222222221</v>
      </c>
      <c r="D1985">
        <v>9.4444444444444446</v>
      </c>
      <c r="E1985">
        <v>22.086666666666659</v>
      </c>
    </row>
    <row r="1986" spans="1:5" x14ac:dyDescent="0.2">
      <c r="A1986" s="1">
        <v>42162</v>
      </c>
      <c r="B1986">
        <v>159</v>
      </c>
      <c r="C1986">
        <v>24.444444444444446</v>
      </c>
      <c r="D1986">
        <v>11.666666666666668</v>
      </c>
      <c r="E1986">
        <v>23.813333333333325</v>
      </c>
    </row>
    <row r="1987" spans="1:5" x14ac:dyDescent="0.2">
      <c r="A1987" s="1">
        <v>42163</v>
      </c>
      <c r="B1987">
        <v>160</v>
      </c>
      <c r="C1987">
        <v>28.333333333333336</v>
      </c>
      <c r="D1987">
        <v>16.111111111111111</v>
      </c>
      <c r="E1987">
        <v>21.76222222222221</v>
      </c>
    </row>
    <row r="1988" spans="1:5" x14ac:dyDescent="0.2">
      <c r="A1988" s="1">
        <v>42164</v>
      </c>
      <c r="B1988">
        <v>161</v>
      </c>
      <c r="C1988">
        <v>26.111111111111111</v>
      </c>
      <c r="D1988">
        <v>11.666666666666668</v>
      </c>
      <c r="E1988">
        <v>23.468888888888888</v>
      </c>
    </row>
    <row r="1989" spans="1:5" x14ac:dyDescent="0.2">
      <c r="A1989" s="1">
        <v>42165</v>
      </c>
      <c r="B1989">
        <v>162</v>
      </c>
      <c r="C1989">
        <v>31.111111111111111</v>
      </c>
      <c r="D1989">
        <v>12.222222222222223</v>
      </c>
      <c r="E1989">
        <v>20.566666666666666</v>
      </c>
    </row>
    <row r="1990" spans="1:5" x14ac:dyDescent="0.2">
      <c r="A1990" s="1">
        <v>42166</v>
      </c>
      <c r="B1990">
        <v>163</v>
      </c>
      <c r="C1990">
        <v>28.333333333333336</v>
      </c>
      <c r="D1990">
        <v>13.888888888888889</v>
      </c>
      <c r="E1990">
        <v>21.984444444444435</v>
      </c>
    </row>
    <row r="1991" spans="1:5" x14ac:dyDescent="0.2">
      <c r="A1991" s="1">
        <v>42167</v>
      </c>
      <c r="B1991">
        <v>164</v>
      </c>
      <c r="C1991">
        <v>18.333333333333332</v>
      </c>
      <c r="D1991">
        <v>13.888888888888889</v>
      </c>
      <c r="E1991">
        <v>23.388888888888882</v>
      </c>
    </row>
    <row r="1992" spans="1:5" x14ac:dyDescent="0.2">
      <c r="A1992" s="1">
        <v>42168</v>
      </c>
      <c r="B1992">
        <v>165</v>
      </c>
      <c r="C1992">
        <v>20</v>
      </c>
      <c r="D1992">
        <v>13.888888888888889</v>
      </c>
      <c r="E1992">
        <v>21.657777777777785</v>
      </c>
    </row>
    <row r="1993" spans="1:5" x14ac:dyDescent="0.2">
      <c r="A1993" s="1">
        <v>42169</v>
      </c>
      <c r="B1993">
        <v>166</v>
      </c>
      <c r="C1993">
        <v>22.222222222222221</v>
      </c>
      <c r="D1993">
        <v>15.555555555555555</v>
      </c>
      <c r="E1993">
        <v>20.875555555555547</v>
      </c>
    </row>
    <row r="1994" spans="1:5" x14ac:dyDescent="0.2">
      <c r="A1994" s="1">
        <v>42170</v>
      </c>
      <c r="B1994">
        <v>167</v>
      </c>
      <c r="C1994">
        <v>28.333333333333336</v>
      </c>
      <c r="D1994">
        <v>17.777777777777779</v>
      </c>
      <c r="E1994">
        <v>21.88</v>
      </c>
    </row>
    <row r="1995" spans="1:5" x14ac:dyDescent="0.2">
      <c r="A1995" s="1">
        <v>42171</v>
      </c>
      <c r="B1995">
        <v>168</v>
      </c>
      <c r="C1995">
        <v>26.111111111111111</v>
      </c>
      <c r="D1995">
        <v>12.222222222222223</v>
      </c>
      <c r="E1995">
        <v>23.36666666666666</v>
      </c>
    </row>
    <row r="1996" spans="1:5" x14ac:dyDescent="0.2">
      <c r="A1996" s="1">
        <v>42172</v>
      </c>
      <c r="B1996">
        <v>169</v>
      </c>
      <c r="C1996">
        <v>25.555555555555554</v>
      </c>
      <c r="D1996">
        <v>12.222222222222223</v>
      </c>
      <c r="E1996">
        <v>21.613333333333337</v>
      </c>
    </row>
    <row r="1997" spans="1:5" x14ac:dyDescent="0.2">
      <c r="A1997" s="1">
        <v>42173</v>
      </c>
      <c r="B1997">
        <v>170</v>
      </c>
      <c r="C1997">
        <v>26.111111111111111</v>
      </c>
      <c r="D1997">
        <v>12.777777777777777</v>
      </c>
      <c r="E1997">
        <v>23.11333333333333</v>
      </c>
    </row>
    <row r="1998" spans="1:5" x14ac:dyDescent="0.2">
      <c r="A1998" s="1">
        <v>42174</v>
      </c>
      <c r="B1998">
        <v>171</v>
      </c>
      <c r="C1998">
        <v>25.555555555555554</v>
      </c>
      <c r="D1998">
        <v>11.666666666666668</v>
      </c>
      <c r="E1998">
        <v>23.373333333333328</v>
      </c>
    </row>
    <row r="1999" spans="1:5" x14ac:dyDescent="0.2">
      <c r="A1999" s="1">
        <v>42175</v>
      </c>
      <c r="B1999">
        <v>172</v>
      </c>
      <c r="C1999">
        <v>25.555555555555554</v>
      </c>
      <c r="D1999">
        <v>10.555555555555555</v>
      </c>
      <c r="E1999">
        <v>22.980000000000004</v>
      </c>
    </row>
    <row r="2000" spans="1:5" x14ac:dyDescent="0.2">
      <c r="A2000" s="1">
        <v>42176</v>
      </c>
      <c r="B2000">
        <v>173</v>
      </c>
      <c r="C2000">
        <v>25.555555555555554</v>
      </c>
      <c r="D2000">
        <v>10.555555555555555</v>
      </c>
      <c r="E2000">
        <v>22.42444444444444</v>
      </c>
    </row>
    <row r="2001" spans="1:5" x14ac:dyDescent="0.2">
      <c r="A2001" s="1">
        <v>42177</v>
      </c>
      <c r="B2001">
        <v>174</v>
      </c>
      <c r="C2001">
        <v>28.888888888888889</v>
      </c>
      <c r="D2001">
        <v>15.555555555555555</v>
      </c>
      <c r="E2001">
        <v>22.90444444444444</v>
      </c>
    </row>
    <row r="2002" spans="1:5" x14ac:dyDescent="0.2">
      <c r="A2002" s="1">
        <v>42178</v>
      </c>
      <c r="B2002">
        <v>175</v>
      </c>
      <c r="C2002">
        <v>27.222222222222221</v>
      </c>
      <c r="D2002">
        <v>12.777777777777777</v>
      </c>
      <c r="E2002">
        <v>23.068888888888885</v>
      </c>
    </row>
    <row r="2003" spans="1:5" x14ac:dyDescent="0.2">
      <c r="A2003" s="1">
        <v>42179</v>
      </c>
      <c r="B2003">
        <v>176</v>
      </c>
      <c r="C2003">
        <v>26.111111111111111</v>
      </c>
      <c r="D2003">
        <v>11.666666666666668</v>
      </c>
      <c r="E2003">
        <v>23.437777777777779</v>
      </c>
    </row>
    <row r="2004" spans="1:5" x14ac:dyDescent="0.2">
      <c r="A2004" s="1">
        <v>42180</v>
      </c>
      <c r="B2004">
        <v>177</v>
      </c>
      <c r="C2004">
        <v>26.666666666666664</v>
      </c>
      <c r="D2004">
        <v>13.333333333333332</v>
      </c>
      <c r="E2004">
        <v>24.166666666666679</v>
      </c>
    </row>
    <row r="2005" spans="1:5" x14ac:dyDescent="0.2">
      <c r="A2005" s="1">
        <v>42181</v>
      </c>
      <c r="B2005">
        <v>178</v>
      </c>
      <c r="C2005">
        <v>26.111111111111111</v>
      </c>
      <c r="D2005">
        <v>15</v>
      </c>
      <c r="E2005">
        <v>24.371111111111112</v>
      </c>
    </row>
    <row r="2006" spans="1:5" x14ac:dyDescent="0.2">
      <c r="A2006" s="1">
        <v>42182</v>
      </c>
      <c r="B2006">
        <v>179</v>
      </c>
      <c r="C2006">
        <v>23.333333333333336</v>
      </c>
      <c r="D2006">
        <v>13.333333333333332</v>
      </c>
      <c r="E2006">
        <v>22.171111111111113</v>
      </c>
    </row>
    <row r="2007" spans="1:5" x14ac:dyDescent="0.2">
      <c r="A2007" s="1">
        <v>42183</v>
      </c>
      <c r="B2007">
        <v>180</v>
      </c>
      <c r="C2007">
        <v>25.555555555555554</v>
      </c>
      <c r="D2007">
        <v>12.777777777777777</v>
      </c>
      <c r="E2007">
        <v>22.31111111111111</v>
      </c>
    </row>
    <row r="2008" spans="1:5" x14ac:dyDescent="0.2">
      <c r="A2008" s="1">
        <v>42184</v>
      </c>
      <c r="B2008">
        <v>181</v>
      </c>
      <c r="C2008">
        <v>22.222222222222221</v>
      </c>
      <c r="D2008">
        <v>14.444444444444445</v>
      </c>
      <c r="E2008">
        <v>25.455555555555552</v>
      </c>
    </row>
    <row r="2009" spans="1:5" x14ac:dyDescent="0.2">
      <c r="A2009" s="1">
        <v>42185</v>
      </c>
      <c r="B2009">
        <v>182</v>
      </c>
      <c r="C2009">
        <v>26.111111111111111</v>
      </c>
      <c r="D2009">
        <v>12.777777777777777</v>
      </c>
      <c r="E2009">
        <v>25.371111111111109</v>
      </c>
    </row>
    <row r="2010" spans="1:5" x14ac:dyDescent="0.2">
      <c r="A2010" s="1">
        <v>42186</v>
      </c>
      <c r="B2010">
        <v>183</v>
      </c>
      <c r="C2010">
        <v>24.444444444444446</v>
      </c>
      <c r="D2010">
        <v>12.777777777777777</v>
      </c>
      <c r="E2010">
        <v>23.746666666666659</v>
      </c>
    </row>
    <row r="2011" spans="1:5" x14ac:dyDescent="0.2">
      <c r="A2011" s="1">
        <v>42187</v>
      </c>
      <c r="B2011">
        <v>184</v>
      </c>
      <c r="C2011">
        <v>21.666666666666664</v>
      </c>
      <c r="D2011">
        <v>7.7777777777777777</v>
      </c>
      <c r="E2011">
        <v>22.228888888888893</v>
      </c>
    </row>
    <row r="2012" spans="1:5" x14ac:dyDescent="0.2">
      <c r="A2012" s="1">
        <v>42188</v>
      </c>
      <c r="B2012">
        <v>185</v>
      </c>
      <c r="C2012">
        <v>22.777777777777779</v>
      </c>
      <c r="D2012">
        <v>7.7777777777777777</v>
      </c>
      <c r="E2012">
        <v>22.664444444444449</v>
      </c>
    </row>
    <row r="2013" spans="1:5" x14ac:dyDescent="0.2">
      <c r="A2013" s="1">
        <v>42189</v>
      </c>
      <c r="B2013">
        <v>186</v>
      </c>
      <c r="C2013">
        <v>24.444444444444446</v>
      </c>
      <c r="D2013">
        <v>9.4444444444444446</v>
      </c>
      <c r="E2013">
        <v>24.606666666666666</v>
      </c>
    </row>
    <row r="2014" spans="1:5" x14ac:dyDescent="0.2">
      <c r="A2014" s="1">
        <v>42190</v>
      </c>
      <c r="B2014">
        <v>187</v>
      </c>
      <c r="C2014">
        <v>28.333333333333336</v>
      </c>
      <c r="D2014">
        <v>12.777777777777777</v>
      </c>
      <c r="E2014">
        <v>23.071111111111112</v>
      </c>
    </row>
    <row r="2015" spans="1:5" x14ac:dyDescent="0.2">
      <c r="A2015" s="1">
        <v>42191</v>
      </c>
      <c r="B2015">
        <v>188</v>
      </c>
      <c r="C2015">
        <v>28.333333333333336</v>
      </c>
      <c r="D2015">
        <v>13.888888888888889</v>
      </c>
      <c r="E2015">
        <v>23.468888888888888</v>
      </c>
    </row>
    <row r="2016" spans="1:5" x14ac:dyDescent="0.2">
      <c r="A2016" s="1">
        <v>42192</v>
      </c>
      <c r="B2016">
        <v>189</v>
      </c>
      <c r="C2016">
        <v>27.222222222222221</v>
      </c>
      <c r="D2016">
        <v>14.444444444444445</v>
      </c>
      <c r="E2016">
        <v>22.911111111111111</v>
      </c>
    </row>
    <row r="2017" spans="1:5" x14ac:dyDescent="0.2">
      <c r="A2017" s="1">
        <v>42193</v>
      </c>
      <c r="B2017">
        <v>190</v>
      </c>
      <c r="C2017">
        <v>20.555555555555554</v>
      </c>
      <c r="D2017">
        <v>11.111111111111111</v>
      </c>
      <c r="E2017">
        <v>22.133333333333333</v>
      </c>
    </row>
    <row r="2018" spans="1:5" x14ac:dyDescent="0.2">
      <c r="A2018" s="1">
        <v>42194</v>
      </c>
      <c r="B2018">
        <v>191</v>
      </c>
      <c r="C2018">
        <v>21.666666666666664</v>
      </c>
      <c r="D2018">
        <v>10.555555555555555</v>
      </c>
      <c r="E2018">
        <v>23.479999999999993</v>
      </c>
    </row>
    <row r="2019" spans="1:5" x14ac:dyDescent="0.2">
      <c r="A2019" s="1">
        <v>42195</v>
      </c>
      <c r="B2019">
        <v>192</v>
      </c>
      <c r="C2019">
        <v>25.555555555555554</v>
      </c>
      <c r="D2019">
        <v>11.666666666666668</v>
      </c>
      <c r="E2019">
        <v>23.637777777777778</v>
      </c>
    </row>
    <row r="2020" spans="1:5" x14ac:dyDescent="0.2">
      <c r="A2020" s="1">
        <v>42196</v>
      </c>
      <c r="B2020">
        <v>193</v>
      </c>
      <c r="C2020">
        <v>26.666666666666664</v>
      </c>
      <c r="D2020">
        <v>13.333333333333332</v>
      </c>
      <c r="E2020">
        <v>22.757777777777775</v>
      </c>
    </row>
    <row r="2021" spans="1:5" x14ac:dyDescent="0.2">
      <c r="A2021" s="1">
        <v>42197</v>
      </c>
      <c r="B2021">
        <v>194</v>
      </c>
      <c r="C2021">
        <v>26.111111111111111</v>
      </c>
      <c r="D2021">
        <v>13.888888888888889</v>
      </c>
      <c r="E2021">
        <v>22.486666666666665</v>
      </c>
    </row>
    <row r="2022" spans="1:5" x14ac:dyDescent="0.2">
      <c r="A2022" s="1">
        <v>42198</v>
      </c>
      <c r="B2022">
        <v>195</v>
      </c>
      <c r="C2022">
        <v>28.333333333333336</v>
      </c>
      <c r="D2022">
        <v>18.333333333333332</v>
      </c>
      <c r="E2022">
        <v>23.213333333333335</v>
      </c>
    </row>
    <row r="2023" spans="1:5" x14ac:dyDescent="0.2">
      <c r="A2023" s="1">
        <v>42199</v>
      </c>
      <c r="B2023">
        <v>196</v>
      </c>
      <c r="C2023">
        <v>31.666666666666664</v>
      </c>
      <c r="D2023">
        <v>18.333333333333332</v>
      </c>
      <c r="E2023">
        <v>23.213333333333335</v>
      </c>
    </row>
    <row r="2024" spans="1:5" x14ac:dyDescent="0.2">
      <c r="A2024" s="1">
        <v>42200</v>
      </c>
      <c r="B2024">
        <v>197</v>
      </c>
      <c r="C2024">
        <v>27.222222222222221</v>
      </c>
      <c r="D2024">
        <v>11.111111111111111</v>
      </c>
      <c r="E2024">
        <v>24.926666666666669</v>
      </c>
    </row>
    <row r="2025" spans="1:5" x14ac:dyDescent="0.2">
      <c r="A2025" s="1">
        <v>42201</v>
      </c>
      <c r="B2025">
        <v>198</v>
      </c>
      <c r="C2025">
        <v>25</v>
      </c>
      <c r="D2025">
        <v>11.666666666666668</v>
      </c>
      <c r="E2025">
        <v>22.395555555555553</v>
      </c>
    </row>
    <row r="2026" spans="1:5" x14ac:dyDescent="0.2">
      <c r="A2026" s="1">
        <v>42202</v>
      </c>
      <c r="B2026">
        <v>199</v>
      </c>
      <c r="C2026">
        <v>21.666666666666664</v>
      </c>
      <c r="D2026">
        <v>15.555555555555555</v>
      </c>
      <c r="E2026">
        <v>20.604444444444447</v>
      </c>
    </row>
    <row r="2027" spans="1:5" x14ac:dyDescent="0.2">
      <c r="A2027" s="1">
        <v>42203</v>
      </c>
      <c r="B2027">
        <v>200</v>
      </c>
      <c r="C2027">
        <v>31.666666666666664</v>
      </c>
      <c r="D2027">
        <v>20</v>
      </c>
      <c r="E2027">
        <v>19.959999999999997</v>
      </c>
    </row>
    <row r="2028" spans="1:5" x14ac:dyDescent="0.2">
      <c r="A2028" s="1">
        <v>42204</v>
      </c>
      <c r="B2028">
        <v>201</v>
      </c>
      <c r="C2028">
        <v>31.111111111111111</v>
      </c>
      <c r="D2028">
        <v>19.444444444444443</v>
      </c>
      <c r="E2028">
        <v>21.315555555555552</v>
      </c>
    </row>
    <row r="2029" spans="1:5" x14ac:dyDescent="0.2">
      <c r="A2029" s="1">
        <v>42205</v>
      </c>
      <c r="B2029">
        <v>202</v>
      </c>
      <c r="C2029">
        <v>27.222222222222221</v>
      </c>
      <c r="D2029">
        <v>14.444444444444445</v>
      </c>
      <c r="E2029">
        <v>21.008888888888883</v>
      </c>
    </row>
    <row r="2030" spans="1:5" x14ac:dyDescent="0.2">
      <c r="A2030" s="1">
        <v>42206</v>
      </c>
      <c r="B2030">
        <v>203</v>
      </c>
      <c r="C2030">
        <v>27.222222222222221</v>
      </c>
      <c r="D2030">
        <v>12.222222222222223</v>
      </c>
      <c r="E2030">
        <v>22.064444444444447</v>
      </c>
    </row>
    <row r="2031" spans="1:5" x14ac:dyDescent="0.2">
      <c r="A2031" s="1">
        <v>42207</v>
      </c>
      <c r="B2031">
        <v>204</v>
      </c>
      <c r="C2031">
        <v>26.666666666666664</v>
      </c>
      <c r="D2031">
        <v>12.222222222222223</v>
      </c>
      <c r="E2031">
        <v>21.877777777777776</v>
      </c>
    </row>
    <row r="2032" spans="1:5" x14ac:dyDescent="0.2">
      <c r="A2032" s="1">
        <v>42208</v>
      </c>
      <c r="B2032">
        <v>205</v>
      </c>
      <c r="C2032">
        <v>27.777777777777779</v>
      </c>
      <c r="D2032">
        <v>12.777777777777777</v>
      </c>
      <c r="E2032">
        <v>23.522222222222226</v>
      </c>
    </row>
    <row r="2033" spans="1:5" x14ac:dyDescent="0.2">
      <c r="A2033" s="1">
        <v>42209</v>
      </c>
      <c r="B2033">
        <v>206</v>
      </c>
      <c r="C2033">
        <v>29.444444444444446</v>
      </c>
      <c r="D2033">
        <v>13.333333333333332</v>
      </c>
      <c r="E2033">
        <v>21.008888888888887</v>
      </c>
    </row>
    <row r="2034" spans="1:5" x14ac:dyDescent="0.2">
      <c r="A2034" s="1">
        <v>42210</v>
      </c>
      <c r="B2034">
        <v>207</v>
      </c>
      <c r="C2034">
        <v>27.222222222222221</v>
      </c>
      <c r="D2034">
        <v>13.333333333333332</v>
      </c>
      <c r="E2034">
        <v>20.684444444444445</v>
      </c>
    </row>
    <row r="2035" spans="1:5" x14ac:dyDescent="0.2">
      <c r="A2035" s="1">
        <v>42211</v>
      </c>
      <c r="B2035">
        <v>208</v>
      </c>
      <c r="C2035">
        <v>31.111111111111111</v>
      </c>
      <c r="D2035">
        <v>15.555555555555555</v>
      </c>
      <c r="E2035">
        <v>21.106666666666669</v>
      </c>
    </row>
    <row r="2036" spans="1:5" x14ac:dyDescent="0.2">
      <c r="A2036" s="1">
        <v>42212</v>
      </c>
      <c r="B2036">
        <v>209</v>
      </c>
      <c r="C2036">
        <v>27.222222222222221</v>
      </c>
      <c r="D2036">
        <v>14.444444444444445</v>
      </c>
      <c r="E2036">
        <v>20.757777777777772</v>
      </c>
    </row>
    <row r="2037" spans="1:5" x14ac:dyDescent="0.2">
      <c r="A2037" s="1">
        <v>42213</v>
      </c>
      <c r="B2037">
        <v>210</v>
      </c>
      <c r="C2037">
        <v>31.111111111111111</v>
      </c>
      <c r="D2037">
        <v>15</v>
      </c>
      <c r="E2037">
        <v>21.942222222222224</v>
      </c>
    </row>
    <row r="2038" spans="1:5" x14ac:dyDescent="0.2">
      <c r="A2038" s="1">
        <v>42214</v>
      </c>
      <c r="B2038">
        <v>211</v>
      </c>
      <c r="C2038">
        <v>29.444444444444446</v>
      </c>
      <c r="D2038">
        <v>18.333333333333332</v>
      </c>
      <c r="E2038">
        <v>21.31999999999999</v>
      </c>
    </row>
    <row r="2039" spans="1:5" x14ac:dyDescent="0.2">
      <c r="A2039" s="1">
        <v>42215</v>
      </c>
      <c r="B2039">
        <v>212</v>
      </c>
      <c r="C2039">
        <v>28.888888888888889</v>
      </c>
      <c r="D2039">
        <v>13.888888888888889</v>
      </c>
      <c r="E2039">
        <v>21.69777777777778</v>
      </c>
    </row>
    <row r="2040" spans="1:5" x14ac:dyDescent="0.2">
      <c r="A2040" s="1">
        <v>42216</v>
      </c>
      <c r="B2040">
        <v>213</v>
      </c>
      <c r="C2040">
        <v>30.555555555555554</v>
      </c>
      <c r="D2040">
        <v>14.444444444444445</v>
      </c>
      <c r="E2040">
        <v>21.27999999999999</v>
      </c>
    </row>
    <row r="2041" spans="1:5" x14ac:dyDescent="0.2">
      <c r="A2041" s="1">
        <v>42217</v>
      </c>
      <c r="B2041">
        <v>214</v>
      </c>
      <c r="C2041">
        <v>27.777777777777779</v>
      </c>
      <c r="D2041">
        <v>12.777777777777777</v>
      </c>
      <c r="E2041">
        <v>22.631111111111117</v>
      </c>
    </row>
    <row r="2042" spans="1:5" x14ac:dyDescent="0.2">
      <c r="A2042" s="1">
        <v>42218</v>
      </c>
      <c r="B2042">
        <v>215</v>
      </c>
      <c r="C2042">
        <v>30</v>
      </c>
      <c r="D2042">
        <v>17.777777777777779</v>
      </c>
      <c r="E2042">
        <v>21.322222222222216</v>
      </c>
    </row>
    <row r="2043" spans="1:5" x14ac:dyDescent="0.2">
      <c r="A2043" s="1">
        <v>42219</v>
      </c>
      <c r="B2043">
        <v>216</v>
      </c>
      <c r="C2043">
        <v>32.777777777777779</v>
      </c>
      <c r="D2043">
        <v>13.888888888888889</v>
      </c>
      <c r="E2043">
        <v>19.813333333333325</v>
      </c>
    </row>
    <row r="2044" spans="1:5" x14ac:dyDescent="0.2">
      <c r="A2044" s="1">
        <v>42220</v>
      </c>
      <c r="B2044">
        <v>217</v>
      </c>
      <c r="C2044">
        <v>26.666666666666664</v>
      </c>
      <c r="D2044">
        <v>10.555555555555555</v>
      </c>
      <c r="E2044">
        <v>19.868888888888886</v>
      </c>
    </row>
    <row r="2045" spans="1:5" x14ac:dyDescent="0.2">
      <c r="A2045" s="1">
        <v>42221</v>
      </c>
      <c r="B2045">
        <v>218</v>
      </c>
      <c r="C2045">
        <v>26.111111111111111</v>
      </c>
      <c r="D2045">
        <v>10.555555555555555</v>
      </c>
      <c r="E2045">
        <v>20.691111111111113</v>
      </c>
    </row>
    <row r="2046" spans="1:5" x14ac:dyDescent="0.2">
      <c r="A2046" s="1">
        <v>42222</v>
      </c>
      <c r="B2046">
        <v>219</v>
      </c>
      <c r="C2046">
        <v>28.333333333333336</v>
      </c>
      <c r="D2046">
        <v>11.111111111111111</v>
      </c>
      <c r="E2046">
        <v>21.084444444444447</v>
      </c>
    </row>
    <row r="2047" spans="1:5" x14ac:dyDescent="0.2">
      <c r="A2047" s="1">
        <v>42223</v>
      </c>
      <c r="B2047">
        <v>220</v>
      </c>
      <c r="C2047">
        <v>28.333333333333336</v>
      </c>
      <c r="D2047">
        <v>13.333333333333332</v>
      </c>
      <c r="E2047">
        <v>20.291111111111103</v>
      </c>
    </row>
    <row r="2048" spans="1:5" x14ac:dyDescent="0.2">
      <c r="A2048" s="1">
        <v>42224</v>
      </c>
      <c r="B2048">
        <v>221</v>
      </c>
      <c r="C2048">
        <v>26.666666666666664</v>
      </c>
      <c r="D2048">
        <v>15.555555555555555</v>
      </c>
      <c r="E2048">
        <v>20.335555555555551</v>
      </c>
    </row>
    <row r="2049" spans="1:5" x14ac:dyDescent="0.2">
      <c r="A2049" s="1">
        <v>42225</v>
      </c>
      <c r="B2049">
        <v>222</v>
      </c>
      <c r="C2049">
        <v>22.222222222222221</v>
      </c>
      <c r="D2049">
        <v>17.222222222222221</v>
      </c>
      <c r="E2049">
        <v>20.286666666666665</v>
      </c>
    </row>
    <row r="2050" spans="1:5" x14ac:dyDescent="0.2">
      <c r="A2050" s="1">
        <v>42226</v>
      </c>
      <c r="B2050">
        <v>223</v>
      </c>
      <c r="C2050">
        <v>28.333333333333336</v>
      </c>
      <c r="D2050">
        <v>17.777777777777779</v>
      </c>
      <c r="E2050">
        <v>19.695555555555561</v>
      </c>
    </row>
    <row r="2051" spans="1:5" x14ac:dyDescent="0.2">
      <c r="A2051" s="1">
        <v>42227</v>
      </c>
      <c r="B2051">
        <v>224</v>
      </c>
      <c r="C2051">
        <v>28.333333333333336</v>
      </c>
      <c r="D2051">
        <v>12.777777777777777</v>
      </c>
      <c r="E2051">
        <v>19.864444444444441</v>
      </c>
    </row>
    <row r="2052" spans="1:5" x14ac:dyDescent="0.2">
      <c r="A2052" s="1">
        <v>42228</v>
      </c>
      <c r="B2052">
        <v>225</v>
      </c>
      <c r="C2052">
        <v>27.777777777777779</v>
      </c>
      <c r="D2052">
        <v>11.666666666666668</v>
      </c>
      <c r="E2052">
        <v>19.211111111111116</v>
      </c>
    </row>
    <row r="2053" spans="1:5" x14ac:dyDescent="0.2">
      <c r="A2053" s="1">
        <v>42229</v>
      </c>
      <c r="B2053">
        <v>226</v>
      </c>
      <c r="C2053">
        <v>28.888888888888889</v>
      </c>
      <c r="D2053">
        <v>12.222222222222223</v>
      </c>
      <c r="E2053">
        <v>19.971111111111117</v>
      </c>
    </row>
    <row r="2054" spans="1:5" x14ac:dyDescent="0.2">
      <c r="A2054" s="1">
        <v>42230</v>
      </c>
      <c r="B2054">
        <v>227</v>
      </c>
      <c r="C2054">
        <v>30</v>
      </c>
      <c r="D2054">
        <v>17.777777777777779</v>
      </c>
      <c r="E2054">
        <v>19.895555555555553</v>
      </c>
    </row>
    <row r="2055" spans="1:5" x14ac:dyDescent="0.2">
      <c r="A2055" s="1">
        <v>42231</v>
      </c>
      <c r="B2055">
        <v>228</v>
      </c>
      <c r="C2055">
        <v>32.777777777777779</v>
      </c>
      <c r="D2055">
        <v>19.444444444444443</v>
      </c>
      <c r="E2055">
        <v>19.86</v>
      </c>
    </row>
    <row r="2056" spans="1:5" x14ac:dyDescent="0.2">
      <c r="A2056" s="1">
        <v>42232</v>
      </c>
      <c r="B2056">
        <v>229</v>
      </c>
      <c r="C2056">
        <v>33.333333333333336</v>
      </c>
      <c r="D2056">
        <v>18.888888888888889</v>
      </c>
      <c r="E2056">
        <v>19.584444444444447</v>
      </c>
    </row>
    <row r="2057" spans="1:5" x14ac:dyDescent="0.2">
      <c r="A2057" s="1">
        <v>42233</v>
      </c>
      <c r="B2057">
        <v>230</v>
      </c>
      <c r="C2057">
        <v>31.666666666666664</v>
      </c>
      <c r="D2057">
        <v>21.111111111111111</v>
      </c>
      <c r="E2057">
        <v>18.513333333333335</v>
      </c>
    </row>
    <row r="2058" spans="1:5" x14ac:dyDescent="0.2">
      <c r="A2058" s="1">
        <v>42234</v>
      </c>
      <c r="B2058">
        <v>231</v>
      </c>
      <c r="C2058">
        <v>28.888888888888889</v>
      </c>
      <c r="D2058">
        <v>19.444444444444443</v>
      </c>
      <c r="E2058">
        <v>18.513333333333335</v>
      </c>
    </row>
    <row r="2059" spans="1:5" x14ac:dyDescent="0.2">
      <c r="A2059" s="1">
        <v>42235</v>
      </c>
      <c r="B2059">
        <v>232</v>
      </c>
      <c r="C2059">
        <v>26.111111111111111</v>
      </c>
      <c r="D2059">
        <v>18.333333333333332</v>
      </c>
      <c r="E2059">
        <v>20.05777777777778</v>
      </c>
    </row>
    <row r="2060" spans="1:5" x14ac:dyDescent="0.2">
      <c r="A2060" s="1">
        <v>42236</v>
      </c>
      <c r="B2060">
        <v>233</v>
      </c>
      <c r="C2060">
        <v>20</v>
      </c>
      <c r="D2060">
        <v>13.333333333333332</v>
      </c>
      <c r="E2060">
        <v>18.846666666666664</v>
      </c>
    </row>
    <row r="2061" spans="1:5" x14ac:dyDescent="0.2">
      <c r="A2061" s="1">
        <v>42237</v>
      </c>
      <c r="B2061">
        <v>234</v>
      </c>
      <c r="C2061">
        <v>22.222222222222221</v>
      </c>
      <c r="D2061">
        <v>8.8888888888888893</v>
      </c>
      <c r="E2061">
        <v>16.657777777777788</v>
      </c>
    </row>
    <row r="2062" spans="1:5" x14ac:dyDescent="0.2">
      <c r="A2062" s="1">
        <v>42238</v>
      </c>
      <c r="B2062">
        <v>235</v>
      </c>
      <c r="C2062">
        <v>27.777777777777779</v>
      </c>
      <c r="D2062">
        <v>10.555555555555555</v>
      </c>
      <c r="E2062">
        <v>17.182222222222222</v>
      </c>
    </row>
    <row r="2063" spans="1:5" x14ac:dyDescent="0.2">
      <c r="A2063" s="1">
        <v>42239</v>
      </c>
      <c r="B2063">
        <v>236</v>
      </c>
      <c r="C2063">
        <v>26.666666666666664</v>
      </c>
      <c r="D2063">
        <v>17.777777777777779</v>
      </c>
      <c r="E2063">
        <v>17.515555555555554</v>
      </c>
    </row>
    <row r="2064" spans="1:5" x14ac:dyDescent="0.2">
      <c r="A2064" s="1">
        <v>42240</v>
      </c>
      <c r="B2064">
        <v>237</v>
      </c>
      <c r="C2064">
        <v>21.666666666666664</v>
      </c>
      <c r="D2064">
        <v>10.555555555555555</v>
      </c>
      <c r="E2064">
        <v>17.753333333333327</v>
      </c>
    </row>
    <row r="2065" spans="1:5" x14ac:dyDescent="0.2">
      <c r="A2065" s="1">
        <v>42241</v>
      </c>
      <c r="B2065">
        <v>238</v>
      </c>
      <c r="C2065">
        <v>18.333333333333332</v>
      </c>
      <c r="D2065">
        <v>11.111111111111111</v>
      </c>
      <c r="E2065">
        <v>17.366666666666664</v>
      </c>
    </row>
    <row r="2066" spans="1:5" x14ac:dyDescent="0.2">
      <c r="A2066" s="1">
        <v>42242</v>
      </c>
      <c r="B2066">
        <v>239</v>
      </c>
      <c r="C2066">
        <v>19.444444444444443</v>
      </c>
      <c r="D2066">
        <v>12.777777777777777</v>
      </c>
      <c r="E2066">
        <v>17.388888888888886</v>
      </c>
    </row>
    <row r="2067" spans="1:5" x14ac:dyDescent="0.2">
      <c r="A2067" s="1">
        <v>42243</v>
      </c>
      <c r="B2067">
        <v>240</v>
      </c>
      <c r="C2067">
        <v>23.333333333333336</v>
      </c>
      <c r="D2067">
        <v>7.7777777777777777</v>
      </c>
      <c r="E2067">
        <v>18.282222222222217</v>
      </c>
    </row>
    <row r="2068" spans="1:5" x14ac:dyDescent="0.2">
      <c r="A2068" s="1">
        <v>42244</v>
      </c>
      <c r="B2068">
        <v>241</v>
      </c>
      <c r="C2068">
        <v>25</v>
      </c>
      <c r="D2068">
        <v>7.7777777777777777</v>
      </c>
      <c r="E2068">
        <v>19.166666666666675</v>
      </c>
    </row>
    <row r="2069" spans="1:5" x14ac:dyDescent="0.2">
      <c r="A2069" s="1">
        <v>42245</v>
      </c>
      <c r="B2069">
        <v>242</v>
      </c>
      <c r="C2069">
        <v>18.888888888888889</v>
      </c>
      <c r="D2069">
        <v>13.333333333333332</v>
      </c>
      <c r="E2069">
        <v>17.893333333333331</v>
      </c>
    </row>
    <row r="2070" spans="1:5" x14ac:dyDescent="0.2">
      <c r="A2070" s="1">
        <v>42246</v>
      </c>
      <c r="B2070">
        <v>243</v>
      </c>
      <c r="C2070">
        <v>21.666666666666664</v>
      </c>
      <c r="D2070">
        <v>16.111111111111111</v>
      </c>
      <c r="E2070">
        <v>18.108888888888892</v>
      </c>
    </row>
    <row r="2071" spans="1:5" x14ac:dyDescent="0.2">
      <c r="A2071" s="1">
        <v>42247</v>
      </c>
      <c r="B2071">
        <v>244</v>
      </c>
      <c r="C2071">
        <v>24.444444444444446</v>
      </c>
      <c r="D2071">
        <v>14.444444444444445</v>
      </c>
      <c r="E2071">
        <v>18.124444444444446</v>
      </c>
    </row>
    <row r="2072" spans="1:5" x14ac:dyDescent="0.2">
      <c r="A2072" s="1">
        <v>42248</v>
      </c>
      <c r="B2072">
        <v>245</v>
      </c>
      <c r="C2072">
        <v>28.333333333333336</v>
      </c>
      <c r="D2072">
        <v>15</v>
      </c>
      <c r="E2072">
        <v>17.782222222222217</v>
      </c>
    </row>
    <row r="2073" spans="1:5" x14ac:dyDescent="0.2">
      <c r="A2073" s="1">
        <v>42249</v>
      </c>
      <c r="B2073">
        <v>246</v>
      </c>
      <c r="C2073">
        <v>31.111111111111111</v>
      </c>
      <c r="D2073">
        <v>17.777777777777779</v>
      </c>
      <c r="E2073">
        <v>18.233333333333341</v>
      </c>
    </row>
    <row r="2074" spans="1:5" x14ac:dyDescent="0.2">
      <c r="A2074" s="1">
        <v>42250</v>
      </c>
      <c r="B2074">
        <v>247</v>
      </c>
      <c r="C2074">
        <v>30</v>
      </c>
      <c r="D2074">
        <v>18.888888888888889</v>
      </c>
      <c r="E2074">
        <v>17.279999999999994</v>
      </c>
    </row>
    <row r="2075" spans="1:5" x14ac:dyDescent="0.2">
      <c r="A2075" s="1">
        <v>42251</v>
      </c>
      <c r="B2075">
        <v>248</v>
      </c>
      <c r="C2075">
        <v>30.555555555555554</v>
      </c>
      <c r="D2075">
        <v>18.888888888888889</v>
      </c>
      <c r="E2075">
        <v>17.504444444444449</v>
      </c>
    </row>
    <row r="2076" spans="1:5" x14ac:dyDescent="0.2">
      <c r="A2076" s="1">
        <v>42252</v>
      </c>
      <c r="B2076">
        <v>249</v>
      </c>
      <c r="C2076">
        <v>30.555555555555554</v>
      </c>
      <c r="D2076">
        <v>18.888888888888889</v>
      </c>
      <c r="E2076">
        <v>17.331111111111102</v>
      </c>
    </row>
    <row r="2077" spans="1:5" x14ac:dyDescent="0.2">
      <c r="A2077" s="1">
        <v>42253</v>
      </c>
      <c r="B2077">
        <v>250</v>
      </c>
      <c r="C2077">
        <v>28.888888888888889</v>
      </c>
      <c r="D2077">
        <v>19.444444444444443</v>
      </c>
      <c r="E2077">
        <v>16.582222222222228</v>
      </c>
    </row>
    <row r="2078" spans="1:5" x14ac:dyDescent="0.2">
      <c r="A2078" s="1">
        <v>42254</v>
      </c>
      <c r="B2078">
        <v>251</v>
      </c>
      <c r="C2078">
        <v>32.222222222222221</v>
      </c>
      <c r="D2078">
        <v>21.666666666666664</v>
      </c>
      <c r="E2078">
        <v>15.802222222222218</v>
      </c>
    </row>
    <row r="2079" spans="1:5" x14ac:dyDescent="0.2">
      <c r="A2079" s="1">
        <v>42255</v>
      </c>
      <c r="B2079">
        <v>252</v>
      </c>
      <c r="C2079">
        <v>27.777777777777779</v>
      </c>
      <c r="D2079">
        <v>20.555555555555554</v>
      </c>
      <c r="E2079">
        <v>16.022222222222219</v>
      </c>
    </row>
    <row r="2080" spans="1:5" x14ac:dyDescent="0.2">
      <c r="A2080" s="1">
        <v>42256</v>
      </c>
      <c r="B2080">
        <v>253</v>
      </c>
      <c r="C2080">
        <v>25</v>
      </c>
      <c r="D2080">
        <v>12.222222222222223</v>
      </c>
      <c r="E2080">
        <v>15.893333333333333</v>
      </c>
    </row>
    <row r="2081" spans="1:5" x14ac:dyDescent="0.2">
      <c r="A2081" s="1">
        <v>42257</v>
      </c>
      <c r="B2081">
        <v>254</v>
      </c>
      <c r="C2081">
        <v>26.111111111111111</v>
      </c>
      <c r="D2081">
        <v>11.666666666666668</v>
      </c>
      <c r="E2081">
        <v>17.87555555555555</v>
      </c>
    </row>
    <row r="2082" spans="1:5" x14ac:dyDescent="0.2">
      <c r="A2082" s="1">
        <v>42258</v>
      </c>
      <c r="B2082">
        <v>255</v>
      </c>
      <c r="C2082">
        <v>24.444444444444446</v>
      </c>
      <c r="D2082">
        <v>11.666666666666668</v>
      </c>
      <c r="E2082">
        <v>15.27777777777778</v>
      </c>
    </row>
    <row r="2083" spans="1:5" x14ac:dyDescent="0.2">
      <c r="A2083" s="1">
        <v>42259</v>
      </c>
      <c r="B2083">
        <v>256</v>
      </c>
      <c r="C2083">
        <v>18.333333333333332</v>
      </c>
      <c r="D2083">
        <v>7.7777777777777777</v>
      </c>
      <c r="E2083">
        <v>14.684444444444448</v>
      </c>
    </row>
    <row r="2084" spans="1:5" x14ac:dyDescent="0.2">
      <c r="A2084" s="1">
        <v>42260</v>
      </c>
      <c r="B2084">
        <v>257</v>
      </c>
      <c r="C2084">
        <v>18.888888888888889</v>
      </c>
      <c r="D2084">
        <v>5.5555555555555554</v>
      </c>
      <c r="E2084">
        <v>14.008888888888889</v>
      </c>
    </row>
    <row r="2085" spans="1:5" x14ac:dyDescent="0.2">
      <c r="A2085" s="1">
        <v>42261</v>
      </c>
      <c r="B2085">
        <v>258</v>
      </c>
      <c r="C2085">
        <v>21.666666666666664</v>
      </c>
      <c r="D2085">
        <v>7.2222222222222223</v>
      </c>
      <c r="E2085">
        <v>14.540000000000001</v>
      </c>
    </row>
    <row r="2086" spans="1:5" x14ac:dyDescent="0.2">
      <c r="A2086" s="1">
        <v>42262</v>
      </c>
      <c r="B2086">
        <v>259</v>
      </c>
      <c r="C2086">
        <v>26.666666666666664</v>
      </c>
      <c r="D2086">
        <v>8.8888888888888893</v>
      </c>
      <c r="E2086">
        <v>14.833333333333339</v>
      </c>
    </row>
    <row r="2087" spans="1:5" x14ac:dyDescent="0.2">
      <c r="A2087" s="1">
        <v>42263</v>
      </c>
      <c r="B2087">
        <v>260</v>
      </c>
      <c r="C2087">
        <v>28.888888888888889</v>
      </c>
      <c r="D2087">
        <v>17.222222222222221</v>
      </c>
      <c r="E2087">
        <v>14.604444444444445</v>
      </c>
    </row>
    <row r="2088" spans="1:5" x14ac:dyDescent="0.2">
      <c r="A2088" s="1">
        <v>42264</v>
      </c>
      <c r="B2088">
        <v>261</v>
      </c>
      <c r="C2088">
        <v>28.888888888888889</v>
      </c>
      <c r="D2088">
        <v>17.222222222222221</v>
      </c>
      <c r="E2088">
        <v>14.57555555555556</v>
      </c>
    </row>
    <row r="2089" spans="1:5" x14ac:dyDescent="0.2">
      <c r="A2089" s="1">
        <v>42265</v>
      </c>
      <c r="B2089">
        <v>262</v>
      </c>
      <c r="C2089">
        <v>27.222222222222221</v>
      </c>
      <c r="D2089">
        <v>18.888888888888889</v>
      </c>
      <c r="E2089">
        <v>13.008888888888889</v>
      </c>
    </row>
    <row r="2090" spans="1:5" x14ac:dyDescent="0.2">
      <c r="A2090" s="1">
        <v>42266</v>
      </c>
      <c r="B2090">
        <v>263</v>
      </c>
      <c r="C2090">
        <v>22.222222222222221</v>
      </c>
      <c r="D2090">
        <v>12.222222222222223</v>
      </c>
      <c r="E2090">
        <v>13.331111111111113</v>
      </c>
    </row>
    <row r="2091" spans="1:5" x14ac:dyDescent="0.2">
      <c r="A2091" s="1">
        <v>42267</v>
      </c>
      <c r="B2091">
        <v>264</v>
      </c>
      <c r="C2091">
        <v>19.444444444444443</v>
      </c>
      <c r="D2091">
        <v>7.2222222222222223</v>
      </c>
      <c r="E2091">
        <v>13.533333333333333</v>
      </c>
    </row>
    <row r="2092" spans="1:5" x14ac:dyDescent="0.2">
      <c r="A2092" s="1">
        <v>42268</v>
      </c>
      <c r="B2092">
        <v>265</v>
      </c>
      <c r="C2092">
        <v>22.222222222222221</v>
      </c>
      <c r="D2092">
        <v>7.2222222222222223</v>
      </c>
      <c r="E2092">
        <v>13.317777777777776</v>
      </c>
    </row>
    <row r="2093" spans="1:5" x14ac:dyDescent="0.2">
      <c r="A2093" s="1">
        <v>42269</v>
      </c>
      <c r="B2093">
        <v>266</v>
      </c>
      <c r="C2093">
        <v>23.888888888888889</v>
      </c>
      <c r="D2093">
        <v>7.7777777777777777</v>
      </c>
      <c r="E2093">
        <v>13.562222222222227</v>
      </c>
    </row>
    <row r="2094" spans="1:5" x14ac:dyDescent="0.2">
      <c r="A2094" s="1">
        <v>42270</v>
      </c>
      <c r="B2094">
        <v>267</v>
      </c>
      <c r="C2094">
        <v>26.111111111111111</v>
      </c>
      <c r="D2094">
        <v>8.3333333333333339</v>
      </c>
      <c r="E2094">
        <v>13.764444444444443</v>
      </c>
    </row>
    <row r="2095" spans="1:5" x14ac:dyDescent="0.2">
      <c r="A2095" s="1">
        <v>42271</v>
      </c>
      <c r="B2095">
        <v>268</v>
      </c>
      <c r="C2095">
        <v>27.222222222222221</v>
      </c>
      <c r="D2095">
        <v>11.111111111111111</v>
      </c>
      <c r="E2095">
        <v>13.388888888888891</v>
      </c>
    </row>
    <row r="2096" spans="1:5" x14ac:dyDescent="0.2">
      <c r="A2096" s="1">
        <v>42272</v>
      </c>
      <c r="B2096">
        <v>269</v>
      </c>
      <c r="C2096">
        <v>26.111111111111111</v>
      </c>
      <c r="D2096">
        <v>11.666666666666668</v>
      </c>
      <c r="E2096">
        <v>13.502222222222223</v>
      </c>
    </row>
    <row r="2097" spans="1:5" x14ac:dyDescent="0.2">
      <c r="A2097" s="1">
        <v>42273</v>
      </c>
      <c r="B2097">
        <v>270</v>
      </c>
      <c r="C2097">
        <v>25.555555555555554</v>
      </c>
      <c r="D2097">
        <v>9.4444444444444446</v>
      </c>
      <c r="E2097">
        <v>14.011111111111109</v>
      </c>
    </row>
    <row r="2098" spans="1:5" x14ac:dyDescent="0.2">
      <c r="A2098" s="1">
        <v>42274</v>
      </c>
      <c r="B2098">
        <v>271</v>
      </c>
      <c r="C2098">
        <v>26.111111111111111</v>
      </c>
      <c r="D2098">
        <v>8.8888888888888893</v>
      </c>
      <c r="E2098">
        <v>12.597777777777782</v>
      </c>
    </row>
    <row r="2099" spans="1:5" x14ac:dyDescent="0.2">
      <c r="A2099" s="1">
        <v>42275</v>
      </c>
      <c r="B2099">
        <v>272</v>
      </c>
      <c r="C2099">
        <v>25.555555555555554</v>
      </c>
      <c r="D2099">
        <v>11.111111111111111</v>
      </c>
      <c r="E2099">
        <v>13.12666666666667</v>
      </c>
    </row>
    <row r="2100" spans="1:5" x14ac:dyDescent="0.2">
      <c r="A2100" s="1">
        <v>42276</v>
      </c>
      <c r="B2100">
        <v>273</v>
      </c>
      <c r="C2100">
        <v>26.666666666666664</v>
      </c>
      <c r="D2100">
        <v>11.666666666666668</v>
      </c>
      <c r="E2100">
        <v>13.026666666666667</v>
      </c>
    </row>
    <row r="2101" spans="1:5" x14ac:dyDescent="0.2">
      <c r="A2101" s="1">
        <v>42277</v>
      </c>
      <c r="B2101">
        <v>274</v>
      </c>
      <c r="C2101">
        <v>17.222222222222221</v>
      </c>
      <c r="D2101">
        <v>3.333333333333333</v>
      </c>
      <c r="E2101">
        <v>13.155555555555559</v>
      </c>
    </row>
    <row r="2102" spans="1:5" x14ac:dyDescent="0.2">
      <c r="A2102" s="1">
        <v>42278</v>
      </c>
      <c r="B2102">
        <v>275</v>
      </c>
      <c r="C2102">
        <v>16.666666666666668</v>
      </c>
      <c r="D2102">
        <v>3.333333333333333</v>
      </c>
      <c r="E2102">
        <v>13.037777777777777</v>
      </c>
    </row>
    <row r="2103" spans="1:5" x14ac:dyDescent="0.2">
      <c r="A2103" s="1">
        <v>42279</v>
      </c>
      <c r="B2103">
        <v>276</v>
      </c>
      <c r="C2103">
        <v>16.111111111111111</v>
      </c>
      <c r="D2103">
        <v>6.1111111111111116</v>
      </c>
      <c r="E2103">
        <v>12.082222222222223</v>
      </c>
    </row>
    <row r="2104" spans="1:5" x14ac:dyDescent="0.2">
      <c r="A2104" s="1">
        <v>42280</v>
      </c>
      <c r="B2104">
        <v>277</v>
      </c>
      <c r="C2104">
        <v>16.666666666666668</v>
      </c>
      <c r="D2104">
        <v>6.1111111111111116</v>
      </c>
      <c r="E2104">
        <v>12.068888888888893</v>
      </c>
    </row>
    <row r="2105" spans="1:5" x14ac:dyDescent="0.2">
      <c r="A2105" s="1">
        <v>42281</v>
      </c>
      <c r="B2105">
        <v>278</v>
      </c>
      <c r="C2105">
        <v>13.888888888888889</v>
      </c>
      <c r="D2105">
        <v>6.1111111111111116</v>
      </c>
      <c r="E2105">
        <v>12.471111111111115</v>
      </c>
    </row>
    <row r="2106" spans="1:5" x14ac:dyDescent="0.2">
      <c r="A2106" s="1">
        <v>42282</v>
      </c>
      <c r="B2106">
        <v>279</v>
      </c>
      <c r="C2106">
        <v>13.333333333333332</v>
      </c>
      <c r="D2106">
        <v>8.8888888888888893</v>
      </c>
      <c r="E2106">
        <v>11.631111111111114</v>
      </c>
    </row>
    <row r="2107" spans="1:5" x14ac:dyDescent="0.2">
      <c r="A2107" s="1">
        <v>42283</v>
      </c>
      <c r="B2107">
        <v>280</v>
      </c>
      <c r="C2107">
        <v>15.555555555555555</v>
      </c>
      <c r="D2107">
        <v>8.3333333333333339</v>
      </c>
      <c r="E2107">
        <v>11.757777777777779</v>
      </c>
    </row>
    <row r="2108" spans="1:5" x14ac:dyDescent="0.2">
      <c r="A2108" s="1">
        <v>42284</v>
      </c>
      <c r="B2108">
        <v>281</v>
      </c>
      <c r="C2108">
        <v>20.555555555555554</v>
      </c>
      <c r="D2108">
        <v>7.2222222222222223</v>
      </c>
      <c r="E2108">
        <v>10.711111111111109</v>
      </c>
    </row>
    <row r="2109" spans="1:5" x14ac:dyDescent="0.2">
      <c r="A2109" s="1">
        <v>42285</v>
      </c>
      <c r="B2109">
        <v>282</v>
      </c>
      <c r="C2109">
        <v>18.888888888888889</v>
      </c>
      <c r="D2109">
        <v>7.2222222222222223</v>
      </c>
      <c r="E2109">
        <v>11.008888888888887</v>
      </c>
    </row>
    <row r="2110" spans="1:5" x14ac:dyDescent="0.2">
      <c r="A2110" s="1">
        <v>42286</v>
      </c>
      <c r="B2110">
        <v>283</v>
      </c>
      <c r="C2110">
        <v>22.222222222222221</v>
      </c>
      <c r="D2110">
        <v>10.555555555555555</v>
      </c>
      <c r="E2110">
        <v>11.120000000000003</v>
      </c>
    </row>
    <row r="2111" spans="1:5" x14ac:dyDescent="0.2">
      <c r="A2111" s="1">
        <v>42287</v>
      </c>
      <c r="B2111">
        <v>284</v>
      </c>
      <c r="C2111">
        <v>15.555555555555555</v>
      </c>
      <c r="D2111">
        <v>2.2222222222222223</v>
      </c>
      <c r="E2111">
        <v>11.48</v>
      </c>
    </row>
    <row r="2112" spans="1:5" x14ac:dyDescent="0.2">
      <c r="A2112" s="1">
        <v>42288</v>
      </c>
      <c r="B2112">
        <v>285</v>
      </c>
      <c r="C2112">
        <v>17.777777777777779</v>
      </c>
      <c r="D2112">
        <v>2.7777777777777777</v>
      </c>
      <c r="E2112">
        <v>10.637777777777782</v>
      </c>
    </row>
    <row r="2113" spans="1:5" x14ac:dyDescent="0.2">
      <c r="A2113" s="1">
        <v>42289</v>
      </c>
      <c r="B2113">
        <v>286</v>
      </c>
      <c r="C2113">
        <v>26.111111111111111</v>
      </c>
      <c r="D2113">
        <v>12.222222222222223</v>
      </c>
      <c r="E2113">
        <v>10.895555555555555</v>
      </c>
    </row>
    <row r="2114" spans="1:5" x14ac:dyDescent="0.2">
      <c r="A2114" s="1">
        <v>42290</v>
      </c>
      <c r="B2114">
        <v>287</v>
      </c>
      <c r="C2114">
        <v>21.111111111111111</v>
      </c>
      <c r="D2114">
        <v>8.3333333333333339</v>
      </c>
      <c r="E2114">
        <v>10.784444444444448</v>
      </c>
    </row>
    <row r="2115" spans="1:5" x14ac:dyDescent="0.2">
      <c r="A2115" s="1">
        <v>42291</v>
      </c>
      <c r="B2115">
        <v>288</v>
      </c>
      <c r="C2115">
        <v>14.444444444444445</v>
      </c>
      <c r="D2115">
        <v>0</v>
      </c>
      <c r="E2115">
        <v>10.637777777777782</v>
      </c>
    </row>
    <row r="2116" spans="1:5" x14ac:dyDescent="0.2">
      <c r="A2116" s="1">
        <v>42292</v>
      </c>
      <c r="B2116">
        <v>289</v>
      </c>
      <c r="C2116">
        <v>17.777777777777779</v>
      </c>
      <c r="D2116">
        <v>0.55555555555555558</v>
      </c>
      <c r="E2116">
        <v>10.64666666666667</v>
      </c>
    </row>
    <row r="2117" spans="1:5" x14ac:dyDescent="0.2">
      <c r="A2117" s="1">
        <v>42293</v>
      </c>
      <c r="B2117">
        <v>290</v>
      </c>
      <c r="C2117">
        <v>18.333333333333332</v>
      </c>
      <c r="D2117">
        <v>1.1111111111111112</v>
      </c>
      <c r="E2117">
        <v>10.311111111111112</v>
      </c>
    </row>
    <row r="2118" spans="1:5" x14ac:dyDescent="0.2">
      <c r="A2118" s="1">
        <v>42294</v>
      </c>
      <c r="B2118">
        <v>291</v>
      </c>
      <c r="C2118">
        <v>9.4444444444444446</v>
      </c>
      <c r="D2118">
        <v>-4.4444444444444446</v>
      </c>
      <c r="E2118">
        <v>9.4244444444444415</v>
      </c>
    </row>
    <row r="2119" spans="1:5" x14ac:dyDescent="0.2">
      <c r="A2119" s="1">
        <v>42295</v>
      </c>
      <c r="B2119">
        <v>292</v>
      </c>
      <c r="C2119">
        <v>11.111111111111111</v>
      </c>
      <c r="D2119">
        <v>-5.5555555555555554</v>
      </c>
      <c r="E2119">
        <v>9.5977777777777806</v>
      </c>
    </row>
    <row r="2120" spans="1:5" x14ac:dyDescent="0.2">
      <c r="A2120" s="1">
        <v>42296</v>
      </c>
      <c r="B2120">
        <v>293</v>
      </c>
      <c r="C2120">
        <v>15.555555555555555</v>
      </c>
      <c r="D2120">
        <v>-3.8888888888888888</v>
      </c>
      <c r="E2120">
        <v>9.0800000000000036</v>
      </c>
    </row>
    <row r="2121" spans="1:5" x14ac:dyDescent="0.2">
      <c r="A2121" s="1">
        <v>42297</v>
      </c>
      <c r="B2121">
        <v>294</v>
      </c>
      <c r="C2121">
        <v>23.888888888888889</v>
      </c>
      <c r="D2121">
        <v>8.8888888888888893</v>
      </c>
      <c r="E2121">
        <v>8.8311111111111114</v>
      </c>
    </row>
    <row r="2122" spans="1:5" x14ac:dyDescent="0.2">
      <c r="A2122" s="1">
        <v>42298</v>
      </c>
      <c r="B2122">
        <v>295</v>
      </c>
      <c r="C2122">
        <v>23.333333333333336</v>
      </c>
      <c r="D2122">
        <v>10</v>
      </c>
      <c r="E2122">
        <v>8.6733333333333285</v>
      </c>
    </row>
    <row r="2123" spans="1:5" x14ac:dyDescent="0.2">
      <c r="A2123" s="1">
        <v>42299</v>
      </c>
      <c r="B2123">
        <v>296</v>
      </c>
      <c r="C2123">
        <v>21.111111111111111</v>
      </c>
      <c r="D2123">
        <v>3.333333333333333</v>
      </c>
      <c r="E2123">
        <v>7.8955555555555543</v>
      </c>
    </row>
    <row r="2124" spans="1:5" x14ac:dyDescent="0.2">
      <c r="A2124" s="1">
        <v>42300</v>
      </c>
      <c r="B2124">
        <v>297</v>
      </c>
      <c r="C2124">
        <v>18.333333333333332</v>
      </c>
      <c r="D2124">
        <v>1.6666666666666665</v>
      </c>
      <c r="E2124">
        <v>8.4711111111111119</v>
      </c>
    </row>
    <row r="2125" spans="1:5" x14ac:dyDescent="0.2">
      <c r="A2125" s="1">
        <v>42301</v>
      </c>
      <c r="B2125">
        <v>298</v>
      </c>
      <c r="C2125">
        <v>17.777777777777779</v>
      </c>
      <c r="D2125">
        <v>8.8888888888888893</v>
      </c>
      <c r="E2125">
        <v>8.9599999999999991</v>
      </c>
    </row>
    <row r="2126" spans="1:5" x14ac:dyDescent="0.2">
      <c r="A2126" s="1">
        <v>42302</v>
      </c>
      <c r="B2126">
        <v>299</v>
      </c>
      <c r="C2126">
        <v>13.888888888888889</v>
      </c>
      <c r="D2126">
        <v>0</v>
      </c>
      <c r="E2126">
        <v>9.0155555555555544</v>
      </c>
    </row>
    <row r="2127" spans="1:5" x14ac:dyDescent="0.2">
      <c r="A2127" s="1">
        <v>42303</v>
      </c>
      <c r="B2127">
        <v>300</v>
      </c>
      <c r="C2127">
        <v>15</v>
      </c>
      <c r="D2127">
        <v>0</v>
      </c>
      <c r="E2127">
        <v>8.5622222222222231</v>
      </c>
    </row>
    <row r="2128" spans="1:5" x14ac:dyDescent="0.2">
      <c r="A2128" s="1">
        <v>42304</v>
      </c>
      <c r="B2128">
        <v>301</v>
      </c>
      <c r="C2128">
        <v>16.666666666666668</v>
      </c>
      <c r="D2128">
        <v>0.55555555555555558</v>
      </c>
      <c r="E2128">
        <v>9.3444444444444468</v>
      </c>
    </row>
    <row r="2129" spans="1:5" x14ac:dyDescent="0.2">
      <c r="A2129" s="1">
        <v>42305</v>
      </c>
      <c r="B2129">
        <v>302</v>
      </c>
      <c r="C2129">
        <v>15.555555555555555</v>
      </c>
      <c r="D2129">
        <v>7.2222222222222223</v>
      </c>
      <c r="E2129">
        <v>8.6866666666666656</v>
      </c>
    </row>
    <row r="2130" spans="1:5" x14ac:dyDescent="0.2">
      <c r="A2130" s="1">
        <v>42306</v>
      </c>
      <c r="B2130">
        <v>303</v>
      </c>
      <c r="C2130">
        <v>10.555555555555555</v>
      </c>
      <c r="D2130">
        <v>1.6666666666666665</v>
      </c>
      <c r="E2130">
        <v>8.1999999999999975</v>
      </c>
    </row>
    <row r="2131" spans="1:5" x14ac:dyDescent="0.2">
      <c r="A2131" s="1">
        <v>42307</v>
      </c>
      <c r="B2131">
        <v>304</v>
      </c>
      <c r="C2131">
        <v>7.7777777777777777</v>
      </c>
      <c r="D2131">
        <v>-0.55555555555555558</v>
      </c>
      <c r="E2131">
        <v>7.120000000000001</v>
      </c>
    </row>
    <row r="2132" spans="1:5" x14ac:dyDescent="0.2">
      <c r="A2132" s="1">
        <v>42308</v>
      </c>
      <c r="B2132">
        <v>305</v>
      </c>
      <c r="C2132">
        <v>9.4444444444444446</v>
      </c>
      <c r="D2132">
        <v>4.4444444444444446</v>
      </c>
      <c r="E2132">
        <v>6.913333333333334</v>
      </c>
    </row>
    <row r="2133" spans="1:5" x14ac:dyDescent="0.2">
      <c r="A2133" s="1">
        <v>42309</v>
      </c>
      <c r="B2133">
        <v>306</v>
      </c>
      <c r="C2133">
        <v>9.4444444444444446</v>
      </c>
      <c r="D2133">
        <v>5</v>
      </c>
      <c r="E2133">
        <v>7.6555555555555559</v>
      </c>
    </row>
    <row r="2134" spans="1:5" x14ac:dyDescent="0.2">
      <c r="A2134" s="1">
        <v>42310</v>
      </c>
      <c r="B2134">
        <v>307</v>
      </c>
      <c r="C2134">
        <v>17.222222222222221</v>
      </c>
      <c r="D2134">
        <v>4.4444444444444446</v>
      </c>
      <c r="E2134">
        <v>7.1822222222222205</v>
      </c>
    </row>
    <row r="2135" spans="1:5" x14ac:dyDescent="0.2">
      <c r="A2135" s="1">
        <v>42311</v>
      </c>
      <c r="B2135">
        <v>308</v>
      </c>
      <c r="C2135">
        <v>22.222222222222221</v>
      </c>
      <c r="D2135">
        <v>3.333333333333333</v>
      </c>
      <c r="E2135">
        <v>7.5955555555555545</v>
      </c>
    </row>
    <row r="2136" spans="1:5" x14ac:dyDescent="0.2">
      <c r="A2136" s="1">
        <v>42312</v>
      </c>
      <c r="B2136">
        <v>309</v>
      </c>
      <c r="C2136">
        <v>23.888888888888889</v>
      </c>
      <c r="D2136">
        <v>3.8888888888888888</v>
      </c>
      <c r="E2136">
        <v>6.7955555555555573</v>
      </c>
    </row>
    <row r="2137" spans="1:5" x14ac:dyDescent="0.2">
      <c r="A2137" s="1">
        <v>42313</v>
      </c>
      <c r="B2137">
        <v>310</v>
      </c>
      <c r="C2137">
        <v>21.666666666666664</v>
      </c>
      <c r="D2137">
        <v>11.666666666666668</v>
      </c>
      <c r="E2137">
        <v>6.6288888888888904</v>
      </c>
    </row>
    <row r="2138" spans="1:5" x14ac:dyDescent="0.2">
      <c r="A2138" s="1">
        <v>42314</v>
      </c>
      <c r="B2138">
        <v>311</v>
      </c>
      <c r="C2138">
        <v>20.555555555555554</v>
      </c>
      <c r="D2138">
        <v>6.6666666666666661</v>
      </c>
      <c r="E2138">
        <v>7.4622222222222225</v>
      </c>
    </row>
    <row r="2139" spans="1:5" x14ac:dyDescent="0.2">
      <c r="A2139" s="1">
        <v>42315</v>
      </c>
      <c r="B2139">
        <v>312</v>
      </c>
      <c r="C2139">
        <v>20.555555555555554</v>
      </c>
      <c r="D2139">
        <v>-0.55555555555555558</v>
      </c>
      <c r="E2139">
        <v>6.4088888888888897</v>
      </c>
    </row>
    <row r="2140" spans="1:5" x14ac:dyDescent="0.2">
      <c r="A2140" s="1">
        <v>42316</v>
      </c>
      <c r="B2140">
        <v>313</v>
      </c>
      <c r="C2140">
        <v>8.8888888888888893</v>
      </c>
      <c r="D2140">
        <v>-4.4444444444444446</v>
      </c>
      <c r="E2140">
        <v>6.8622222222222238</v>
      </c>
    </row>
    <row r="2141" spans="1:5" x14ac:dyDescent="0.2">
      <c r="A2141" s="1">
        <v>42317</v>
      </c>
      <c r="B2141">
        <v>314</v>
      </c>
      <c r="C2141">
        <v>12.222222222222223</v>
      </c>
      <c r="D2141">
        <v>-4.4444444444444446</v>
      </c>
      <c r="E2141">
        <v>6.8200000000000012</v>
      </c>
    </row>
    <row r="2142" spans="1:5" x14ac:dyDescent="0.2">
      <c r="A2142" s="1">
        <v>42318</v>
      </c>
      <c r="B2142">
        <v>315</v>
      </c>
      <c r="C2142">
        <v>12.777777777777777</v>
      </c>
      <c r="D2142">
        <v>-6.1111111111111116</v>
      </c>
      <c r="E2142">
        <v>7.075555555555554</v>
      </c>
    </row>
    <row r="2143" spans="1:5" x14ac:dyDescent="0.2">
      <c r="A2143" s="1">
        <v>42319</v>
      </c>
      <c r="B2143">
        <v>316</v>
      </c>
      <c r="C2143">
        <v>12.222222222222223</v>
      </c>
      <c r="D2143">
        <v>-5</v>
      </c>
      <c r="E2143">
        <v>6.7977777777777781</v>
      </c>
    </row>
    <row r="2144" spans="1:5" x14ac:dyDescent="0.2">
      <c r="A2144" s="1">
        <v>42320</v>
      </c>
      <c r="B2144">
        <v>317</v>
      </c>
      <c r="C2144">
        <v>15</v>
      </c>
      <c r="D2144">
        <v>3.8888888888888888</v>
      </c>
      <c r="E2144">
        <v>6.2888888888888914</v>
      </c>
    </row>
    <row r="2145" spans="1:5" x14ac:dyDescent="0.2">
      <c r="A2145" s="1">
        <v>42321</v>
      </c>
      <c r="B2145">
        <v>318</v>
      </c>
      <c r="C2145">
        <v>8.8888888888888893</v>
      </c>
      <c r="D2145">
        <v>2.2222222222222223</v>
      </c>
      <c r="E2145">
        <v>6.3822222222222242</v>
      </c>
    </row>
    <row r="2146" spans="1:5" x14ac:dyDescent="0.2">
      <c r="A2146" s="1">
        <v>42322</v>
      </c>
      <c r="B2146">
        <v>319</v>
      </c>
      <c r="C2146">
        <v>6.6666666666666661</v>
      </c>
      <c r="D2146">
        <v>-6.6666666666666661</v>
      </c>
      <c r="E2146">
        <v>5.5888888888888895</v>
      </c>
    </row>
    <row r="2147" spans="1:5" x14ac:dyDescent="0.2">
      <c r="A2147" s="1">
        <v>42323</v>
      </c>
      <c r="B2147">
        <v>320</v>
      </c>
      <c r="C2147">
        <v>12.222222222222223</v>
      </c>
      <c r="D2147">
        <v>-5.5555555555555554</v>
      </c>
      <c r="E2147">
        <v>6.2133333333333303</v>
      </c>
    </row>
    <row r="2148" spans="1:5" x14ac:dyDescent="0.2">
      <c r="A2148" s="1">
        <v>42324</v>
      </c>
      <c r="B2148">
        <v>321</v>
      </c>
      <c r="C2148">
        <v>16.666666666666668</v>
      </c>
      <c r="D2148">
        <v>0.55555555555555558</v>
      </c>
      <c r="E2148">
        <v>6.3666666666666654</v>
      </c>
    </row>
    <row r="2149" spans="1:5" x14ac:dyDescent="0.2">
      <c r="A2149" s="1">
        <v>42325</v>
      </c>
      <c r="B2149">
        <v>322</v>
      </c>
      <c r="C2149">
        <v>13.333333333333332</v>
      </c>
      <c r="D2149">
        <v>7.7777777777777777</v>
      </c>
      <c r="E2149">
        <v>6.0955555555555545</v>
      </c>
    </row>
    <row r="2150" spans="1:5" x14ac:dyDescent="0.2">
      <c r="A2150" s="1">
        <v>42326</v>
      </c>
      <c r="B2150">
        <v>323</v>
      </c>
      <c r="C2150">
        <v>16.111111111111111</v>
      </c>
      <c r="D2150">
        <v>9.4444444444444446</v>
      </c>
      <c r="E2150">
        <v>5.8177777777777795</v>
      </c>
    </row>
    <row r="2151" spans="1:5" x14ac:dyDescent="0.2">
      <c r="A2151" s="1">
        <v>42327</v>
      </c>
      <c r="B2151">
        <v>324</v>
      </c>
      <c r="C2151">
        <v>16.111111111111111</v>
      </c>
      <c r="D2151">
        <v>2.2222222222222223</v>
      </c>
      <c r="E2151">
        <v>5.0466666666666669</v>
      </c>
    </row>
    <row r="2152" spans="1:5" x14ac:dyDescent="0.2">
      <c r="A2152" s="1">
        <v>42328</v>
      </c>
      <c r="B2152">
        <v>325</v>
      </c>
      <c r="C2152">
        <v>4.4444444444444446</v>
      </c>
      <c r="D2152">
        <v>-2.7777777777777777</v>
      </c>
      <c r="E2152">
        <v>6.0044444444444434</v>
      </c>
    </row>
    <row r="2153" spans="1:5" x14ac:dyDescent="0.2">
      <c r="A2153" s="1">
        <v>42329</v>
      </c>
      <c r="B2153">
        <v>326</v>
      </c>
      <c r="C2153">
        <v>3.333333333333333</v>
      </c>
      <c r="D2153">
        <v>-3.8888888888888888</v>
      </c>
      <c r="E2153">
        <v>6.1799999999999979</v>
      </c>
    </row>
    <row r="2154" spans="1:5" x14ac:dyDescent="0.2">
      <c r="A2154" s="1">
        <v>42330</v>
      </c>
      <c r="B2154">
        <v>327</v>
      </c>
      <c r="C2154">
        <v>-2.2222222222222223</v>
      </c>
      <c r="D2154">
        <v>-15.555555555555555</v>
      </c>
      <c r="E2154">
        <v>5.3200000000000021</v>
      </c>
    </row>
    <row r="2155" spans="1:5" x14ac:dyDescent="0.2">
      <c r="A2155" s="1">
        <v>42331</v>
      </c>
      <c r="B2155">
        <v>328</v>
      </c>
      <c r="C2155">
        <v>-2.2222222222222223</v>
      </c>
      <c r="D2155">
        <v>-10</v>
      </c>
      <c r="E2155">
        <v>5.6422222222222205</v>
      </c>
    </row>
    <row r="2156" spans="1:5" x14ac:dyDescent="0.2">
      <c r="A2156" s="1">
        <v>42332</v>
      </c>
      <c r="B2156">
        <v>329</v>
      </c>
      <c r="C2156">
        <v>4.4444444444444446</v>
      </c>
      <c r="D2156">
        <v>-8.8888888888888893</v>
      </c>
      <c r="E2156">
        <v>5.8155555555555578</v>
      </c>
    </row>
    <row r="2157" spans="1:5" x14ac:dyDescent="0.2">
      <c r="A2157" s="1">
        <v>42333</v>
      </c>
      <c r="B2157">
        <v>330</v>
      </c>
      <c r="C2157">
        <v>6.6666666666666661</v>
      </c>
      <c r="D2157">
        <v>-3.333333333333333</v>
      </c>
      <c r="E2157">
        <v>4.8911111111111119</v>
      </c>
    </row>
    <row r="2158" spans="1:5" x14ac:dyDescent="0.2">
      <c r="A2158" s="1">
        <v>42334</v>
      </c>
      <c r="B2158">
        <v>331</v>
      </c>
      <c r="C2158">
        <v>8.8888888888888893</v>
      </c>
      <c r="D2158">
        <v>1.1111111111111112</v>
      </c>
      <c r="E2158">
        <v>4.6599999999999984</v>
      </c>
    </row>
    <row r="2159" spans="1:5" x14ac:dyDescent="0.2">
      <c r="A2159" s="1">
        <v>42335</v>
      </c>
      <c r="B2159">
        <v>332</v>
      </c>
      <c r="C2159">
        <v>11.666666666666668</v>
      </c>
      <c r="D2159">
        <v>0</v>
      </c>
      <c r="E2159">
        <v>5.6022222222222222</v>
      </c>
    </row>
    <row r="2160" spans="1:5" x14ac:dyDescent="0.2">
      <c r="A2160" s="1">
        <v>42336</v>
      </c>
      <c r="B2160">
        <v>333</v>
      </c>
      <c r="C2160">
        <v>0</v>
      </c>
      <c r="D2160">
        <v>-6.6666666666666661</v>
      </c>
      <c r="E2160">
        <v>5.1000000000000005</v>
      </c>
    </row>
    <row r="2161" spans="1:5" x14ac:dyDescent="0.2">
      <c r="A2161" s="1">
        <v>42337</v>
      </c>
      <c r="B2161">
        <v>334</v>
      </c>
      <c r="C2161">
        <v>1.1111111111111112</v>
      </c>
      <c r="D2161">
        <v>-8.8888888888888893</v>
      </c>
      <c r="E2161">
        <v>5.0266666666666673</v>
      </c>
    </row>
    <row r="2162" spans="1:5" x14ac:dyDescent="0.2">
      <c r="A2162" s="1">
        <v>42338</v>
      </c>
      <c r="B2162">
        <v>335</v>
      </c>
      <c r="C2162">
        <v>1.6666666666666665</v>
      </c>
      <c r="D2162">
        <v>-8.8888888888888893</v>
      </c>
      <c r="E2162">
        <v>5.1866666666666648</v>
      </c>
    </row>
    <row r="2163" spans="1:5" x14ac:dyDescent="0.2">
      <c r="A2163" s="1">
        <v>42339</v>
      </c>
      <c r="B2163">
        <v>336</v>
      </c>
      <c r="C2163">
        <v>3.8888888888888888</v>
      </c>
      <c r="D2163">
        <v>0</v>
      </c>
      <c r="E2163">
        <v>5.5222222222222221</v>
      </c>
    </row>
    <row r="2164" spans="1:5" x14ac:dyDescent="0.2">
      <c r="A2164" s="1">
        <v>42340</v>
      </c>
      <c r="B2164">
        <v>337</v>
      </c>
      <c r="C2164">
        <v>3.333333333333333</v>
      </c>
      <c r="D2164">
        <v>-2.2222222222222223</v>
      </c>
      <c r="E2164">
        <v>4.9666666666666659</v>
      </c>
    </row>
    <row r="2165" spans="1:5" x14ac:dyDescent="0.2">
      <c r="A2165" s="1">
        <v>42341</v>
      </c>
      <c r="B2165">
        <v>338</v>
      </c>
      <c r="C2165">
        <v>0.55555555555555558</v>
      </c>
      <c r="D2165">
        <v>-3.8888888888888888</v>
      </c>
      <c r="E2165">
        <v>5.1911111111111108</v>
      </c>
    </row>
    <row r="2166" spans="1:5" x14ac:dyDescent="0.2">
      <c r="A2166" s="1">
        <v>42342</v>
      </c>
      <c r="B2166">
        <v>339</v>
      </c>
      <c r="C2166">
        <v>3.8888888888888888</v>
      </c>
      <c r="D2166">
        <v>-2.7777777777777777</v>
      </c>
      <c r="E2166">
        <v>5.08</v>
      </c>
    </row>
    <row r="2167" spans="1:5" x14ac:dyDescent="0.2">
      <c r="A2167" s="1">
        <v>42343</v>
      </c>
      <c r="B2167">
        <v>340</v>
      </c>
      <c r="C2167">
        <v>10</v>
      </c>
      <c r="D2167">
        <v>-3.8888888888888888</v>
      </c>
      <c r="E2167">
        <v>5.3800000000000008</v>
      </c>
    </row>
    <row r="2168" spans="1:5" x14ac:dyDescent="0.2">
      <c r="A2168" s="1">
        <v>42344</v>
      </c>
      <c r="B2168">
        <v>341</v>
      </c>
      <c r="C2168">
        <v>9.4444444444444446</v>
      </c>
      <c r="D2168">
        <v>-1.1111111111111112</v>
      </c>
      <c r="E2168">
        <v>5.1688888888888878</v>
      </c>
    </row>
    <row r="2169" spans="1:5" x14ac:dyDescent="0.2">
      <c r="A2169" s="1">
        <v>42345</v>
      </c>
      <c r="B2169">
        <v>342</v>
      </c>
      <c r="C2169">
        <v>1.6666666666666665</v>
      </c>
      <c r="D2169">
        <v>-0.55555555555555558</v>
      </c>
      <c r="E2169">
        <v>5.0244444444444447</v>
      </c>
    </row>
    <row r="2170" spans="1:5" x14ac:dyDescent="0.2">
      <c r="A2170" s="1">
        <v>42346</v>
      </c>
      <c r="B2170">
        <v>343</v>
      </c>
      <c r="C2170">
        <v>5</v>
      </c>
      <c r="D2170">
        <v>0.55555555555555558</v>
      </c>
      <c r="E2170">
        <v>4.9955555555555549</v>
      </c>
    </row>
    <row r="2171" spans="1:5" x14ac:dyDescent="0.2">
      <c r="A2171" s="1">
        <v>42347</v>
      </c>
      <c r="B2171">
        <v>344</v>
      </c>
      <c r="C2171">
        <v>6.6666666666666661</v>
      </c>
      <c r="D2171">
        <v>0</v>
      </c>
      <c r="E2171">
        <v>4.9866666666666664</v>
      </c>
    </row>
    <row r="2172" spans="1:5" x14ac:dyDescent="0.2">
      <c r="A2172" s="1">
        <v>42348</v>
      </c>
      <c r="B2172">
        <v>345</v>
      </c>
      <c r="C2172">
        <v>9.4444444444444446</v>
      </c>
      <c r="D2172">
        <v>0.55555555555555558</v>
      </c>
      <c r="E2172">
        <v>5.0311111111111106</v>
      </c>
    </row>
    <row r="2173" spans="1:5" x14ac:dyDescent="0.2">
      <c r="A2173" s="1">
        <v>42349</v>
      </c>
      <c r="B2173">
        <v>346</v>
      </c>
      <c r="C2173">
        <v>13.888888888888889</v>
      </c>
      <c r="D2173">
        <v>0</v>
      </c>
      <c r="E2173">
        <v>4.826666666666668</v>
      </c>
    </row>
    <row r="2174" spans="1:5" x14ac:dyDescent="0.2">
      <c r="A2174" s="1">
        <v>42350</v>
      </c>
      <c r="B2174">
        <v>347</v>
      </c>
      <c r="C2174">
        <v>6.1111111111111116</v>
      </c>
      <c r="D2174">
        <v>-1.1111111111111112</v>
      </c>
      <c r="E2174">
        <v>5.126666666666666</v>
      </c>
    </row>
    <row r="2175" spans="1:5" x14ac:dyDescent="0.2">
      <c r="A2175" s="1">
        <v>42351</v>
      </c>
      <c r="B2175">
        <v>348</v>
      </c>
      <c r="C2175">
        <v>7.2222222222222223</v>
      </c>
      <c r="D2175">
        <v>3.8888888888888888</v>
      </c>
      <c r="E2175">
        <v>4.9755555555555553</v>
      </c>
    </row>
    <row r="2176" spans="1:5" x14ac:dyDescent="0.2">
      <c r="A2176" s="1">
        <v>42352</v>
      </c>
      <c r="B2176">
        <v>349</v>
      </c>
      <c r="C2176">
        <v>15.555555555555555</v>
      </c>
      <c r="D2176">
        <v>6.1111111111111116</v>
      </c>
      <c r="E2176">
        <v>4.8177777777777795</v>
      </c>
    </row>
    <row r="2177" spans="1:5" x14ac:dyDescent="0.2">
      <c r="A2177" s="1">
        <v>42353</v>
      </c>
      <c r="B2177">
        <v>350</v>
      </c>
      <c r="C2177">
        <v>14.444444444444445</v>
      </c>
      <c r="D2177">
        <v>-0.55555555555555558</v>
      </c>
      <c r="E2177">
        <v>5.1622222222222209</v>
      </c>
    </row>
    <row r="2178" spans="1:5" x14ac:dyDescent="0.2">
      <c r="A2178" s="1">
        <v>42354</v>
      </c>
      <c r="B2178">
        <v>351</v>
      </c>
      <c r="C2178">
        <v>5</v>
      </c>
      <c r="D2178">
        <v>-1.1111111111111112</v>
      </c>
      <c r="E2178">
        <v>5.1977777777777758</v>
      </c>
    </row>
    <row r="2179" spans="1:5" x14ac:dyDescent="0.2">
      <c r="A2179" s="1">
        <v>42355</v>
      </c>
      <c r="B2179">
        <v>352</v>
      </c>
      <c r="C2179">
        <v>10</v>
      </c>
      <c r="D2179">
        <v>-2.7777777777777777</v>
      </c>
      <c r="E2179">
        <v>5.0222222222222221</v>
      </c>
    </row>
    <row r="2180" spans="1:5" x14ac:dyDescent="0.2">
      <c r="A2180" s="1">
        <v>42356</v>
      </c>
      <c r="B2180">
        <v>353</v>
      </c>
      <c r="C2180">
        <v>-0.55555555555555558</v>
      </c>
      <c r="D2180">
        <v>-6.1111111111111116</v>
      </c>
      <c r="E2180">
        <v>4.9799999999999986</v>
      </c>
    </row>
    <row r="2181" spans="1:5" x14ac:dyDescent="0.2">
      <c r="A2181" s="1">
        <v>42357</v>
      </c>
      <c r="B2181">
        <v>354</v>
      </c>
      <c r="C2181">
        <v>-0.55555555555555558</v>
      </c>
      <c r="D2181">
        <v>-12.222222222222223</v>
      </c>
      <c r="E2181">
        <v>5.408888888888888</v>
      </c>
    </row>
    <row r="2182" spans="1:5" x14ac:dyDescent="0.2">
      <c r="A2182" s="1">
        <v>42358</v>
      </c>
      <c r="B2182">
        <v>355</v>
      </c>
      <c r="C2182">
        <v>2.2222222222222223</v>
      </c>
      <c r="D2182">
        <v>-11.666666666666668</v>
      </c>
      <c r="E2182">
        <v>5.52</v>
      </c>
    </row>
    <row r="2183" spans="1:5" x14ac:dyDescent="0.2">
      <c r="A2183" s="1">
        <v>42359</v>
      </c>
      <c r="B2183">
        <v>356</v>
      </c>
      <c r="C2183">
        <v>7.7777777777777777</v>
      </c>
      <c r="D2183">
        <v>2.2222222222222223</v>
      </c>
      <c r="E2183">
        <v>4.9644444444444442</v>
      </c>
    </row>
    <row r="2184" spans="1:5" x14ac:dyDescent="0.2">
      <c r="A2184" s="1">
        <v>42360</v>
      </c>
      <c r="B2184">
        <v>357</v>
      </c>
      <c r="C2184">
        <v>5</v>
      </c>
      <c r="D2184">
        <v>0</v>
      </c>
      <c r="E2184">
        <v>4.83777777777778</v>
      </c>
    </row>
    <row r="2185" spans="1:5" x14ac:dyDescent="0.2">
      <c r="A2185" s="1">
        <v>42361</v>
      </c>
      <c r="B2185">
        <v>358</v>
      </c>
      <c r="C2185">
        <v>5</v>
      </c>
      <c r="D2185">
        <v>0</v>
      </c>
      <c r="E2185">
        <v>5.028888888888889</v>
      </c>
    </row>
    <row r="2186" spans="1:5" x14ac:dyDescent="0.2">
      <c r="A2186" s="1">
        <v>42362</v>
      </c>
      <c r="B2186">
        <v>359</v>
      </c>
      <c r="C2186">
        <v>13.333333333333332</v>
      </c>
      <c r="D2186">
        <v>-0.55555555555555558</v>
      </c>
      <c r="E2186">
        <v>5.6022222222222213</v>
      </c>
    </row>
    <row r="2187" spans="1:5" x14ac:dyDescent="0.2">
      <c r="A2187" s="1">
        <v>42363</v>
      </c>
      <c r="B2187">
        <v>360</v>
      </c>
      <c r="C2187">
        <v>1.6666666666666665</v>
      </c>
      <c r="D2187">
        <v>-1.6666666666666665</v>
      </c>
      <c r="E2187">
        <v>5.1066666666666656</v>
      </c>
    </row>
    <row r="2188" spans="1:5" x14ac:dyDescent="0.2">
      <c r="A2188" s="1">
        <v>42364</v>
      </c>
      <c r="B2188">
        <v>361</v>
      </c>
      <c r="C2188">
        <v>0.55555555555555558</v>
      </c>
      <c r="D2188">
        <v>-1.6666666666666665</v>
      </c>
      <c r="E2188">
        <v>5.1711111111111112</v>
      </c>
    </row>
    <row r="2189" spans="1:5" x14ac:dyDescent="0.2">
      <c r="A2189" s="1">
        <v>42365</v>
      </c>
      <c r="B2189">
        <v>362</v>
      </c>
      <c r="C2189">
        <v>2.2222222222222223</v>
      </c>
      <c r="D2189">
        <v>-0.55555555555555558</v>
      </c>
      <c r="E2189">
        <v>4.5044444444444451</v>
      </c>
    </row>
    <row r="2190" spans="1:5" x14ac:dyDescent="0.2">
      <c r="A2190" s="1">
        <v>42366</v>
      </c>
      <c r="B2190">
        <v>363</v>
      </c>
      <c r="C2190">
        <v>1.6666666666666665</v>
      </c>
      <c r="D2190">
        <v>-4.4444444444444446</v>
      </c>
      <c r="E2190">
        <v>5.0888888888888868</v>
      </c>
    </row>
    <row r="2191" spans="1:5" x14ac:dyDescent="0.2">
      <c r="A2191" s="1">
        <v>42367</v>
      </c>
      <c r="B2191">
        <v>364</v>
      </c>
      <c r="C2191">
        <v>-2.7777777777777777</v>
      </c>
      <c r="D2191">
        <v>-6.1111111111111116</v>
      </c>
      <c r="E2191">
        <v>4.8688888888888897</v>
      </c>
    </row>
    <row r="2192" spans="1:5" x14ac:dyDescent="0.2">
      <c r="A2192" s="1">
        <v>42368</v>
      </c>
      <c r="B2192">
        <v>365</v>
      </c>
      <c r="C2192">
        <v>-3.333333333333333</v>
      </c>
      <c r="D2192">
        <v>-6.1111111111111116</v>
      </c>
      <c r="E2192">
        <v>5.3977777777777805</v>
      </c>
    </row>
    <row r="2193" spans="1:5" x14ac:dyDescent="0.2">
      <c r="A2193" s="1">
        <v>42369</v>
      </c>
      <c r="B2193">
        <v>1</v>
      </c>
      <c r="C2193">
        <v>-2.2222222222222223</v>
      </c>
      <c r="D2193">
        <v>-6.1111111111111116</v>
      </c>
      <c r="E2193">
        <v>4.9911111111111106</v>
      </c>
    </row>
    <row r="2194" spans="1:5" x14ac:dyDescent="0.2">
      <c r="A2194" s="1">
        <v>42370</v>
      </c>
      <c r="B2194">
        <v>2</v>
      </c>
      <c r="C2194">
        <v>-4.4444444444444446</v>
      </c>
      <c r="D2194">
        <v>-8.8888888888888893</v>
      </c>
      <c r="E2194">
        <v>5.0022222222222226</v>
      </c>
    </row>
    <row r="2195" spans="1:5" x14ac:dyDescent="0.2">
      <c r="A2195" s="1">
        <v>42371</v>
      </c>
      <c r="B2195">
        <v>3</v>
      </c>
      <c r="C2195">
        <v>-2.7777777777777777</v>
      </c>
      <c r="D2195">
        <v>-10.555555555555555</v>
      </c>
      <c r="E2195">
        <v>5.4333333333333336</v>
      </c>
    </row>
    <row r="2196" spans="1:5" x14ac:dyDescent="0.2">
      <c r="A2196" s="1">
        <v>42372</v>
      </c>
      <c r="B2196">
        <v>4</v>
      </c>
      <c r="C2196">
        <v>0</v>
      </c>
      <c r="D2196">
        <v>-10</v>
      </c>
      <c r="E2196">
        <v>5.8600000000000012</v>
      </c>
    </row>
    <row r="2197" spans="1:5" x14ac:dyDescent="0.2">
      <c r="A2197" s="1">
        <v>42373</v>
      </c>
      <c r="B2197">
        <v>5</v>
      </c>
      <c r="C2197">
        <v>-2.7777777777777777</v>
      </c>
      <c r="D2197">
        <v>-5</v>
      </c>
      <c r="E2197">
        <v>5.8844444444444459</v>
      </c>
    </row>
    <row r="2198" spans="1:5" x14ac:dyDescent="0.2">
      <c r="A2198" s="1">
        <v>42374</v>
      </c>
      <c r="B2198">
        <v>6</v>
      </c>
      <c r="C2198">
        <v>-2.7777777777777777</v>
      </c>
      <c r="D2198">
        <v>-16.111111111111111</v>
      </c>
      <c r="E2198">
        <v>5.9622222222222225</v>
      </c>
    </row>
    <row r="2199" spans="1:5" x14ac:dyDescent="0.2">
      <c r="A2199" s="1">
        <v>42375</v>
      </c>
      <c r="B2199">
        <v>7</v>
      </c>
      <c r="C2199">
        <v>-1.1111111111111112</v>
      </c>
      <c r="D2199">
        <v>-13.333333333333332</v>
      </c>
      <c r="E2199">
        <v>6.1066666666666682</v>
      </c>
    </row>
    <row r="2200" spans="1:5" x14ac:dyDescent="0.2">
      <c r="A2200" s="1">
        <v>42376</v>
      </c>
      <c r="B2200">
        <v>8</v>
      </c>
      <c r="C2200">
        <v>0.55555555555555558</v>
      </c>
      <c r="D2200">
        <v>-8.3333333333333339</v>
      </c>
      <c r="E2200">
        <v>6.2755555555555587</v>
      </c>
    </row>
    <row r="2201" spans="1:5" x14ac:dyDescent="0.2">
      <c r="A2201" s="1">
        <v>42377</v>
      </c>
      <c r="B2201">
        <v>9</v>
      </c>
      <c r="C2201">
        <v>2.2222222222222223</v>
      </c>
      <c r="D2201">
        <v>0.55555555555555558</v>
      </c>
      <c r="E2201">
        <v>6.2377777777777776</v>
      </c>
    </row>
    <row r="2202" spans="1:5" x14ac:dyDescent="0.2">
      <c r="A2202" s="1">
        <v>42378</v>
      </c>
      <c r="B2202">
        <v>10</v>
      </c>
      <c r="C2202">
        <v>2.7777777777777777</v>
      </c>
      <c r="D2202">
        <v>-0.55555555555555558</v>
      </c>
      <c r="E2202">
        <v>6.6755555555555537</v>
      </c>
    </row>
    <row r="2203" spans="1:5" x14ac:dyDescent="0.2">
      <c r="A2203" s="1">
        <v>42379</v>
      </c>
      <c r="B2203">
        <v>11</v>
      </c>
      <c r="C2203">
        <v>-0.55555555555555558</v>
      </c>
      <c r="D2203">
        <v>-16.666666666666668</v>
      </c>
      <c r="E2203">
        <v>5.9155555555555575</v>
      </c>
    </row>
    <row r="2204" spans="1:5" x14ac:dyDescent="0.2">
      <c r="A2204" s="1">
        <v>42380</v>
      </c>
      <c r="B2204">
        <v>12</v>
      </c>
      <c r="C2204">
        <v>-15</v>
      </c>
      <c r="D2204">
        <v>-22.777777777777779</v>
      </c>
      <c r="E2204">
        <v>5.7666666666666666</v>
      </c>
    </row>
    <row r="2205" spans="1:5" x14ac:dyDescent="0.2">
      <c r="A2205" s="1">
        <v>42381</v>
      </c>
      <c r="B2205">
        <v>13</v>
      </c>
      <c r="C2205">
        <v>-12.222222222222223</v>
      </c>
      <c r="D2205">
        <v>-22.777777777777779</v>
      </c>
      <c r="E2205">
        <v>6.44</v>
      </c>
    </row>
    <row r="2206" spans="1:5" x14ac:dyDescent="0.2">
      <c r="A2206" s="1">
        <v>42382</v>
      </c>
      <c r="B2206">
        <v>14</v>
      </c>
      <c r="C2206">
        <v>-13.888888888888889</v>
      </c>
      <c r="D2206">
        <v>-21.111111111111111</v>
      </c>
      <c r="E2206">
        <v>6.0333333333333332</v>
      </c>
    </row>
    <row r="2207" spans="1:5" x14ac:dyDescent="0.2">
      <c r="A2207" s="1">
        <v>42383</v>
      </c>
      <c r="B2207">
        <v>15</v>
      </c>
      <c r="C2207">
        <v>-5.5555555555555554</v>
      </c>
      <c r="D2207">
        <v>-18.888888888888889</v>
      </c>
      <c r="E2207">
        <v>6.6888888888888864</v>
      </c>
    </row>
    <row r="2208" spans="1:5" x14ac:dyDescent="0.2">
      <c r="A2208" s="1">
        <v>42384</v>
      </c>
      <c r="B2208">
        <v>16</v>
      </c>
      <c r="C2208">
        <v>1.6666666666666665</v>
      </c>
      <c r="D2208">
        <v>-6.1111111111111116</v>
      </c>
      <c r="E2208">
        <v>6.5733333333333333</v>
      </c>
    </row>
    <row r="2209" spans="1:5" x14ac:dyDescent="0.2">
      <c r="A2209" s="1">
        <v>42385</v>
      </c>
      <c r="B2209">
        <v>17</v>
      </c>
      <c r="C2209">
        <v>-1.6666666666666665</v>
      </c>
      <c r="D2209">
        <v>-8.3333333333333339</v>
      </c>
      <c r="E2209">
        <v>6.46</v>
      </c>
    </row>
    <row r="2210" spans="1:5" x14ac:dyDescent="0.2">
      <c r="A2210" s="1">
        <v>42386</v>
      </c>
      <c r="B2210">
        <v>18</v>
      </c>
      <c r="C2210">
        <v>-7.2222222222222223</v>
      </c>
      <c r="D2210">
        <v>-22.777777777777779</v>
      </c>
      <c r="E2210">
        <v>6.8355555555555547</v>
      </c>
    </row>
    <row r="2211" spans="1:5" x14ac:dyDescent="0.2">
      <c r="A2211" s="1">
        <v>42387</v>
      </c>
      <c r="B2211">
        <v>19</v>
      </c>
      <c r="C2211">
        <v>-17.222222222222221</v>
      </c>
      <c r="D2211">
        <v>-23.888888888888889</v>
      </c>
      <c r="E2211">
        <v>6.5555555555555554</v>
      </c>
    </row>
    <row r="2212" spans="1:5" x14ac:dyDescent="0.2">
      <c r="A2212" s="1">
        <v>42388</v>
      </c>
      <c r="B2212">
        <v>20</v>
      </c>
      <c r="C2212">
        <v>-16.111111111111111</v>
      </c>
      <c r="D2212">
        <v>-23.888888888888889</v>
      </c>
      <c r="E2212">
        <v>6.5533333333333337</v>
      </c>
    </row>
    <row r="2213" spans="1:5" x14ac:dyDescent="0.2">
      <c r="A2213" s="1">
        <v>42389</v>
      </c>
      <c r="B2213">
        <v>21</v>
      </c>
      <c r="C2213">
        <v>-11.111111111111111</v>
      </c>
      <c r="D2213">
        <v>-22.777777777777779</v>
      </c>
      <c r="E2213">
        <v>6.5222222222222221</v>
      </c>
    </row>
    <row r="2214" spans="1:5" x14ac:dyDescent="0.2">
      <c r="A2214" s="1">
        <v>42390</v>
      </c>
      <c r="B2214">
        <v>22</v>
      </c>
      <c r="C2214">
        <v>-6.1111111111111116</v>
      </c>
      <c r="D2214">
        <v>-11.666666666666668</v>
      </c>
      <c r="E2214">
        <v>6.1199999999999992</v>
      </c>
    </row>
    <row r="2215" spans="1:5" x14ac:dyDescent="0.2">
      <c r="A2215" s="1">
        <v>42391</v>
      </c>
      <c r="B2215">
        <v>23</v>
      </c>
      <c r="C2215">
        <v>-5</v>
      </c>
      <c r="D2215">
        <v>-10.555555555555555</v>
      </c>
      <c r="E2215">
        <v>7.2466666666666661</v>
      </c>
    </row>
    <row r="2216" spans="1:5" x14ac:dyDescent="0.2">
      <c r="A2216" s="1">
        <v>42392</v>
      </c>
      <c r="B2216">
        <v>24</v>
      </c>
      <c r="C2216">
        <v>-3.8888888888888888</v>
      </c>
      <c r="D2216">
        <v>-10.555555555555555</v>
      </c>
      <c r="E2216">
        <v>6.8688888888888879</v>
      </c>
    </row>
    <row r="2217" spans="1:5" x14ac:dyDescent="0.2">
      <c r="A2217" s="1">
        <v>42393</v>
      </c>
      <c r="B2217">
        <v>25</v>
      </c>
      <c r="C2217">
        <v>-0.55555555555555558</v>
      </c>
      <c r="D2217">
        <v>-13.333333333333332</v>
      </c>
      <c r="E2217">
        <v>7.0244444444444447</v>
      </c>
    </row>
    <row r="2218" spans="1:5" x14ac:dyDescent="0.2">
      <c r="A2218" s="1">
        <v>42394</v>
      </c>
      <c r="B2218">
        <v>26</v>
      </c>
      <c r="C2218">
        <v>-2.7777777777777777</v>
      </c>
      <c r="D2218">
        <v>-5</v>
      </c>
      <c r="E2218">
        <v>7.3288888888888888</v>
      </c>
    </row>
    <row r="2219" spans="1:5" x14ac:dyDescent="0.2">
      <c r="A2219" s="1">
        <v>42395</v>
      </c>
      <c r="B2219">
        <v>27</v>
      </c>
      <c r="C2219">
        <v>0</v>
      </c>
      <c r="D2219">
        <v>-3.8888888888888888</v>
      </c>
      <c r="E2219">
        <v>7.4177777777777756</v>
      </c>
    </row>
    <row r="2220" spans="1:5" x14ac:dyDescent="0.2">
      <c r="A2220" s="1">
        <v>42396</v>
      </c>
      <c r="B2220">
        <v>28</v>
      </c>
      <c r="C2220">
        <v>-1.6666666666666665</v>
      </c>
      <c r="D2220">
        <v>-6.6666666666666661</v>
      </c>
      <c r="E2220">
        <v>7.677777777777778</v>
      </c>
    </row>
    <row r="2221" spans="1:5" x14ac:dyDescent="0.2">
      <c r="A2221" s="1">
        <v>42397</v>
      </c>
      <c r="B2221">
        <v>29</v>
      </c>
      <c r="C2221">
        <v>1.6666666666666665</v>
      </c>
      <c r="D2221">
        <v>-6.1111111111111116</v>
      </c>
      <c r="E2221">
        <v>7.3044444444444458</v>
      </c>
    </row>
    <row r="2222" spans="1:5" x14ac:dyDescent="0.2">
      <c r="A2222" s="1">
        <v>42398</v>
      </c>
      <c r="B2222">
        <v>30</v>
      </c>
      <c r="C2222">
        <v>2.7777777777777777</v>
      </c>
      <c r="D2222">
        <v>-16.111111111111111</v>
      </c>
      <c r="E2222">
        <v>8</v>
      </c>
    </row>
    <row r="2223" spans="1:5" x14ac:dyDescent="0.2">
      <c r="A2223" s="1">
        <v>42399</v>
      </c>
      <c r="B2223">
        <v>31</v>
      </c>
      <c r="C2223">
        <v>1.1111111111111112</v>
      </c>
      <c r="D2223">
        <v>-18.333333333333332</v>
      </c>
      <c r="E2223">
        <v>7.6400000000000041</v>
      </c>
    </row>
    <row r="2224" spans="1:5" x14ac:dyDescent="0.2">
      <c r="A2224" s="1">
        <v>42400</v>
      </c>
      <c r="B2224">
        <v>32</v>
      </c>
      <c r="C2224">
        <v>6.1111111111111116</v>
      </c>
      <c r="D2224">
        <v>-4.4444444444444446</v>
      </c>
      <c r="E2224">
        <v>7.5244444444444474</v>
      </c>
    </row>
    <row r="2225" spans="1:5" x14ac:dyDescent="0.2">
      <c r="A2225" s="1">
        <v>42401</v>
      </c>
      <c r="B2225">
        <v>33</v>
      </c>
      <c r="C2225">
        <v>2.7777777777777777</v>
      </c>
      <c r="D2225">
        <v>-9.4444444444444446</v>
      </c>
      <c r="E2225">
        <v>7.8222222222222237</v>
      </c>
    </row>
    <row r="2226" spans="1:5" x14ac:dyDescent="0.2">
      <c r="A2226" s="1">
        <v>42402</v>
      </c>
      <c r="B2226">
        <v>34</v>
      </c>
      <c r="C2226">
        <v>3.8888888888888888</v>
      </c>
      <c r="D2226">
        <v>-8.3333333333333339</v>
      </c>
      <c r="E2226">
        <v>7.9933333333333367</v>
      </c>
    </row>
    <row r="2227" spans="1:5" x14ac:dyDescent="0.2">
      <c r="A2227" s="1">
        <v>42403</v>
      </c>
      <c r="B2227">
        <v>35</v>
      </c>
      <c r="C2227">
        <v>1.1111111111111112</v>
      </c>
      <c r="D2227">
        <v>-1.6666666666666665</v>
      </c>
      <c r="E2227">
        <v>8.8044444444444458</v>
      </c>
    </row>
    <row r="2228" spans="1:5" x14ac:dyDescent="0.2">
      <c r="A2228" s="1">
        <v>42404</v>
      </c>
      <c r="B2228">
        <v>36</v>
      </c>
      <c r="C2228">
        <v>0</v>
      </c>
      <c r="D2228">
        <v>-13.333333333333332</v>
      </c>
      <c r="E2228">
        <v>8.4622222222222199</v>
      </c>
    </row>
    <row r="2229" spans="1:5" x14ac:dyDescent="0.2">
      <c r="A2229" s="1">
        <v>42405</v>
      </c>
      <c r="B2229">
        <v>37</v>
      </c>
      <c r="C2229">
        <v>-2.7777777777777777</v>
      </c>
      <c r="D2229">
        <v>-12.777777777777777</v>
      </c>
      <c r="E2229">
        <v>8.9911111111111115</v>
      </c>
    </row>
    <row r="2230" spans="1:5" x14ac:dyDescent="0.2">
      <c r="A2230" s="1">
        <v>42406</v>
      </c>
      <c r="B2230">
        <v>38</v>
      </c>
      <c r="C2230">
        <v>-1.1111111111111112</v>
      </c>
      <c r="D2230">
        <v>-10.555555555555555</v>
      </c>
      <c r="E2230">
        <v>9.43333333333333</v>
      </c>
    </row>
    <row r="2231" spans="1:5" x14ac:dyDescent="0.2">
      <c r="A2231" s="1">
        <v>42407</v>
      </c>
      <c r="B2231">
        <v>39</v>
      </c>
      <c r="C2231">
        <v>2.7777777777777777</v>
      </c>
      <c r="D2231">
        <v>-3.333333333333333</v>
      </c>
      <c r="E2231">
        <v>9.0800000000000036</v>
      </c>
    </row>
    <row r="2232" spans="1:5" x14ac:dyDescent="0.2">
      <c r="A2232" s="1">
        <v>42408</v>
      </c>
      <c r="B2232">
        <v>40</v>
      </c>
      <c r="C2232">
        <v>3.8888888888888888</v>
      </c>
      <c r="D2232">
        <v>-6.1111111111111116</v>
      </c>
      <c r="E2232">
        <v>9.9822222222222212</v>
      </c>
    </row>
    <row r="2233" spans="1:5" x14ac:dyDescent="0.2">
      <c r="A2233" s="1">
        <v>42409</v>
      </c>
      <c r="B2233">
        <v>41</v>
      </c>
      <c r="C2233">
        <v>-5.5555555555555554</v>
      </c>
      <c r="D2233">
        <v>-12.777777777777777</v>
      </c>
      <c r="E2233">
        <v>8.9066666666666627</v>
      </c>
    </row>
    <row r="2234" spans="1:5" x14ac:dyDescent="0.2">
      <c r="A2234" s="1">
        <v>42410</v>
      </c>
      <c r="B2234">
        <v>42</v>
      </c>
      <c r="C2234">
        <v>-10</v>
      </c>
      <c r="D2234">
        <v>-17.777777777777779</v>
      </c>
      <c r="E2234">
        <v>9.7333333333333325</v>
      </c>
    </row>
    <row r="2235" spans="1:5" x14ac:dyDescent="0.2">
      <c r="A2235" s="1">
        <v>42411</v>
      </c>
      <c r="B2235">
        <v>43</v>
      </c>
      <c r="C2235">
        <v>-10.555555555555555</v>
      </c>
      <c r="D2235">
        <v>-20</v>
      </c>
      <c r="E2235">
        <v>10.073333333333336</v>
      </c>
    </row>
    <row r="2236" spans="1:5" x14ac:dyDescent="0.2">
      <c r="A2236" s="1">
        <v>42412</v>
      </c>
      <c r="B2236">
        <v>44</v>
      </c>
      <c r="C2236">
        <v>-7.2222222222222223</v>
      </c>
      <c r="D2236">
        <v>-21.666666666666664</v>
      </c>
      <c r="E2236">
        <v>8.4711111111111101</v>
      </c>
    </row>
    <row r="2237" spans="1:5" x14ac:dyDescent="0.2">
      <c r="A2237" s="1">
        <v>42413</v>
      </c>
      <c r="B2237">
        <v>45</v>
      </c>
      <c r="C2237">
        <v>-8.8888888888888893</v>
      </c>
      <c r="D2237">
        <v>-20.555555555555554</v>
      </c>
      <c r="E2237">
        <v>9.2622222222222241</v>
      </c>
    </row>
    <row r="2238" spans="1:5" x14ac:dyDescent="0.2">
      <c r="A2238" s="1">
        <v>42414</v>
      </c>
      <c r="B2238">
        <v>46</v>
      </c>
      <c r="C2238">
        <v>-11.666666666666668</v>
      </c>
      <c r="D2238">
        <v>-21.111111111111111</v>
      </c>
      <c r="E2238">
        <v>9.7844444444444445</v>
      </c>
    </row>
    <row r="2239" spans="1:5" x14ac:dyDescent="0.2">
      <c r="A2239" s="1">
        <v>42415</v>
      </c>
      <c r="B2239">
        <v>47</v>
      </c>
      <c r="C2239">
        <v>-8.3333333333333339</v>
      </c>
      <c r="D2239">
        <v>-11.666666666666668</v>
      </c>
      <c r="E2239">
        <v>10.419999999999996</v>
      </c>
    </row>
    <row r="2240" spans="1:5" x14ac:dyDescent="0.2">
      <c r="A2240" s="1">
        <v>42416</v>
      </c>
      <c r="B2240">
        <v>48</v>
      </c>
      <c r="C2240">
        <v>-3.8888888888888888</v>
      </c>
      <c r="D2240">
        <v>-9.4444444444444446</v>
      </c>
      <c r="E2240">
        <v>10.89111111111111</v>
      </c>
    </row>
    <row r="2241" spans="1:5" x14ac:dyDescent="0.2">
      <c r="A2241" s="1">
        <v>42417</v>
      </c>
      <c r="B2241">
        <v>49</v>
      </c>
      <c r="C2241">
        <v>0</v>
      </c>
      <c r="D2241">
        <v>-13.888888888888889</v>
      </c>
      <c r="E2241">
        <v>8.7977777777777799</v>
      </c>
    </row>
    <row r="2242" spans="1:5" x14ac:dyDescent="0.2">
      <c r="A2242" s="1">
        <v>42418</v>
      </c>
      <c r="B2242">
        <v>50</v>
      </c>
      <c r="C2242">
        <v>-1.1111111111111112</v>
      </c>
      <c r="D2242">
        <v>-15</v>
      </c>
      <c r="E2242">
        <v>9.6266666666666687</v>
      </c>
    </row>
    <row r="2243" spans="1:5" x14ac:dyDescent="0.2">
      <c r="A2243" s="1">
        <v>42419</v>
      </c>
      <c r="B2243">
        <v>51</v>
      </c>
      <c r="C2243">
        <v>5.5555555555555554</v>
      </c>
      <c r="D2243">
        <v>-6.1111111111111116</v>
      </c>
      <c r="E2243">
        <v>10.488888888888887</v>
      </c>
    </row>
    <row r="2244" spans="1:5" x14ac:dyDescent="0.2">
      <c r="A2244" s="1">
        <v>42420</v>
      </c>
      <c r="B2244">
        <v>52</v>
      </c>
      <c r="C2244">
        <v>9.4444444444444446</v>
      </c>
      <c r="D2244">
        <v>0.55555555555555558</v>
      </c>
      <c r="E2244">
        <v>10.06</v>
      </c>
    </row>
    <row r="2245" spans="1:5" x14ac:dyDescent="0.2">
      <c r="A2245" s="1">
        <v>42421</v>
      </c>
      <c r="B2245">
        <v>53</v>
      </c>
      <c r="C2245">
        <v>9.4444444444444446</v>
      </c>
      <c r="D2245">
        <v>-2.2222222222222223</v>
      </c>
      <c r="E2245">
        <v>10.406666666666665</v>
      </c>
    </row>
    <row r="2246" spans="1:5" x14ac:dyDescent="0.2">
      <c r="A2246" s="1">
        <v>42422</v>
      </c>
      <c r="B2246">
        <v>54</v>
      </c>
      <c r="C2246">
        <v>5.5555555555555554</v>
      </c>
      <c r="D2246">
        <v>-3.333333333333333</v>
      </c>
      <c r="E2246">
        <v>10.113333333333337</v>
      </c>
    </row>
    <row r="2247" spans="1:5" x14ac:dyDescent="0.2">
      <c r="A2247" s="1">
        <v>42423</v>
      </c>
      <c r="B2247">
        <v>55</v>
      </c>
      <c r="C2247">
        <v>3.333333333333333</v>
      </c>
      <c r="D2247">
        <v>-2.2222222222222223</v>
      </c>
      <c r="E2247">
        <v>10.037777777777777</v>
      </c>
    </row>
    <row r="2248" spans="1:5" x14ac:dyDescent="0.2">
      <c r="A2248" s="1">
        <v>42424</v>
      </c>
      <c r="B2248">
        <v>56</v>
      </c>
      <c r="C2248">
        <v>5</v>
      </c>
      <c r="D2248">
        <v>-1.1111111111111112</v>
      </c>
      <c r="E2248">
        <v>11.8</v>
      </c>
    </row>
    <row r="2249" spans="1:5" x14ac:dyDescent="0.2">
      <c r="A2249" s="1">
        <v>42425</v>
      </c>
      <c r="B2249">
        <v>57</v>
      </c>
      <c r="C2249">
        <v>3.333333333333333</v>
      </c>
      <c r="D2249">
        <v>-2.2222222222222223</v>
      </c>
      <c r="E2249">
        <v>11.313333333333336</v>
      </c>
    </row>
    <row r="2250" spans="1:5" x14ac:dyDescent="0.2">
      <c r="A2250" s="1">
        <v>42426</v>
      </c>
      <c r="B2250">
        <v>58</v>
      </c>
      <c r="C2250">
        <v>2.2222222222222223</v>
      </c>
      <c r="D2250">
        <v>-3.333333333333333</v>
      </c>
      <c r="E2250">
        <v>11.128888888888891</v>
      </c>
    </row>
    <row r="2251" spans="1:5" x14ac:dyDescent="0.2">
      <c r="A2251" s="1">
        <v>42427</v>
      </c>
      <c r="B2251">
        <v>59</v>
      </c>
      <c r="C2251">
        <v>1.1111111111111112</v>
      </c>
      <c r="D2251">
        <v>-3.8888888888888888</v>
      </c>
      <c r="E2251">
        <v>11.87555555555555</v>
      </c>
    </row>
    <row r="2252" spans="1:5" x14ac:dyDescent="0.2">
      <c r="A2252" s="1">
        <v>42428</v>
      </c>
      <c r="B2252">
        <v>60</v>
      </c>
      <c r="C2252">
        <v>13.888888888888889</v>
      </c>
      <c r="D2252">
        <v>0</v>
      </c>
      <c r="E2252">
        <v>11.59555555555556</v>
      </c>
    </row>
    <row r="2253" spans="1:5" x14ac:dyDescent="0.2">
      <c r="A2253" s="1">
        <v>42429</v>
      </c>
      <c r="B2253">
        <v>61</v>
      </c>
      <c r="C2253">
        <v>14.444444444444445</v>
      </c>
      <c r="D2253">
        <v>-1.6666666666666665</v>
      </c>
      <c r="E2253">
        <v>11.271111111111111</v>
      </c>
    </row>
    <row r="2254" spans="1:5" x14ac:dyDescent="0.2">
      <c r="A2254" s="1">
        <v>42430</v>
      </c>
      <c r="B2254">
        <v>62</v>
      </c>
      <c r="C2254">
        <v>7.7777777777777777</v>
      </c>
      <c r="D2254">
        <v>-7.2222222222222223</v>
      </c>
      <c r="E2254">
        <v>11.388888888888886</v>
      </c>
    </row>
    <row r="2255" spans="1:5" x14ac:dyDescent="0.2">
      <c r="A2255" s="1">
        <v>42431</v>
      </c>
      <c r="B2255">
        <v>63</v>
      </c>
      <c r="C2255">
        <v>-6.1111111111111116</v>
      </c>
      <c r="D2255">
        <v>-22.777777777777779</v>
      </c>
      <c r="E2255">
        <v>10.191111111111111</v>
      </c>
    </row>
    <row r="2256" spans="1:5" x14ac:dyDescent="0.2">
      <c r="A2256" s="1">
        <v>42432</v>
      </c>
      <c r="B2256">
        <v>64</v>
      </c>
      <c r="C2256">
        <v>-2.7777777777777777</v>
      </c>
      <c r="D2256">
        <v>-21.111111111111111</v>
      </c>
      <c r="E2256">
        <v>11.199999999999996</v>
      </c>
    </row>
    <row r="2257" spans="1:5" x14ac:dyDescent="0.2">
      <c r="A2257" s="1">
        <v>42433</v>
      </c>
      <c r="B2257">
        <v>65</v>
      </c>
      <c r="C2257">
        <v>0</v>
      </c>
      <c r="D2257">
        <v>-11.666666666666668</v>
      </c>
      <c r="E2257">
        <v>12.780000000000003</v>
      </c>
    </row>
    <row r="2258" spans="1:5" x14ac:dyDescent="0.2">
      <c r="A2258" s="1">
        <v>42434</v>
      </c>
      <c r="B2258">
        <v>66</v>
      </c>
      <c r="C2258">
        <v>2.2222222222222223</v>
      </c>
      <c r="D2258">
        <v>-10.555555555555555</v>
      </c>
      <c r="E2258">
        <v>13.068888888888889</v>
      </c>
    </row>
    <row r="2259" spans="1:5" x14ac:dyDescent="0.2">
      <c r="A2259" s="1">
        <v>42435</v>
      </c>
      <c r="B2259">
        <v>67</v>
      </c>
      <c r="C2259">
        <v>2.7777777777777777</v>
      </c>
      <c r="D2259">
        <v>-1.1111111111111112</v>
      </c>
      <c r="E2259">
        <v>11.393333333333333</v>
      </c>
    </row>
    <row r="2260" spans="1:5" x14ac:dyDescent="0.2">
      <c r="A2260" s="1">
        <v>42436</v>
      </c>
      <c r="B2260">
        <v>68</v>
      </c>
      <c r="C2260">
        <v>10.555555555555555</v>
      </c>
      <c r="D2260">
        <v>-1.1111111111111112</v>
      </c>
      <c r="E2260">
        <v>12.291111111111112</v>
      </c>
    </row>
    <row r="2261" spans="1:5" x14ac:dyDescent="0.2">
      <c r="A2261" s="1">
        <v>42437</v>
      </c>
      <c r="B2261">
        <v>69</v>
      </c>
      <c r="C2261">
        <v>18.888888888888889</v>
      </c>
      <c r="D2261">
        <v>2.2222222222222223</v>
      </c>
      <c r="E2261">
        <v>13.813333333333336</v>
      </c>
    </row>
    <row r="2262" spans="1:5" x14ac:dyDescent="0.2">
      <c r="A2262" s="1">
        <v>42438</v>
      </c>
      <c r="B2262">
        <v>70</v>
      </c>
      <c r="C2262">
        <v>20.555555555555554</v>
      </c>
      <c r="D2262">
        <v>8.3333333333333339</v>
      </c>
      <c r="E2262">
        <v>12.808888888888891</v>
      </c>
    </row>
    <row r="2263" spans="1:5" x14ac:dyDescent="0.2">
      <c r="A2263" s="1">
        <v>42439</v>
      </c>
      <c r="B2263">
        <v>71</v>
      </c>
      <c r="C2263">
        <v>12.222222222222223</v>
      </c>
      <c r="D2263">
        <v>3.333333333333333</v>
      </c>
      <c r="E2263">
        <v>12.691111111111107</v>
      </c>
    </row>
    <row r="2264" spans="1:5" x14ac:dyDescent="0.2">
      <c r="A2264" s="1">
        <v>42440</v>
      </c>
      <c r="B2264">
        <v>72</v>
      </c>
      <c r="C2264">
        <v>11.666666666666668</v>
      </c>
      <c r="D2264">
        <v>-3.333333333333333</v>
      </c>
      <c r="E2264">
        <v>11.371111111111109</v>
      </c>
    </row>
    <row r="2265" spans="1:5" x14ac:dyDescent="0.2">
      <c r="A2265" s="1">
        <v>42441</v>
      </c>
      <c r="B2265">
        <v>73</v>
      </c>
      <c r="C2265">
        <v>16.111111111111111</v>
      </c>
      <c r="D2265">
        <v>-3.333333333333333</v>
      </c>
      <c r="E2265">
        <v>13.164444444444442</v>
      </c>
    </row>
    <row r="2266" spans="1:5" x14ac:dyDescent="0.2">
      <c r="A2266" s="1">
        <v>42442</v>
      </c>
      <c r="B2266">
        <v>74</v>
      </c>
      <c r="C2266">
        <v>18.888888888888889</v>
      </c>
      <c r="D2266">
        <v>2.2222222222222223</v>
      </c>
      <c r="E2266">
        <v>12.719999999999995</v>
      </c>
    </row>
    <row r="2267" spans="1:5" x14ac:dyDescent="0.2">
      <c r="A2267" s="1">
        <v>42443</v>
      </c>
      <c r="B2267">
        <v>75</v>
      </c>
      <c r="C2267">
        <v>11.666666666666668</v>
      </c>
      <c r="D2267">
        <v>5.5555555555555554</v>
      </c>
      <c r="E2267">
        <v>14.366666666666664</v>
      </c>
    </row>
    <row r="2268" spans="1:5" x14ac:dyDescent="0.2">
      <c r="A2268" s="1">
        <v>42444</v>
      </c>
      <c r="B2268">
        <v>76</v>
      </c>
      <c r="C2268">
        <v>14.444444444444445</v>
      </c>
      <c r="D2268">
        <v>3.8888888888888888</v>
      </c>
      <c r="E2268">
        <v>13.237777777777776</v>
      </c>
    </row>
    <row r="2269" spans="1:5" x14ac:dyDescent="0.2">
      <c r="A2269" s="1">
        <v>42445</v>
      </c>
      <c r="B2269">
        <v>77</v>
      </c>
      <c r="C2269">
        <v>10</v>
      </c>
      <c r="D2269">
        <v>6.6666666666666661</v>
      </c>
      <c r="E2269">
        <v>12.584444444444451</v>
      </c>
    </row>
    <row r="2270" spans="1:5" x14ac:dyDescent="0.2">
      <c r="A2270" s="1">
        <v>42446</v>
      </c>
      <c r="B2270">
        <v>78</v>
      </c>
      <c r="C2270">
        <v>11.666666666666668</v>
      </c>
      <c r="D2270">
        <v>2.7777777777777777</v>
      </c>
      <c r="E2270">
        <v>12.284444444444446</v>
      </c>
    </row>
    <row r="2271" spans="1:5" x14ac:dyDescent="0.2">
      <c r="A2271" s="1">
        <v>42447</v>
      </c>
      <c r="B2271">
        <v>79</v>
      </c>
      <c r="C2271">
        <v>11.666666666666668</v>
      </c>
      <c r="D2271">
        <v>0.55555555555555558</v>
      </c>
      <c r="E2271">
        <v>13.337777777777776</v>
      </c>
    </row>
    <row r="2272" spans="1:5" x14ac:dyDescent="0.2">
      <c r="A2272" s="1">
        <v>42448</v>
      </c>
      <c r="B2272">
        <v>80</v>
      </c>
      <c r="C2272">
        <v>4.4444444444444446</v>
      </c>
      <c r="D2272">
        <v>-0.55555555555555558</v>
      </c>
      <c r="E2272">
        <v>15</v>
      </c>
    </row>
    <row r="2273" spans="1:5" x14ac:dyDescent="0.2">
      <c r="A2273" s="1">
        <v>42449</v>
      </c>
      <c r="B2273">
        <v>81</v>
      </c>
      <c r="C2273">
        <v>5</v>
      </c>
      <c r="D2273">
        <v>-2.2222222222222223</v>
      </c>
      <c r="E2273">
        <v>14.926666666666668</v>
      </c>
    </row>
    <row r="2274" spans="1:5" x14ac:dyDescent="0.2">
      <c r="A2274" s="1">
        <v>42450</v>
      </c>
      <c r="B2274">
        <v>82</v>
      </c>
      <c r="C2274">
        <v>7.2222222222222223</v>
      </c>
      <c r="D2274">
        <v>-4.4444444444444446</v>
      </c>
      <c r="E2274">
        <v>16.43333333333333</v>
      </c>
    </row>
    <row r="2275" spans="1:5" x14ac:dyDescent="0.2">
      <c r="A2275" s="1">
        <v>42451</v>
      </c>
      <c r="B2275">
        <v>83</v>
      </c>
      <c r="C2275">
        <v>9.4444444444444446</v>
      </c>
      <c r="D2275">
        <v>-5</v>
      </c>
      <c r="E2275">
        <v>14.304444444444442</v>
      </c>
    </row>
    <row r="2276" spans="1:5" x14ac:dyDescent="0.2">
      <c r="A2276" s="1">
        <v>42452</v>
      </c>
      <c r="B2276">
        <v>84</v>
      </c>
      <c r="C2276">
        <v>13.333333333333332</v>
      </c>
      <c r="D2276">
        <v>1.1111111111111112</v>
      </c>
      <c r="E2276">
        <v>14.604444444444443</v>
      </c>
    </row>
    <row r="2277" spans="1:5" x14ac:dyDescent="0.2">
      <c r="A2277" s="1">
        <v>42453</v>
      </c>
      <c r="B2277">
        <v>85</v>
      </c>
      <c r="C2277">
        <v>1.1111111111111112</v>
      </c>
      <c r="D2277">
        <v>-1.1111111111111112</v>
      </c>
      <c r="E2277">
        <v>15.69777777777778</v>
      </c>
    </row>
    <row r="2278" spans="1:5" x14ac:dyDescent="0.2">
      <c r="A2278" s="1">
        <v>42454</v>
      </c>
      <c r="B2278">
        <v>86</v>
      </c>
      <c r="C2278">
        <v>-0.55555555555555558</v>
      </c>
      <c r="D2278">
        <v>-7.2222222222222223</v>
      </c>
      <c r="E2278">
        <v>14.977777777777776</v>
      </c>
    </row>
    <row r="2279" spans="1:5" x14ac:dyDescent="0.2">
      <c r="A2279" s="1">
        <v>42455</v>
      </c>
      <c r="B2279">
        <v>87</v>
      </c>
      <c r="C2279">
        <v>8.8888888888888893</v>
      </c>
      <c r="D2279">
        <v>-7.7777777777777777</v>
      </c>
      <c r="E2279">
        <v>12.684444444444447</v>
      </c>
    </row>
    <row r="2280" spans="1:5" x14ac:dyDescent="0.2">
      <c r="A2280" s="1">
        <v>42456</v>
      </c>
      <c r="B2280">
        <v>88</v>
      </c>
      <c r="C2280">
        <v>11.666666666666668</v>
      </c>
      <c r="D2280">
        <v>0</v>
      </c>
      <c r="E2280">
        <v>14.022222222222222</v>
      </c>
    </row>
    <row r="2281" spans="1:5" x14ac:dyDescent="0.2">
      <c r="A2281" s="1">
        <v>42457</v>
      </c>
      <c r="B2281">
        <v>89</v>
      </c>
      <c r="C2281">
        <v>7.2222222222222223</v>
      </c>
      <c r="D2281">
        <v>1.6666666666666665</v>
      </c>
      <c r="E2281">
        <v>15.895555555555557</v>
      </c>
    </row>
    <row r="2282" spans="1:5" x14ac:dyDescent="0.2">
      <c r="A2282" s="1">
        <v>42458</v>
      </c>
      <c r="B2282">
        <v>90</v>
      </c>
      <c r="C2282">
        <v>13.888888888888889</v>
      </c>
      <c r="D2282">
        <v>-2.7777777777777777</v>
      </c>
      <c r="E2282">
        <v>14.608888888888893</v>
      </c>
    </row>
    <row r="2283" spans="1:5" x14ac:dyDescent="0.2">
      <c r="A2283" s="1">
        <v>42459</v>
      </c>
      <c r="B2283">
        <v>91</v>
      </c>
      <c r="C2283">
        <v>16.666666666666668</v>
      </c>
      <c r="D2283">
        <v>-3.333333333333333</v>
      </c>
      <c r="E2283">
        <v>13.344444444444447</v>
      </c>
    </row>
    <row r="2284" spans="1:5" x14ac:dyDescent="0.2">
      <c r="A2284" s="1">
        <v>42460</v>
      </c>
      <c r="B2284">
        <v>92</v>
      </c>
      <c r="C2284">
        <v>9.4444444444444446</v>
      </c>
      <c r="D2284">
        <v>6.1111111111111116</v>
      </c>
      <c r="E2284">
        <v>14.593333333333337</v>
      </c>
    </row>
    <row r="2285" spans="1:5" x14ac:dyDescent="0.2">
      <c r="A2285" s="1">
        <v>42461</v>
      </c>
      <c r="B2285">
        <v>93</v>
      </c>
      <c r="C2285">
        <v>6.6666666666666661</v>
      </c>
      <c r="D2285">
        <v>1.6666666666666665</v>
      </c>
      <c r="E2285">
        <v>13.820000000000002</v>
      </c>
    </row>
    <row r="2286" spans="1:5" x14ac:dyDescent="0.2">
      <c r="A2286" s="1">
        <v>42462</v>
      </c>
      <c r="B2286">
        <v>94</v>
      </c>
      <c r="C2286">
        <v>10</v>
      </c>
      <c r="D2286">
        <v>-2.2222222222222223</v>
      </c>
      <c r="E2286">
        <v>15.273333333333332</v>
      </c>
    </row>
    <row r="2287" spans="1:5" x14ac:dyDescent="0.2">
      <c r="A2287" s="1">
        <v>42463</v>
      </c>
      <c r="B2287">
        <v>95</v>
      </c>
      <c r="C2287">
        <v>2.2222222222222223</v>
      </c>
      <c r="D2287">
        <v>-4.4444444444444446</v>
      </c>
      <c r="E2287">
        <v>14.677777777777782</v>
      </c>
    </row>
    <row r="2288" spans="1:5" x14ac:dyDescent="0.2">
      <c r="A2288" s="1">
        <v>42464</v>
      </c>
      <c r="B2288">
        <v>96</v>
      </c>
      <c r="C2288">
        <v>23.333333333333336</v>
      </c>
      <c r="D2288">
        <v>-1.1111111111111112</v>
      </c>
      <c r="E2288">
        <v>17.008888888888887</v>
      </c>
    </row>
    <row r="2289" spans="1:5" x14ac:dyDescent="0.2">
      <c r="A2289" s="1">
        <v>42465</v>
      </c>
      <c r="B2289">
        <v>97</v>
      </c>
      <c r="C2289">
        <v>2.7777777777777777</v>
      </c>
      <c r="D2289">
        <v>-6.6666666666666661</v>
      </c>
      <c r="E2289">
        <v>16.526666666666664</v>
      </c>
    </row>
    <row r="2290" spans="1:5" x14ac:dyDescent="0.2">
      <c r="A2290" s="1">
        <v>42466</v>
      </c>
      <c r="B2290">
        <v>98</v>
      </c>
      <c r="C2290">
        <v>5.5555555555555554</v>
      </c>
      <c r="D2290">
        <v>-5.5555555555555554</v>
      </c>
      <c r="E2290">
        <v>14.875555555555552</v>
      </c>
    </row>
    <row r="2291" spans="1:5" x14ac:dyDescent="0.2">
      <c r="A2291" s="1">
        <v>42467</v>
      </c>
      <c r="B2291">
        <v>99</v>
      </c>
      <c r="C2291">
        <v>9.4444444444444446</v>
      </c>
      <c r="D2291">
        <v>0</v>
      </c>
      <c r="E2291">
        <v>17.475555555555555</v>
      </c>
    </row>
    <row r="2292" spans="1:5" x14ac:dyDescent="0.2">
      <c r="A2292" s="1">
        <v>42468</v>
      </c>
      <c r="B2292">
        <v>100</v>
      </c>
      <c r="C2292">
        <v>4.4444444444444446</v>
      </c>
      <c r="D2292">
        <v>0</v>
      </c>
      <c r="E2292">
        <v>17.055555555555557</v>
      </c>
    </row>
    <row r="2293" spans="1:5" x14ac:dyDescent="0.2">
      <c r="A2293" s="1">
        <v>42469</v>
      </c>
      <c r="B2293">
        <v>101</v>
      </c>
      <c r="C2293">
        <v>4.4444444444444446</v>
      </c>
      <c r="D2293">
        <v>-7.7777777777777777</v>
      </c>
      <c r="E2293">
        <v>15.882222222222218</v>
      </c>
    </row>
    <row r="2294" spans="1:5" x14ac:dyDescent="0.2">
      <c r="A2294" s="1">
        <v>42470</v>
      </c>
      <c r="B2294">
        <v>102</v>
      </c>
      <c r="C2294">
        <v>4.4444444444444446</v>
      </c>
      <c r="D2294">
        <v>-4.4444444444444446</v>
      </c>
      <c r="E2294">
        <v>15.497777777777774</v>
      </c>
    </row>
    <row r="2295" spans="1:5" x14ac:dyDescent="0.2">
      <c r="A2295" s="1">
        <v>42471</v>
      </c>
      <c r="B2295">
        <v>103</v>
      </c>
      <c r="C2295">
        <v>11.111111111111111</v>
      </c>
      <c r="D2295">
        <v>1.6666666666666665</v>
      </c>
      <c r="E2295">
        <v>18.066666666666666</v>
      </c>
    </row>
    <row r="2296" spans="1:5" x14ac:dyDescent="0.2">
      <c r="A2296" s="1">
        <v>42472</v>
      </c>
      <c r="B2296">
        <v>104</v>
      </c>
      <c r="C2296">
        <v>8.3333333333333339</v>
      </c>
      <c r="D2296">
        <v>-5.5555555555555554</v>
      </c>
      <c r="E2296">
        <v>17.306666666666665</v>
      </c>
    </row>
    <row r="2297" spans="1:5" x14ac:dyDescent="0.2">
      <c r="A2297" s="1">
        <v>42473</v>
      </c>
      <c r="B2297">
        <v>105</v>
      </c>
      <c r="C2297">
        <v>11.111111111111111</v>
      </c>
      <c r="D2297">
        <v>-5</v>
      </c>
      <c r="E2297">
        <v>18.091111111111108</v>
      </c>
    </row>
    <row r="2298" spans="1:5" x14ac:dyDescent="0.2">
      <c r="A2298" s="1">
        <v>42474</v>
      </c>
      <c r="B2298">
        <v>106</v>
      </c>
      <c r="C2298">
        <v>10.555555555555555</v>
      </c>
      <c r="D2298">
        <v>2.7777777777777777</v>
      </c>
      <c r="E2298">
        <v>15.755555555555551</v>
      </c>
    </row>
    <row r="2299" spans="1:5" x14ac:dyDescent="0.2">
      <c r="A2299" s="1">
        <v>42475</v>
      </c>
      <c r="B2299">
        <v>107</v>
      </c>
      <c r="C2299">
        <v>19.444444444444443</v>
      </c>
      <c r="D2299">
        <v>1.6666666666666665</v>
      </c>
      <c r="E2299">
        <v>18.606666666666669</v>
      </c>
    </row>
    <row r="2300" spans="1:5" x14ac:dyDescent="0.2">
      <c r="A2300" s="1">
        <v>42476</v>
      </c>
      <c r="B2300">
        <v>108</v>
      </c>
      <c r="C2300">
        <v>22.777777777777779</v>
      </c>
      <c r="D2300">
        <v>5.5555555555555554</v>
      </c>
      <c r="E2300">
        <v>17.028888888888886</v>
      </c>
    </row>
    <row r="2301" spans="1:5" x14ac:dyDescent="0.2">
      <c r="A2301" s="1">
        <v>42477</v>
      </c>
      <c r="B2301">
        <v>109</v>
      </c>
      <c r="C2301">
        <v>26.666666666666664</v>
      </c>
      <c r="D2301">
        <v>5.5555555555555554</v>
      </c>
      <c r="E2301">
        <v>16.00888888888889</v>
      </c>
    </row>
    <row r="2302" spans="1:5" x14ac:dyDescent="0.2">
      <c r="A2302" s="1">
        <v>42478</v>
      </c>
      <c r="B2302">
        <v>110</v>
      </c>
      <c r="C2302">
        <v>27.222222222222221</v>
      </c>
      <c r="D2302">
        <v>6.1111111111111116</v>
      </c>
      <c r="E2302">
        <v>14.822222222222214</v>
      </c>
    </row>
    <row r="2303" spans="1:5" x14ac:dyDescent="0.2">
      <c r="A2303" s="1">
        <v>42479</v>
      </c>
      <c r="B2303">
        <v>111</v>
      </c>
      <c r="C2303">
        <v>26.666666666666664</v>
      </c>
      <c r="D2303">
        <v>6.1111111111111116</v>
      </c>
      <c r="E2303">
        <v>16.506666666666668</v>
      </c>
    </row>
    <row r="2304" spans="1:5" x14ac:dyDescent="0.2">
      <c r="A2304" s="1">
        <v>42480</v>
      </c>
      <c r="B2304">
        <v>112</v>
      </c>
      <c r="C2304">
        <v>11.666666666666668</v>
      </c>
      <c r="D2304">
        <v>6.6666666666666661</v>
      </c>
      <c r="E2304">
        <v>16.88</v>
      </c>
    </row>
    <row r="2305" spans="1:5" x14ac:dyDescent="0.2">
      <c r="A2305" s="1">
        <v>42481</v>
      </c>
      <c r="B2305">
        <v>113</v>
      </c>
      <c r="C2305">
        <v>22.222222222222221</v>
      </c>
      <c r="D2305">
        <v>7.2222222222222223</v>
      </c>
      <c r="E2305">
        <v>17.740000000000009</v>
      </c>
    </row>
    <row r="2306" spans="1:5" x14ac:dyDescent="0.2">
      <c r="A2306" s="1">
        <v>42482</v>
      </c>
      <c r="B2306">
        <v>114</v>
      </c>
      <c r="C2306">
        <v>20.555555555555554</v>
      </c>
      <c r="D2306">
        <v>7.7777777777777777</v>
      </c>
      <c r="E2306">
        <v>19.917777777777768</v>
      </c>
    </row>
    <row r="2307" spans="1:5" x14ac:dyDescent="0.2">
      <c r="A2307" s="1">
        <v>42483</v>
      </c>
      <c r="B2307">
        <v>115</v>
      </c>
      <c r="C2307">
        <v>15.555555555555555</v>
      </c>
      <c r="D2307">
        <v>1.6666666666666665</v>
      </c>
      <c r="E2307">
        <v>19.82888888888888</v>
      </c>
    </row>
    <row r="2308" spans="1:5" x14ac:dyDescent="0.2">
      <c r="A2308" s="1">
        <v>42484</v>
      </c>
      <c r="B2308">
        <v>116</v>
      </c>
      <c r="C2308">
        <v>18.888888888888889</v>
      </c>
      <c r="D2308">
        <v>6.6666666666666661</v>
      </c>
      <c r="E2308">
        <v>19.919999999999998</v>
      </c>
    </row>
    <row r="2309" spans="1:5" x14ac:dyDescent="0.2">
      <c r="A2309" s="1">
        <v>42485</v>
      </c>
      <c r="B2309">
        <v>117</v>
      </c>
      <c r="C2309">
        <v>22.222222222222221</v>
      </c>
      <c r="D2309">
        <v>8.8888888888888893</v>
      </c>
      <c r="E2309">
        <v>18.355555555555554</v>
      </c>
    </row>
    <row r="2310" spans="1:5" x14ac:dyDescent="0.2">
      <c r="A2310" s="1">
        <v>42486</v>
      </c>
      <c r="B2310">
        <v>118</v>
      </c>
      <c r="C2310">
        <v>24.444444444444446</v>
      </c>
      <c r="D2310">
        <v>5</v>
      </c>
      <c r="E2310">
        <v>18.562222222222225</v>
      </c>
    </row>
    <row r="2311" spans="1:5" x14ac:dyDescent="0.2">
      <c r="A2311" s="1">
        <v>42487</v>
      </c>
      <c r="B2311">
        <v>119</v>
      </c>
      <c r="C2311">
        <v>8.3333333333333339</v>
      </c>
      <c r="D2311">
        <v>2.7777777777777777</v>
      </c>
      <c r="E2311">
        <v>18.202222222222229</v>
      </c>
    </row>
    <row r="2312" spans="1:5" x14ac:dyDescent="0.2">
      <c r="A2312" s="1">
        <v>42488</v>
      </c>
      <c r="B2312">
        <v>120</v>
      </c>
      <c r="C2312">
        <v>12.777777777777777</v>
      </c>
      <c r="D2312">
        <v>2.7777777777777777</v>
      </c>
      <c r="E2312">
        <v>17.571111111111119</v>
      </c>
    </row>
    <row r="2313" spans="1:5" x14ac:dyDescent="0.2">
      <c r="A2313" s="1">
        <v>42489</v>
      </c>
      <c r="B2313">
        <v>121</v>
      </c>
      <c r="C2313">
        <v>6.1111111111111116</v>
      </c>
      <c r="D2313">
        <v>3.333333333333333</v>
      </c>
      <c r="E2313">
        <v>19.524444444444448</v>
      </c>
    </row>
    <row r="2314" spans="1:5" x14ac:dyDescent="0.2">
      <c r="A2314" s="1">
        <v>42490</v>
      </c>
      <c r="B2314">
        <v>122</v>
      </c>
      <c r="C2314">
        <v>11.666666666666668</v>
      </c>
      <c r="D2314">
        <v>3.333333333333333</v>
      </c>
      <c r="E2314">
        <v>19.262222222222217</v>
      </c>
    </row>
    <row r="2315" spans="1:5" x14ac:dyDescent="0.2">
      <c r="A2315" s="1">
        <v>42491</v>
      </c>
      <c r="B2315">
        <v>123</v>
      </c>
      <c r="C2315">
        <v>9.4444444444444446</v>
      </c>
      <c r="D2315">
        <v>6.1111111111111116</v>
      </c>
      <c r="E2315">
        <v>21.293333333333326</v>
      </c>
    </row>
    <row r="2316" spans="1:5" x14ac:dyDescent="0.2">
      <c r="A2316" s="1">
        <v>42492</v>
      </c>
      <c r="B2316">
        <v>124</v>
      </c>
      <c r="C2316">
        <v>13.333333333333332</v>
      </c>
      <c r="D2316">
        <v>2.2222222222222223</v>
      </c>
      <c r="E2316">
        <v>20.195555555555561</v>
      </c>
    </row>
    <row r="2317" spans="1:5" x14ac:dyDescent="0.2">
      <c r="A2317" s="1">
        <v>42493</v>
      </c>
      <c r="B2317">
        <v>125</v>
      </c>
      <c r="C2317">
        <v>18.333333333333332</v>
      </c>
      <c r="D2317">
        <v>1.1111111111111112</v>
      </c>
      <c r="E2317">
        <v>19.100000000000005</v>
      </c>
    </row>
    <row r="2318" spans="1:5" x14ac:dyDescent="0.2">
      <c r="A2318" s="1">
        <v>42494</v>
      </c>
      <c r="B2318">
        <v>126</v>
      </c>
      <c r="C2318">
        <v>19.444444444444443</v>
      </c>
      <c r="D2318">
        <v>1.1111111111111112</v>
      </c>
      <c r="E2318">
        <v>20.082222222222224</v>
      </c>
    </row>
    <row r="2319" spans="1:5" x14ac:dyDescent="0.2">
      <c r="A2319" s="1">
        <v>42495</v>
      </c>
      <c r="B2319">
        <v>127</v>
      </c>
      <c r="C2319">
        <v>16.111111111111111</v>
      </c>
      <c r="D2319">
        <v>1.6666666666666665</v>
      </c>
      <c r="E2319">
        <v>17.606666666666673</v>
      </c>
    </row>
    <row r="2320" spans="1:5" x14ac:dyDescent="0.2">
      <c r="A2320" s="1">
        <v>42496</v>
      </c>
      <c r="B2320">
        <v>128</v>
      </c>
      <c r="C2320">
        <v>19.444444444444443</v>
      </c>
      <c r="D2320">
        <v>1.1111111111111112</v>
      </c>
      <c r="E2320">
        <v>18.580000000000002</v>
      </c>
    </row>
    <row r="2321" spans="1:5" x14ac:dyDescent="0.2">
      <c r="A2321" s="1">
        <v>42497</v>
      </c>
      <c r="B2321">
        <v>129</v>
      </c>
      <c r="C2321">
        <v>29.444444444444446</v>
      </c>
      <c r="D2321">
        <v>5.5555555555555554</v>
      </c>
      <c r="E2321">
        <v>20.891111111111112</v>
      </c>
    </row>
    <row r="2322" spans="1:5" x14ac:dyDescent="0.2">
      <c r="A2322" s="1">
        <v>42498</v>
      </c>
      <c r="B2322">
        <v>130</v>
      </c>
      <c r="C2322">
        <v>20</v>
      </c>
      <c r="D2322">
        <v>1.6666666666666665</v>
      </c>
      <c r="E2322">
        <v>21.2911111111111</v>
      </c>
    </row>
    <row r="2323" spans="1:5" x14ac:dyDescent="0.2">
      <c r="A2323" s="1">
        <v>42499</v>
      </c>
      <c r="B2323">
        <v>131</v>
      </c>
      <c r="C2323">
        <v>22.222222222222221</v>
      </c>
      <c r="D2323">
        <v>5.5555555555555554</v>
      </c>
      <c r="E2323">
        <v>17.644444444444446</v>
      </c>
    </row>
    <row r="2324" spans="1:5" x14ac:dyDescent="0.2">
      <c r="A2324" s="1">
        <v>42500</v>
      </c>
      <c r="B2324">
        <v>132</v>
      </c>
      <c r="C2324">
        <v>18.888888888888889</v>
      </c>
      <c r="D2324">
        <v>8.3333333333333339</v>
      </c>
      <c r="E2324">
        <v>19.975555555555552</v>
      </c>
    </row>
    <row r="2325" spans="1:5" x14ac:dyDescent="0.2">
      <c r="A2325" s="1">
        <v>42501</v>
      </c>
      <c r="B2325">
        <v>133</v>
      </c>
      <c r="C2325">
        <v>11.111111111111111</v>
      </c>
      <c r="D2325">
        <v>9.4444444444444446</v>
      </c>
      <c r="E2325">
        <v>19.571111111111115</v>
      </c>
    </row>
    <row r="2326" spans="1:5" x14ac:dyDescent="0.2">
      <c r="A2326" s="1">
        <v>42502</v>
      </c>
      <c r="B2326">
        <v>134</v>
      </c>
      <c r="C2326">
        <v>20</v>
      </c>
      <c r="D2326">
        <v>9.4444444444444446</v>
      </c>
      <c r="E2326">
        <v>18.477777777777774</v>
      </c>
    </row>
    <row r="2327" spans="1:5" x14ac:dyDescent="0.2">
      <c r="A2327" s="1">
        <v>42503</v>
      </c>
      <c r="B2327">
        <v>135</v>
      </c>
      <c r="C2327">
        <v>18.888888888888889</v>
      </c>
      <c r="D2327">
        <v>5.5555555555555554</v>
      </c>
      <c r="E2327">
        <v>19.902222222222221</v>
      </c>
    </row>
    <row r="2328" spans="1:5" x14ac:dyDescent="0.2">
      <c r="A2328" s="1">
        <v>42504</v>
      </c>
      <c r="B2328">
        <v>136</v>
      </c>
      <c r="C2328">
        <v>14.444444444444445</v>
      </c>
      <c r="D2328">
        <v>3.333333333333333</v>
      </c>
      <c r="E2328">
        <v>20.839999999999996</v>
      </c>
    </row>
    <row r="2329" spans="1:5" x14ac:dyDescent="0.2">
      <c r="A2329" s="1">
        <v>42505</v>
      </c>
      <c r="B2329">
        <v>137</v>
      </c>
      <c r="C2329">
        <v>7.2222222222222223</v>
      </c>
      <c r="D2329">
        <v>-2.2222222222222223</v>
      </c>
      <c r="E2329">
        <v>20.335555555555548</v>
      </c>
    </row>
    <row r="2330" spans="1:5" x14ac:dyDescent="0.2">
      <c r="A2330" s="1">
        <v>42506</v>
      </c>
      <c r="B2330">
        <v>138</v>
      </c>
      <c r="C2330">
        <v>14.444444444444445</v>
      </c>
      <c r="D2330">
        <v>-2.2222222222222223</v>
      </c>
      <c r="E2330">
        <v>19.555555555555557</v>
      </c>
    </row>
    <row r="2331" spans="1:5" x14ac:dyDescent="0.2">
      <c r="A2331" s="1">
        <v>42507</v>
      </c>
      <c r="B2331">
        <v>139</v>
      </c>
      <c r="C2331">
        <v>21.111111111111111</v>
      </c>
      <c r="D2331">
        <v>2.7777777777777777</v>
      </c>
      <c r="E2331">
        <v>21.506666666666671</v>
      </c>
    </row>
    <row r="2332" spans="1:5" x14ac:dyDescent="0.2">
      <c r="A2332" s="1">
        <v>42508</v>
      </c>
      <c r="B2332">
        <v>140</v>
      </c>
      <c r="C2332">
        <v>16.111111111111111</v>
      </c>
      <c r="D2332">
        <v>0</v>
      </c>
      <c r="E2332">
        <v>22.404444444444444</v>
      </c>
    </row>
    <row r="2333" spans="1:5" x14ac:dyDescent="0.2">
      <c r="A2333" s="1">
        <v>42509</v>
      </c>
      <c r="B2333">
        <v>141</v>
      </c>
      <c r="C2333">
        <v>20</v>
      </c>
      <c r="D2333">
        <v>1.6666666666666665</v>
      </c>
      <c r="E2333">
        <v>22.526666666666674</v>
      </c>
    </row>
    <row r="2334" spans="1:5" x14ac:dyDescent="0.2">
      <c r="A2334" s="1">
        <v>42510</v>
      </c>
      <c r="B2334">
        <v>142</v>
      </c>
      <c r="C2334">
        <v>22.222222222222221</v>
      </c>
      <c r="D2334">
        <v>2.2222222222222223</v>
      </c>
      <c r="E2334">
        <v>20.664444444444445</v>
      </c>
    </row>
    <row r="2335" spans="1:5" x14ac:dyDescent="0.2">
      <c r="A2335" s="1">
        <v>42511</v>
      </c>
      <c r="B2335">
        <v>143</v>
      </c>
      <c r="C2335">
        <v>23.333333333333336</v>
      </c>
      <c r="D2335">
        <v>3.333333333333333</v>
      </c>
      <c r="E2335">
        <v>19.966666666666665</v>
      </c>
    </row>
    <row r="2336" spans="1:5" x14ac:dyDescent="0.2">
      <c r="A2336" s="1">
        <v>42512</v>
      </c>
      <c r="B2336">
        <v>144</v>
      </c>
      <c r="C2336">
        <v>27.222222222222221</v>
      </c>
      <c r="D2336">
        <v>6.6666666666666661</v>
      </c>
      <c r="E2336">
        <v>21.091111111111118</v>
      </c>
    </row>
    <row r="2337" spans="1:5" x14ac:dyDescent="0.2">
      <c r="A2337" s="1">
        <v>42513</v>
      </c>
      <c r="B2337">
        <v>145</v>
      </c>
      <c r="C2337">
        <v>29.444444444444446</v>
      </c>
      <c r="D2337">
        <v>10</v>
      </c>
      <c r="E2337">
        <v>21.435555555555553</v>
      </c>
    </row>
    <row r="2338" spans="1:5" x14ac:dyDescent="0.2">
      <c r="A2338" s="1">
        <v>42514</v>
      </c>
      <c r="B2338">
        <v>146</v>
      </c>
      <c r="C2338">
        <v>28.888888888888889</v>
      </c>
      <c r="D2338">
        <v>10.555555555555555</v>
      </c>
      <c r="E2338">
        <v>22.319999999999986</v>
      </c>
    </row>
    <row r="2339" spans="1:5" x14ac:dyDescent="0.2">
      <c r="A2339" s="1">
        <v>42515</v>
      </c>
      <c r="B2339">
        <v>147</v>
      </c>
      <c r="C2339">
        <v>28.888888888888889</v>
      </c>
      <c r="D2339">
        <v>14.444444444444445</v>
      </c>
      <c r="E2339">
        <v>21.086666666666666</v>
      </c>
    </row>
    <row r="2340" spans="1:5" x14ac:dyDescent="0.2">
      <c r="A2340" s="1">
        <v>42516</v>
      </c>
      <c r="B2340">
        <v>148</v>
      </c>
      <c r="C2340">
        <v>28.888888888888889</v>
      </c>
      <c r="D2340">
        <v>13.888888888888889</v>
      </c>
      <c r="E2340">
        <v>19.986666666666665</v>
      </c>
    </row>
    <row r="2341" spans="1:5" x14ac:dyDescent="0.2">
      <c r="A2341" s="1">
        <v>42517</v>
      </c>
      <c r="B2341">
        <v>149</v>
      </c>
      <c r="C2341">
        <v>29.444444444444446</v>
      </c>
      <c r="D2341">
        <v>15</v>
      </c>
      <c r="E2341">
        <v>20.988888888888894</v>
      </c>
    </row>
    <row r="2342" spans="1:5" x14ac:dyDescent="0.2">
      <c r="A2342" s="1">
        <v>42518</v>
      </c>
      <c r="B2342">
        <v>150</v>
      </c>
      <c r="C2342">
        <v>26.111111111111111</v>
      </c>
      <c r="D2342">
        <v>17.222222222222221</v>
      </c>
      <c r="E2342">
        <v>21.175555555555562</v>
      </c>
    </row>
    <row r="2343" spans="1:5" x14ac:dyDescent="0.2">
      <c r="A2343" s="1">
        <v>42519</v>
      </c>
      <c r="B2343">
        <v>151</v>
      </c>
      <c r="C2343">
        <v>28.333333333333336</v>
      </c>
      <c r="D2343">
        <v>16.111111111111111</v>
      </c>
      <c r="E2343">
        <v>21.524444444444448</v>
      </c>
    </row>
    <row r="2344" spans="1:5" x14ac:dyDescent="0.2">
      <c r="A2344" s="1">
        <v>42520</v>
      </c>
      <c r="B2344">
        <v>152</v>
      </c>
      <c r="C2344">
        <v>26.111111111111111</v>
      </c>
      <c r="D2344">
        <v>13.333333333333332</v>
      </c>
      <c r="E2344">
        <v>22.935555555555549</v>
      </c>
    </row>
    <row r="2345" spans="1:5" x14ac:dyDescent="0.2">
      <c r="A2345" s="1">
        <v>42521</v>
      </c>
      <c r="B2345">
        <v>153</v>
      </c>
      <c r="C2345">
        <v>28.333333333333336</v>
      </c>
      <c r="D2345">
        <v>13.888888888888889</v>
      </c>
      <c r="E2345">
        <v>22.097777777777782</v>
      </c>
    </row>
    <row r="2346" spans="1:5" x14ac:dyDescent="0.2">
      <c r="A2346" s="1">
        <v>42522</v>
      </c>
      <c r="B2346">
        <v>154</v>
      </c>
      <c r="C2346">
        <v>26.666666666666664</v>
      </c>
      <c r="D2346">
        <v>16.666666666666668</v>
      </c>
      <c r="E2346">
        <v>23.393333333333331</v>
      </c>
    </row>
    <row r="2347" spans="1:5" x14ac:dyDescent="0.2">
      <c r="A2347" s="1">
        <v>42523</v>
      </c>
      <c r="B2347">
        <v>155</v>
      </c>
      <c r="C2347">
        <v>25.555555555555554</v>
      </c>
      <c r="D2347">
        <v>11.111111111111111</v>
      </c>
      <c r="E2347">
        <v>22.279999999999998</v>
      </c>
    </row>
    <row r="2348" spans="1:5" x14ac:dyDescent="0.2">
      <c r="A2348" s="1">
        <v>42524</v>
      </c>
      <c r="B2348">
        <v>156</v>
      </c>
      <c r="C2348">
        <v>23.333333333333336</v>
      </c>
      <c r="D2348">
        <v>10.555555555555555</v>
      </c>
      <c r="E2348">
        <v>21.313333333333325</v>
      </c>
    </row>
    <row r="2349" spans="1:5" x14ac:dyDescent="0.2">
      <c r="A2349" s="1">
        <v>42525</v>
      </c>
      <c r="B2349">
        <v>157</v>
      </c>
      <c r="C2349">
        <v>28.333333333333336</v>
      </c>
      <c r="D2349">
        <v>12.777777777777777</v>
      </c>
      <c r="E2349">
        <v>22.002222222222226</v>
      </c>
    </row>
    <row r="2350" spans="1:5" x14ac:dyDescent="0.2">
      <c r="A2350" s="1">
        <v>42526</v>
      </c>
      <c r="B2350">
        <v>158</v>
      </c>
      <c r="C2350">
        <v>28.333333333333336</v>
      </c>
      <c r="D2350">
        <v>12.777777777777777</v>
      </c>
      <c r="E2350">
        <v>22.086666666666659</v>
      </c>
    </row>
    <row r="2351" spans="1:5" x14ac:dyDescent="0.2">
      <c r="A2351" s="1">
        <v>42527</v>
      </c>
      <c r="B2351">
        <v>159</v>
      </c>
      <c r="C2351">
        <v>28.333333333333336</v>
      </c>
      <c r="D2351">
        <v>10.555555555555555</v>
      </c>
      <c r="E2351">
        <v>23.813333333333325</v>
      </c>
    </row>
    <row r="2352" spans="1:5" x14ac:dyDescent="0.2">
      <c r="A2352" s="1">
        <v>42528</v>
      </c>
      <c r="B2352">
        <v>160</v>
      </c>
      <c r="C2352">
        <v>22.777777777777779</v>
      </c>
      <c r="D2352">
        <v>10.555555555555555</v>
      </c>
      <c r="E2352">
        <v>21.76222222222221</v>
      </c>
    </row>
    <row r="2353" spans="1:5" x14ac:dyDescent="0.2">
      <c r="A2353" s="1">
        <v>42529</v>
      </c>
      <c r="B2353">
        <v>161</v>
      </c>
      <c r="C2353">
        <v>19.444444444444443</v>
      </c>
      <c r="D2353">
        <v>5.5555555555555554</v>
      </c>
      <c r="E2353">
        <v>23.468888888888888</v>
      </c>
    </row>
    <row r="2354" spans="1:5" x14ac:dyDescent="0.2">
      <c r="A2354" s="1">
        <v>42530</v>
      </c>
      <c r="B2354">
        <v>162</v>
      </c>
      <c r="C2354">
        <v>23.333333333333336</v>
      </c>
      <c r="D2354">
        <v>7.7777777777777777</v>
      </c>
      <c r="E2354">
        <v>20.566666666666666</v>
      </c>
    </row>
    <row r="2355" spans="1:5" x14ac:dyDescent="0.2">
      <c r="A2355" s="1">
        <v>42531</v>
      </c>
      <c r="B2355">
        <v>163</v>
      </c>
      <c r="C2355">
        <v>23.888888888888889</v>
      </c>
      <c r="D2355">
        <v>13.333333333333332</v>
      </c>
      <c r="E2355">
        <v>21.984444444444435</v>
      </c>
    </row>
    <row r="2356" spans="1:5" x14ac:dyDescent="0.2">
      <c r="A2356" s="1">
        <v>42532</v>
      </c>
      <c r="B2356">
        <v>164</v>
      </c>
      <c r="C2356">
        <v>31.666666666666664</v>
      </c>
      <c r="D2356">
        <v>17.222222222222221</v>
      </c>
      <c r="E2356">
        <v>23.388888888888882</v>
      </c>
    </row>
    <row r="2357" spans="1:5" x14ac:dyDescent="0.2">
      <c r="A2357" s="1">
        <v>42533</v>
      </c>
      <c r="B2357">
        <v>165</v>
      </c>
      <c r="C2357">
        <v>31.111111111111111</v>
      </c>
      <c r="D2357">
        <v>16.111111111111111</v>
      </c>
      <c r="E2357">
        <v>21.657777777777785</v>
      </c>
    </row>
    <row r="2358" spans="1:5" x14ac:dyDescent="0.2">
      <c r="A2358" s="1">
        <v>42534</v>
      </c>
      <c r="B2358">
        <v>166</v>
      </c>
      <c r="C2358">
        <v>22.222222222222221</v>
      </c>
      <c r="D2358">
        <v>12.777777777777777</v>
      </c>
      <c r="E2358">
        <v>20.875555555555547</v>
      </c>
    </row>
    <row r="2359" spans="1:5" x14ac:dyDescent="0.2">
      <c r="A2359" s="1">
        <v>42535</v>
      </c>
      <c r="B2359">
        <v>167</v>
      </c>
      <c r="C2359">
        <v>27.222222222222221</v>
      </c>
      <c r="D2359">
        <v>13.333333333333332</v>
      </c>
      <c r="E2359">
        <v>21.88</v>
      </c>
    </row>
    <row r="2360" spans="1:5" x14ac:dyDescent="0.2">
      <c r="A2360" s="1">
        <v>42536</v>
      </c>
      <c r="B2360">
        <v>168</v>
      </c>
      <c r="C2360">
        <v>28.888888888888889</v>
      </c>
      <c r="D2360">
        <v>17.222222222222221</v>
      </c>
      <c r="E2360">
        <v>23.36666666666666</v>
      </c>
    </row>
    <row r="2361" spans="1:5" x14ac:dyDescent="0.2">
      <c r="A2361" s="1">
        <v>42537</v>
      </c>
      <c r="B2361">
        <v>169</v>
      </c>
      <c r="C2361">
        <v>30</v>
      </c>
      <c r="D2361">
        <v>17.777777777777779</v>
      </c>
      <c r="E2361">
        <v>21.613333333333337</v>
      </c>
    </row>
    <row r="2362" spans="1:5" x14ac:dyDescent="0.2">
      <c r="A2362" s="1">
        <v>42538</v>
      </c>
      <c r="B2362">
        <v>170</v>
      </c>
      <c r="C2362">
        <v>22.777777777777779</v>
      </c>
      <c r="D2362">
        <v>12.777777777777777</v>
      </c>
      <c r="E2362">
        <v>23.11333333333333</v>
      </c>
    </row>
    <row r="2363" spans="1:5" x14ac:dyDescent="0.2">
      <c r="A2363" s="1">
        <v>42539</v>
      </c>
      <c r="B2363">
        <v>171</v>
      </c>
      <c r="C2363">
        <v>28.888888888888889</v>
      </c>
      <c r="D2363">
        <v>13.888888888888889</v>
      </c>
      <c r="E2363">
        <v>23.373333333333328</v>
      </c>
    </row>
    <row r="2364" spans="1:5" x14ac:dyDescent="0.2">
      <c r="A2364" s="1">
        <v>42540</v>
      </c>
      <c r="B2364">
        <v>172</v>
      </c>
      <c r="C2364">
        <v>29.444444444444446</v>
      </c>
      <c r="D2364">
        <v>13.888888888888889</v>
      </c>
      <c r="E2364">
        <v>22.980000000000004</v>
      </c>
    </row>
    <row r="2365" spans="1:5" x14ac:dyDescent="0.2">
      <c r="A2365" s="1">
        <v>42541</v>
      </c>
      <c r="B2365">
        <v>173</v>
      </c>
      <c r="C2365">
        <v>29.444444444444446</v>
      </c>
      <c r="D2365">
        <v>20.555555555555554</v>
      </c>
      <c r="E2365">
        <v>22.42444444444444</v>
      </c>
    </row>
    <row r="2366" spans="1:5" x14ac:dyDescent="0.2">
      <c r="A2366" s="1">
        <v>42542</v>
      </c>
      <c r="B2366">
        <v>174</v>
      </c>
      <c r="C2366">
        <v>28.888888888888889</v>
      </c>
      <c r="D2366">
        <v>12.222222222222223</v>
      </c>
      <c r="E2366">
        <v>22.90444444444444</v>
      </c>
    </row>
    <row r="2367" spans="1:5" x14ac:dyDescent="0.2">
      <c r="A2367" s="1">
        <v>42543</v>
      </c>
      <c r="B2367">
        <v>175</v>
      </c>
      <c r="C2367">
        <v>27.777777777777779</v>
      </c>
      <c r="D2367">
        <v>13.333333333333332</v>
      </c>
      <c r="E2367">
        <v>23.068888888888885</v>
      </c>
    </row>
    <row r="2368" spans="1:5" x14ac:dyDescent="0.2">
      <c r="A2368" s="1">
        <v>42544</v>
      </c>
      <c r="B2368">
        <v>176</v>
      </c>
      <c r="C2368">
        <v>25.555555555555554</v>
      </c>
      <c r="D2368">
        <v>16.666666666666668</v>
      </c>
      <c r="E2368">
        <v>23.437777777777779</v>
      </c>
    </row>
    <row r="2369" spans="1:5" x14ac:dyDescent="0.2">
      <c r="A2369" s="1">
        <v>42545</v>
      </c>
      <c r="B2369">
        <v>177</v>
      </c>
      <c r="C2369">
        <v>23.333333333333336</v>
      </c>
      <c r="D2369">
        <v>11.666666666666668</v>
      </c>
      <c r="E2369">
        <v>24.166666666666679</v>
      </c>
    </row>
    <row r="2370" spans="1:5" x14ac:dyDescent="0.2">
      <c r="A2370" s="1">
        <v>42546</v>
      </c>
      <c r="B2370">
        <v>178</v>
      </c>
      <c r="C2370">
        <v>28.333333333333336</v>
      </c>
      <c r="D2370">
        <v>13.333333333333332</v>
      </c>
      <c r="E2370">
        <v>24.371111111111112</v>
      </c>
    </row>
    <row r="2371" spans="1:5" x14ac:dyDescent="0.2">
      <c r="A2371" s="1">
        <v>42547</v>
      </c>
      <c r="B2371">
        <v>179</v>
      </c>
      <c r="C2371">
        <v>32.222222222222221</v>
      </c>
      <c r="D2371">
        <v>19.444444444444443</v>
      </c>
      <c r="E2371">
        <v>22.171111111111113</v>
      </c>
    </row>
    <row r="2372" spans="1:5" x14ac:dyDescent="0.2">
      <c r="A2372" s="1">
        <v>42548</v>
      </c>
      <c r="B2372">
        <v>180</v>
      </c>
      <c r="C2372">
        <v>30</v>
      </c>
      <c r="D2372">
        <v>16.111111111111111</v>
      </c>
      <c r="E2372">
        <v>22.31111111111111</v>
      </c>
    </row>
    <row r="2373" spans="1:5" x14ac:dyDescent="0.2">
      <c r="A2373" s="1">
        <v>42549</v>
      </c>
      <c r="B2373">
        <v>181</v>
      </c>
      <c r="C2373">
        <v>26.666666666666664</v>
      </c>
      <c r="D2373">
        <v>13.888888888888889</v>
      </c>
      <c r="E2373">
        <v>25.455555555555552</v>
      </c>
    </row>
    <row r="2374" spans="1:5" x14ac:dyDescent="0.2">
      <c r="A2374" s="1">
        <v>42550</v>
      </c>
      <c r="B2374">
        <v>182</v>
      </c>
      <c r="C2374">
        <v>22.777777777777779</v>
      </c>
      <c r="D2374">
        <v>11.666666666666668</v>
      </c>
      <c r="E2374">
        <v>25.371111111111109</v>
      </c>
    </row>
    <row r="2375" spans="1:5" x14ac:dyDescent="0.2">
      <c r="A2375" s="1">
        <v>42551</v>
      </c>
      <c r="B2375">
        <v>183</v>
      </c>
      <c r="C2375">
        <v>25</v>
      </c>
      <c r="D2375">
        <v>11.111111111111111</v>
      </c>
      <c r="E2375">
        <v>23.746666666666659</v>
      </c>
    </row>
    <row r="2376" spans="1:5" x14ac:dyDescent="0.2">
      <c r="A2376" s="1">
        <v>42552</v>
      </c>
      <c r="B2376">
        <v>184</v>
      </c>
      <c r="C2376">
        <v>25.555555555555554</v>
      </c>
      <c r="D2376">
        <v>11.666666666666668</v>
      </c>
      <c r="E2376">
        <v>22.228888888888893</v>
      </c>
    </row>
    <row r="2377" spans="1:5" x14ac:dyDescent="0.2">
      <c r="A2377" s="1">
        <v>42553</v>
      </c>
      <c r="B2377">
        <v>185</v>
      </c>
      <c r="C2377">
        <v>23.333333333333336</v>
      </c>
      <c r="D2377">
        <v>11.666666666666668</v>
      </c>
      <c r="E2377">
        <v>22.664444444444449</v>
      </c>
    </row>
    <row r="2378" spans="1:5" x14ac:dyDescent="0.2">
      <c r="A2378" s="1">
        <v>42554</v>
      </c>
      <c r="B2378">
        <v>186</v>
      </c>
      <c r="C2378">
        <v>23.888888888888889</v>
      </c>
      <c r="D2378">
        <v>10</v>
      </c>
      <c r="E2378">
        <v>24.606666666666666</v>
      </c>
    </row>
    <row r="2379" spans="1:5" x14ac:dyDescent="0.2">
      <c r="A2379" s="1">
        <v>42555</v>
      </c>
      <c r="B2379">
        <v>187</v>
      </c>
      <c r="C2379">
        <v>25.555555555555554</v>
      </c>
      <c r="D2379">
        <v>11.666666666666668</v>
      </c>
      <c r="E2379">
        <v>23.071111111111112</v>
      </c>
    </row>
    <row r="2380" spans="1:5" x14ac:dyDescent="0.2">
      <c r="A2380" s="1">
        <v>42556</v>
      </c>
      <c r="B2380">
        <v>188</v>
      </c>
      <c r="C2380">
        <v>23.888888888888889</v>
      </c>
      <c r="D2380">
        <v>12.777777777777777</v>
      </c>
      <c r="E2380">
        <v>23.468888888888888</v>
      </c>
    </row>
    <row r="2381" spans="1:5" x14ac:dyDescent="0.2">
      <c r="A2381" s="1">
        <v>42557</v>
      </c>
      <c r="B2381">
        <v>189</v>
      </c>
      <c r="C2381">
        <v>28.888888888888889</v>
      </c>
      <c r="D2381">
        <v>18.888888888888889</v>
      </c>
      <c r="E2381">
        <v>22.911111111111111</v>
      </c>
    </row>
    <row r="2382" spans="1:5" x14ac:dyDescent="0.2">
      <c r="A2382" s="1">
        <v>42558</v>
      </c>
      <c r="B2382">
        <v>190</v>
      </c>
      <c r="C2382">
        <v>27.777777777777779</v>
      </c>
      <c r="D2382">
        <v>17.777777777777779</v>
      </c>
      <c r="E2382">
        <v>22.133333333333333</v>
      </c>
    </row>
    <row r="2383" spans="1:5" x14ac:dyDescent="0.2">
      <c r="A2383" s="1">
        <v>42559</v>
      </c>
      <c r="B2383">
        <v>191</v>
      </c>
      <c r="C2383">
        <v>28.888888888888889</v>
      </c>
      <c r="D2383">
        <v>18.333333333333332</v>
      </c>
      <c r="E2383">
        <v>23.479999999999993</v>
      </c>
    </row>
    <row r="2384" spans="1:5" x14ac:dyDescent="0.2">
      <c r="A2384" s="1">
        <v>42560</v>
      </c>
      <c r="B2384">
        <v>192</v>
      </c>
      <c r="C2384">
        <v>26.666666666666664</v>
      </c>
      <c r="D2384">
        <v>15.555555555555555</v>
      </c>
      <c r="E2384">
        <v>23.637777777777778</v>
      </c>
    </row>
    <row r="2385" spans="1:5" x14ac:dyDescent="0.2">
      <c r="A2385" s="1">
        <v>42561</v>
      </c>
      <c r="B2385">
        <v>193</v>
      </c>
      <c r="C2385">
        <v>27.222222222222221</v>
      </c>
      <c r="D2385">
        <v>14.444444444444445</v>
      </c>
      <c r="E2385">
        <v>22.757777777777775</v>
      </c>
    </row>
    <row r="2386" spans="1:5" x14ac:dyDescent="0.2">
      <c r="A2386" s="1">
        <v>42562</v>
      </c>
      <c r="B2386">
        <v>194</v>
      </c>
      <c r="C2386">
        <v>26.111111111111111</v>
      </c>
      <c r="D2386">
        <v>15.555555555555555</v>
      </c>
      <c r="E2386">
        <v>22.486666666666665</v>
      </c>
    </row>
    <row r="2387" spans="1:5" x14ac:dyDescent="0.2">
      <c r="A2387" s="1">
        <v>42563</v>
      </c>
      <c r="B2387">
        <v>195</v>
      </c>
      <c r="C2387">
        <v>31.666666666666664</v>
      </c>
      <c r="D2387">
        <v>20</v>
      </c>
      <c r="E2387">
        <v>23.213333333333335</v>
      </c>
    </row>
    <row r="2388" spans="1:5" x14ac:dyDescent="0.2">
      <c r="A2388" s="1">
        <v>42564</v>
      </c>
      <c r="B2388">
        <v>196</v>
      </c>
      <c r="C2388">
        <v>27.222222222222221</v>
      </c>
      <c r="D2388">
        <v>18.333333333333332</v>
      </c>
      <c r="E2388">
        <v>23.213333333333335</v>
      </c>
    </row>
    <row r="2389" spans="1:5" x14ac:dyDescent="0.2">
      <c r="A2389" s="1">
        <v>42565</v>
      </c>
      <c r="B2389">
        <v>197</v>
      </c>
      <c r="C2389">
        <v>29.444444444444446</v>
      </c>
      <c r="D2389">
        <v>16.666666666666668</v>
      </c>
      <c r="E2389">
        <v>24.926666666666669</v>
      </c>
    </row>
    <row r="2390" spans="1:5" x14ac:dyDescent="0.2">
      <c r="A2390" s="1">
        <v>42566</v>
      </c>
      <c r="B2390">
        <v>198</v>
      </c>
      <c r="C2390">
        <v>26.111111111111111</v>
      </c>
      <c r="D2390">
        <v>15.555555555555555</v>
      </c>
      <c r="E2390">
        <v>22.395555555555553</v>
      </c>
    </row>
    <row r="2391" spans="1:5" x14ac:dyDescent="0.2">
      <c r="A2391" s="1">
        <v>42567</v>
      </c>
      <c r="B2391">
        <v>199</v>
      </c>
      <c r="C2391">
        <v>21.666666666666664</v>
      </c>
      <c r="D2391">
        <v>10.555555555555555</v>
      </c>
      <c r="E2391">
        <v>20.604444444444447</v>
      </c>
    </row>
    <row r="2392" spans="1:5" x14ac:dyDescent="0.2">
      <c r="A2392" s="1">
        <v>42568</v>
      </c>
      <c r="B2392">
        <v>200</v>
      </c>
      <c r="C2392">
        <v>25.555555555555554</v>
      </c>
      <c r="D2392">
        <v>11.666666666666668</v>
      </c>
      <c r="E2392">
        <v>19.959999999999997</v>
      </c>
    </row>
    <row r="2393" spans="1:5" x14ac:dyDescent="0.2">
      <c r="A2393" s="1">
        <v>42569</v>
      </c>
      <c r="B2393">
        <v>201</v>
      </c>
      <c r="C2393">
        <v>27.222222222222221</v>
      </c>
      <c r="D2393">
        <v>16.111111111111111</v>
      </c>
      <c r="E2393">
        <v>21.315555555555552</v>
      </c>
    </row>
    <row r="2394" spans="1:5" x14ac:dyDescent="0.2">
      <c r="A2394" s="1">
        <v>42570</v>
      </c>
      <c r="B2394">
        <v>202</v>
      </c>
      <c r="C2394">
        <v>28.888888888888889</v>
      </c>
      <c r="D2394">
        <v>15.555555555555555</v>
      </c>
      <c r="E2394">
        <v>21.008888888888883</v>
      </c>
    </row>
    <row r="2395" spans="1:5" x14ac:dyDescent="0.2">
      <c r="A2395" s="1">
        <v>42571</v>
      </c>
      <c r="B2395">
        <v>203</v>
      </c>
      <c r="C2395">
        <v>28.888888888888889</v>
      </c>
      <c r="D2395">
        <v>16.666666666666668</v>
      </c>
      <c r="E2395">
        <v>22.064444444444447</v>
      </c>
    </row>
    <row r="2396" spans="1:5" x14ac:dyDescent="0.2">
      <c r="A2396" s="1">
        <v>42572</v>
      </c>
      <c r="B2396">
        <v>204</v>
      </c>
      <c r="C2396">
        <v>28.333333333333336</v>
      </c>
      <c r="D2396">
        <v>19.444444444444443</v>
      </c>
      <c r="E2396">
        <v>21.877777777777776</v>
      </c>
    </row>
    <row r="2397" spans="1:5" x14ac:dyDescent="0.2">
      <c r="A2397" s="1">
        <v>42573</v>
      </c>
      <c r="B2397">
        <v>205</v>
      </c>
      <c r="C2397">
        <v>33.333333333333336</v>
      </c>
      <c r="D2397">
        <v>19.444444444444443</v>
      </c>
      <c r="E2397">
        <v>23.522222222222226</v>
      </c>
    </row>
    <row r="2398" spans="1:5" x14ac:dyDescent="0.2">
      <c r="A2398" s="1">
        <v>42574</v>
      </c>
      <c r="B2398">
        <v>206</v>
      </c>
      <c r="C2398">
        <v>31.666666666666664</v>
      </c>
      <c r="D2398">
        <v>20</v>
      </c>
      <c r="E2398">
        <v>21.008888888888887</v>
      </c>
    </row>
    <row r="2399" spans="1:5" x14ac:dyDescent="0.2">
      <c r="A2399" s="1">
        <v>42575</v>
      </c>
      <c r="B2399">
        <v>207</v>
      </c>
      <c r="C2399">
        <v>27.777777777777779</v>
      </c>
      <c r="D2399">
        <v>21.666666666666664</v>
      </c>
      <c r="E2399">
        <v>20.684444444444445</v>
      </c>
    </row>
    <row r="2400" spans="1:5" x14ac:dyDescent="0.2">
      <c r="A2400" s="1">
        <v>42576</v>
      </c>
      <c r="B2400">
        <v>208</v>
      </c>
      <c r="C2400">
        <v>31.111111111111111</v>
      </c>
      <c r="D2400">
        <v>18.333333333333332</v>
      </c>
      <c r="E2400">
        <v>21.106666666666669</v>
      </c>
    </row>
    <row r="2401" spans="1:5" x14ac:dyDescent="0.2">
      <c r="A2401" s="1">
        <v>42577</v>
      </c>
      <c r="B2401">
        <v>209</v>
      </c>
      <c r="C2401">
        <v>29.444444444444446</v>
      </c>
      <c r="D2401">
        <v>16.666666666666668</v>
      </c>
      <c r="E2401">
        <v>20.757777777777772</v>
      </c>
    </row>
    <row r="2402" spans="1:5" x14ac:dyDescent="0.2">
      <c r="A2402" s="1">
        <v>42578</v>
      </c>
      <c r="B2402">
        <v>210</v>
      </c>
      <c r="C2402">
        <v>30</v>
      </c>
      <c r="D2402">
        <v>17.222222222222221</v>
      </c>
      <c r="E2402">
        <v>21.942222222222224</v>
      </c>
    </row>
    <row r="2403" spans="1:5" x14ac:dyDescent="0.2">
      <c r="A2403" s="1">
        <v>42579</v>
      </c>
      <c r="B2403">
        <v>211</v>
      </c>
      <c r="C2403">
        <v>30.555555555555554</v>
      </c>
      <c r="D2403">
        <v>17.777777777777779</v>
      </c>
      <c r="E2403">
        <v>21.31999999999999</v>
      </c>
    </row>
    <row r="2404" spans="1:5" x14ac:dyDescent="0.2">
      <c r="A2404" s="1">
        <v>42580</v>
      </c>
      <c r="B2404">
        <v>212</v>
      </c>
      <c r="C2404">
        <v>24.444444444444446</v>
      </c>
      <c r="D2404">
        <v>17.777777777777779</v>
      </c>
      <c r="E2404">
        <v>21.69777777777778</v>
      </c>
    </row>
    <row r="2405" spans="1:5" x14ac:dyDescent="0.2">
      <c r="A2405" s="1">
        <v>42581</v>
      </c>
      <c r="B2405">
        <v>213</v>
      </c>
      <c r="C2405">
        <v>22.222222222222221</v>
      </c>
      <c r="D2405">
        <v>16.111111111111111</v>
      </c>
      <c r="E2405">
        <v>21.27999999999999</v>
      </c>
    </row>
    <row r="2406" spans="1:5" x14ac:dyDescent="0.2">
      <c r="A2406" s="1">
        <v>42582</v>
      </c>
      <c r="B2406">
        <v>214</v>
      </c>
      <c r="C2406">
        <v>26.111111111111111</v>
      </c>
      <c r="D2406">
        <v>13.333333333333332</v>
      </c>
      <c r="E2406">
        <v>22.631111111111117</v>
      </c>
    </row>
    <row r="2407" spans="1:5" x14ac:dyDescent="0.2">
      <c r="A2407" s="1">
        <v>42583</v>
      </c>
      <c r="B2407">
        <v>215</v>
      </c>
      <c r="C2407">
        <v>28.333333333333336</v>
      </c>
      <c r="D2407">
        <v>16.111111111111111</v>
      </c>
      <c r="E2407">
        <v>21.322222222222216</v>
      </c>
    </row>
    <row r="2408" spans="1:5" x14ac:dyDescent="0.2">
      <c r="A2408" s="1">
        <v>42584</v>
      </c>
      <c r="B2408">
        <v>216</v>
      </c>
      <c r="C2408">
        <v>28.888888888888889</v>
      </c>
      <c r="D2408">
        <v>16.111111111111111</v>
      </c>
      <c r="E2408">
        <v>19.813333333333325</v>
      </c>
    </row>
    <row r="2409" spans="1:5" x14ac:dyDescent="0.2">
      <c r="A2409" s="1">
        <v>42585</v>
      </c>
      <c r="B2409">
        <v>217</v>
      </c>
      <c r="C2409">
        <v>29.444444444444446</v>
      </c>
      <c r="D2409">
        <v>19.444444444444443</v>
      </c>
      <c r="E2409">
        <v>19.868888888888886</v>
      </c>
    </row>
    <row r="2410" spans="1:5" x14ac:dyDescent="0.2">
      <c r="A2410" s="1">
        <v>42586</v>
      </c>
      <c r="B2410">
        <v>218</v>
      </c>
      <c r="C2410">
        <v>31.111111111111111</v>
      </c>
      <c r="D2410">
        <v>20.555555555555554</v>
      </c>
      <c r="E2410">
        <v>20.691111111111113</v>
      </c>
    </row>
    <row r="2411" spans="1:5" x14ac:dyDescent="0.2">
      <c r="A2411" s="1">
        <v>42587</v>
      </c>
      <c r="B2411">
        <v>219</v>
      </c>
      <c r="C2411">
        <v>30.555555555555554</v>
      </c>
      <c r="D2411">
        <v>20</v>
      </c>
      <c r="E2411">
        <v>21.084444444444447</v>
      </c>
    </row>
    <row r="2412" spans="1:5" x14ac:dyDescent="0.2">
      <c r="A2412" s="1">
        <v>42588</v>
      </c>
      <c r="B2412">
        <v>220</v>
      </c>
      <c r="C2412">
        <v>26.111111111111111</v>
      </c>
      <c r="D2412">
        <v>13.888888888888889</v>
      </c>
      <c r="E2412">
        <v>20.291111111111103</v>
      </c>
    </row>
    <row r="2413" spans="1:5" x14ac:dyDescent="0.2">
      <c r="A2413" s="1">
        <v>42589</v>
      </c>
      <c r="B2413">
        <v>221</v>
      </c>
      <c r="C2413">
        <v>26.111111111111111</v>
      </c>
      <c r="D2413">
        <v>14.444444444444445</v>
      </c>
      <c r="E2413">
        <v>20.335555555555551</v>
      </c>
    </row>
    <row r="2414" spans="1:5" x14ac:dyDescent="0.2">
      <c r="A2414" s="1">
        <v>42590</v>
      </c>
      <c r="B2414">
        <v>222</v>
      </c>
      <c r="C2414">
        <v>25</v>
      </c>
      <c r="D2414">
        <v>12.777777777777777</v>
      </c>
      <c r="E2414">
        <v>20.286666666666665</v>
      </c>
    </row>
    <row r="2415" spans="1:5" x14ac:dyDescent="0.2">
      <c r="A2415" s="1">
        <v>42591</v>
      </c>
      <c r="B2415">
        <v>223</v>
      </c>
      <c r="C2415">
        <v>27.777777777777779</v>
      </c>
      <c r="D2415">
        <v>13.333333333333332</v>
      </c>
      <c r="E2415">
        <v>19.695555555555561</v>
      </c>
    </row>
    <row r="2416" spans="1:5" x14ac:dyDescent="0.2">
      <c r="A2416" s="1">
        <v>42592</v>
      </c>
      <c r="B2416">
        <v>224</v>
      </c>
      <c r="C2416">
        <v>28.888888888888889</v>
      </c>
      <c r="D2416">
        <v>17.777777777777779</v>
      </c>
      <c r="E2416">
        <v>19.864444444444441</v>
      </c>
    </row>
    <row r="2417" spans="1:5" x14ac:dyDescent="0.2">
      <c r="A2417" s="1">
        <v>42593</v>
      </c>
      <c r="B2417">
        <v>225</v>
      </c>
      <c r="C2417">
        <v>30.555555555555554</v>
      </c>
      <c r="D2417">
        <v>18.333333333333332</v>
      </c>
      <c r="E2417">
        <v>19.211111111111116</v>
      </c>
    </row>
    <row r="2418" spans="1:5" x14ac:dyDescent="0.2">
      <c r="A2418" s="1">
        <v>42594</v>
      </c>
      <c r="B2418">
        <v>226</v>
      </c>
      <c r="C2418">
        <v>29.444444444444446</v>
      </c>
      <c r="D2418">
        <v>22.222222222222221</v>
      </c>
      <c r="E2418">
        <v>19.971111111111117</v>
      </c>
    </row>
    <row r="2419" spans="1:5" x14ac:dyDescent="0.2">
      <c r="A2419" s="1">
        <v>42595</v>
      </c>
      <c r="B2419">
        <v>227</v>
      </c>
      <c r="C2419">
        <v>26.666666666666664</v>
      </c>
      <c r="D2419">
        <v>20</v>
      </c>
      <c r="E2419">
        <v>19.895555555555553</v>
      </c>
    </row>
    <row r="2420" spans="1:5" x14ac:dyDescent="0.2">
      <c r="A2420" s="1">
        <v>42596</v>
      </c>
      <c r="B2420">
        <v>228</v>
      </c>
      <c r="C2420">
        <v>26.666666666666664</v>
      </c>
      <c r="D2420">
        <v>16.666666666666668</v>
      </c>
      <c r="E2420">
        <v>19.86</v>
      </c>
    </row>
    <row r="2421" spans="1:5" x14ac:dyDescent="0.2">
      <c r="A2421" s="1">
        <v>42597</v>
      </c>
      <c r="B2421">
        <v>229</v>
      </c>
      <c r="C2421">
        <v>28.333333333333336</v>
      </c>
      <c r="D2421">
        <v>16.111111111111111</v>
      </c>
      <c r="E2421">
        <v>19.584444444444447</v>
      </c>
    </row>
    <row r="2422" spans="1:5" x14ac:dyDescent="0.2">
      <c r="A2422" s="1">
        <v>42598</v>
      </c>
      <c r="B2422">
        <v>230</v>
      </c>
      <c r="C2422">
        <v>27.777777777777779</v>
      </c>
      <c r="D2422">
        <v>16.666666666666668</v>
      </c>
      <c r="E2422">
        <v>18.513333333333335</v>
      </c>
    </row>
    <row r="2423" spans="1:5" x14ac:dyDescent="0.2">
      <c r="A2423" s="1">
        <v>42599</v>
      </c>
      <c r="B2423">
        <v>231</v>
      </c>
      <c r="C2423">
        <v>28.888888888888889</v>
      </c>
      <c r="D2423">
        <v>16.666666666666668</v>
      </c>
      <c r="E2423">
        <v>18.513333333333335</v>
      </c>
    </row>
    <row r="2424" spans="1:5" x14ac:dyDescent="0.2">
      <c r="A2424" s="1">
        <v>42600</v>
      </c>
      <c r="B2424">
        <v>232</v>
      </c>
      <c r="C2424">
        <v>29.444444444444446</v>
      </c>
      <c r="D2424">
        <v>17.222222222222221</v>
      </c>
      <c r="E2424">
        <v>20.05777777777778</v>
      </c>
    </row>
    <row r="2425" spans="1:5" x14ac:dyDescent="0.2">
      <c r="A2425" s="1">
        <v>42601</v>
      </c>
      <c r="B2425">
        <v>233</v>
      </c>
      <c r="C2425">
        <v>30</v>
      </c>
      <c r="D2425">
        <v>18.333333333333332</v>
      </c>
      <c r="E2425">
        <v>18.846666666666664</v>
      </c>
    </row>
    <row r="2426" spans="1:5" x14ac:dyDescent="0.2">
      <c r="A2426" s="1">
        <v>42602</v>
      </c>
      <c r="B2426">
        <v>234</v>
      </c>
      <c r="C2426">
        <v>25.555555555555554</v>
      </c>
      <c r="D2426">
        <v>17.777777777777779</v>
      </c>
      <c r="E2426">
        <v>16.657777777777788</v>
      </c>
    </row>
    <row r="2427" spans="1:5" x14ac:dyDescent="0.2">
      <c r="A2427" s="1">
        <v>42603</v>
      </c>
      <c r="B2427">
        <v>235</v>
      </c>
      <c r="C2427">
        <v>22.777777777777779</v>
      </c>
      <c r="D2427">
        <v>13.333333333333332</v>
      </c>
      <c r="E2427">
        <v>17.182222222222222</v>
      </c>
    </row>
    <row r="2428" spans="1:5" x14ac:dyDescent="0.2">
      <c r="A2428" s="1">
        <v>42604</v>
      </c>
      <c r="B2428">
        <v>236</v>
      </c>
      <c r="C2428">
        <v>22.222222222222221</v>
      </c>
      <c r="D2428">
        <v>10</v>
      </c>
      <c r="E2428">
        <v>17.515555555555554</v>
      </c>
    </row>
    <row r="2429" spans="1:5" x14ac:dyDescent="0.2">
      <c r="A2429" s="1">
        <v>42605</v>
      </c>
      <c r="B2429">
        <v>237</v>
      </c>
      <c r="C2429">
        <v>25</v>
      </c>
      <c r="D2429">
        <v>10</v>
      </c>
      <c r="E2429">
        <v>17.753333333333327</v>
      </c>
    </row>
    <row r="2430" spans="1:5" x14ac:dyDescent="0.2">
      <c r="A2430" s="1">
        <v>42606</v>
      </c>
      <c r="B2430">
        <v>238</v>
      </c>
      <c r="C2430">
        <v>26.666666666666664</v>
      </c>
      <c r="D2430">
        <v>14.444444444444445</v>
      </c>
      <c r="E2430">
        <v>17.366666666666664</v>
      </c>
    </row>
    <row r="2431" spans="1:5" x14ac:dyDescent="0.2">
      <c r="A2431" s="1">
        <v>42607</v>
      </c>
      <c r="B2431">
        <v>239</v>
      </c>
      <c r="C2431">
        <v>28.333333333333336</v>
      </c>
      <c r="D2431">
        <v>17.777777777777779</v>
      </c>
      <c r="E2431">
        <v>17.388888888888886</v>
      </c>
    </row>
    <row r="2432" spans="1:5" x14ac:dyDescent="0.2">
      <c r="A2432" s="1">
        <v>42608</v>
      </c>
      <c r="B2432">
        <v>240</v>
      </c>
      <c r="C2432">
        <v>25.555555555555554</v>
      </c>
      <c r="D2432">
        <v>13.333333333333332</v>
      </c>
      <c r="E2432">
        <v>18.282222222222217</v>
      </c>
    </row>
    <row r="2433" spans="1:5" x14ac:dyDescent="0.2">
      <c r="A2433" s="1">
        <v>42609</v>
      </c>
      <c r="B2433">
        <v>241</v>
      </c>
      <c r="C2433">
        <v>22.777777777777779</v>
      </c>
      <c r="D2433">
        <v>14.444444444444445</v>
      </c>
      <c r="E2433">
        <v>19.166666666666675</v>
      </c>
    </row>
    <row r="2434" spans="1:5" x14ac:dyDescent="0.2">
      <c r="A2434" s="1">
        <v>42610</v>
      </c>
      <c r="B2434">
        <v>242</v>
      </c>
      <c r="C2434">
        <v>21.666666666666664</v>
      </c>
      <c r="D2434">
        <v>16.111111111111111</v>
      </c>
      <c r="E2434">
        <v>17.893333333333331</v>
      </c>
    </row>
    <row r="2435" spans="1:5" x14ac:dyDescent="0.2">
      <c r="A2435" s="1">
        <v>42611</v>
      </c>
      <c r="B2435">
        <v>243</v>
      </c>
      <c r="C2435">
        <v>26.111111111111111</v>
      </c>
      <c r="D2435">
        <v>18.333333333333332</v>
      </c>
      <c r="E2435">
        <v>18.108888888888892</v>
      </c>
    </row>
    <row r="2436" spans="1:5" x14ac:dyDescent="0.2">
      <c r="A2436" s="1">
        <v>42612</v>
      </c>
      <c r="B2436">
        <v>244</v>
      </c>
      <c r="C2436">
        <v>28.333333333333336</v>
      </c>
      <c r="D2436">
        <v>20</v>
      </c>
      <c r="E2436">
        <v>18.124444444444446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1"/>
  <sheetViews>
    <sheetView tabSelected="1" workbookViewId="0">
      <selection activeCell="A5" sqref="A5:D6"/>
    </sheetView>
  </sheetViews>
  <sheetFormatPr baseColWidth="10" defaultColWidth="8.83203125" defaultRowHeight="15" x14ac:dyDescent="0.2"/>
  <cols>
    <col min="1" max="1" width="15.6640625" bestFit="1" customWidth="1"/>
    <col min="2" max="2" width="9.1640625" style="4"/>
  </cols>
  <sheetData>
    <row r="2" spans="1:4" x14ac:dyDescent="0.2">
      <c r="A2" t="s">
        <v>9</v>
      </c>
      <c r="B2" s="4" t="s">
        <v>6</v>
      </c>
      <c r="C2">
        <v>10</v>
      </c>
      <c r="D2" s="3" t="s">
        <v>7</v>
      </c>
    </row>
    <row r="3" spans="1:4" x14ac:dyDescent="0.2">
      <c r="A3" t="s">
        <v>8</v>
      </c>
      <c r="B3" s="4" t="s">
        <v>6</v>
      </c>
      <c r="C3">
        <v>30</v>
      </c>
      <c r="D3" s="3" t="s">
        <v>7</v>
      </c>
    </row>
    <row r="4" spans="1:4" x14ac:dyDescent="0.2">
      <c r="A4" t="s">
        <v>15</v>
      </c>
      <c r="B4" s="4" t="s">
        <v>6</v>
      </c>
      <c r="C4">
        <v>1200</v>
      </c>
      <c r="D4" t="s">
        <v>13</v>
      </c>
    </row>
    <row r="5" spans="1:4" x14ac:dyDescent="0.2">
      <c r="A5" t="s">
        <v>17</v>
      </c>
      <c r="B5" s="4" t="s">
        <v>6</v>
      </c>
      <c r="C5">
        <v>121</v>
      </c>
      <c r="D5" t="s">
        <v>1</v>
      </c>
    </row>
    <row r="6" spans="1:4" x14ac:dyDescent="0.2">
      <c r="A6" t="s">
        <v>27</v>
      </c>
      <c r="B6" s="4" t="s">
        <v>6</v>
      </c>
      <c r="C6">
        <v>319</v>
      </c>
      <c r="D6" t="s">
        <v>1</v>
      </c>
    </row>
    <row r="8" spans="1:4" x14ac:dyDescent="0.2">
      <c r="A8" t="s">
        <v>18</v>
      </c>
      <c r="B8" s="4" t="s">
        <v>6</v>
      </c>
      <c r="C8" s="5">
        <v>0.15</v>
      </c>
    </row>
    <row r="9" spans="1:4" x14ac:dyDescent="0.2">
      <c r="A9" t="s">
        <v>19</v>
      </c>
      <c r="B9" s="4" t="s">
        <v>6</v>
      </c>
      <c r="C9" s="5">
        <v>0.5</v>
      </c>
    </row>
    <row r="10" spans="1:4" x14ac:dyDescent="0.2">
      <c r="A10" t="s">
        <v>20</v>
      </c>
      <c r="B10" s="4" t="s">
        <v>6</v>
      </c>
      <c r="C10" s="5">
        <v>0.05</v>
      </c>
    </row>
    <row r="11" spans="1:4" x14ac:dyDescent="0.2">
      <c r="A11" t="s">
        <v>21</v>
      </c>
      <c r="B11" s="4" t="s">
        <v>6</v>
      </c>
      <c r="C11" s="5">
        <v>0.95</v>
      </c>
    </row>
    <row r="12" spans="1:4" x14ac:dyDescent="0.2">
      <c r="A12" t="s">
        <v>22</v>
      </c>
      <c r="B12" s="4" t="s">
        <v>6</v>
      </c>
      <c r="C12" s="5">
        <v>0.9</v>
      </c>
    </row>
    <row r="14" spans="1:4" x14ac:dyDescent="0.2">
      <c r="B14" s="4" t="s">
        <v>6</v>
      </c>
      <c r="C14">
        <f>(LN((C8/C10)-C8)-LN((C9/C11)-C9))/(C9-C8)</f>
        <v>13.385443297162706</v>
      </c>
    </row>
    <row r="15" spans="1:4" x14ac:dyDescent="0.2">
      <c r="B15" s="4" t="s">
        <v>6</v>
      </c>
      <c r="C15">
        <f>LN((C8/C10)-C8)+C14*C8</f>
        <v>3.0551354888549649</v>
      </c>
    </row>
    <row r="17" spans="1:3" x14ac:dyDescent="0.2">
      <c r="A17" t="s">
        <v>25</v>
      </c>
      <c r="B17" s="4" t="s">
        <v>6</v>
      </c>
      <c r="C17">
        <v>3</v>
      </c>
    </row>
    <row r="19" spans="1:3" ht="16" x14ac:dyDescent="0.2">
      <c r="A19" s="7" t="s">
        <v>28</v>
      </c>
      <c r="B19" s="4" t="s">
        <v>6</v>
      </c>
      <c r="C19">
        <v>0.65</v>
      </c>
    </row>
    <row r="21" spans="1:3" x14ac:dyDescent="0.2">
      <c r="A21" t="s">
        <v>30</v>
      </c>
      <c r="B21" s="4" t="s">
        <v>6</v>
      </c>
      <c r="C21">
        <v>39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436"/>
  <sheetViews>
    <sheetView workbookViewId="0">
      <selection activeCell="H3" sqref="H3"/>
    </sheetView>
  </sheetViews>
  <sheetFormatPr baseColWidth="10" defaultColWidth="8.83203125" defaultRowHeight="15" x14ac:dyDescent="0.2"/>
  <cols>
    <col min="1" max="1" width="10.6640625" bestFit="1" customWidth="1"/>
  </cols>
  <sheetData>
    <row r="2" spans="1:8" x14ac:dyDescent="0.2">
      <c r="A2" t="s">
        <v>0</v>
      </c>
      <c r="B2" t="s">
        <v>1</v>
      </c>
      <c r="C2" t="s">
        <v>12</v>
      </c>
      <c r="D2" t="s">
        <v>11</v>
      </c>
      <c r="E2" t="s">
        <v>10</v>
      </c>
      <c r="F2" t="s">
        <v>13</v>
      </c>
      <c r="G2" t="s">
        <v>16</v>
      </c>
      <c r="H2" t="s">
        <v>14</v>
      </c>
    </row>
    <row r="3" spans="1:8" x14ac:dyDescent="0.2">
      <c r="A3" s="1">
        <v>40179</v>
      </c>
      <c r="B3">
        <v>1</v>
      </c>
      <c r="C3" s="6">
        <f>IF('weather data'!C3&gt;'user input'!$C$3,'user input'!$C$3,'weather data'!C3)</f>
        <v>-6.1111111111111116</v>
      </c>
      <c r="D3" s="6">
        <f>IF('weather data'!D3&lt;'user input'!$C$2,'user input'!$C$2,'weather data'!D3)</f>
        <v>10</v>
      </c>
      <c r="E3">
        <f t="shared" ref="E3:E17" si="0">(C3+D3)/2</f>
        <v>1.9444444444444442</v>
      </c>
      <c r="F3">
        <f>IF((E3-'user input'!$C$2)&lt;0,0,E3-'user input'!$C$2)</f>
        <v>0</v>
      </c>
      <c r="G3">
        <f>IF(B3&lt;'user input'!$C$5,0,(F3+G2))</f>
        <v>0</v>
      </c>
      <c r="H3">
        <f>G3/'user input'!$C$4</f>
        <v>0</v>
      </c>
    </row>
    <row r="4" spans="1:8" x14ac:dyDescent="0.2">
      <c r="A4" s="1">
        <v>40180</v>
      </c>
      <c r="B4">
        <v>2</v>
      </c>
      <c r="C4" s="6">
        <f>IF('weather data'!C4&gt;'user input'!$C$3,'user input'!$C$3,'weather data'!C4)</f>
        <v>-8.8888888888888893</v>
      </c>
      <c r="D4" s="6">
        <f>IF('weather data'!D4&lt;'user input'!$C$2,'user input'!$C$2,'weather data'!D4)</f>
        <v>10</v>
      </c>
      <c r="E4">
        <f t="shared" si="0"/>
        <v>0.55555555555555536</v>
      </c>
      <c r="F4">
        <f>IF((E4-'user input'!$C$2)&lt;0,0,E4-'user input'!$C$2)</f>
        <v>0</v>
      </c>
      <c r="G4">
        <f>IF(B4&lt;'user input'!$C$5,0,(F4+G3))</f>
        <v>0</v>
      </c>
      <c r="H4">
        <f>G4/'user input'!$C$4</f>
        <v>0</v>
      </c>
    </row>
    <row r="5" spans="1:8" x14ac:dyDescent="0.2">
      <c r="A5" s="1">
        <v>40181</v>
      </c>
      <c r="B5">
        <v>3</v>
      </c>
      <c r="C5" s="6">
        <f>IF('weather data'!C5&gt;'user input'!$C$3,'user input'!$C$3,'weather data'!C5)</f>
        <v>-14.444444444444445</v>
      </c>
      <c r="D5" s="6">
        <f>IF('weather data'!D5&lt;'user input'!$C$2,'user input'!$C$2,'weather data'!D5)</f>
        <v>10</v>
      </c>
      <c r="E5">
        <f t="shared" si="0"/>
        <v>-2.2222222222222223</v>
      </c>
      <c r="F5">
        <f>IF((E5-'user input'!$C$2)&lt;0,0,E5-'user input'!$C$2)</f>
        <v>0</v>
      </c>
      <c r="G5">
        <f>IF(B5&lt;'user input'!$C$5,0,(F5+G4))</f>
        <v>0</v>
      </c>
      <c r="H5">
        <f>G5/'user input'!$C$4</f>
        <v>0</v>
      </c>
    </row>
    <row r="6" spans="1:8" x14ac:dyDescent="0.2">
      <c r="A6" s="1">
        <v>40182</v>
      </c>
      <c r="B6">
        <v>4</v>
      </c>
      <c r="C6" s="6">
        <f>IF('weather data'!C6&gt;'user input'!$C$3,'user input'!$C$3,'weather data'!C6)</f>
        <v>-11.666666666666668</v>
      </c>
      <c r="D6" s="6">
        <f>IF('weather data'!D6&lt;'user input'!$C$2,'user input'!$C$2,'weather data'!D6)</f>
        <v>10</v>
      </c>
      <c r="E6">
        <f t="shared" si="0"/>
        <v>-0.83333333333333393</v>
      </c>
      <c r="F6">
        <f>IF((E6-'user input'!$C$2)&lt;0,0,E6-'user input'!$C$2)</f>
        <v>0</v>
      </c>
      <c r="G6">
        <f>IF(B6&lt;'user input'!$C$5,0,(F6+G5))</f>
        <v>0</v>
      </c>
      <c r="H6">
        <f>G6/'user input'!$C$4</f>
        <v>0</v>
      </c>
    </row>
    <row r="7" spans="1:8" x14ac:dyDescent="0.2">
      <c r="A7" s="1">
        <v>40183</v>
      </c>
      <c r="B7">
        <v>5</v>
      </c>
      <c r="C7" s="6">
        <f>IF('weather data'!C7&gt;'user input'!$C$3,'user input'!$C$3,'weather data'!C7)</f>
        <v>-8.3333333333333339</v>
      </c>
      <c r="D7" s="6">
        <f>IF('weather data'!D7&lt;'user input'!$C$2,'user input'!$C$2,'weather data'!D7)</f>
        <v>10</v>
      </c>
      <c r="E7">
        <f t="shared" si="0"/>
        <v>0.83333333333333304</v>
      </c>
      <c r="F7">
        <f>IF((E7-'user input'!$C$2)&lt;0,0,E7-'user input'!$C$2)</f>
        <v>0</v>
      </c>
      <c r="G7">
        <f>IF(B7&lt;'user input'!$C$5,0,(F7+G6))</f>
        <v>0</v>
      </c>
      <c r="H7">
        <f>G7/'user input'!$C$4</f>
        <v>0</v>
      </c>
    </row>
    <row r="8" spans="1:8" x14ac:dyDescent="0.2">
      <c r="A8" s="1">
        <v>40184</v>
      </c>
      <c r="B8">
        <v>6</v>
      </c>
      <c r="C8" s="6">
        <f>IF('weather data'!C8&gt;'user input'!$C$3,'user input'!$C$3,'weather data'!C8)</f>
        <v>-6.6666666666666661</v>
      </c>
      <c r="D8" s="6">
        <f>IF('weather data'!D8&lt;'user input'!$C$2,'user input'!$C$2,'weather data'!D8)</f>
        <v>10</v>
      </c>
      <c r="E8">
        <f t="shared" si="0"/>
        <v>1.666666666666667</v>
      </c>
      <c r="F8">
        <f>IF((E8-'user input'!$C$2)&lt;0,0,E8-'user input'!$C$2)</f>
        <v>0</v>
      </c>
      <c r="G8">
        <f>IF(B8&lt;'user input'!$C$5,0,(F8+G7))</f>
        <v>0</v>
      </c>
      <c r="H8">
        <f>G8/'user input'!$C$4</f>
        <v>0</v>
      </c>
    </row>
    <row r="9" spans="1:8" x14ac:dyDescent="0.2">
      <c r="A9" s="1">
        <v>40185</v>
      </c>
      <c r="B9">
        <v>7</v>
      </c>
      <c r="C9" s="6">
        <f>IF('weather data'!C9&gt;'user input'!$C$3,'user input'!$C$3,'weather data'!C9)</f>
        <v>-7.7777777777777777</v>
      </c>
      <c r="D9" s="6">
        <f>IF('weather data'!D9&lt;'user input'!$C$2,'user input'!$C$2,'weather data'!D9)</f>
        <v>10</v>
      </c>
      <c r="E9">
        <f t="shared" si="0"/>
        <v>1.1111111111111112</v>
      </c>
      <c r="F9">
        <f>IF((E9-'user input'!$C$2)&lt;0,0,E9-'user input'!$C$2)</f>
        <v>0</v>
      </c>
      <c r="G9">
        <f>IF(B9&lt;'user input'!$C$5,0,(F9+G8))</f>
        <v>0</v>
      </c>
      <c r="H9">
        <f>G9/'user input'!$C$4</f>
        <v>0</v>
      </c>
    </row>
    <row r="10" spans="1:8" x14ac:dyDescent="0.2">
      <c r="A10" s="1">
        <v>40186</v>
      </c>
      <c r="B10">
        <v>8</v>
      </c>
      <c r="C10" s="6">
        <f>IF('weather data'!C10&gt;'user input'!$C$3,'user input'!$C$3,'weather data'!C10)</f>
        <v>-3.333333333333333</v>
      </c>
      <c r="D10" s="6">
        <f>IF('weather data'!D10&lt;'user input'!$C$2,'user input'!$C$2,'weather data'!D10)</f>
        <v>10</v>
      </c>
      <c r="E10">
        <f t="shared" si="0"/>
        <v>3.3333333333333335</v>
      </c>
      <c r="F10">
        <f>IF((E10-'user input'!$C$2)&lt;0,0,E10-'user input'!$C$2)</f>
        <v>0</v>
      </c>
      <c r="G10">
        <f>IF(B10&lt;'user input'!$C$5,0,(F10+G9))</f>
        <v>0</v>
      </c>
      <c r="H10">
        <f>G10/'user input'!$C$4</f>
        <v>0</v>
      </c>
    </row>
    <row r="11" spans="1:8" x14ac:dyDescent="0.2">
      <c r="A11" s="1">
        <v>40187</v>
      </c>
      <c r="B11">
        <v>9</v>
      </c>
      <c r="C11" s="6">
        <f>IF('weather data'!C11&gt;'user input'!$C$3,'user input'!$C$3,'weather data'!C11)</f>
        <v>-8.3333333333333339</v>
      </c>
      <c r="D11" s="6">
        <f>IF('weather data'!D11&lt;'user input'!$C$2,'user input'!$C$2,'weather data'!D11)</f>
        <v>10</v>
      </c>
      <c r="E11">
        <f t="shared" si="0"/>
        <v>0.83333333333333304</v>
      </c>
      <c r="F11">
        <f>IF((E11-'user input'!$C$2)&lt;0,0,E11-'user input'!$C$2)</f>
        <v>0</v>
      </c>
      <c r="G11">
        <f>IF(B11&lt;'user input'!$C$5,0,(F11+G10))</f>
        <v>0</v>
      </c>
      <c r="H11">
        <f>G11/'user input'!$C$4</f>
        <v>0</v>
      </c>
    </row>
    <row r="12" spans="1:8" x14ac:dyDescent="0.2">
      <c r="A12" s="1">
        <v>40188</v>
      </c>
      <c r="B12">
        <v>10</v>
      </c>
      <c r="C12" s="6">
        <f>IF('weather data'!C12&gt;'user input'!$C$3,'user input'!$C$3,'weather data'!C12)</f>
        <v>-8.8888888888888893</v>
      </c>
      <c r="D12" s="6">
        <f>IF('weather data'!D12&lt;'user input'!$C$2,'user input'!$C$2,'weather data'!D12)</f>
        <v>10</v>
      </c>
      <c r="E12">
        <f t="shared" si="0"/>
        <v>0.55555555555555536</v>
      </c>
      <c r="F12">
        <f>IF((E12-'user input'!$C$2)&lt;0,0,E12-'user input'!$C$2)</f>
        <v>0</v>
      </c>
      <c r="G12">
        <f>IF(B12&lt;'user input'!$C$5,0,(F12+G11))</f>
        <v>0</v>
      </c>
      <c r="H12">
        <f>G12/'user input'!$C$4</f>
        <v>0</v>
      </c>
    </row>
    <row r="13" spans="1:8" x14ac:dyDescent="0.2">
      <c r="A13" s="1">
        <v>40189</v>
      </c>
      <c r="B13">
        <v>11</v>
      </c>
      <c r="C13" s="6">
        <f>IF('weather data'!C13&gt;'user input'!$C$3,'user input'!$C$3,'weather data'!C13)</f>
        <v>-8.3333333333333339</v>
      </c>
      <c r="D13" s="6">
        <f>IF('weather data'!D13&lt;'user input'!$C$2,'user input'!$C$2,'weather data'!D13)</f>
        <v>10</v>
      </c>
      <c r="E13">
        <f t="shared" si="0"/>
        <v>0.83333333333333304</v>
      </c>
      <c r="F13">
        <f>IF((E13-'user input'!$C$2)&lt;0,0,E13-'user input'!$C$2)</f>
        <v>0</v>
      </c>
      <c r="G13">
        <f>IF(B13&lt;'user input'!$C$5,0,(F13+G12))</f>
        <v>0</v>
      </c>
      <c r="H13">
        <f>G13/'user input'!$C$4</f>
        <v>0</v>
      </c>
    </row>
    <row r="14" spans="1:8" x14ac:dyDescent="0.2">
      <c r="A14" s="1">
        <v>40190</v>
      </c>
      <c r="B14">
        <v>12</v>
      </c>
      <c r="C14" s="6">
        <f>IF('weather data'!C14&gt;'user input'!$C$3,'user input'!$C$3,'weather data'!C14)</f>
        <v>-3.333333333333333</v>
      </c>
      <c r="D14" s="6">
        <f>IF('weather data'!D14&lt;'user input'!$C$2,'user input'!$C$2,'weather data'!D14)</f>
        <v>10</v>
      </c>
      <c r="E14">
        <f t="shared" si="0"/>
        <v>3.3333333333333335</v>
      </c>
      <c r="F14">
        <f>IF((E14-'user input'!$C$2)&lt;0,0,E14-'user input'!$C$2)</f>
        <v>0</v>
      </c>
      <c r="G14">
        <f>IF(B14&lt;'user input'!$C$5,0,(F14+G13))</f>
        <v>0</v>
      </c>
      <c r="H14">
        <f>G14/'user input'!$C$4</f>
        <v>0</v>
      </c>
    </row>
    <row r="15" spans="1:8" x14ac:dyDescent="0.2">
      <c r="A15" s="1">
        <v>40191</v>
      </c>
      <c r="B15">
        <v>13</v>
      </c>
      <c r="C15" s="6">
        <f>IF('weather data'!C15&gt;'user input'!$C$3,'user input'!$C$3,'weather data'!C15)</f>
        <v>-2.7777777777777777</v>
      </c>
      <c r="D15" s="6">
        <f>IF('weather data'!D15&lt;'user input'!$C$2,'user input'!$C$2,'weather data'!D15)</f>
        <v>10</v>
      </c>
      <c r="E15">
        <f t="shared" si="0"/>
        <v>3.6111111111111112</v>
      </c>
      <c r="F15">
        <f>IF((E15-'user input'!$C$2)&lt;0,0,E15-'user input'!$C$2)</f>
        <v>0</v>
      </c>
      <c r="G15">
        <f>IF(B15&lt;'user input'!$C$5,0,(F15+G14))</f>
        <v>0</v>
      </c>
      <c r="H15">
        <f>G15/'user input'!$C$4</f>
        <v>0</v>
      </c>
    </row>
    <row r="16" spans="1:8" x14ac:dyDescent="0.2">
      <c r="A16" s="1">
        <v>40192</v>
      </c>
      <c r="B16">
        <v>14</v>
      </c>
      <c r="C16" s="6">
        <f>IF('weather data'!C16&gt;'user input'!$C$3,'user input'!$C$3,'weather data'!C16)</f>
        <v>1.6666666666666665</v>
      </c>
      <c r="D16" s="6">
        <f>IF('weather data'!D16&lt;'user input'!$C$2,'user input'!$C$2,'weather data'!D16)</f>
        <v>10</v>
      </c>
      <c r="E16">
        <f t="shared" si="0"/>
        <v>5.833333333333333</v>
      </c>
      <c r="F16">
        <f>IF((E16-'user input'!$C$2)&lt;0,0,E16-'user input'!$C$2)</f>
        <v>0</v>
      </c>
      <c r="G16">
        <f>IF(B16&lt;'user input'!$C$5,0,(F16+G15))</f>
        <v>0</v>
      </c>
      <c r="H16">
        <f>G16/'user input'!$C$4</f>
        <v>0</v>
      </c>
    </row>
    <row r="17" spans="1:8" x14ac:dyDescent="0.2">
      <c r="A17" s="1">
        <v>40193</v>
      </c>
      <c r="B17">
        <v>15</v>
      </c>
      <c r="C17" s="6">
        <f>IF('weather data'!C17&gt;'user input'!$C$3,'user input'!$C$3,'weather data'!C17)</f>
        <v>3.333333333333333</v>
      </c>
      <c r="D17" s="6">
        <f>IF('weather data'!D17&lt;'user input'!$C$2,'user input'!$C$2,'weather data'!D17)</f>
        <v>10</v>
      </c>
      <c r="E17">
        <f t="shared" si="0"/>
        <v>6.6666666666666661</v>
      </c>
      <c r="F17">
        <f>IF((E17-'user input'!$C$2)&lt;0,0,E17-'user input'!$C$2)</f>
        <v>0</v>
      </c>
      <c r="G17">
        <f>IF(B17&lt;'user input'!$C$5,0,(F17+G16))</f>
        <v>0</v>
      </c>
      <c r="H17">
        <f>G17/'user input'!$C$4</f>
        <v>0</v>
      </c>
    </row>
    <row r="18" spans="1:8" x14ac:dyDescent="0.2">
      <c r="A18" s="1">
        <v>40194</v>
      </c>
      <c r="B18">
        <v>16</v>
      </c>
      <c r="C18" s="6">
        <f>IF('weather data'!C18&gt;'user input'!$C$3,'user input'!$C$3,'weather data'!C18)</f>
        <v>-2.2222222222222223</v>
      </c>
      <c r="D18" s="6">
        <f>IF('weather data'!D18&lt;'user input'!$C$2,'user input'!$C$2,'weather data'!D18)</f>
        <v>10</v>
      </c>
      <c r="E18">
        <f t="shared" ref="E18:E81" si="1">(C18+D18)/2</f>
        <v>3.8888888888888888</v>
      </c>
      <c r="F18">
        <f>IF((E18-'user input'!$C$2)&lt;0,0,E18-'user input'!$C$2)</f>
        <v>0</v>
      </c>
      <c r="G18">
        <f>IF(B18&lt;'user input'!$C$5,0,(F18+G17))</f>
        <v>0</v>
      </c>
      <c r="H18">
        <f>G18/'user input'!$C$4</f>
        <v>0</v>
      </c>
    </row>
    <row r="19" spans="1:8" x14ac:dyDescent="0.2">
      <c r="A19" s="1">
        <v>40195</v>
      </c>
      <c r="B19">
        <v>17</v>
      </c>
      <c r="C19" s="6">
        <f>IF('weather data'!C19&gt;'user input'!$C$3,'user input'!$C$3,'weather data'!C19)</f>
        <v>-2.2222222222222223</v>
      </c>
      <c r="D19" s="6">
        <f>IF('weather data'!D19&lt;'user input'!$C$2,'user input'!$C$2,'weather data'!D19)</f>
        <v>10</v>
      </c>
      <c r="E19">
        <f t="shared" si="1"/>
        <v>3.8888888888888888</v>
      </c>
      <c r="F19">
        <f>IF((E19-'user input'!$C$2)&lt;0,0,E19-'user input'!$C$2)</f>
        <v>0</v>
      </c>
      <c r="G19">
        <f>IF(B19&lt;'user input'!$C$5,0,(F19+G18))</f>
        <v>0</v>
      </c>
      <c r="H19">
        <f>G19/'user input'!$C$4</f>
        <v>0</v>
      </c>
    </row>
    <row r="20" spans="1:8" x14ac:dyDescent="0.2">
      <c r="A20" s="1">
        <v>40196</v>
      </c>
      <c r="B20">
        <v>18</v>
      </c>
      <c r="C20" s="6">
        <f>IF('weather data'!C20&gt;'user input'!$C$3,'user input'!$C$3,'weather data'!C20)</f>
        <v>-1.6666666666666665</v>
      </c>
      <c r="D20" s="6">
        <f>IF('weather data'!D20&lt;'user input'!$C$2,'user input'!$C$2,'weather data'!D20)</f>
        <v>10</v>
      </c>
      <c r="E20">
        <f t="shared" si="1"/>
        <v>4.166666666666667</v>
      </c>
      <c r="F20">
        <f>IF((E20-'user input'!$C$2)&lt;0,0,E20-'user input'!$C$2)</f>
        <v>0</v>
      </c>
      <c r="G20">
        <f>IF(B20&lt;'user input'!$C$5,0,(F20+G19))</f>
        <v>0</v>
      </c>
      <c r="H20">
        <f>G20/'user input'!$C$4</f>
        <v>0</v>
      </c>
    </row>
    <row r="21" spans="1:8" x14ac:dyDescent="0.2">
      <c r="A21" s="1">
        <v>40197</v>
      </c>
      <c r="B21">
        <v>19</v>
      </c>
      <c r="C21" s="6">
        <f>IF('weather data'!C21&gt;'user input'!$C$3,'user input'!$C$3,'weather data'!C21)</f>
        <v>1.6666666666666665</v>
      </c>
      <c r="D21" s="6">
        <f>IF('weather data'!D21&lt;'user input'!$C$2,'user input'!$C$2,'weather data'!D21)</f>
        <v>10</v>
      </c>
      <c r="E21">
        <f t="shared" si="1"/>
        <v>5.833333333333333</v>
      </c>
      <c r="F21">
        <f>IF((E21-'user input'!$C$2)&lt;0,0,E21-'user input'!$C$2)</f>
        <v>0</v>
      </c>
      <c r="G21">
        <f>IF(B21&lt;'user input'!$C$5,0,(F21+G20))</f>
        <v>0</v>
      </c>
      <c r="H21">
        <f>G21/'user input'!$C$4</f>
        <v>0</v>
      </c>
    </row>
    <row r="22" spans="1:8" x14ac:dyDescent="0.2">
      <c r="A22" s="1">
        <v>40198</v>
      </c>
      <c r="B22">
        <v>20</v>
      </c>
      <c r="C22" s="6">
        <f>IF('weather data'!C22&gt;'user input'!$C$3,'user input'!$C$3,'weather data'!C22)</f>
        <v>-0.55555555555555558</v>
      </c>
      <c r="D22" s="6">
        <f>IF('weather data'!D22&lt;'user input'!$C$2,'user input'!$C$2,'weather data'!D22)</f>
        <v>10</v>
      </c>
      <c r="E22">
        <f t="shared" si="1"/>
        <v>4.7222222222222223</v>
      </c>
      <c r="F22">
        <f>IF((E22-'user input'!$C$2)&lt;0,0,E22-'user input'!$C$2)</f>
        <v>0</v>
      </c>
      <c r="G22">
        <f>IF(B22&lt;'user input'!$C$5,0,(F22+G21))</f>
        <v>0</v>
      </c>
      <c r="H22">
        <f>G22/'user input'!$C$4</f>
        <v>0</v>
      </c>
    </row>
    <row r="23" spans="1:8" x14ac:dyDescent="0.2">
      <c r="A23" s="1">
        <v>40199</v>
      </c>
      <c r="B23">
        <v>21</v>
      </c>
      <c r="C23" s="6">
        <f>IF('weather data'!C23&gt;'user input'!$C$3,'user input'!$C$3,'weather data'!C23)</f>
        <v>-1.1111111111111112</v>
      </c>
      <c r="D23" s="6">
        <f>IF('weather data'!D23&lt;'user input'!$C$2,'user input'!$C$2,'weather data'!D23)</f>
        <v>10</v>
      </c>
      <c r="E23">
        <f t="shared" si="1"/>
        <v>4.4444444444444446</v>
      </c>
      <c r="F23">
        <f>IF((E23-'user input'!$C$2)&lt;0,0,E23-'user input'!$C$2)</f>
        <v>0</v>
      </c>
      <c r="G23">
        <f>IF(B23&lt;'user input'!$C$5,0,(F23+G22))</f>
        <v>0</v>
      </c>
      <c r="H23">
        <f>G23/'user input'!$C$4</f>
        <v>0</v>
      </c>
    </row>
    <row r="24" spans="1:8" x14ac:dyDescent="0.2">
      <c r="A24" s="1">
        <v>40200</v>
      </c>
      <c r="B24">
        <v>22</v>
      </c>
      <c r="C24" s="6">
        <f>IF('weather data'!C24&gt;'user input'!$C$3,'user input'!$C$3,'weather data'!C24)</f>
        <v>-0.55555555555555558</v>
      </c>
      <c r="D24" s="6">
        <f>IF('weather data'!D24&lt;'user input'!$C$2,'user input'!$C$2,'weather data'!D24)</f>
        <v>10</v>
      </c>
      <c r="E24">
        <f t="shared" si="1"/>
        <v>4.7222222222222223</v>
      </c>
      <c r="F24">
        <f>IF((E24-'user input'!$C$2)&lt;0,0,E24-'user input'!$C$2)</f>
        <v>0</v>
      </c>
      <c r="G24">
        <f>IF(B24&lt;'user input'!$C$5,0,(F24+G23))</f>
        <v>0</v>
      </c>
      <c r="H24">
        <f>G24/'user input'!$C$4</f>
        <v>0</v>
      </c>
    </row>
    <row r="25" spans="1:8" x14ac:dyDescent="0.2">
      <c r="A25" s="1">
        <v>40201</v>
      </c>
      <c r="B25">
        <v>23</v>
      </c>
      <c r="C25" s="6">
        <f>IF('weather data'!C25&gt;'user input'!$C$3,'user input'!$C$3,'weather data'!C25)</f>
        <v>1.1111111111111112</v>
      </c>
      <c r="D25" s="6">
        <f>IF('weather data'!D25&lt;'user input'!$C$2,'user input'!$C$2,'weather data'!D25)</f>
        <v>10</v>
      </c>
      <c r="E25">
        <f t="shared" si="1"/>
        <v>5.5555555555555554</v>
      </c>
      <c r="F25">
        <f>IF((E25-'user input'!$C$2)&lt;0,0,E25-'user input'!$C$2)</f>
        <v>0</v>
      </c>
      <c r="G25">
        <f>IF(B25&lt;'user input'!$C$5,0,(F25+G24))</f>
        <v>0</v>
      </c>
      <c r="H25">
        <f>G25/'user input'!$C$4</f>
        <v>0</v>
      </c>
    </row>
    <row r="26" spans="1:8" x14ac:dyDescent="0.2">
      <c r="A26" s="1">
        <v>40202</v>
      </c>
      <c r="B26">
        <v>24</v>
      </c>
      <c r="C26" s="6">
        <f>IF('weather data'!C26&gt;'user input'!$C$3,'user input'!$C$3,'weather data'!C26)</f>
        <v>3.333333333333333</v>
      </c>
      <c r="D26" s="6">
        <f>IF('weather data'!D26&lt;'user input'!$C$2,'user input'!$C$2,'weather data'!D26)</f>
        <v>10</v>
      </c>
      <c r="E26">
        <f t="shared" si="1"/>
        <v>6.6666666666666661</v>
      </c>
      <c r="F26">
        <f>IF((E26-'user input'!$C$2)&lt;0,0,E26-'user input'!$C$2)</f>
        <v>0</v>
      </c>
      <c r="G26">
        <f>IF(B26&lt;'user input'!$C$5,0,(F26+G25))</f>
        <v>0</v>
      </c>
      <c r="H26">
        <f>G26/'user input'!$C$4</f>
        <v>0</v>
      </c>
    </row>
    <row r="27" spans="1:8" x14ac:dyDescent="0.2">
      <c r="A27" s="1">
        <v>40203</v>
      </c>
      <c r="B27">
        <v>25</v>
      </c>
      <c r="C27" s="6">
        <f>IF('weather data'!C27&gt;'user input'!$C$3,'user input'!$C$3,'weather data'!C27)</f>
        <v>3.333333333333333</v>
      </c>
      <c r="D27" s="6">
        <f>IF('weather data'!D27&lt;'user input'!$C$2,'user input'!$C$2,'weather data'!D27)</f>
        <v>10</v>
      </c>
      <c r="E27">
        <f t="shared" si="1"/>
        <v>6.6666666666666661</v>
      </c>
      <c r="F27">
        <f>IF((E27-'user input'!$C$2)&lt;0,0,E27-'user input'!$C$2)</f>
        <v>0</v>
      </c>
      <c r="G27">
        <f>IF(B27&lt;'user input'!$C$5,0,(F27+G26))</f>
        <v>0</v>
      </c>
      <c r="H27">
        <f>G27/'user input'!$C$4</f>
        <v>0</v>
      </c>
    </row>
    <row r="28" spans="1:8" x14ac:dyDescent="0.2">
      <c r="A28" s="1">
        <v>40204</v>
      </c>
      <c r="B28">
        <v>26</v>
      </c>
      <c r="C28" s="6">
        <f>IF('weather data'!C28&gt;'user input'!$C$3,'user input'!$C$3,'weather data'!C28)</f>
        <v>-1.1111111111111112</v>
      </c>
      <c r="D28" s="6">
        <f>IF('weather data'!D28&lt;'user input'!$C$2,'user input'!$C$2,'weather data'!D28)</f>
        <v>10</v>
      </c>
      <c r="E28">
        <f t="shared" si="1"/>
        <v>4.4444444444444446</v>
      </c>
      <c r="F28">
        <f>IF((E28-'user input'!$C$2)&lt;0,0,E28-'user input'!$C$2)</f>
        <v>0</v>
      </c>
      <c r="G28">
        <f>IF(B28&lt;'user input'!$C$5,0,(F28+G27))</f>
        <v>0</v>
      </c>
      <c r="H28">
        <f>G28/'user input'!$C$4</f>
        <v>0</v>
      </c>
    </row>
    <row r="29" spans="1:8" x14ac:dyDescent="0.2">
      <c r="A29" s="1">
        <v>40205</v>
      </c>
      <c r="B29">
        <v>27</v>
      </c>
      <c r="C29" s="6">
        <f>IF('weather data'!C29&gt;'user input'!$C$3,'user input'!$C$3,'weather data'!C29)</f>
        <v>-6.6666666666666661</v>
      </c>
      <c r="D29" s="6">
        <f>IF('weather data'!D29&lt;'user input'!$C$2,'user input'!$C$2,'weather data'!D29)</f>
        <v>10</v>
      </c>
      <c r="E29">
        <f t="shared" si="1"/>
        <v>1.666666666666667</v>
      </c>
      <c r="F29">
        <f>IF((E29-'user input'!$C$2)&lt;0,0,E29-'user input'!$C$2)</f>
        <v>0</v>
      </c>
      <c r="G29">
        <f>IF(B29&lt;'user input'!$C$5,0,(F29+G28))</f>
        <v>0</v>
      </c>
      <c r="H29">
        <f>G29/'user input'!$C$4</f>
        <v>0</v>
      </c>
    </row>
    <row r="30" spans="1:8" x14ac:dyDescent="0.2">
      <c r="A30" s="1">
        <v>40206</v>
      </c>
      <c r="B30">
        <v>28</v>
      </c>
      <c r="C30" s="6">
        <f>IF('weather data'!C30&gt;'user input'!$C$3,'user input'!$C$3,'weather data'!C30)</f>
        <v>-5.5555555555555554</v>
      </c>
      <c r="D30" s="6">
        <f>IF('weather data'!D30&lt;'user input'!$C$2,'user input'!$C$2,'weather data'!D30)</f>
        <v>10</v>
      </c>
      <c r="E30">
        <f t="shared" si="1"/>
        <v>2.2222222222222223</v>
      </c>
      <c r="F30">
        <f>IF((E30-'user input'!$C$2)&lt;0,0,E30-'user input'!$C$2)</f>
        <v>0</v>
      </c>
      <c r="G30">
        <f>IF(B30&lt;'user input'!$C$5,0,(F30+G29))</f>
        <v>0</v>
      </c>
      <c r="H30">
        <f>G30/'user input'!$C$4</f>
        <v>0</v>
      </c>
    </row>
    <row r="31" spans="1:8" x14ac:dyDescent="0.2">
      <c r="A31" s="1">
        <v>40207</v>
      </c>
      <c r="B31">
        <v>29</v>
      </c>
      <c r="C31" s="6">
        <f>IF('weather data'!C31&gt;'user input'!$C$3,'user input'!$C$3,'weather data'!C31)</f>
        <v>-12.777777777777777</v>
      </c>
      <c r="D31" s="6">
        <f>IF('weather data'!D31&lt;'user input'!$C$2,'user input'!$C$2,'weather data'!D31)</f>
        <v>10</v>
      </c>
      <c r="E31">
        <f t="shared" si="1"/>
        <v>-1.3888888888888884</v>
      </c>
      <c r="F31">
        <f>IF((E31-'user input'!$C$2)&lt;0,0,E31-'user input'!$C$2)</f>
        <v>0</v>
      </c>
      <c r="G31">
        <f>IF(B31&lt;'user input'!$C$5,0,(F31+G30))</f>
        <v>0</v>
      </c>
      <c r="H31">
        <f>G31/'user input'!$C$4</f>
        <v>0</v>
      </c>
    </row>
    <row r="32" spans="1:8" x14ac:dyDescent="0.2">
      <c r="A32" s="1">
        <v>40208</v>
      </c>
      <c r="B32">
        <v>30</v>
      </c>
      <c r="C32" s="6">
        <f>IF('weather data'!C32&gt;'user input'!$C$3,'user input'!$C$3,'weather data'!C32)</f>
        <v>-10</v>
      </c>
      <c r="D32" s="6">
        <f>IF('weather data'!D32&lt;'user input'!$C$2,'user input'!$C$2,'weather data'!D32)</f>
        <v>10</v>
      </c>
      <c r="E32">
        <f t="shared" si="1"/>
        <v>0</v>
      </c>
      <c r="F32">
        <f>IF((E32-'user input'!$C$2)&lt;0,0,E32-'user input'!$C$2)</f>
        <v>0</v>
      </c>
      <c r="G32">
        <f>IF(B32&lt;'user input'!$C$5,0,(F32+G31))</f>
        <v>0</v>
      </c>
      <c r="H32">
        <f>G32/'user input'!$C$4</f>
        <v>0</v>
      </c>
    </row>
    <row r="33" spans="1:8" x14ac:dyDescent="0.2">
      <c r="A33" s="1">
        <v>40209</v>
      </c>
      <c r="B33">
        <v>31</v>
      </c>
      <c r="C33" s="6">
        <f>IF('weather data'!C33&gt;'user input'!$C$3,'user input'!$C$3,'weather data'!C33)</f>
        <v>-5.5555555555555554</v>
      </c>
      <c r="D33" s="6">
        <f>IF('weather data'!D33&lt;'user input'!$C$2,'user input'!$C$2,'weather data'!D33)</f>
        <v>10</v>
      </c>
      <c r="E33">
        <f t="shared" si="1"/>
        <v>2.2222222222222223</v>
      </c>
      <c r="F33">
        <f>IF((E33-'user input'!$C$2)&lt;0,0,E33-'user input'!$C$2)</f>
        <v>0</v>
      </c>
      <c r="G33">
        <f>IF(B33&lt;'user input'!$C$5,0,(F33+G32))</f>
        <v>0</v>
      </c>
      <c r="H33">
        <f>G33/'user input'!$C$4</f>
        <v>0</v>
      </c>
    </row>
    <row r="34" spans="1:8" x14ac:dyDescent="0.2">
      <c r="A34" s="1">
        <v>40210</v>
      </c>
      <c r="B34">
        <v>32</v>
      </c>
      <c r="C34" s="6">
        <f>IF('weather data'!C34&gt;'user input'!$C$3,'user input'!$C$3,'weather data'!C34)</f>
        <v>-5</v>
      </c>
      <c r="D34" s="6">
        <f>IF('weather data'!D34&lt;'user input'!$C$2,'user input'!$C$2,'weather data'!D34)</f>
        <v>10</v>
      </c>
      <c r="E34">
        <f t="shared" si="1"/>
        <v>2.5</v>
      </c>
      <c r="F34">
        <f>IF((E34-'user input'!$C$2)&lt;0,0,E34-'user input'!$C$2)</f>
        <v>0</v>
      </c>
      <c r="G34">
        <f>IF(B34&lt;'user input'!$C$5,0,(F34+G33))</f>
        <v>0</v>
      </c>
      <c r="H34">
        <f>G34/'user input'!$C$4</f>
        <v>0</v>
      </c>
    </row>
    <row r="35" spans="1:8" x14ac:dyDescent="0.2">
      <c r="A35" s="1">
        <v>40211</v>
      </c>
      <c r="B35">
        <v>33</v>
      </c>
      <c r="C35" s="6">
        <f>IF('weather data'!C35&gt;'user input'!$C$3,'user input'!$C$3,'weather data'!C35)</f>
        <v>-3.8888888888888888</v>
      </c>
      <c r="D35" s="6">
        <f>IF('weather data'!D35&lt;'user input'!$C$2,'user input'!$C$2,'weather data'!D35)</f>
        <v>10</v>
      </c>
      <c r="E35">
        <f t="shared" si="1"/>
        <v>3.0555555555555554</v>
      </c>
      <c r="F35">
        <f>IF((E35-'user input'!$C$2)&lt;0,0,E35-'user input'!$C$2)</f>
        <v>0</v>
      </c>
      <c r="G35">
        <f>IF(B35&lt;'user input'!$C$5,0,(F35+G34))</f>
        <v>0</v>
      </c>
      <c r="H35">
        <f>G35/'user input'!$C$4</f>
        <v>0</v>
      </c>
    </row>
    <row r="36" spans="1:8" x14ac:dyDescent="0.2">
      <c r="A36" s="1">
        <v>40212</v>
      </c>
      <c r="B36">
        <v>34</v>
      </c>
      <c r="C36" s="6">
        <f>IF('weather data'!C36&gt;'user input'!$C$3,'user input'!$C$3,'weather data'!C36)</f>
        <v>-0.55555555555555558</v>
      </c>
      <c r="D36" s="6">
        <f>IF('weather data'!D36&lt;'user input'!$C$2,'user input'!$C$2,'weather data'!D36)</f>
        <v>10</v>
      </c>
      <c r="E36">
        <f t="shared" si="1"/>
        <v>4.7222222222222223</v>
      </c>
      <c r="F36">
        <f>IF((E36-'user input'!$C$2)&lt;0,0,E36-'user input'!$C$2)</f>
        <v>0</v>
      </c>
      <c r="G36">
        <f>IF(B36&lt;'user input'!$C$5,0,(F36+G35))</f>
        <v>0</v>
      </c>
      <c r="H36">
        <f>G36/'user input'!$C$4</f>
        <v>0</v>
      </c>
    </row>
    <row r="37" spans="1:8" x14ac:dyDescent="0.2">
      <c r="A37" s="1">
        <v>40213</v>
      </c>
      <c r="B37">
        <v>35</v>
      </c>
      <c r="C37" s="6">
        <f>IF('weather data'!C37&gt;'user input'!$C$3,'user input'!$C$3,'weather data'!C37)</f>
        <v>-1.6666666666666665</v>
      </c>
      <c r="D37" s="6">
        <f>IF('weather data'!D37&lt;'user input'!$C$2,'user input'!$C$2,'weather data'!D37)</f>
        <v>10</v>
      </c>
      <c r="E37">
        <f t="shared" si="1"/>
        <v>4.166666666666667</v>
      </c>
      <c r="F37">
        <f>IF((E37-'user input'!$C$2)&lt;0,0,E37-'user input'!$C$2)</f>
        <v>0</v>
      </c>
      <c r="G37">
        <f>IF(B37&lt;'user input'!$C$5,0,(F37+G36))</f>
        <v>0</v>
      </c>
      <c r="H37">
        <f>G37/'user input'!$C$4</f>
        <v>0</v>
      </c>
    </row>
    <row r="38" spans="1:8" x14ac:dyDescent="0.2">
      <c r="A38" s="1">
        <v>40214</v>
      </c>
      <c r="B38">
        <v>36</v>
      </c>
      <c r="C38" s="6">
        <f>IF('weather data'!C38&gt;'user input'!$C$3,'user input'!$C$3,'weather data'!C38)</f>
        <v>-0.55555555555555558</v>
      </c>
      <c r="D38" s="6">
        <f>IF('weather data'!D38&lt;'user input'!$C$2,'user input'!$C$2,'weather data'!D38)</f>
        <v>10</v>
      </c>
      <c r="E38">
        <f t="shared" si="1"/>
        <v>4.7222222222222223</v>
      </c>
      <c r="F38">
        <f>IF((E38-'user input'!$C$2)&lt;0,0,E38-'user input'!$C$2)</f>
        <v>0</v>
      </c>
      <c r="G38">
        <f>IF(B38&lt;'user input'!$C$5,0,(F38+G37))</f>
        <v>0</v>
      </c>
      <c r="H38">
        <f>G38/'user input'!$C$4</f>
        <v>0</v>
      </c>
    </row>
    <row r="39" spans="1:8" x14ac:dyDescent="0.2">
      <c r="A39" s="1">
        <v>40215</v>
      </c>
      <c r="B39">
        <v>37</v>
      </c>
      <c r="C39" s="6">
        <f>IF('weather data'!C39&gt;'user input'!$C$3,'user input'!$C$3,'weather data'!C39)</f>
        <v>0.55555555555555558</v>
      </c>
      <c r="D39" s="6">
        <f>IF('weather data'!D39&lt;'user input'!$C$2,'user input'!$C$2,'weather data'!D39)</f>
        <v>10</v>
      </c>
      <c r="E39">
        <f t="shared" si="1"/>
        <v>5.2777777777777777</v>
      </c>
      <c r="F39">
        <f>IF((E39-'user input'!$C$2)&lt;0,0,E39-'user input'!$C$2)</f>
        <v>0</v>
      </c>
      <c r="G39">
        <f>IF(B39&lt;'user input'!$C$5,0,(F39+G38))</f>
        <v>0</v>
      </c>
      <c r="H39">
        <f>G39/'user input'!$C$4</f>
        <v>0</v>
      </c>
    </row>
    <row r="40" spans="1:8" x14ac:dyDescent="0.2">
      <c r="A40" s="1">
        <v>40216</v>
      </c>
      <c r="B40">
        <v>38</v>
      </c>
      <c r="C40" s="6">
        <f>IF('weather data'!C40&gt;'user input'!$C$3,'user input'!$C$3,'weather data'!C40)</f>
        <v>-2.7777777777777777</v>
      </c>
      <c r="D40" s="6">
        <f>IF('weather data'!D40&lt;'user input'!$C$2,'user input'!$C$2,'weather data'!D40)</f>
        <v>10</v>
      </c>
      <c r="E40">
        <f t="shared" si="1"/>
        <v>3.6111111111111112</v>
      </c>
      <c r="F40">
        <f>IF((E40-'user input'!$C$2)&lt;0,0,E40-'user input'!$C$2)</f>
        <v>0</v>
      </c>
      <c r="G40">
        <f>IF(B40&lt;'user input'!$C$5,0,(F40+G39))</f>
        <v>0</v>
      </c>
      <c r="H40">
        <f>G40/'user input'!$C$4</f>
        <v>0</v>
      </c>
    </row>
    <row r="41" spans="1:8" x14ac:dyDescent="0.2">
      <c r="A41" s="1">
        <v>40217</v>
      </c>
      <c r="B41">
        <v>39</v>
      </c>
      <c r="C41" s="6">
        <f>IF('weather data'!C41&gt;'user input'!$C$3,'user input'!$C$3,'weather data'!C41)</f>
        <v>-1.1111111111111112</v>
      </c>
      <c r="D41" s="6">
        <f>IF('weather data'!D41&lt;'user input'!$C$2,'user input'!$C$2,'weather data'!D41)</f>
        <v>10</v>
      </c>
      <c r="E41">
        <f t="shared" si="1"/>
        <v>4.4444444444444446</v>
      </c>
      <c r="F41">
        <f>IF((E41-'user input'!$C$2)&lt;0,0,E41-'user input'!$C$2)</f>
        <v>0</v>
      </c>
      <c r="G41">
        <f>IF(B41&lt;'user input'!$C$5,0,(F41+G40))</f>
        <v>0</v>
      </c>
      <c r="H41">
        <f>G41/'user input'!$C$4</f>
        <v>0</v>
      </c>
    </row>
    <row r="42" spans="1:8" x14ac:dyDescent="0.2">
      <c r="A42" s="1">
        <v>40218</v>
      </c>
      <c r="B42">
        <v>40</v>
      </c>
      <c r="C42" s="6">
        <f>IF('weather data'!C42&gt;'user input'!$C$3,'user input'!$C$3,'weather data'!C42)</f>
        <v>-1.6666666666666665</v>
      </c>
      <c r="D42" s="6">
        <f>IF('weather data'!D42&lt;'user input'!$C$2,'user input'!$C$2,'weather data'!D42)</f>
        <v>10</v>
      </c>
      <c r="E42">
        <f t="shared" si="1"/>
        <v>4.166666666666667</v>
      </c>
      <c r="F42">
        <f>IF((E42-'user input'!$C$2)&lt;0,0,E42-'user input'!$C$2)</f>
        <v>0</v>
      </c>
      <c r="G42">
        <f>IF(B42&lt;'user input'!$C$5,0,(F42+G41))</f>
        <v>0</v>
      </c>
      <c r="H42">
        <f>G42/'user input'!$C$4</f>
        <v>0</v>
      </c>
    </row>
    <row r="43" spans="1:8" x14ac:dyDescent="0.2">
      <c r="A43" s="1">
        <v>40219</v>
      </c>
      <c r="B43">
        <v>41</v>
      </c>
      <c r="C43" s="6">
        <f>IF('weather data'!C43&gt;'user input'!$C$3,'user input'!$C$3,'weather data'!C43)</f>
        <v>-3.333333333333333</v>
      </c>
      <c r="D43" s="6">
        <f>IF('weather data'!D43&lt;'user input'!$C$2,'user input'!$C$2,'weather data'!D43)</f>
        <v>10</v>
      </c>
      <c r="E43">
        <f t="shared" si="1"/>
        <v>3.3333333333333335</v>
      </c>
      <c r="F43">
        <f>IF((E43-'user input'!$C$2)&lt;0,0,E43-'user input'!$C$2)</f>
        <v>0</v>
      </c>
      <c r="G43">
        <f>IF(B43&lt;'user input'!$C$5,0,(F43+G42))</f>
        <v>0</v>
      </c>
      <c r="H43">
        <f>G43/'user input'!$C$4</f>
        <v>0</v>
      </c>
    </row>
    <row r="44" spans="1:8" x14ac:dyDescent="0.2">
      <c r="A44" s="1">
        <v>40220</v>
      </c>
      <c r="B44">
        <v>42</v>
      </c>
      <c r="C44" s="6">
        <f>IF('weather data'!C44&gt;'user input'!$C$3,'user input'!$C$3,'weather data'!C44)</f>
        <v>-2.2222222222222223</v>
      </c>
      <c r="D44" s="6">
        <f>IF('weather data'!D44&lt;'user input'!$C$2,'user input'!$C$2,'weather data'!D44)</f>
        <v>10</v>
      </c>
      <c r="E44">
        <f t="shared" si="1"/>
        <v>3.8888888888888888</v>
      </c>
      <c r="F44">
        <f>IF((E44-'user input'!$C$2)&lt;0,0,E44-'user input'!$C$2)</f>
        <v>0</v>
      </c>
      <c r="G44">
        <f>IF(B44&lt;'user input'!$C$5,0,(F44+G43))</f>
        <v>0</v>
      </c>
      <c r="H44">
        <f>G44/'user input'!$C$4</f>
        <v>0</v>
      </c>
    </row>
    <row r="45" spans="1:8" x14ac:dyDescent="0.2">
      <c r="A45" s="1">
        <v>40221</v>
      </c>
      <c r="B45">
        <v>43</v>
      </c>
      <c r="C45" s="6">
        <f>IF('weather data'!C45&gt;'user input'!$C$3,'user input'!$C$3,'weather data'!C45)</f>
        <v>-2.7777777777777777</v>
      </c>
      <c r="D45" s="6">
        <f>IF('weather data'!D45&lt;'user input'!$C$2,'user input'!$C$2,'weather data'!D45)</f>
        <v>10</v>
      </c>
      <c r="E45">
        <f t="shared" si="1"/>
        <v>3.6111111111111112</v>
      </c>
      <c r="F45">
        <f>IF((E45-'user input'!$C$2)&lt;0,0,E45-'user input'!$C$2)</f>
        <v>0</v>
      </c>
      <c r="G45">
        <f>IF(B45&lt;'user input'!$C$5,0,(F45+G44))</f>
        <v>0</v>
      </c>
      <c r="H45">
        <f>G45/'user input'!$C$4</f>
        <v>0</v>
      </c>
    </row>
    <row r="46" spans="1:8" x14ac:dyDescent="0.2">
      <c r="A46" s="1">
        <v>40222</v>
      </c>
      <c r="B46">
        <v>44</v>
      </c>
      <c r="C46" s="6">
        <f>IF('weather data'!C46&gt;'user input'!$C$3,'user input'!$C$3,'weather data'!C46)</f>
        <v>-1.1111111111111112</v>
      </c>
      <c r="D46" s="6">
        <f>IF('weather data'!D46&lt;'user input'!$C$2,'user input'!$C$2,'weather data'!D46)</f>
        <v>10</v>
      </c>
      <c r="E46">
        <f t="shared" si="1"/>
        <v>4.4444444444444446</v>
      </c>
      <c r="F46">
        <f>IF((E46-'user input'!$C$2)&lt;0,0,E46-'user input'!$C$2)</f>
        <v>0</v>
      </c>
      <c r="G46">
        <f>IF(B46&lt;'user input'!$C$5,0,(F46+G45))</f>
        <v>0</v>
      </c>
      <c r="H46">
        <f>G46/'user input'!$C$4</f>
        <v>0</v>
      </c>
    </row>
    <row r="47" spans="1:8" x14ac:dyDescent="0.2">
      <c r="A47" s="1">
        <v>40223</v>
      </c>
      <c r="B47">
        <v>45</v>
      </c>
      <c r="C47" s="6">
        <f>IF('weather data'!C47&gt;'user input'!$C$3,'user input'!$C$3,'weather data'!C47)</f>
        <v>-1.1111111111111112</v>
      </c>
      <c r="D47" s="6">
        <f>IF('weather data'!D47&lt;'user input'!$C$2,'user input'!$C$2,'weather data'!D47)</f>
        <v>10</v>
      </c>
      <c r="E47">
        <f t="shared" si="1"/>
        <v>4.4444444444444446</v>
      </c>
      <c r="F47">
        <f>IF((E47-'user input'!$C$2)&lt;0,0,E47-'user input'!$C$2)</f>
        <v>0</v>
      </c>
      <c r="G47">
        <f>IF(B47&lt;'user input'!$C$5,0,(F47+G46))</f>
        <v>0</v>
      </c>
      <c r="H47">
        <f>G47/'user input'!$C$4</f>
        <v>0</v>
      </c>
    </row>
    <row r="48" spans="1:8" x14ac:dyDescent="0.2">
      <c r="A48" s="1">
        <v>40224</v>
      </c>
      <c r="B48">
        <v>46</v>
      </c>
      <c r="C48" s="6">
        <f>IF('weather data'!C48&gt;'user input'!$C$3,'user input'!$C$3,'weather data'!C48)</f>
        <v>-2.7777777777777777</v>
      </c>
      <c r="D48" s="6">
        <f>IF('weather data'!D48&lt;'user input'!$C$2,'user input'!$C$2,'weather data'!D48)</f>
        <v>10</v>
      </c>
      <c r="E48">
        <f t="shared" si="1"/>
        <v>3.6111111111111112</v>
      </c>
      <c r="F48">
        <f>IF((E48-'user input'!$C$2)&lt;0,0,E48-'user input'!$C$2)</f>
        <v>0</v>
      </c>
      <c r="G48">
        <f>IF(B48&lt;'user input'!$C$5,0,(F48+G47))</f>
        <v>0</v>
      </c>
      <c r="H48">
        <f>G48/'user input'!$C$4</f>
        <v>0</v>
      </c>
    </row>
    <row r="49" spans="1:8" x14ac:dyDescent="0.2">
      <c r="A49" s="1">
        <v>40225</v>
      </c>
      <c r="B49">
        <v>47</v>
      </c>
      <c r="C49" s="6">
        <f>IF('weather data'!C49&gt;'user input'!$C$3,'user input'!$C$3,'weather data'!C49)</f>
        <v>-2.2222222222222223</v>
      </c>
      <c r="D49" s="6">
        <f>IF('weather data'!D49&lt;'user input'!$C$2,'user input'!$C$2,'weather data'!D49)</f>
        <v>10</v>
      </c>
      <c r="E49">
        <f t="shared" si="1"/>
        <v>3.8888888888888888</v>
      </c>
      <c r="F49">
        <f>IF((E49-'user input'!$C$2)&lt;0,0,E49-'user input'!$C$2)</f>
        <v>0</v>
      </c>
      <c r="G49">
        <f>IF(B49&lt;'user input'!$C$5,0,(F49+G48))</f>
        <v>0</v>
      </c>
      <c r="H49">
        <f>G49/'user input'!$C$4</f>
        <v>0</v>
      </c>
    </row>
    <row r="50" spans="1:8" x14ac:dyDescent="0.2">
      <c r="A50" s="1">
        <v>40226</v>
      </c>
      <c r="B50">
        <v>48</v>
      </c>
      <c r="C50" s="6">
        <f>IF('weather data'!C50&gt;'user input'!$C$3,'user input'!$C$3,'weather data'!C50)</f>
        <v>1.1111111111111112</v>
      </c>
      <c r="D50" s="6">
        <f>IF('weather data'!D50&lt;'user input'!$C$2,'user input'!$C$2,'weather data'!D50)</f>
        <v>10</v>
      </c>
      <c r="E50">
        <f t="shared" si="1"/>
        <v>5.5555555555555554</v>
      </c>
      <c r="F50">
        <f>IF((E50-'user input'!$C$2)&lt;0,0,E50-'user input'!$C$2)</f>
        <v>0</v>
      </c>
      <c r="G50">
        <f>IF(B50&lt;'user input'!$C$5,0,(F50+G49))</f>
        <v>0</v>
      </c>
      <c r="H50">
        <f>G50/'user input'!$C$4</f>
        <v>0</v>
      </c>
    </row>
    <row r="51" spans="1:8" x14ac:dyDescent="0.2">
      <c r="A51" s="1">
        <v>40227</v>
      </c>
      <c r="B51">
        <v>49</v>
      </c>
      <c r="C51" s="6">
        <f>IF('weather data'!C51&gt;'user input'!$C$3,'user input'!$C$3,'weather data'!C51)</f>
        <v>1.6666666666666665</v>
      </c>
      <c r="D51" s="6">
        <f>IF('weather data'!D51&lt;'user input'!$C$2,'user input'!$C$2,'weather data'!D51)</f>
        <v>10</v>
      </c>
      <c r="E51">
        <f t="shared" si="1"/>
        <v>5.833333333333333</v>
      </c>
      <c r="F51">
        <f>IF((E51-'user input'!$C$2)&lt;0,0,E51-'user input'!$C$2)</f>
        <v>0</v>
      </c>
      <c r="G51">
        <f>IF(B51&lt;'user input'!$C$5,0,(F51+G50))</f>
        <v>0</v>
      </c>
      <c r="H51">
        <f>G51/'user input'!$C$4</f>
        <v>0</v>
      </c>
    </row>
    <row r="52" spans="1:8" x14ac:dyDescent="0.2">
      <c r="A52" s="1">
        <v>40228</v>
      </c>
      <c r="B52">
        <v>50</v>
      </c>
      <c r="C52" s="6">
        <f>IF('weather data'!C52&gt;'user input'!$C$3,'user input'!$C$3,'weather data'!C52)</f>
        <v>3.333333333333333</v>
      </c>
      <c r="D52" s="6">
        <f>IF('weather data'!D52&lt;'user input'!$C$2,'user input'!$C$2,'weather data'!D52)</f>
        <v>10</v>
      </c>
      <c r="E52">
        <f t="shared" si="1"/>
        <v>6.6666666666666661</v>
      </c>
      <c r="F52">
        <f>IF((E52-'user input'!$C$2)&lt;0,0,E52-'user input'!$C$2)</f>
        <v>0</v>
      </c>
      <c r="G52">
        <f>IF(B52&lt;'user input'!$C$5,0,(F52+G51))</f>
        <v>0</v>
      </c>
      <c r="H52">
        <f>G52/'user input'!$C$4</f>
        <v>0</v>
      </c>
    </row>
    <row r="53" spans="1:8" x14ac:dyDescent="0.2">
      <c r="A53" s="1">
        <v>40229</v>
      </c>
      <c r="B53">
        <v>51</v>
      </c>
      <c r="C53" s="6">
        <f>IF('weather data'!C53&gt;'user input'!$C$3,'user input'!$C$3,'weather data'!C53)</f>
        <v>3.333333333333333</v>
      </c>
      <c r="D53" s="6">
        <f>IF('weather data'!D53&lt;'user input'!$C$2,'user input'!$C$2,'weather data'!D53)</f>
        <v>10</v>
      </c>
      <c r="E53">
        <f t="shared" si="1"/>
        <v>6.6666666666666661</v>
      </c>
      <c r="F53">
        <f>IF((E53-'user input'!$C$2)&lt;0,0,E53-'user input'!$C$2)</f>
        <v>0</v>
      </c>
      <c r="G53">
        <f>IF(B53&lt;'user input'!$C$5,0,(F53+G52))</f>
        <v>0</v>
      </c>
      <c r="H53">
        <f>G53/'user input'!$C$4</f>
        <v>0</v>
      </c>
    </row>
    <row r="54" spans="1:8" x14ac:dyDescent="0.2">
      <c r="A54" s="1">
        <v>40230</v>
      </c>
      <c r="B54">
        <v>52</v>
      </c>
      <c r="C54" s="6">
        <f>IF('weather data'!C54&gt;'user input'!$C$3,'user input'!$C$3,'weather data'!C54)</f>
        <v>0.55555555555555558</v>
      </c>
      <c r="D54" s="6">
        <f>IF('weather data'!D54&lt;'user input'!$C$2,'user input'!$C$2,'weather data'!D54)</f>
        <v>10</v>
      </c>
      <c r="E54">
        <f t="shared" si="1"/>
        <v>5.2777777777777777</v>
      </c>
      <c r="F54">
        <f>IF((E54-'user input'!$C$2)&lt;0,0,E54-'user input'!$C$2)</f>
        <v>0</v>
      </c>
      <c r="G54">
        <f>IF(B54&lt;'user input'!$C$5,0,(F54+G53))</f>
        <v>0</v>
      </c>
      <c r="H54">
        <f>G54/'user input'!$C$4</f>
        <v>0</v>
      </c>
    </row>
    <row r="55" spans="1:8" x14ac:dyDescent="0.2">
      <c r="A55" s="1">
        <v>40231</v>
      </c>
      <c r="B55">
        <v>53</v>
      </c>
      <c r="C55" s="6">
        <f>IF('weather data'!C55&gt;'user input'!$C$3,'user input'!$C$3,'weather data'!C55)</f>
        <v>1.6666666666666665</v>
      </c>
      <c r="D55" s="6">
        <f>IF('weather data'!D55&lt;'user input'!$C$2,'user input'!$C$2,'weather data'!D55)</f>
        <v>10</v>
      </c>
      <c r="E55">
        <f t="shared" si="1"/>
        <v>5.833333333333333</v>
      </c>
      <c r="F55">
        <f>IF((E55-'user input'!$C$2)&lt;0,0,E55-'user input'!$C$2)</f>
        <v>0</v>
      </c>
      <c r="G55">
        <f>IF(B55&lt;'user input'!$C$5,0,(F55+G54))</f>
        <v>0</v>
      </c>
      <c r="H55">
        <f>G55/'user input'!$C$4</f>
        <v>0</v>
      </c>
    </row>
    <row r="56" spans="1:8" x14ac:dyDescent="0.2">
      <c r="A56" s="1">
        <v>40232</v>
      </c>
      <c r="B56">
        <v>54</v>
      </c>
      <c r="C56" s="6">
        <f>IF('weather data'!C56&gt;'user input'!$C$3,'user input'!$C$3,'weather data'!C56)</f>
        <v>1.1111111111111112</v>
      </c>
      <c r="D56" s="6">
        <f>IF('weather data'!D56&lt;'user input'!$C$2,'user input'!$C$2,'weather data'!D56)</f>
        <v>10</v>
      </c>
      <c r="E56">
        <f t="shared" si="1"/>
        <v>5.5555555555555554</v>
      </c>
      <c r="F56">
        <f>IF((E56-'user input'!$C$2)&lt;0,0,E56-'user input'!$C$2)</f>
        <v>0</v>
      </c>
      <c r="G56">
        <f>IF(B56&lt;'user input'!$C$5,0,(F56+G55))</f>
        <v>0</v>
      </c>
      <c r="H56">
        <f>G56/'user input'!$C$4</f>
        <v>0</v>
      </c>
    </row>
    <row r="57" spans="1:8" x14ac:dyDescent="0.2">
      <c r="A57" s="1">
        <v>40233</v>
      </c>
      <c r="B57">
        <v>55</v>
      </c>
      <c r="C57" s="6">
        <f>IF('weather data'!C57&gt;'user input'!$C$3,'user input'!$C$3,'weather data'!C57)</f>
        <v>0</v>
      </c>
      <c r="D57" s="6">
        <f>IF('weather data'!D57&lt;'user input'!$C$2,'user input'!$C$2,'weather data'!D57)</f>
        <v>10</v>
      </c>
      <c r="E57">
        <f t="shared" si="1"/>
        <v>5</v>
      </c>
      <c r="F57">
        <f>IF((E57-'user input'!$C$2)&lt;0,0,E57-'user input'!$C$2)</f>
        <v>0</v>
      </c>
      <c r="G57">
        <f>IF(B57&lt;'user input'!$C$5,0,(F57+G56))</f>
        <v>0</v>
      </c>
      <c r="H57">
        <f>G57/'user input'!$C$4</f>
        <v>0</v>
      </c>
    </row>
    <row r="58" spans="1:8" x14ac:dyDescent="0.2">
      <c r="A58" s="1">
        <v>40234</v>
      </c>
      <c r="B58">
        <v>56</v>
      </c>
      <c r="C58" s="6">
        <f>IF('weather data'!C58&gt;'user input'!$C$3,'user input'!$C$3,'weather data'!C58)</f>
        <v>-3.8888888888888888</v>
      </c>
      <c r="D58" s="6">
        <f>IF('weather data'!D58&lt;'user input'!$C$2,'user input'!$C$2,'weather data'!D58)</f>
        <v>10</v>
      </c>
      <c r="E58">
        <f t="shared" si="1"/>
        <v>3.0555555555555554</v>
      </c>
      <c r="F58">
        <f>IF((E58-'user input'!$C$2)&lt;0,0,E58-'user input'!$C$2)</f>
        <v>0</v>
      </c>
      <c r="G58">
        <f>IF(B58&lt;'user input'!$C$5,0,(F58+G57))</f>
        <v>0</v>
      </c>
      <c r="H58">
        <f>G58/'user input'!$C$4</f>
        <v>0</v>
      </c>
    </row>
    <row r="59" spans="1:8" x14ac:dyDescent="0.2">
      <c r="A59" s="1">
        <v>40235</v>
      </c>
      <c r="B59">
        <v>57</v>
      </c>
      <c r="C59" s="6">
        <f>IF('weather data'!C59&gt;'user input'!$C$3,'user input'!$C$3,'weather data'!C59)</f>
        <v>-2.7777777777777777</v>
      </c>
      <c r="D59" s="6">
        <f>IF('weather data'!D59&lt;'user input'!$C$2,'user input'!$C$2,'weather data'!D59)</f>
        <v>10</v>
      </c>
      <c r="E59">
        <f t="shared" si="1"/>
        <v>3.6111111111111112</v>
      </c>
      <c r="F59">
        <f>IF((E59-'user input'!$C$2)&lt;0,0,E59-'user input'!$C$2)</f>
        <v>0</v>
      </c>
      <c r="G59">
        <f>IF(B59&lt;'user input'!$C$5,0,(F59+G58))</f>
        <v>0</v>
      </c>
      <c r="H59">
        <f>G59/'user input'!$C$4</f>
        <v>0</v>
      </c>
    </row>
    <row r="60" spans="1:8" x14ac:dyDescent="0.2">
      <c r="A60" s="1">
        <v>40236</v>
      </c>
      <c r="B60">
        <v>58</v>
      </c>
      <c r="C60" s="6">
        <f>IF('weather data'!C60&gt;'user input'!$C$3,'user input'!$C$3,'weather data'!C60)</f>
        <v>0.55555555555555558</v>
      </c>
      <c r="D60" s="6">
        <f>IF('weather data'!D60&lt;'user input'!$C$2,'user input'!$C$2,'weather data'!D60)</f>
        <v>10</v>
      </c>
      <c r="E60">
        <f t="shared" si="1"/>
        <v>5.2777777777777777</v>
      </c>
      <c r="F60">
        <f>IF((E60-'user input'!$C$2)&lt;0,0,E60-'user input'!$C$2)</f>
        <v>0</v>
      </c>
      <c r="G60">
        <f>IF(B60&lt;'user input'!$C$5,0,(F60+G59))</f>
        <v>0</v>
      </c>
      <c r="H60">
        <f>G60/'user input'!$C$4</f>
        <v>0</v>
      </c>
    </row>
    <row r="61" spans="1:8" x14ac:dyDescent="0.2">
      <c r="A61" s="1">
        <v>40237</v>
      </c>
      <c r="B61">
        <v>59</v>
      </c>
      <c r="C61" s="6">
        <f>IF('weather data'!C61&gt;'user input'!$C$3,'user input'!$C$3,'weather data'!C61)</f>
        <v>3.333333333333333</v>
      </c>
      <c r="D61" s="6">
        <f>IF('weather data'!D61&lt;'user input'!$C$2,'user input'!$C$2,'weather data'!D61)</f>
        <v>10</v>
      </c>
      <c r="E61">
        <f t="shared" si="1"/>
        <v>6.6666666666666661</v>
      </c>
      <c r="F61">
        <f>IF((E61-'user input'!$C$2)&lt;0,0,E61-'user input'!$C$2)</f>
        <v>0</v>
      </c>
      <c r="G61">
        <f>IF(B61&lt;'user input'!$C$5,0,(F61+G60))</f>
        <v>0</v>
      </c>
      <c r="H61">
        <f>G61/'user input'!$C$4</f>
        <v>0</v>
      </c>
    </row>
    <row r="62" spans="1:8" x14ac:dyDescent="0.2">
      <c r="A62" s="1">
        <v>40238</v>
      </c>
      <c r="B62">
        <v>60</v>
      </c>
      <c r="C62" s="6">
        <f>IF('weather data'!C62&gt;'user input'!$C$3,'user input'!$C$3,'weather data'!C62)</f>
        <v>2.2222222222222223</v>
      </c>
      <c r="D62" s="6">
        <f>IF('weather data'!D62&lt;'user input'!$C$2,'user input'!$C$2,'weather data'!D62)</f>
        <v>10</v>
      </c>
      <c r="E62">
        <f t="shared" si="1"/>
        <v>6.1111111111111107</v>
      </c>
      <c r="F62">
        <f>IF((E62-'user input'!$C$2)&lt;0,0,E62-'user input'!$C$2)</f>
        <v>0</v>
      </c>
      <c r="G62">
        <f>IF(B62&lt;'user input'!$C$5,0,(F62+G61))</f>
        <v>0</v>
      </c>
      <c r="H62">
        <f>G62/'user input'!$C$4</f>
        <v>0</v>
      </c>
    </row>
    <row r="63" spans="1:8" x14ac:dyDescent="0.2">
      <c r="A63" s="1">
        <v>40239</v>
      </c>
      <c r="B63">
        <v>61</v>
      </c>
      <c r="C63" s="6">
        <f>IF('weather data'!C63&gt;'user input'!$C$3,'user input'!$C$3,'weather data'!C63)</f>
        <v>3.333333333333333</v>
      </c>
      <c r="D63" s="6">
        <f>IF('weather data'!D63&lt;'user input'!$C$2,'user input'!$C$2,'weather data'!D63)</f>
        <v>10</v>
      </c>
      <c r="E63">
        <f t="shared" si="1"/>
        <v>6.6666666666666661</v>
      </c>
      <c r="F63">
        <f>IF((E63-'user input'!$C$2)&lt;0,0,E63-'user input'!$C$2)</f>
        <v>0</v>
      </c>
      <c r="G63">
        <f>IF(B63&lt;'user input'!$C$5,0,(F63+G62))</f>
        <v>0</v>
      </c>
      <c r="H63">
        <f>G63/'user input'!$C$4</f>
        <v>0</v>
      </c>
    </row>
    <row r="64" spans="1:8" x14ac:dyDescent="0.2">
      <c r="A64" s="1">
        <v>40240</v>
      </c>
      <c r="B64">
        <v>62</v>
      </c>
      <c r="C64" s="6">
        <f>IF('weather data'!C64&gt;'user input'!$C$3,'user input'!$C$3,'weather data'!C64)</f>
        <v>1.6666666666666665</v>
      </c>
      <c r="D64" s="6">
        <f>IF('weather data'!D64&lt;'user input'!$C$2,'user input'!$C$2,'weather data'!D64)</f>
        <v>10</v>
      </c>
      <c r="E64">
        <f t="shared" si="1"/>
        <v>5.833333333333333</v>
      </c>
      <c r="F64">
        <f>IF((E64-'user input'!$C$2)&lt;0,0,E64-'user input'!$C$2)</f>
        <v>0</v>
      </c>
      <c r="G64">
        <f>IF(B64&lt;'user input'!$C$5,0,(F64+G63))</f>
        <v>0</v>
      </c>
      <c r="H64">
        <f>G64/'user input'!$C$4</f>
        <v>0</v>
      </c>
    </row>
    <row r="65" spans="1:8" x14ac:dyDescent="0.2">
      <c r="A65" s="1">
        <v>40241</v>
      </c>
      <c r="B65">
        <v>63</v>
      </c>
      <c r="C65" s="6">
        <f>IF('weather data'!C65&gt;'user input'!$C$3,'user input'!$C$3,'weather data'!C65)</f>
        <v>4.4444444444444446</v>
      </c>
      <c r="D65" s="6">
        <f>IF('weather data'!D65&lt;'user input'!$C$2,'user input'!$C$2,'weather data'!D65)</f>
        <v>10</v>
      </c>
      <c r="E65">
        <f t="shared" si="1"/>
        <v>7.2222222222222223</v>
      </c>
      <c r="F65">
        <f>IF((E65-'user input'!$C$2)&lt;0,0,E65-'user input'!$C$2)</f>
        <v>0</v>
      </c>
      <c r="G65">
        <f>IF(B65&lt;'user input'!$C$5,0,(F65+G64))</f>
        <v>0</v>
      </c>
      <c r="H65">
        <f>G65/'user input'!$C$4</f>
        <v>0</v>
      </c>
    </row>
    <row r="66" spans="1:8" x14ac:dyDescent="0.2">
      <c r="A66" s="1">
        <v>40242</v>
      </c>
      <c r="B66">
        <v>64</v>
      </c>
      <c r="C66" s="6">
        <f>IF('weather data'!C66&gt;'user input'!$C$3,'user input'!$C$3,'weather data'!C66)</f>
        <v>5.5555555555555554</v>
      </c>
      <c r="D66" s="6">
        <f>IF('weather data'!D66&lt;'user input'!$C$2,'user input'!$C$2,'weather data'!D66)</f>
        <v>10</v>
      </c>
      <c r="E66">
        <f t="shared" si="1"/>
        <v>7.7777777777777777</v>
      </c>
      <c r="F66">
        <f>IF((E66-'user input'!$C$2)&lt;0,0,E66-'user input'!$C$2)</f>
        <v>0</v>
      </c>
      <c r="G66">
        <f>IF(B66&lt;'user input'!$C$5,0,(F66+G65))</f>
        <v>0</v>
      </c>
      <c r="H66">
        <f>G66/'user input'!$C$4</f>
        <v>0</v>
      </c>
    </row>
    <row r="67" spans="1:8" x14ac:dyDescent="0.2">
      <c r="A67" s="1">
        <v>40243</v>
      </c>
      <c r="B67">
        <v>65</v>
      </c>
      <c r="C67" s="6">
        <f>IF('weather data'!C67&gt;'user input'!$C$3,'user input'!$C$3,'weather data'!C67)</f>
        <v>4.4444444444444446</v>
      </c>
      <c r="D67" s="6">
        <f>IF('weather data'!D67&lt;'user input'!$C$2,'user input'!$C$2,'weather data'!D67)</f>
        <v>10</v>
      </c>
      <c r="E67">
        <f t="shared" si="1"/>
        <v>7.2222222222222223</v>
      </c>
      <c r="F67">
        <f>IF((E67-'user input'!$C$2)&lt;0,0,E67-'user input'!$C$2)</f>
        <v>0</v>
      </c>
      <c r="G67">
        <f>IF(B67&lt;'user input'!$C$5,0,(F67+G66))</f>
        <v>0</v>
      </c>
      <c r="H67">
        <f>G67/'user input'!$C$4</f>
        <v>0</v>
      </c>
    </row>
    <row r="68" spans="1:8" x14ac:dyDescent="0.2">
      <c r="A68" s="1">
        <v>40244</v>
      </c>
      <c r="B68">
        <v>66</v>
      </c>
      <c r="C68" s="6">
        <f>IF('weather data'!C68&gt;'user input'!$C$3,'user input'!$C$3,'weather data'!C68)</f>
        <v>6.6666666666666661</v>
      </c>
      <c r="D68" s="6">
        <f>IF('weather data'!D68&lt;'user input'!$C$2,'user input'!$C$2,'weather data'!D68)</f>
        <v>10</v>
      </c>
      <c r="E68">
        <f t="shared" si="1"/>
        <v>8.3333333333333321</v>
      </c>
      <c r="F68">
        <f>IF((E68-'user input'!$C$2)&lt;0,0,E68-'user input'!$C$2)</f>
        <v>0</v>
      </c>
      <c r="G68">
        <f>IF(B68&lt;'user input'!$C$5,0,(F68+G67))</f>
        <v>0</v>
      </c>
      <c r="H68">
        <f>G68/'user input'!$C$4</f>
        <v>0</v>
      </c>
    </row>
    <row r="69" spans="1:8" x14ac:dyDescent="0.2">
      <c r="A69" s="1">
        <v>40245</v>
      </c>
      <c r="B69">
        <v>67</v>
      </c>
      <c r="C69" s="6">
        <f>IF('weather data'!C69&gt;'user input'!$C$3,'user input'!$C$3,'weather data'!C69)</f>
        <v>7.7777777777777777</v>
      </c>
      <c r="D69" s="6">
        <f>IF('weather data'!D69&lt;'user input'!$C$2,'user input'!$C$2,'weather data'!D69)</f>
        <v>10</v>
      </c>
      <c r="E69">
        <f t="shared" si="1"/>
        <v>8.8888888888888893</v>
      </c>
      <c r="F69">
        <f>IF((E69-'user input'!$C$2)&lt;0,0,E69-'user input'!$C$2)</f>
        <v>0</v>
      </c>
      <c r="G69">
        <f>IF(B69&lt;'user input'!$C$5,0,(F69+G68))</f>
        <v>0</v>
      </c>
      <c r="H69">
        <f>G69/'user input'!$C$4</f>
        <v>0</v>
      </c>
    </row>
    <row r="70" spans="1:8" x14ac:dyDescent="0.2">
      <c r="A70" s="1">
        <v>40246</v>
      </c>
      <c r="B70">
        <v>68</v>
      </c>
      <c r="C70" s="6">
        <f>IF('weather data'!C70&gt;'user input'!$C$3,'user input'!$C$3,'weather data'!C70)</f>
        <v>6.6666666666666661</v>
      </c>
      <c r="D70" s="6">
        <f>IF('weather data'!D70&lt;'user input'!$C$2,'user input'!$C$2,'weather data'!D70)</f>
        <v>10</v>
      </c>
      <c r="E70">
        <f t="shared" si="1"/>
        <v>8.3333333333333321</v>
      </c>
      <c r="F70">
        <f>IF((E70-'user input'!$C$2)&lt;0,0,E70-'user input'!$C$2)</f>
        <v>0</v>
      </c>
      <c r="G70">
        <f>IF(B70&lt;'user input'!$C$5,0,(F70+G69))</f>
        <v>0</v>
      </c>
      <c r="H70">
        <f>G70/'user input'!$C$4</f>
        <v>0</v>
      </c>
    </row>
    <row r="71" spans="1:8" x14ac:dyDescent="0.2">
      <c r="A71" s="1">
        <v>40247</v>
      </c>
      <c r="B71">
        <v>69</v>
      </c>
      <c r="C71" s="6">
        <f>IF('weather data'!C71&gt;'user input'!$C$3,'user input'!$C$3,'weather data'!C71)</f>
        <v>5.5555555555555554</v>
      </c>
      <c r="D71" s="6">
        <f>IF('weather data'!D71&lt;'user input'!$C$2,'user input'!$C$2,'weather data'!D71)</f>
        <v>10</v>
      </c>
      <c r="E71">
        <f t="shared" si="1"/>
        <v>7.7777777777777777</v>
      </c>
      <c r="F71">
        <f>IF((E71-'user input'!$C$2)&lt;0,0,E71-'user input'!$C$2)</f>
        <v>0</v>
      </c>
      <c r="G71">
        <f>IF(B71&lt;'user input'!$C$5,0,(F71+G70))</f>
        <v>0</v>
      </c>
      <c r="H71">
        <f>G71/'user input'!$C$4</f>
        <v>0</v>
      </c>
    </row>
    <row r="72" spans="1:8" x14ac:dyDescent="0.2">
      <c r="A72" s="1">
        <v>40248</v>
      </c>
      <c r="B72">
        <v>70</v>
      </c>
      <c r="C72" s="6">
        <f>IF('weather data'!C72&gt;'user input'!$C$3,'user input'!$C$3,'weather data'!C72)</f>
        <v>8.8888888888888893</v>
      </c>
      <c r="D72" s="6">
        <f>IF('weather data'!D72&lt;'user input'!$C$2,'user input'!$C$2,'weather data'!D72)</f>
        <v>10</v>
      </c>
      <c r="E72">
        <f t="shared" si="1"/>
        <v>9.4444444444444446</v>
      </c>
      <c r="F72">
        <f>IF((E72-'user input'!$C$2)&lt;0,0,E72-'user input'!$C$2)</f>
        <v>0</v>
      </c>
      <c r="G72">
        <f>IF(B72&lt;'user input'!$C$5,0,(F72+G71))</f>
        <v>0</v>
      </c>
      <c r="H72">
        <f>G72/'user input'!$C$4</f>
        <v>0</v>
      </c>
    </row>
    <row r="73" spans="1:8" x14ac:dyDescent="0.2">
      <c r="A73" s="1">
        <v>40249</v>
      </c>
      <c r="B73">
        <v>71</v>
      </c>
      <c r="C73" s="6">
        <f>IF('weather data'!C73&gt;'user input'!$C$3,'user input'!$C$3,'weather data'!C73)</f>
        <v>10</v>
      </c>
      <c r="D73" s="6">
        <f>IF('weather data'!D73&lt;'user input'!$C$2,'user input'!$C$2,'weather data'!D73)</f>
        <v>10</v>
      </c>
      <c r="E73">
        <f t="shared" si="1"/>
        <v>10</v>
      </c>
      <c r="F73">
        <f>IF((E73-'user input'!$C$2)&lt;0,0,E73-'user input'!$C$2)</f>
        <v>0</v>
      </c>
      <c r="G73">
        <f>IF(B73&lt;'user input'!$C$5,0,(F73+G72))</f>
        <v>0</v>
      </c>
      <c r="H73">
        <f>G73/'user input'!$C$4</f>
        <v>0</v>
      </c>
    </row>
    <row r="74" spans="1:8" x14ac:dyDescent="0.2">
      <c r="A74" s="1">
        <v>40250</v>
      </c>
      <c r="B74">
        <v>72</v>
      </c>
      <c r="C74" s="6">
        <f>IF('weather data'!C74&gt;'user input'!$C$3,'user input'!$C$3,'weather data'!C74)</f>
        <v>9.4444444444444446</v>
      </c>
      <c r="D74" s="6">
        <f>IF('weather data'!D74&lt;'user input'!$C$2,'user input'!$C$2,'weather data'!D74)</f>
        <v>10</v>
      </c>
      <c r="E74">
        <f t="shared" si="1"/>
        <v>9.7222222222222214</v>
      </c>
      <c r="F74">
        <f>IF((E74-'user input'!$C$2)&lt;0,0,E74-'user input'!$C$2)</f>
        <v>0</v>
      </c>
      <c r="G74">
        <f>IF(B74&lt;'user input'!$C$5,0,(F74+G73))</f>
        <v>0</v>
      </c>
      <c r="H74">
        <f>G74/'user input'!$C$4</f>
        <v>0</v>
      </c>
    </row>
    <row r="75" spans="1:8" x14ac:dyDescent="0.2">
      <c r="A75" s="1">
        <v>40251</v>
      </c>
      <c r="B75">
        <v>73</v>
      </c>
      <c r="C75" s="6">
        <f>IF('weather data'!C75&gt;'user input'!$C$3,'user input'!$C$3,'weather data'!C75)</f>
        <v>6.6666666666666661</v>
      </c>
      <c r="D75" s="6">
        <f>IF('weather data'!D75&lt;'user input'!$C$2,'user input'!$C$2,'weather data'!D75)</f>
        <v>10</v>
      </c>
      <c r="E75">
        <f t="shared" si="1"/>
        <v>8.3333333333333321</v>
      </c>
      <c r="F75">
        <f>IF((E75-'user input'!$C$2)&lt;0,0,E75-'user input'!$C$2)</f>
        <v>0</v>
      </c>
      <c r="G75">
        <f>IF(B75&lt;'user input'!$C$5,0,(F75+G74))</f>
        <v>0</v>
      </c>
      <c r="H75">
        <f>G75/'user input'!$C$4</f>
        <v>0</v>
      </c>
    </row>
    <row r="76" spans="1:8" x14ac:dyDescent="0.2">
      <c r="A76" s="1">
        <v>40252</v>
      </c>
      <c r="B76">
        <v>74</v>
      </c>
      <c r="C76" s="6">
        <f>IF('weather data'!C76&gt;'user input'!$C$3,'user input'!$C$3,'weather data'!C76)</f>
        <v>15.555555555555555</v>
      </c>
      <c r="D76" s="6">
        <f>IF('weather data'!D76&lt;'user input'!$C$2,'user input'!$C$2,'weather data'!D76)</f>
        <v>10</v>
      </c>
      <c r="E76">
        <f t="shared" si="1"/>
        <v>12.777777777777779</v>
      </c>
      <c r="F76">
        <f>IF((E76-'user input'!$C$2)&lt;0,0,E76-'user input'!$C$2)</f>
        <v>2.7777777777777786</v>
      </c>
      <c r="G76">
        <f>IF(B76&lt;'user input'!$C$5,0,(F76+G75))</f>
        <v>0</v>
      </c>
      <c r="H76">
        <f>G76/'user input'!$C$4</f>
        <v>0</v>
      </c>
    </row>
    <row r="77" spans="1:8" x14ac:dyDescent="0.2">
      <c r="A77" s="1">
        <v>40253</v>
      </c>
      <c r="B77">
        <v>75</v>
      </c>
      <c r="C77" s="6">
        <f>IF('weather data'!C77&gt;'user input'!$C$3,'user input'!$C$3,'weather data'!C77)</f>
        <v>16.111111111111111</v>
      </c>
      <c r="D77" s="6">
        <f>IF('weather data'!D77&lt;'user input'!$C$2,'user input'!$C$2,'weather data'!D77)</f>
        <v>10</v>
      </c>
      <c r="E77">
        <f t="shared" si="1"/>
        <v>13.055555555555555</v>
      </c>
      <c r="F77">
        <f>IF((E77-'user input'!$C$2)&lt;0,0,E77-'user input'!$C$2)</f>
        <v>3.0555555555555554</v>
      </c>
      <c r="G77">
        <f>IF(B77&lt;'user input'!$C$5,0,(F77+G76))</f>
        <v>0</v>
      </c>
      <c r="H77">
        <f>G77/'user input'!$C$4</f>
        <v>0</v>
      </c>
    </row>
    <row r="78" spans="1:8" x14ac:dyDescent="0.2">
      <c r="A78" s="1">
        <v>40254</v>
      </c>
      <c r="B78">
        <v>76</v>
      </c>
      <c r="C78" s="6">
        <f>IF('weather data'!C78&gt;'user input'!$C$3,'user input'!$C$3,'weather data'!C78)</f>
        <v>17.222222222222221</v>
      </c>
      <c r="D78" s="6">
        <f>IF('weather data'!D78&lt;'user input'!$C$2,'user input'!$C$2,'weather data'!D78)</f>
        <v>10</v>
      </c>
      <c r="E78">
        <f t="shared" si="1"/>
        <v>13.611111111111111</v>
      </c>
      <c r="F78">
        <f>IF((E78-'user input'!$C$2)&lt;0,0,E78-'user input'!$C$2)</f>
        <v>3.6111111111111107</v>
      </c>
      <c r="G78">
        <f>IF(B78&lt;'user input'!$C$5,0,(F78+G77))</f>
        <v>0</v>
      </c>
      <c r="H78">
        <f>G78/'user input'!$C$4</f>
        <v>0</v>
      </c>
    </row>
    <row r="79" spans="1:8" x14ac:dyDescent="0.2">
      <c r="A79" s="1">
        <v>40255</v>
      </c>
      <c r="B79">
        <v>77</v>
      </c>
      <c r="C79" s="6">
        <f>IF('weather data'!C79&gt;'user input'!$C$3,'user input'!$C$3,'weather data'!C79)</f>
        <v>18.888888888888889</v>
      </c>
      <c r="D79" s="6">
        <f>IF('weather data'!D79&lt;'user input'!$C$2,'user input'!$C$2,'weather data'!D79)</f>
        <v>10</v>
      </c>
      <c r="E79">
        <f t="shared" si="1"/>
        <v>14.444444444444445</v>
      </c>
      <c r="F79">
        <f>IF((E79-'user input'!$C$2)&lt;0,0,E79-'user input'!$C$2)</f>
        <v>4.4444444444444446</v>
      </c>
      <c r="G79">
        <f>IF(B79&lt;'user input'!$C$5,0,(F79+G78))</f>
        <v>0</v>
      </c>
      <c r="H79">
        <f>G79/'user input'!$C$4</f>
        <v>0</v>
      </c>
    </row>
    <row r="80" spans="1:8" x14ac:dyDescent="0.2">
      <c r="A80" s="1">
        <v>40256</v>
      </c>
      <c r="B80">
        <v>78</v>
      </c>
      <c r="C80" s="6">
        <f>IF('weather data'!C80&gt;'user input'!$C$3,'user input'!$C$3,'weather data'!C80)</f>
        <v>18.333333333333332</v>
      </c>
      <c r="D80" s="6">
        <f>IF('weather data'!D80&lt;'user input'!$C$2,'user input'!$C$2,'weather data'!D80)</f>
        <v>10</v>
      </c>
      <c r="E80">
        <f t="shared" si="1"/>
        <v>14.166666666666666</v>
      </c>
      <c r="F80">
        <f>IF((E80-'user input'!$C$2)&lt;0,0,E80-'user input'!$C$2)</f>
        <v>4.1666666666666661</v>
      </c>
      <c r="G80">
        <f>IF(B80&lt;'user input'!$C$5,0,(F80+G79))</f>
        <v>0</v>
      </c>
      <c r="H80">
        <f>G80/'user input'!$C$4</f>
        <v>0</v>
      </c>
    </row>
    <row r="81" spans="1:8" x14ac:dyDescent="0.2">
      <c r="A81" s="1">
        <v>40257</v>
      </c>
      <c r="B81">
        <v>79</v>
      </c>
      <c r="C81" s="6">
        <f>IF('weather data'!C81&gt;'user input'!$C$3,'user input'!$C$3,'weather data'!C81)</f>
        <v>11.666666666666668</v>
      </c>
      <c r="D81" s="6">
        <f>IF('weather data'!D81&lt;'user input'!$C$2,'user input'!$C$2,'weather data'!D81)</f>
        <v>10</v>
      </c>
      <c r="E81">
        <f t="shared" si="1"/>
        <v>10.833333333333334</v>
      </c>
      <c r="F81">
        <f>IF((E81-'user input'!$C$2)&lt;0,0,E81-'user input'!$C$2)</f>
        <v>0.83333333333333393</v>
      </c>
      <c r="G81">
        <f>IF(B81&lt;'user input'!$C$5,0,(F81+G80))</f>
        <v>0</v>
      </c>
      <c r="H81">
        <f>G81/'user input'!$C$4</f>
        <v>0</v>
      </c>
    </row>
    <row r="82" spans="1:8" x14ac:dyDescent="0.2">
      <c r="A82" s="1">
        <v>40258</v>
      </c>
      <c r="B82">
        <v>80</v>
      </c>
      <c r="C82" s="6">
        <f>IF('weather data'!C82&gt;'user input'!$C$3,'user input'!$C$3,'weather data'!C82)</f>
        <v>5.5555555555555554</v>
      </c>
      <c r="D82" s="6">
        <f>IF('weather data'!D82&lt;'user input'!$C$2,'user input'!$C$2,'weather data'!D82)</f>
        <v>10</v>
      </c>
      <c r="E82">
        <f t="shared" ref="E82:E145" si="2">(C82+D82)/2</f>
        <v>7.7777777777777777</v>
      </c>
      <c r="F82">
        <f>IF((E82-'user input'!$C$2)&lt;0,0,E82-'user input'!$C$2)</f>
        <v>0</v>
      </c>
      <c r="G82">
        <f>IF(B82&lt;'user input'!$C$5,0,(F82+G81))</f>
        <v>0</v>
      </c>
      <c r="H82">
        <f>G82/'user input'!$C$4</f>
        <v>0</v>
      </c>
    </row>
    <row r="83" spans="1:8" x14ac:dyDescent="0.2">
      <c r="A83" s="1">
        <v>40259</v>
      </c>
      <c r="B83">
        <v>81</v>
      </c>
      <c r="C83" s="6">
        <f>IF('weather data'!C83&gt;'user input'!$C$3,'user input'!$C$3,'weather data'!C83)</f>
        <v>10.555555555555555</v>
      </c>
      <c r="D83" s="6">
        <f>IF('weather data'!D83&lt;'user input'!$C$2,'user input'!$C$2,'weather data'!D83)</f>
        <v>10</v>
      </c>
      <c r="E83">
        <f t="shared" si="2"/>
        <v>10.277777777777779</v>
      </c>
      <c r="F83">
        <f>IF((E83-'user input'!$C$2)&lt;0,0,E83-'user input'!$C$2)</f>
        <v>0.27777777777777857</v>
      </c>
      <c r="G83">
        <f>IF(B83&lt;'user input'!$C$5,0,(F83+G82))</f>
        <v>0</v>
      </c>
      <c r="H83">
        <f>G83/'user input'!$C$4</f>
        <v>0</v>
      </c>
    </row>
    <row r="84" spans="1:8" x14ac:dyDescent="0.2">
      <c r="A84" s="1">
        <v>40260</v>
      </c>
      <c r="B84">
        <v>82</v>
      </c>
      <c r="C84" s="6">
        <f>IF('weather data'!C84&gt;'user input'!$C$3,'user input'!$C$3,'weather data'!C84)</f>
        <v>12.777777777777777</v>
      </c>
      <c r="D84" s="6">
        <f>IF('weather data'!D84&lt;'user input'!$C$2,'user input'!$C$2,'weather data'!D84)</f>
        <v>10</v>
      </c>
      <c r="E84">
        <f t="shared" si="2"/>
        <v>11.388888888888889</v>
      </c>
      <c r="F84">
        <f>IF((E84-'user input'!$C$2)&lt;0,0,E84-'user input'!$C$2)</f>
        <v>1.3888888888888893</v>
      </c>
      <c r="G84">
        <f>IF(B84&lt;'user input'!$C$5,0,(F84+G83))</f>
        <v>0</v>
      </c>
      <c r="H84">
        <f>G84/'user input'!$C$4</f>
        <v>0</v>
      </c>
    </row>
    <row r="85" spans="1:8" x14ac:dyDescent="0.2">
      <c r="A85" s="1">
        <v>40261</v>
      </c>
      <c r="B85">
        <v>83</v>
      </c>
      <c r="C85" s="6">
        <f>IF('weather data'!C85&gt;'user input'!$C$3,'user input'!$C$3,'weather data'!C85)</f>
        <v>15.555555555555555</v>
      </c>
      <c r="D85" s="6">
        <f>IF('weather data'!D85&lt;'user input'!$C$2,'user input'!$C$2,'weather data'!D85)</f>
        <v>10</v>
      </c>
      <c r="E85">
        <f t="shared" si="2"/>
        <v>12.777777777777779</v>
      </c>
      <c r="F85">
        <f>IF((E85-'user input'!$C$2)&lt;0,0,E85-'user input'!$C$2)</f>
        <v>2.7777777777777786</v>
      </c>
      <c r="G85">
        <f>IF(B85&lt;'user input'!$C$5,0,(F85+G84))</f>
        <v>0</v>
      </c>
      <c r="H85">
        <f>G85/'user input'!$C$4</f>
        <v>0</v>
      </c>
    </row>
    <row r="86" spans="1:8" x14ac:dyDescent="0.2">
      <c r="A86" s="1">
        <v>40262</v>
      </c>
      <c r="B86">
        <v>84</v>
      </c>
      <c r="C86" s="6">
        <f>IF('weather data'!C86&gt;'user input'!$C$3,'user input'!$C$3,'weather data'!C86)</f>
        <v>13.333333333333332</v>
      </c>
      <c r="D86" s="6">
        <f>IF('weather data'!D86&lt;'user input'!$C$2,'user input'!$C$2,'weather data'!D86)</f>
        <v>10</v>
      </c>
      <c r="E86">
        <f t="shared" si="2"/>
        <v>11.666666666666666</v>
      </c>
      <c r="F86">
        <f>IF((E86-'user input'!$C$2)&lt;0,0,E86-'user input'!$C$2)</f>
        <v>1.6666666666666661</v>
      </c>
      <c r="G86">
        <f>IF(B86&lt;'user input'!$C$5,0,(F86+G85))</f>
        <v>0</v>
      </c>
      <c r="H86">
        <f>G86/'user input'!$C$4</f>
        <v>0</v>
      </c>
    </row>
    <row r="87" spans="1:8" x14ac:dyDescent="0.2">
      <c r="A87" s="1">
        <v>40263</v>
      </c>
      <c r="B87">
        <v>85</v>
      </c>
      <c r="C87" s="6">
        <f>IF('weather data'!C87&gt;'user input'!$C$3,'user input'!$C$3,'weather data'!C87)</f>
        <v>6.6666666666666661</v>
      </c>
      <c r="D87" s="6">
        <f>IF('weather data'!D87&lt;'user input'!$C$2,'user input'!$C$2,'weather data'!D87)</f>
        <v>10</v>
      </c>
      <c r="E87">
        <f t="shared" si="2"/>
        <v>8.3333333333333321</v>
      </c>
      <c r="F87">
        <f>IF((E87-'user input'!$C$2)&lt;0,0,E87-'user input'!$C$2)</f>
        <v>0</v>
      </c>
      <c r="G87">
        <f>IF(B87&lt;'user input'!$C$5,0,(F87+G86))</f>
        <v>0</v>
      </c>
      <c r="H87">
        <f>G87/'user input'!$C$4</f>
        <v>0</v>
      </c>
    </row>
    <row r="88" spans="1:8" x14ac:dyDescent="0.2">
      <c r="A88" s="1">
        <v>40264</v>
      </c>
      <c r="B88">
        <v>86</v>
      </c>
      <c r="C88" s="6">
        <f>IF('weather data'!C88&gt;'user input'!$C$3,'user input'!$C$3,'weather data'!C88)</f>
        <v>7.2222222222222223</v>
      </c>
      <c r="D88" s="6">
        <f>IF('weather data'!D88&lt;'user input'!$C$2,'user input'!$C$2,'weather data'!D88)</f>
        <v>10</v>
      </c>
      <c r="E88">
        <f t="shared" si="2"/>
        <v>8.6111111111111107</v>
      </c>
      <c r="F88">
        <f>IF((E88-'user input'!$C$2)&lt;0,0,E88-'user input'!$C$2)</f>
        <v>0</v>
      </c>
      <c r="G88">
        <f>IF(B88&lt;'user input'!$C$5,0,(F88+G87))</f>
        <v>0</v>
      </c>
      <c r="H88">
        <f>G88/'user input'!$C$4</f>
        <v>0</v>
      </c>
    </row>
    <row r="89" spans="1:8" x14ac:dyDescent="0.2">
      <c r="A89" s="1">
        <v>40265</v>
      </c>
      <c r="B89">
        <v>87</v>
      </c>
      <c r="C89" s="6">
        <f>IF('weather data'!C89&gt;'user input'!$C$3,'user input'!$C$3,'weather data'!C89)</f>
        <v>9.4444444444444446</v>
      </c>
      <c r="D89" s="6">
        <f>IF('weather data'!D89&lt;'user input'!$C$2,'user input'!$C$2,'weather data'!D89)</f>
        <v>10</v>
      </c>
      <c r="E89">
        <f t="shared" si="2"/>
        <v>9.7222222222222214</v>
      </c>
      <c r="F89">
        <f>IF((E89-'user input'!$C$2)&lt;0,0,E89-'user input'!$C$2)</f>
        <v>0</v>
      </c>
      <c r="G89">
        <f>IF(B89&lt;'user input'!$C$5,0,(F89+G88))</f>
        <v>0</v>
      </c>
      <c r="H89">
        <f>G89/'user input'!$C$4</f>
        <v>0</v>
      </c>
    </row>
    <row r="90" spans="1:8" x14ac:dyDescent="0.2">
      <c r="A90" s="1">
        <v>40266</v>
      </c>
      <c r="B90">
        <v>88</v>
      </c>
      <c r="C90" s="6">
        <f>IF('weather data'!C90&gt;'user input'!$C$3,'user input'!$C$3,'weather data'!C90)</f>
        <v>11.111111111111111</v>
      </c>
      <c r="D90" s="6">
        <f>IF('weather data'!D90&lt;'user input'!$C$2,'user input'!$C$2,'weather data'!D90)</f>
        <v>10</v>
      </c>
      <c r="E90">
        <f t="shared" si="2"/>
        <v>10.555555555555555</v>
      </c>
      <c r="F90">
        <f>IF((E90-'user input'!$C$2)&lt;0,0,E90-'user input'!$C$2)</f>
        <v>0.55555555555555536</v>
      </c>
      <c r="G90">
        <f>IF(B90&lt;'user input'!$C$5,0,(F90+G89))</f>
        <v>0</v>
      </c>
      <c r="H90">
        <f>G90/'user input'!$C$4</f>
        <v>0</v>
      </c>
    </row>
    <row r="91" spans="1:8" x14ac:dyDescent="0.2">
      <c r="A91" s="1">
        <v>40267</v>
      </c>
      <c r="B91">
        <v>89</v>
      </c>
      <c r="C91" s="6">
        <f>IF('weather data'!C91&gt;'user input'!$C$3,'user input'!$C$3,'weather data'!C91)</f>
        <v>12.222222222222223</v>
      </c>
      <c r="D91" s="6">
        <f>IF('weather data'!D91&lt;'user input'!$C$2,'user input'!$C$2,'weather data'!D91)</f>
        <v>10</v>
      </c>
      <c r="E91">
        <f t="shared" si="2"/>
        <v>11.111111111111111</v>
      </c>
      <c r="F91">
        <f>IF((E91-'user input'!$C$2)&lt;0,0,E91-'user input'!$C$2)</f>
        <v>1.1111111111111107</v>
      </c>
      <c r="G91">
        <f>IF(B91&lt;'user input'!$C$5,0,(F91+G90))</f>
        <v>0</v>
      </c>
      <c r="H91">
        <f>G91/'user input'!$C$4</f>
        <v>0</v>
      </c>
    </row>
    <row r="92" spans="1:8" x14ac:dyDescent="0.2">
      <c r="A92" s="1">
        <v>40268</v>
      </c>
      <c r="B92">
        <v>90</v>
      </c>
      <c r="C92" s="6">
        <f>IF('weather data'!C92&gt;'user input'!$C$3,'user input'!$C$3,'weather data'!C92)</f>
        <v>20</v>
      </c>
      <c r="D92" s="6">
        <f>IF('weather data'!D92&lt;'user input'!$C$2,'user input'!$C$2,'weather data'!D92)</f>
        <v>10</v>
      </c>
      <c r="E92">
        <f t="shared" si="2"/>
        <v>15</v>
      </c>
      <c r="F92">
        <f>IF((E92-'user input'!$C$2)&lt;0,0,E92-'user input'!$C$2)</f>
        <v>5</v>
      </c>
      <c r="G92">
        <f>IF(B92&lt;'user input'!$C$5,0,(F92+G91))</f>
        <v>0</v>
      </c>
      <c r="H92">
        <f>G92/'user input'!$C$4</f>
        <v>0</v>
      </c>
    </row>
    <row r="93" spans="1:8" x14ac:dyDescent="0.2">
      <c r="A93" s="1">
        <v>40269</v>
      </c>
      <c r="B93">
        <v>91</v>
      </c>
      <c r="C93" s="6">
        <f>IF('weather data'!C93&gt;'user input'!$C$3,'user input'!$C$3,'weather data'!C93)</f>
        <v>23.333333333333336</v>
      </c>
      <c r="D93" s="6">
        <f>IF('weather data'!D93&lt;'user input'!$C$2,'user input'!$C$2,'weather data'!D93)</f>
        <v>10</v>
      </c>
      <c r="E93">
        <f t="shared" si="2"/>
        <v>16.666666666666668</v>
      </c>
      <c r="F93">
        <f>IF((E93-'user input'!$C$2)&lt;0,0,E93-'user input'!$C$2)</f>
        <v>6.6666666666666679</v>
      </c>
      <c r="G93">
        <f>IF(B93&lt;'user input'!$C$5,0,(F93+G92))</f>
        <v>0</v>
      </c>
      <c r="H93">
        <f>G93/'user input'!$C$4</f>
        <v>0</v>
      </c>
    </row>
    <row r="94" spans="1:8" x14ac:dyDescent="0.2">
      <c r="A94" s="1">
        <v>40270</v>
      </c>
      <c r="B94">
        <v>92</v>
      </c>
      <c r="C94" s="6">
        <f>IF('weather data'!C94&gt;'user input'!$C$3,'user input'!$C$3,'weather data'!C94)</f>
        <v>27.222222222222221</v>
      </c>
      <c r="D94" s="6">
        <f>IF('weather data'!D94&lt;'user input'!$C$2,'user input'!$C$2,'weather data'!D94)</f>
        <v>10</v>
      </c>
      <c r="E94">
        <f t="shared" si="2"/>
        <v>18.611111111111111</v>
      </c>
      <c r="F94">
        <f>IF((E94-'user input'!$C$2)&lt;0,0,E94-'user input'!$C$2)</f>
        <v>8.6111111111111107</v>
      </c>
      <c r="G94">
        <f>IF(B94&lt;'user input'!$C$5,0,(F94+G93))</f>
        <v>0</v>
      </c>
      <c r="H94">
        <f>G94/'user input'!$C$4</f>
        <v>0</v>
      </c>
    </row>
    <row r="95" spans="1:8" x14ac:dyDescent="0.2">
      <c r="A95" s="1">
        <v>40271</v>
      </c>
      <c r="B95">
        <v>93</v>
      </c>
      <c r="C95" s="6">
        <f>IF('weather data'!C95&gt;'user input'!$C$3,'user input'!$C$3,'weather data'!C95)</f>
        <v>23.333333333333336</v>
      </c>
      <c r="D95" s="6">
        <f>IF('weather data'!D95&lt;'user input'!$C$2,'user input'!$C$2,'weather data'!D95)</f>
        <v>10</v>
      </c>
      <c r="E95">
        <f t="shared" si="2"/>
        <v>16.666666666666668</v>
      </c>
      <c r="F95">
        <f>IF((E95-'user input'!$C$2)&lt;0,0,E95-'user input'!$C$2)</f>
        <v>6.6666666666666679</v>
      </c>
      <c r="G95">
        <f>IF(B95&lt;'user input'!$C$5,0,(F95+G94))</f>
        <v>0</v>
      </c>
      <c r="H95">
        <f>G95/'user input'!$C$4</f>
        <v>0</v>
      </c>
    </row>
    <row r="96" spans="1:8" x14ac:dyDescent="0.2">
      <c r="A96" s="1">
        <v>40272</v>
      </c>
      <c r="B96">
        <v>94</v>
      </c>
      <c r="C96" s="6">
        <f>IF('weather data'!C96&gt;'user input'!$C$3,'user input'!$C$3,'weather data'!C96)</f>
        <v>18.888888888888889</v>
      </c>
      <c r="D96" s="6">
        <f>IF('weather data'!D96&lt;'user input'!$C$2,'user input'!$C$2,'weather data'!D96)</f>
        <v>10</v>
      </c>
      <c r="E96">
        <f t="shared" si="2"/>
        <v>14.444444444444445</v>
      </c>
      <c r="F96">
        <f>IF((E96-'user input'!$C$2)&lt;0,0,E96-'user input'!$C$2)</f>
        <v>4.4444444444444446</v>
      </c>
      <c r="G96">
        <f>IF(B96&lt;'user input'!$C$5,0,(F96+G95))</f>
        <v>0</v>
      </c>
      <c r="H96">
        <f>G96/'user input'!$C$4</f>
        <v>0</v>
      </c>
    </row>
    <row r="97" spans="1:8" x14ac:dyDescent="0.2">
      <c r="A97" s="1">
        <v>40273</v>
      </c>
      <c r="B97">
        <v>95</v>
      </c>
      <c r="C97" s="6">
        <f>IF('weather data'!C97&gt;'user input'!$C$3,'user input'!$C$3,'weather data'!C97)</f>
        <v>18.888888888888889</v>
      </c>
      <c r="D97" s="6">
        <f>IF('weather data'!D97&lt;'user input'!$C$2,'user input'!$C$2,'weather data'!D97)</f>
        <v>10</v>
      </c>
      <c r="E97">
        <f t="shared" si="2"/>
        <v>14.444444444444445</v>
      </c>
      <c r="F97">
        <f>IF((E97-'user input'!$C$2)&lt;0,0,E97-'user input'!$C$2)</f>
        <v>4.4444444444444446</v>
      </c>
      <c r="G97">
        <f>IF(B97&lt;'user input'!$C$5,0,(F97+G96))</f>
        <v>0</v>
      </c>
      <c r="H97">
        <f>G97/'user input'!$C$4</f>
        <v>0</v>
      </c>
    </row>
    <row r="98" spans="1:8" x14ac:dyDescent="0.2">
      <c r="A98" s="1">
        <v>40274</v>
      </c>
      <c r="B98">
        <v>96</v>
      </c>
      <c r="C98" s="6">
        <f>IF('weather data'!C98&gt;'user input'!$C$3,'user input'!$C$3,'weather data'!C98)</f>
        <v>20.555555555555554</v>
      </c>
      <c r="D98" s="6">
        <f>IF('weather data'!D98&lt;'user input'!$C$2,'user input'!$C$2,'weather data'!D98)</f>
        <v>10</v>
      </c>
      <c r="E98">
        <f t="shared" si="2"/>
        <v>15.277777777777777</v>
      </c>
      <c r="F98">
        <f>IF((E98-'user input'!$C$2)&lt;0,0,E98-'user input'!$C$2)</f>
        <v>5.2777777777777768</v>
      </c>
      <c r="G98">
        <f>IF(B98&lt;'user input'!$C$5,0,(F98+G97))</f>
        <v>0</v>
      </c>
      <c r="H98">
        <f>G98/'user input'!$C$4</f>
        <v>0</v>
      </c>
    </row>
    <row r="99" spans="1:8" x14ac:dyDescent="0.2">
      <c r="A99" s="1">
        <v>40275</v>
      </c>
      <c r="B99">
        <v>97</v>
      </c>
      <c r="C99" s="6">
        <f>IF('weather data'!C99&gt;'user input'!$C$3,'user input'!$C$3,'weather data'!C99)</f>
        <v>12.777777777777777</v>
      </c>
      <c r="D99" s="6">
        <f>IF('weather data'!D99&lt;'user input'!$C$2,'user input'!$C$2,'weather data'!D99)</f>
        <v>10</v>
      </c>
      <c r="E99">
        <f t="shared" si="2"/>
        <v>11.388888888888889</v>
      </c>
      <c r="F99">
        <f>IF((E99-'user input'!$C$2)&lt;0,0,E99-'user input'!$C$2)</f>
        <v>1.3888888888888893</v>
      </c>
      <c r="G99">
        <f>IF(B99&lt;'user input'!$C$5,0,(F99+G98))</f>
        <v>0</v>
      </c>
      <c r="H99">
        <f>G99/'user input'!$C$4</f>
        <v>0</v>
      </c>
    </row>
    <row r="100" spans="1:8" x14ac:dyDescent="0.2">
      <c r="A100" s="1">
        <v>40276</v>
      </c>
      <c r="B100">
        <v>98</v>
      </c>
      <c r="C100" s="6">
        <f>IF('weather data'!C100&gt;'user input'!$C$3,'user input'!$C$3,'weather data'!C100)</f>
        <v>9.4444444444444446</v>
      </c>
      <c r="D100" s="6">
        <f>IF('weather data'!D100&lt;'user input'!$C$2,'user input'!$C$2,'weather data'!D100)</f>
        <v>10</v>
      </c>
      <c r="E100">
        <f t="shared" si="2"/>
        <v>9.7222222222222214</v>
      </c>
      <c r="F100">
        <f>IF((E100-'user input'!$C$2)&lt;0,0,E100-'user input'!$C$2)</f>
        <v>0</v>
      </c>
      <c r="G100">
        <f>IF(B100&lt;'user input'!$C$5,0,(F100+G99))</f>
        <v>0</v>
      </c>
      <c r="H100">
        <f>G100/'user input'!$C$4</f>
        <v>0</v>
      </c>
    </row>
    <row r="101" spans="1:8" x14ac:dyDescent="0.2">
      <c r="A101" s="1">
        <v>40277</v>
      </c>
      <c r="B101">
        <v>99</v>
      </c>
      <c r="C101" s="6">
        <f>IF('weather data'!C101&gt;'user input'!$C$3,'user input'!$C$3,'weather data'!C101)</f>
        <v>5</v>
      </c>
      <c r="D101" s="6">
        <f>IF('weather data'!D101&lt;'user input'!$C$2,'user input'!$C$2,'weather data'!D101)</f>
        <v>10</v>
      </c>
      <c r="E101">
        <f t="shared" si="2"/>
        <v>7.5</v>
      </c>
      <c r="F101">
        <f>IF((E101-'user input'!$C$2)&lt;0,0,E101-'user input'!$C$2)</f>
        <v>0</v>
      </c>
      <c r="G101">
        <f>IF(B101&lt;'user input'!$C$5,0,(F101+G100))</f>
        <v>0</v>
      </c>
      <c r="H101">
        <f>G101/'user input'!$C$4</f>
        <v>0</v>
      </c>
    </row>
    <row r="102" spans="1:8" x14ac:dyDescent="0.2">
      <c r="A102" s="1">
        <v>40278</v>
      </c>
      <c r="B102">
        <v>100</v>
      </c>
      <c r="C102" s="6">
        <f>IF('weather data'!C102&gt;'user input'!$C$3,'user input'!$C$3,'weather data'!C102)</f>
        <v>14.444444444444445</v>
      </c>
      <c r="D102" s="6">
        <f>IF('weather data'!D102&lt;'user input'!$C$2,'user input'!$C$2,'weather data'!D102)</f>
        <v>10</v>
      </c>
      <c r="E102">
        <f t="shared" si="2"/>
        <v>12.222222222222221</v>
      </c>
      <c r="F102">
        <f>IF((E102-'user input'!$C$2)&lt;0,0,E102-'user input'!$C$2)</f>
        <v>2.2222222222222214</v>
      </c>
      <c r="G102">
        <f>IF(B102&lt;'user input'!$C$5,0,(F102+G101))</f>
        <v>0</v>
      </c>
      <c r="H102">
        <f>G102/'user input'!$C$4</f>
        <v>0</v>
      </c>
    </row>
    <row r="103" spans="1:8" x14ac:dyDescent="0.2">
      <c r="A103" s="1">
        <v>40279</v>
      </c>
      <c r="B103">
        <v>101</v>
      </c>
      <c r="C103" s="6">
        <f>IF('weather data'!C103&gt;'user input'!$C$3,'user input'!$C$3,'weather data'!C103)</f>
        <v>17.777777777777779</v>
      </c>
      <c r="D103" s="6">
        <f>IF('weather data'!D103&lt;'user input'!$C$2,'user input'!$C$2,'weather data'!D103)</f>
        <v>10</v>
      </c>
      <c r="E103">
        <f t="shared" si="2"/>
        <v>13.888888888888889</v>
      </c>
      <c r="F103">
        <f>IF((E103-'user input'!$C$2)&lt;0,0,E103-'user input'!$C$2)</f>
        <v>3.8888888888888893</v>
      </c>
      <c r="G103">
        <f>IF(B103&lt;'user input'!$C$5,0,(F103+G102))</f>
        <v>0</v>
      </c>
      <c r="H103">
        <f>G103/'user input'!$C$4</f>
        <v>0</v>
      </c>
    </row>
    <row r="104" spans="1:8" x14ac:dyDescent="0.2">
      <c r="A104" s="1">
        <v>40280</v>
      </c>
      <c r="B104">
        <v>102</v>
      </c>
      <c r="C104" s="6">
        <f>IF('weather data'!C104&gt;'user input'!$C$3,'user input'!$C$3,'weather data'!C104)</f>
        <v>19.444444444444443</v>
      </c>
      <c r="D104" s="6">
        <f>IF('weather data'!D104&lt;'user input'!$C$2,'user input'!$C$2,'weather data'!D104)</f>
        <v>10</v>
      </c>
      <c r="E104">
        <f t="shared" si="2"/>
        <v>14.722222222222221</v>
      </c>
      <c r="F104">
        <f>IF((E104-'user input'!$C$2)&lt;0,0,E104-'user input'!$C$2)</f>
        <v>4.7222222222222214</v>
      </c>
      <c r="G104">
        <f>IF(B104&lt;'user input'!$C$5,0,(F104+G103))</f>
        <v>0</v>
      </c>
      <c r="H104">
        <f>G104/'user input'!$C$4</f>
        <v>0</v>
      </c>
    </row>
    <row r="105" spans="1:8" x14ac:dyDescent="0.2">
      <c r="A105" s="1">
        <v>40281</v>
      </c>
      <c r="B105">
        <v>103</v>
      </c>
      <c r="C105" s="6">
        <f>IF('weather data'!C105&gt;'user input'!$C$3,'user input'!$C$3,'weather data'!C105)</f>
        <v>16.111111111111111</v>
      </c>
      <c r="D105" s="6">
        <f>IF('weather data'!D105&lt;'user input'!$C$2,'user input'!$C$2,'weather data'!D105)</f>
        <v>10</v>
      </c>
      <c r="E105">
        <f t="shared" si="2"/>
        <v>13.055555555555555</v>
      </c>
      <c r="F105">
        <f>IF((E105-'user input'!$C$2)&lt;0,0,E105-'user input'!$C$2)</f>
        <v>3.0555555555555554</v>
      </c>
      <c r="G105">
        <f>IF(B105&lt;'user input'!$C$5,0,(F105+G104))</f>
        <v>0</v>
      </c>
      <c r="H105">
        <f>G105/'user input'!$C$4</f>
        <v>0</v>
      </c>
    </row>
    <row r="106" spans="1:8" x14ac:dyDescent="0.2">
      <c r="A106" s="1">
        <v>40282</v>
      </c>
      <c r="B106">
        <v>104</v>
      </c>
      <c r="C106" s="6">
        <f>IF('weather data'!C106&gt;'user input'!$C$3,'user input'!$C$3,'weather data'!C106)</f>
        <v>17.222222222222221</v>
      </c>
      <c r="D106" s="6">
        <f>IF('weather data'!D106&lt;'user input'!$C$2,'user input'!$C$2,'weather data'!D106)</f>
        <v>10</v>
      </c>
      <c r="E106">
        <f t="shared" si="2"/>
        <v>13.611111111111111</v>
      </c>
      <c r="F106">
        <f>IF((E106-'user input'!$C$2)&lt;0,0,E106-'user input'!$C$2)</f>
        <v>3.6111111111111107</v>
      </c>
      <c r="G106">
        <f>IF(B106&lt;'user input'!$C$5,0,(F106+G105))</f>
        <v>0</v>
      </c>
      <c r="H106">
        <f>G106/'user input'!$C$4</f>
        <v>0</v>
      </c>
    </row>
    <row r="107" spans="1:8" x14ac:dyDescent="0.2">
      <c r="A107" s="1">
        <v>40283</v>
      </c>
      <c r="B107">
        <v>105</v>
      </c>
      <c r="C107" s="6">
        <f>IF('weather data'!C107&gt;'user input'!$C$3,'user input'!$C$3,'weather data'!C107)</f>
        <v>26.666666666666664</v>
      </c>
      <c r="D107" s="6">
        <f>IF('weather data'!D107&lt;'user input'!$C$2,'user input'!$C$2,'weather data'!D107)</f>
        <v>10</v>
      </c>
      <c r="E107">
        <f t="shared" si="2"/>
        <v>18.333333333333332</v>
      </c>
      <c r="F107">
        <f>IF((E107-'user input'!$C$2)&lt;0,0,E107-'user input'!$C$2)</f>
        <v>8.3333333333333321</v>
      </c>
      <c r="G107">
        <f>IF(B107&lt;'user input'!$C$5,0,(F107+G106))</f>
        <v>0</v>
      </c>
      <c r="H107">
        <f>G107/'user input'!$C$4</f>
        <v>0</v>
      </c>
    </row>
    <row r="108" spans="1:8" x14ac:dyDescent="0.2">
      <c r="A108" s="1">
        <v>40284</v>
      </c>
      <c r="B108">
        <v>106</v>
      </c>
      <c r="C108" s="6">
        <f>IF('weather data'!C108&gt;'user input'!$C$3,'user input'!$C$3,'weather data'!C108)</f>
        <v>26.111111111111111</v>
      </c>
      <c r="D108" s="6">
        <f>IF('weather data'!D108&lt;'user input'!$C$2,'user input'!$C$2,'weather data'!D108)</f>
        <v>10</v>
      </c>
      <c r="E108">
        <f t="shared" si="2"/>
        <v>18.055555555555557</v>
      </c>
      <c r="F108">
        <f>IF((E108-'user input'!$C$2)&lt;0,0,E108-'user input'!$C$2)</f>
        <v>8.0555555555555571</v>
      </c>
      <c r="G108">
        <f>IF(B108&lt;'user input'!$C$5,0,(F108+G107))</f>
        <v>0</v>
      </c>
      <c r="H108">
        <f>G108/'user input'!$C$4</f>
        <v>0</v>
      </c>
    </row>
    <row r="109" spans="1:8" x14ac:dyDescent="0.2">
      <c r="A109" s="1">
        <v>40285</v>
      </c>
      <c r="B109">
        <v>107</v>
      </c>
      <c r="C109" s="6">
        <f>IF('weather data'!C109&gt;'user input'!$C$3,'user input'!$C$3,'weather data'!C109)</f>
        <v>16.111111111111111</v>
      </c>
      <c r="D109" s="6">
        <f>IF('weather data'!D109&lt;'user input'!$C$2,'user input'!$C$2,'weather data'!D109)</f>
        <v>10</v>
      </c>
      <c r="E109">
        <f t="shared" si="2"/>
        <v>13.055555555555555</v>
      </c>
      <c r="F109">
        <f>IF((E109-'user input'!$C$2)&lt;0,0,E109-'user input'!$C$2)</f>
        <v>3.0555555555555554</v>
      </c>
      <c r="G109">
        <f>IF(B109&lt;'user input'!$C$5,0,(F109+G108))</f>
        <v>0</v>
      </c>
      <c r="H109">
        <f>G109/'user input'!$C$4</f>
        <v>0</v>
      </c>
    </row>
    <row r="110" spans="1:8" x14ac:dyDescent="0.2">
      <c r="A110" s="1">
        <v>40286</v>
      </c>
      <c r="B110">
        <v>108</v>
      </c>
      <c r="C110" s="6">
        <f>IF('weather data'!C110&gt;'user input'!$C$3,'user input'!$C$3,'weather data'!C110)</f>
        <v>16.111111111111111</v>
      </c>
      <c r="D110" s="6">
        <f>IF('weather data'!D110&lt;'user input'!$C$2,'user input'!$C$2,'weather data'!D110)</f>
        <v>10</v>
      </c>
      <c r="E110">
        <f t="shared" si="2"/>
        <v>13.055555555555555</v>
      </c>
      <c r="F110">
        <f>IF((E110-'user input'!$C$2)&lt;0,0,E110-'user input'!$C$2)</f>
        <v>3.0555555555555554</v>
      </c>
      <c r="G110">
        <f>IF(B110&lt;'user input'!$C$5,0,(F110+G109))</f>
        <v>0</v>
      </c>
      <c r="H110">
        <f>G110/'user input'!$C$4</f>
        <v>0</v>
      </c>
    </row>
    <row r="111" spans="1:8" x14ac:dyDescent="0.2">
      <c r="A111" s="1">
        <v>40287</v>
      </c>
      <c r="B111">
        <v>109</v>
      </c>
      <c r="C111" s="6">
        <f>IF('weather data'!C111&gt;'user input'!$C$3,'user input'!$C$3,'weather data'!C111)</f>
        <v>16.666666666666668</v>
      </c>
      <c r="D111" s="6">
        <f>IF('weather data'!D111&lt;'user input'!$C$2,'user input'!$C$2,'weather data'!D111)</f>
        <v>10</v>
      </c>
      <c r="E111">
        <f t="shared" si="2"/>
        <v>13.333333333333334</v>
      </c>
      <c r="F111">
        <f>IF((E111-'user input'!$C$2)&lt;0,0,E111-'user input'!$C$2)</f>
        <v>3.3333333333333339</v>
      </c>
      <c r="G111">
        <f>IF(B111&lt;'user input'!$C$5,0,(F111+G110))</f>
        <v>0</v>
      </c>
      <c r="H111">
        <f>G111/'user input'!$C$4</f>
        <v>0</v>
      </c>
    </row>
    <row r="112" spans="1:8" x14ac:dyDescent="0.2">
      <c r="A112" s="1">
        <v>40288</v>
      </c>
      <c r="B112">
        <v>110</v>
      </c>
      <c r="C112" s="6">
        <f>IF('weather data'!C112&gt;'user input'!$C$3,'user input'!$C$3,'weather data'!C112)</f>
        <v>16.666666666666668</v>
      </c>
      <c r="D112" s="6">
        <f>IF('weather data'!D112&lt;'user input'!$C$2,'user input'!$C$2,'weather data'!D112)</f>
        <v>10</v>
      </c>
      <c r="E112">
        <f t="shared" si="2"/>
        <v>13.333333333333334</v>
      </c>
      <c r="F112">
        <f>IF((E112-'user input'!$C$2)&lt;0,0,E112-'user input'!$C$2)</f>
        <v>3.3333333333333339</v>
      </c>
      <c r="G112">
        <f>IF(B112&lt;'user input'!$C$5,0,(F112+G111))</f>
        <v>0</v>
      </c>
      <c r="H112">
        <f>G112/'user input'!$C$4</f>
        <v>0</v>
      </c>
    </row>
    <row r="113" spans="1:8" x14ac:dyDescent="0.2">
      <c r="A113" s="1">
        <v>40289</v>
      </c>
      <c r="B113">
        <v>111</v>
      </c>
      <c r="C113" s="6">
        <f>IF('weather data'!C113&gt;'user input'!$C$3,'user input'!$C$3,'weather data'!C113)</f>
        <v>19.444444444444443</v>
      </c>
      <c r="D113" s="6">
        <f>IF('weather data'!D113&lt;'user input'!$C$2,'user input'!$C$2,'weather data'!D113)</f>
        <v>10</v>
      </c>
      <c r="E113">
        <f t="shared" si="2"/>
        <v>14.722222222222221</v>
      </c>
      <c r="F113">
        <f>IF((E113-'user input'!$C$2)&lt;0,0,E113-'user input'!$C$2)</f>
        <v>4.7222222222222214</v>
      </c>
      <c r="G113">
        <f>IF(B113&lt;'user input'!$C$5,0,(F113+G112))</f>
        <v>0</v>
      </c>
      <c r="H113">
        <f>G113/'user input'!$C$4</f>
        <v>0</v>
      </c>
    </row>
    <row r="114" spans="1:8" x14ac:dyDescent="0.2">
      <c r="A114" s="1">
        <v>40290</v>
      </c>
      <c r="B114">
        <v>112</v>
      </c>
      <c r="C114" s="6">
        <f>IF('weather data'!C114&gt;'user input'!$C$3,'user input'!$C$3,'weather data'!C114)</f>
        <v>17.777777777777779</v>
      </c>
      <c r="D114" s="6">
        <f>IF('weather data'!D114&lt;'user input'!$C$2,'user input'!$C$2,'weather data'!D114)</f>
        <v>10</v>
      </c>
      <c r="E114">
        <f t="shared" si="2"/>
        <v>13.888888888888889</v>
      </c>
      <c r="F114">
        <f>IF((E114-'user input'!$C$2)&lt;0,0,E114-'user input'!$C$2)</f>
        <v>3.8888888888888893</v>
      </c>
      <c r="G114">
        <f>IF(B114&lt;'user input'!$C$5,0,(F114+G113))</f>
        <v>0</v>
      </c>
      <c r="H114">
        <f>G114/'user input'!$C$4</f>
        <v>0</v>
      </c>
    </row>
    <row r="115" spans="1:8" x14ac:dyDescent="0.2">
      <c r="A115" s="1">
        <v>40291</v>
      </c>
      <c r="B115">
        <v>113</v>
      </c>
      <c r="C115" s="6">
        <f>IF('weather data'!C115&gt;'user input'!$C$3,'user input'!$C$3,'weather data'!C115)</f>
        <v>17.777777777777779</v>
      </c>
      <c r="D115" s="6">
        <f>IF('weather data'!D115&lt;'user input'!$C$2,'user input'!$C$2,'weather data'!D115)</f>
        <v>10</v>
      </c>
      <c r="E115">
        <f t="shared" si="2"/>
        <v>13.888888888888889</v>
      </c>
      <c r="F115">
        <f>IF((E115-'user input'!$C$2)&lt;0,0,E115-'user input'!$C$2)</f>
        <v>3.8888888888888893</v>
      </c>
      <c r="G115">
        <f>IF(B115&lt;'user input'!$C$5,0,(F115+G114))</f>
        <v>0</v>
      </c>
      <c r="H115">
        <f>G115/'user input'!$C$4</f>
        <v>0</v>
      </c>
    </row>
    <row r="116" spans="1:8" x14ac:dyDescent="0.2">
      <c r="A116" s="1">
        <v>40292</v>
      </c>
      <c r="B116">
        <v>114</v>
      </c>
      <c r="C116" s="6">
        <f>IF('weather data'!C116&gt;'user input'!$C$3,'user input'!$C$3,'weather data'!C116)</f>
        <v>17.777777777777779</v>
      </c>
      <c r="D116" s="6">
        <f>IF('weather data'!D116&lt;'user input'!$C$2,'user input'!$C$2,'weather data'!D116)</f>
        <v>10</v>
      </c>
      <c r="E116">
        <f t="shared" si="2"/>
        <v>13.888888888888889</v>
      </c>
      <c r="F116">
        <f>IF((E116-'user input'!$C$2)&lt;0,0,E116-'user input'!$C$2)</f>
        <v>3.8888888888888893</v>
      </c>
      <c r="G116">
        <f>IF(B116&lt;'user input'!$C$5,0,(F116+G115))</f>
        <v>0</v>
      </c>
      <c r="H116">
        <f>G116/'user input'!$C$4</f>
        <v>0</v>
      </c>
    </row>
    <row r="117" spans="1:8" x14ac:dyDescent="0.2">
      <c r="A117" s="1">
        <v>40293</v>
      </c>
      <c r="B117">
        <v>115</v>
      </c>
      <c r="C117" s="6">
        <f>IF('weather data'!C117&gt;'user input'!$C$3,'user input'!$C$3,'weather data'!C117)</f>
        <v>11.111111111111111</v>
      </c>
      <c r="D117" s="6">
        <f>IF('weather data'!D117&lt;'user input'!$C$2,'user input'!$C$2,'weather data'!D117)</f>
        <v>10</v>
      </c>
      <c r="E117">
        <f t="shared" si="2"/>
        <v>10.555555555555555</v>
      </c>
      <c r="F117">
        <f>IF((E117-'user input'!$C$2)&lt;0,0,E117-'user input'!$C$2)</f>
        <v>0.55555555555555536</v>
      </c>
      <c r="G117">
        <f>IF(B117&lt;'user input'!$C$5,0,(F117+G116))</f>
        <v>0</v>
      </c>
      <c r="H117">
        <f>G117/'user input'!$C$4</f>
        <v>0</v>
      </c>
    </row>
    <row r="118" spans="1:8" x14ac:dyDescent="0.2">
      <c r="A118" s="1">
        <v>40294</v>
      </c>
      <c r="B118">
        <v>116</v>
      </c>
      <c r="C118" s="6">
        <f>IF('weather data'!C118&gt;'user input'!$C$3,'user input'!$C$3,'weather data'!C118)</f>
        <v>10</v>
      </c>
      <c r="D118" s="6">
        <f>IF('weather data'!D118&lt;'user input'!$C$2,'user input'!$C$2,'weather data'!D118)</f>
        <v>10</v>
      </c>
      <c r="E118">
        <f t="shared" si="2"/>
        <v>10</v>
      </c>
      <c r="F118">
        <f>IF((E118-'user input'!$C$2)&lt;0,0,E118-'user input'!$C$2)</f>
        <v>0</v>
      </c>
      <c r="G118">
        <f>IF(B118&lt;'user input'!$C$5,0,(F118+G117))</f>
        <v>0</v>
      </c>
      <c r="H118">
        <f>G118/'user input'!$C$4</f>
        <v>0</v>
      </c>
    </row>
    <row r="119" spans="1:8" x14ac:dyDescent="0.2">
      <c r="A119" s="1">
        <v>40295</v>
      </c>
      <c r="B119">
        <v>117</v>
      </c>
      <c r="C119" s="6">
        <f>IF('weather data'!C119&gt;'user input'!$C$3,'user input'!$C$3,'weather data'!C119)</f>
        <v>17.777777777777779</v>
      </c>
      <c r="D119" s="6">
        <f>IF('weather data'!D119&lt;'user input'!$C$2,'user input'!$C$2,'weather data'!D119)</f>
        <v>10</v>
      </c>
      <c r="E119">
        <f t="shared" si="2"/>
        <v>13.888888888888889</v>
      </c>
      <c r="F119">
        <f>IF((E119-'user input'!$C$2)&lt;0,0,E119-'user input'!$C$2)</f>
        <v>3.8888888888888893</v>
      </c>
      <c r="G119">
        <f>IF(B119&lt;'user input'!$C$5,0,(F119+G118))</f>
        <v>0</v>
      </c>
      <c r="H119">
        <f>G119/'user input'!$C$4</f>
        <v>0</v>
      </c>
    </row>
    <row r="120" spans="1:8" x14ac:dyDescent="0.2">
      <c r="A120" s="1">
        <v>40296</v>
      </c>
      <c r="B120">
        <v>118</v>
      </c>
      <c r="C120" s="6">
        <f>IF('weather data'!C120&gt;'user input'!$C$3,'user input'!$C$3,'weather data'!C120)</f>
        <v>14.444444444444445</v>
      </c>
      <c r="D120" s="6">
        <f>IF('weather data'!D120&lt;'user input'!$C$2,'user input'!$C$2,'weather data'!D120)</f>
        <v>10</v>
      </c>
      <c r="E120">
        <f t="shared" si="2"/>
        <v>12.222222222222221</v>
      </c>
      <c r="F120">
        <f>IF((E120-'user input'!$C$2)&lt;0,0,E120-'user input'!$C$2)</f>
        <v>2.2222222222222214</v>
      </c>
      <c r="G120">
        <f>IF(B120&lt;'user input'!$C$5,0,(F120+G119))</f>
        <v>0</v>
      </c>
      <c r="H120">
        <f>G120/'user input'!$C$4</f>
        <v>0</v>
      </c>
    </row>
    <row r="121" spans="1:8" x14ac:dyDescent="0.2">
      <c r="A121" s="1">
        <v>40297</v>
      </c>
      <c r="B121">
        <v>119</v>
      </c>
      <c r="C121" s="6">
        <f>IF('weather data'!C121&gt;'user input'!$C$3,'user input'!$C$3,'weather data'!C121)</f>
        <v>17.222222222222221</v>
      </c>
      <c r="D121" s="6">
        <f>IF('weather data'!D121&lt;'user input'!$C$2,'user input'!$C$2,'weather data'!D121)</f>
        <v>10</v>
      </c>
      <c r="E121">
        <f t="shared" si="2"/>
        <v>13.611111111111111</v>
      </c>
      <c r="F121">
        <f>IF((E121-'user input'!$C$2)&lt;0,0,E121-'user input'!$C$2)</f>
        <v>3.6111111111111107</v>
      </c>
      <c r="G121">
        <f>IF(B121&lt;'user input'!$C$5,0,(F121+G120))</f>
        <v>0</v>
      </c>
      <c r="H121">
        <f>G121/'user input'!$C$4</f>
        <v>0</v>
      </c>
    </row>
    <row r="122" spans="1:8" x14ac:dyDescent="0.2">
      <c r="A122" s="1">
        <v>40298</v>
      </c>
      <c r="B122">
        <v>120</v>
      </c>
      <c r="C122" s="6">
        <f>IF('weather data'!C122&gt;'user input'!$C$3,'user input'!$C$3,'weather data'!C122)</f>
        <v>24.444444444444446</v>
      </c>
      <c r="D122" s="6">
        <f>IF('weather data'!D122&lt;'user input'!$C$2,'user input'!$C$2,'weather data'!D122)</f>
        <v>12.222222222222223</v>
      </c>
      <c r="E122">
        <f t="shared" si="2"/>
        <v>18.333333333333336</v>
      </c>
      <c r="F122">
        <f>IF((E122-'user input'!$C$2)&lt;0,0,E122-'user input'!$C$2)</f>
        <v>8.3333333333333357</v>
      </c>
      <c r="G122">
        <f>IF(B122&lt;'user input'!$C$5,0,(F122+G121))</f>
        <v>0</v>
      </c>
      <c r="H122">
        <f>G122/'user input'!$C$4</f>
        <v>0</v>
      </c>
    </row>
    <row r="123" spans="1:8" x14ac:dyDescent="0.2">
      <c r="A123" s="1">
        <v>40299</v>
      </c>
      <c r="B123">
        <v>121</v>
      </c>
      <c r="C123" s="6">
        <f>IF('weather data'!C123&gt;'user input'!$C$3,'user input'!$C$3,'weather data'!C123)</f>
        <v>24.444444444444446</v>
      </c>
      <c r="D123" s="6">
        <f>IF('weather data'!D123&lt;'user input'!$C$2,'user input'!$C$2,'weather data'!D123)</f>
        <v>12.777777777777777</v>
      </c>
      <c r="E123">
        <f t="shared" si="2"/>
        <v>18.611111111111111</v>
      </c>
      <c r="F123">
        <f>IF((E123-'user input'!$C$2)&lt;0,0,E123-'user input'!$C$2)</f>
        <v>8.6111111111111107</v>
      </c>
      <c r="G123">
        <f>IF(B123&lt;'user input'!$C$5,0,(F123+G122))</f>
        <v>8.6111111111111107</v>
      </c>
      <c r="H123">
        <f>G123/'user input'!$C$4</f>
        <v>7.1759259259259259E-3</v>
      </c>
    </row>
    <row r="124" spans="1:8" x14ac:dyDescent="0.2">
      <c r="A124" s="1">
        <v>40300</v>
      </c>
      <c r="B124">
        <v>122</v>
      </c>
      <c r="C124" s="6">
        <f>IF('weather data'!C124&gt;'user input'!$C$3,'user input'!$C$3,'weather data'!C124)</f>
        <v>20</v>
      </c>
      <c r="D124" s="6">
        <f>IF('weather data'!D124&lt;'user input'!$C$2,'user input'!$C$2,'weather data'!D124)</f>
        <v>11.666666666666668</v>
      </c>
      <c r="E124">
        <f t="shared" si="2"/>
        <v>15.833333333333334</v>
      </c>
      <c r="F124">
        <f>IF((E124-'user input'!$C$2)&lt;0,0,E124-'user input'!$C$2)</f>
        <v>5.8333333333333339</v>
      </c>
      <c r="G124">
        <f>IF(B124&lt;'user input'!$C$5,0,(F124+G123))</f>
        <v>14.444444444444445</v>
      </c>
      <c r="H124">
        <f>G124/'user input'!$C$4</f>
        <v>1.2037037037037037E-2</v>
      </c>
    </row>
    <row r="125" spans="1:8" x14ac:dyDescent="0.2">
      <c r="A125" s="1">
        <v>40301</v>
      </c>
      <c r="B125">
        <v>123</v>
      </c>
      <c r="C125" s="6">
        <f>IF('weather data'!C125&gt;'user input'!$C$3,'user input'!$C$3,'weather data'!C125)</f>
        <v>21.666666666666664</v>
      </c>
      <c r="D125" s="6">
        <f>IF('weather data'!D125&lt;'user input'!$C$2,'user input'!$C$2,'weather data'!D125)</f>
        <v>10</v>
      </c>
      <c r="E125">
        <f t="shared" si="2"/>
        <v>15.833333333333332</v>
      </c>
      <c r="F125">
        <f>IF((E125-'user input'!$C$2)&lt;0,0,E125-'user input'!$C$2)</f>
        <v>5.8333333333333321</v>
      </c>
      <c r="G125">
        <f>IF(B125&lt;'user input'!$C$5,0,(F125+G124))</f>
        <v>20.277777777777779</v>
      </c>
      <c r="H125">
        <f>G125/'user input'!$C$4</f>
        <v>1.6898148148148148E-2</v>
      </c>
    </row>
    <row r="126" spans="1:8" x14ac:dyDescent="0.2">
      <c r="A126" s="1">
        <v>40302</v>
      </c>
      <c r="B126">
        <v>124</v>
      </c>
      <c r="C126" s="6">
        <f>IF('weather data'!C126&gt;'user input'!$C$3,'user input'!$C$3,'weather data'!C126)</f>
        <v>18.888888888888889</v>
      </c>
      <c r="D126" s="6">
        <f>IF('weather data'!D126&lt;'user input'!$C$2,'user input'!$C$2,'weather data'!D126)</f>
        <v>10</v>
      </c>
      <c r="E126">
        <f t="shared" si="2"/>
        <v>14.444444444444445</v>
      </c>
      <c r="F126">
        <f>IF((E126-'user input'!$C$2)&lt;0,0,E126-'user input'!$C$2)</f>
        <v>4.4444444444444446</v>
      </c>
      <c r="G126">
        <f>IF(B126&lt;'user input'!$C$5,0,(F126+G125))</f>
        <v>24.722222222222221</v>
      </c>
      <c r="H126">
        <f>G126/'user input'!$C$4</f>
        <v>2.060185185185185E-2</v>
      </c>
    </row>
    <row r="127" spans="1:8" x14ac:dyDescent="0.2">
      <c r="A127" s="1">
        <v>40303</v>
      </c>
      <c r="B127">
        <v>125</v>
      </c>
      <c r="C127" s="6">
        <f>IF('weather data'!C127&gt;'user input'!$C$3,'user input'!$C$3,'weather data'!C127)</f>
        <v>26.111111111111111</v>
      </c>
      <c r="D127" s="6">
        <f>IF('weather data'!D127&lt;'user input'!$C$2,'user input'!$C$2,'weather data'!D127)</f>
        <v>10</v>
      </c>
      <c r="E127">
        <f t="shared" si="2"/>
        <v>18.055555555555557</v>
      </c>
      <c r="F127">
        <f>IF((E127-'user input'!$C$2)&lt;0,0,E127-'user input'!$C$2)</f>
        <v>8.0555555555555571</v>
      </c>
      <c r="G127">
        <f>IF(B127&lt;'user input'!$C$5,0,(F127+G126))</f>
        <v>32.777777777777779</v>
      </c>
      <c r="H127">
        <f>G127/'user input'!$C$4</f>
        <v>2.7314814814814816E-2</v>
      </c>
    </row>
    <row r="128" spans="1:8" x14ac:dyDescent="0.2">
      <c r="A128" s="1">
        <v>40304</v>
      </c>
      <c r="B128">
        <v>126</v>
      </c>
      <c r="C128" s="6">
        <f>IF('weather data'!C128&gt;'user input'!$C$3,'user input'!$C$3,'weather data'!C128)</f>
        <v>18.888888888888889</v>
      </c>
      <c r="D128" s="6">
        <f>IF('weather data'!D128&lt;'user input'!$C$2,'user input'!$C$2,'weather data'!D128)</f>
        <v>10</v>
      </c>
      <c r="E128">
        <f t="shared" si="2"/>
        <v>14.444444444444445</v>
      </c>
      <c r="F128">
        <f>IF((E128-'user input'!$C$2)&lt;0,0,E128-'user input'!$C$2)</f>
        <v>4.4444444444444446</v>
      </c>
      <c r="G128">
        <f>IF(B128&lt;'user input'!$C$5,0,(F128+G127))</f>
        <v>37.222222222222221</v>
      </c>
      <c r="H128">
        <f>G128/'user input'!$C$4</f>
        <v>3.1018518518518518E-2</v>
      </c>
    </row>
    <row r="129" spans="1:8" x14ac:dyDescent="0.2">
      <c r="A129" s="1">
        <v>40305</v>
      </c>
      <c r="B129">
        <v>127</v>
      </c>
      <c r="C129" s="6">
        <f>IF('weather data'!C129&gt;'user input'!$C$3,'user input'!$C$3,'weather data'!C129)</f>
        <v>16.111111111111111</v>
      </c>
      <c r="D129" s="6">
        <f>IF('weather data'!D129&lt;'user input'!$C$2,'user input'!$C$2,'weather data'!D129)</f>
        <v>10</v>
      </c>
      <c r="E129">
        <f t="shared" si="2"/>
        <v>13.055555555555555</v>
      </c>
      <c r="F129">
        <f>IF((E129-'user input'!$C$2)&lt;0,0,E129-'user input'!$C$2)</f>
        <v>3.0555555555555554</v>
      </c>
      <c r="G129">
        <f>IF(B129&lt;'user input'!$C$5,0,(F129+G128))</f>
        <v>40.277777777777779</v>
      </c>
      <c r="H129">
        <f>G129/'user input'!$C$4</f>
        <v>3.3564814814814818E-2</v>
      </c>
    </row>
    <row r="130" spans="1:8" x14ac:dyDescent="0.2">
      <c r="A130" s="1">
        <v>40306</v>
      </c>
      <c r="B130">
        <v>128</v>
      </c>
      <c r="C130" s="6">
        <f>IF('weather data'!C130&gt;'user input'!$C$3,'user input'!$C$3,'weather data'!C130)</f>
        <v>7.2222222222222223</v>
      </c>
      <c r="D130" s="6">
        <f>IF('weather data'!D130&lt;'user input'!$C$2,'user input'!$C$2,'weather data'!D130)</f>
        <v>10</v>
      </c>
      <c r="E130">
        <f t="shared" si="2"/>
        <v>8.6111111111111107</v>
      </c>
      <c r="F130">
        <f>IF((E130-'user input'!$C$2)&lt;0,0,E130-'user input'!$C$2)</f>
        <v>0</v>
      </c>
      <c r="G130">
        <f>IF(B130&lt;'user input'!$C$5,0,(F130+G129))</f>
        <v>40.277777777777779</v>
      </c>
      <c r="H130">
        <f>G130/'user input'!$C$4</f>
        <v>3.3564814814814818E-2</v>
      </c>
    </row>
    <row r="131" spans="1:8" x14ac:dyDescent="0.2">
      <c r="A131" s="1">
        <v>40307</v>
      </c>
      <c r="B131">
        <v>129</v>
      </c>
      <c r="C131" s="6">
        <f>IF('weather data'!C131&gt;'user input'!$C$3,'user input'!$C$3,'weather data'!C131)</f>
        <v>9.4444444444444446</v>
      </c>
      <c r="D131" s="6">
        <f>IF('weather data'!D131&lt;'user input'!$C$2,'user input'!$C$2,'weather data'!D131)</f>
        <v>10</v>
      </c>
      <c r="E131">
        <f t="shared" si="2"/>
        <v>9.7222222222222214</v>
      </c>
      <c r="F131">
        <f>IF((E131-'user input'!$C$2)&lt;0,0,E131-'user input'!$C$2)</f>
        <v>0</v>
      </c>
      <c r="G131">
        <f>IF(B131&lt;'user input'!$C$5,0,(F131+G130))</f>
        <v>40.277777777777779</v>
      </c>
      <c r="H131">
        <f>G131/'user input'!$C$4</f>
        <v>3.3564814814814818E-2</v>
      </c>
    </row>
    <row r="132" spans="1:8" x14ac:dyDescent="0.2">
      <c r="A132" s="1">
        <v>40308</v>
      </c>
      <c r="B132">
        <v>130</v>
      </c>
      <c r="C132" s="6">
        <f>IF('weather data'!C132&gt;'user input'!$C$3,'user input'!$C$3,'weather data'!C132)</f>
        <v>14.444444444444445</v>
      </c>
      <c r="D132" s="6">
        <f>IF('weather data'!D132&lt;'user input'!$C$2,'user input'!$C$2,'weather data'!D132)</f>
        <v>10</v>
      </c>
      <c r="E132">
        <f t="shared" si="2"/>
        <v>12.222222222222221</v>
      </c>
      <c r="F132">
        <f>IF((E132-'user input'!$C$2)&lt;0,0,E132-'user input'!$C$2)</f>
        <v>2.2222222222222214</v>
      </c>
      <c r="G132">
        <f>IF(B132&lt;'user input'!$C$5,0,(F132+G131))</f>
        <v>42.5</v>
      </c>
      <c r="H132">
        <f>G132/'user input'!$C$4</f>
        <v>3.5416666666666666E-2</v>
      </c>
    </row>
    <row r="133" spans="1:8" x14ac:dyDescent="0.2">
      <c r="A133" s="1">
        <v>40309</v>
      </c>
      <c r="B133">
        <v>131</v>
      </c>
      <c r="C133" s="6">
        <f>IF('weather data'!C133&gt;'user input'!$C$3,'user input'!$C$3,'weather data'!C133)</f>
        <v>15</v>
      </c>
      <c r="D133" s="6">
        <f>IF('weather data'!D133&lt;'user input'!$C$2,'user input'!$C$2,'weather data'!D133)</f>
        <v>10</v>
      </c>
      <c r="E133">
        <f t="shared" si="2"/>
        <v>12.5</v>
      </c>
      <c r="F133">
        <f>IF((E133-'user input'!$C$2)&lt;0,0,E133-'user input'!$C$2)</f>
        <v>2.5</v>
      </c>
      <c r="G133">
        <f>IF(B133&lt;'user input'!$C$5,0,(F133+G132))</f>
        <v>45</v>
      </c>
      <c r="H133">
        <f>G133/'user input'!$C$4</f>
        <v>3.7499999999999999E-2</v>
      </c>
    </row>
    <row r="134" spans="1:8" x14ac:dyDescent="0.2">
      <c r="A134" s="1">
        <v>40310</v>
      </c>
      <c r="B134">
        <v>132</v>
      </c>
      <c r="C134" s="6">
        <f>IF('weather data'!C134&gt;'user input'!$C$3,'user input'!$C$3,'weather data'!C134)</f>
        <v>15</v>
      </c>
      <c r="D134" s="6">
        <f>IF('weather data'!D134&lt;'user input'!$C$2,'user input'!$C$2,'weather data'!D134)</f>
        <v>10</v>
      </c>
      <c r="E134">
        <f t="shared" si="2"/>
        <v>12.5</v>
      </c>
      <c r="F134">
        <f>IF((E134-'user input'!$C$2)&lt;0,0,E134-'user input'!$C$2)</f>
        <v>2.5</v>
      </c>
      <c r="G134">
        <f>IF(B134&lt;'user input'!$C$5,0,(F134+G133))</f>
        <v>47.5</v>
      </c>
      <c r="H134">
        <f>G134/'user input'!$C$4</f>
        <v>3.9583333333333331E-2</v>
      </c>
    </row>
    <row r="135" spans="1:8" x14ac:dyDescent="0.2">
      <c r="A135" s="1">
        <v>40311</v>
      </c>
      <c r="B135">
        <v>133</v>
      </c>
      <c r="C135" s="6">
        <f>IF('weather data'!C135&gt;'user input'!$C$3,'user input'!$C$3,'weather data'!C135)</f>
        <v>8.8888888888888893</v>
      </c>
      <c r="D135" s="6">
        <f>IF('weather data'!D135&lt;'user input'!$C$2,'user input'!$C$2,'weather data'!D135)</f>
        <v>10</v>
      </c>
      <c r="E135">
        <f t="shared" si="2"/>
        <v>9.4444444444444446</v>
      </c>
      <c r="F135">
        <f>IF((E135-'user input'!$C$2)&lt;0,0,E135-'user input'!$C$2)</f>
        <v>0</v>
      </c>
      <c r="G135">
        <f>IF(B135&lt;'user input'!$C$5,0,(F135+G134))</f>
        <v>47.5</v>
      </c>
      <c r="H135">
        <f>G135/'user input'!$C$4</f>
        <v>3.9583333333333331E-2</v>
      </c>
    </row>
    <row r="136" spans="1:8" x14ac:dyDescent="0.2">
      <c r="A136" s="1">
        <v>40312</v>
      </c>
      <c r="B136">
        <v>134</v>
      </c>
      <c r="C136" s="6">
        <f>IF('weather data'!C136&gt;'user input'!$C$3,'user input'!$C$3,'weather data'!C136)</f>
        <v>18.333333333333332</v>
      </c>
      <c r="D136" s="6">
        <f>IF('weather data'!D136&lt;'user input'!$C$2,'user input'!$C$2,'weather data'!D136)</f>
        <v>10</v>
      </c>
      <c r="E136">
        <f t="shared" si="2"/>
        <v>14.166666666666666</v>
      </c>
      <c r="F136">
        <f>IF((E136-'user input'!$C$2)&lt;0,0,E136-'user input'!$C$2)</f>
        <v>4.1666666666666661</v>
      </c>
      <c r="G136">
        <f>IF(B136&lt;'user input'!$C$5,0,(F136+G135))</f>
        <v>51.666666666666664</v>
      </c>
      <c r="H136">
        <f>G136/'user input'!$C$4</f>
        <v>4.3055555555555555E-2</v>
      </c>
    </row>
    <row r="137" spans="1:8" x14ac:dyDescent="0.2">
      <c r="A137" s="1">
        <v>40313</v>
      </c>
      <c r="B137">
        <v>135</v>
      </c>
      <c r="C137" s="6">
        <f>IF('weather data'!C137&gt;'user input'!$C$3,'user input'!$C$3,'weather data'!C137)</f>
        <v>18.333333333333332</v>
      </c>
      <c r="D137" s="6">
        <f>IF('weather data'!D137&lt;'user input'!$C$2,'user input'!$C$2,'weather data'!D137)</f>
        <v>10</v>
      </c>
      <c r="E137">
        <f t="shared" si="2"/>
        <v>14.166666666666666</v>
      </c>
      <c r="F137">
        <f>IF((E137-'user input'!$C$2)&lt;0,0,E137-'user input'!$C$2)</f>
        <v>4.1666666666666661</v>
      </c>
      <c r="G137">
        <f>IF(B137&lt;'user input'!$C$5,0,(F137+G136))</f>
        <v>55.833333333333329</v>
      </c>
      <c r="H137">
        <f>G137/'user input'!$C$4</f>
        <v>4.6527777777777772E-2</v>
      </c>
    </row>
    <row r="138" spans="1:8" x14ac:dyDescent="0.2">
      <c r="A138" s="1">
        <v>40314</v>
      </c>
      <c r="B138">
        <v>136</v>
      </c>
      <c r="C138" s="6">
        <f>IF('weather data'!C138&gt;'user input'!$C$3,'user input'!$C$3,'weather data'!C138)</f>
        <v>19.444444444444443</v>
      </c>
      <c r="D138" s="6">
        <f>IF('weather data'!D138&lt;'user input'!$C$2,'user input'!$C$2,'weather data'!D138)</f>
        <v>10</v>
      </c>
      <c r="E138">
        <f t="shared" si="2"/>
        <v>14.722222222222221</v>
      </c>
      <c r="F138">
        <f>IF((E138-'user input'!$C$2)&lt;0,0,E138-'user input'!$C$2)</f>
        <v>4.7222222222222214</v>
      </c>
      <c r="G138">
        <f>IF(B138&lt;'user input'!$C$5,0,(F138+G137))</f>
        <v>60.55555555555555</v>
      </c>
      <c r="H138">
        <f>G138/'user input'!$C$4</f>
        <v>5.0462962962962959E-2</v>
      </c>
    </row>
    <row r="139" spans="1:8" x14ac:dyDescent="0.2">
      <c r="A139" s="1">
        <v>40315</v>
      </c>
      <c r="B139">
        <v>137</v>
      </c>
      <c r="C139" s="6">
        <f>IF('weather data'!C139&gt;'user input'!$C$3,'user input'!$C$3,'weather data'!C139)</f>
        <v>18.333333333333332</v>
      </c>
      <c r="D139" s="6">
        <f>IF('weather data'!D139&lt;'user input'!$C$2,'user input'!$C$2,'weather data'!D139)</f>
        <v>10</v>
      </c>
      <c r="E139">
        <f t="shared" si="2"/>
        <v>14.166666666666666</v>
      </c>
      <c r="F139">
        <f>IF((E139-'user input'!$C$2)&lt;0,0,E139-'user input'!$C$2)</f>
        <v>4.1666666666666661</v>
      </c>
      <c r="G139">
        <f>IF(B139&lt;'user input'!$C$5,0,(F139+G138))</f>
        <v>64.722222222222214</v>
      </c>
      <c r="H139">
        <f>G139/'user input'!$C$4</f>
        <v>5.3935185185185176E-2</v>
      </c>
    </row>
    <row r="140" spans="1:8" x14ac:dyDescent="0.2">
      <c r="A140" s="1">
        <v>40316</v>
      </c>
      <c r="B140">
        <v>138</v>
      </c>
      <c r="C140" s="6">
        <f>IF('weather data'!C140&gt;'user input'!$C$3,'user input'!$C$3,'weather data'!C140)</f>
        <v>20.555555555555554</v>
      </c>
      <c r="D140" s="6">
        <f>IF('weather data'!D140&lt;'user input'!$C$2,'user input'!$C$2,'weather data'!D140)</f>
        <v>10</v>
      </c>
      <c r="E140">
        <f t="shared" si="2"/>
        <v>15.277777777777777</v>
      </c>
      <c r="F140">
        <f>IF((E140-'user input'!$C$2)&lt;0,0,E140-'user input'!$C$2)</f>
        <v>5.2777777777777768</v>
      </c>
      <c r="G140">
        <f>IF(B140&lt;'user input'!$C$5,0,(F140+G139))</f>
        <v>69.999999999999986</v>
      </c>
      <c r="H140">
        <f>G140/'user input'!$C$4</f>
        <v>5.833333333333332E-2</v>
      </c>
    </row>
    <row r="141" spans="1:8" x14ac:dyDescent="0.2">
      <c r="A141" s="1">
        <v>40317</v>
      </c>
      <c r="B141">
        <v>139</v>
      </c>
      <c r="C141" s="6">
        <f>IF('weather data'!C141&gt;'user input'!$C$3,'user input'!$C$3,'weather data'!C141)</f>
        <v>22.777777777777779</v>
      </c>
      <c r="D141" s="6">
        <f>IF('weather data'!D141&lt;'user input'!$C$2,'user input'!$C$2,'weather data'!D141)</f>
        <v>10</v>
      </c>
      <c r="E141">
        <f t="shared" si="2"/>
        <v>16.388888888888889</v>
      </c>
      <c r="F141">
        <f>IF((E141-'user input'!$C$2)&lt;0,0,E141-'user input'!$C$2)</f>
        <v>6.3888888888888893</v>
      </c>
      <c r="G141">
        <f>IF(B141&lt;'user input'!$C$5,0,(F141+G140))</f>
        <v>76.388888888888872</v>
      </c>
      <c r="H141">
        <f>G141/'user input'!$C$4</f>
        <v>6.3657407407407399E-2</v>
      </c>
    </row>
    <row r="142" spans="1:8" x14ac:dyDescent="0.2">
      <c r="A142" s="1">
        <v>40318</v>
      </c>
      <c r="B142">
        <v>140</v>
      </c>
      <c r="C142" s="6">
        <f>IF('weather data'!C142&gt;'user input'!$C$3,'user input'!$C$3,'weather data'!C142)</f>
        <v>26.111111111111111</v>
      </c>
      <c r="D142" s="6">
        <f>IF('weather data'!D142&lt;'user input'!$C$2,'user input'!$C$2,'weather data'!D142)</f>
        <v>10</v>
      </c>
      <c r="E142">
        <f t="shared" si="2"/>
        <v>18.055555555555557</v>
      </c>
      <c r="F142">
        <f>IF((E142-'user input'!$C$2)&lt;0,0,E142-'user input'!$C$2)</f>
        <v>8.0555555555555571</v>
      </c>
      <c r="G142">
        <f>IF(B142&lt;'user input'!$C$5,0,(F142+G141))</f>
        <v>84.444444444444429</v>
      </c>
      <c r="H142">
        <f>G142/'user input'!$C$4</f>
        <v>7.0370370370370361E-2</v>
      </c>
    </row>
    <row r="143" spans="1:8" x14ac:dyDescent="0.2">
      <c r="A143" s="1">
        <v>40319</v>
      </c>
      <c r="B143">
        <v>141</v>
      </c>
      <c r="C143" s="6">
        <f>IF('weather data'!C143&gt;'user input'!$C$3,'user input'!$C$3,'weather data'!C143)</f>
        <v>25.555555555555554</v>
      </c>
      <c r="D143" s="6">
        <f>IF('weather data'!D143&lt;'user input'!$C$2,'user input'!$C$2,'weather data'!D143)</f>
        <v>10</v>
      </c>
      <c r="E143">
        <f t="shared" si="2"/>
        <v>17.777777777777779</v>
      </c>
      <c r="F143">
        <f>IF((E143-'user input'!$C$2)&lt;0,0,E143-'user input'!$C$2)</f>
        <v>7.7777777777777786</v>
      </c>
      <c r="G143">
        <f>IF(B143&lt;'user input'!$C$5,0,(F143+G142))</f>
        <v>92.2222222222222</v>
      </c>
      <c r="H143">
        <f>G143/'user input'!$C$4</f>
        <v>7.6851851851851838E-2</v>
      </c>
    </row>
    <row r="144" spans="1:8" x14ac:dyDescent="0.2">
      <c r="A144" s="1">
        <v>40320</v>
      </c>
      <c r="B144">
        <v>142</v>
      </c>
      <c r="C144" s="6">
        <f>IF('weather data'!C144&gt;'user input'!$C$3,'user input'!$C$3,'weather data'!C144)</f>
        <v>18.333333333333332</v>
      </c>
      <c r="D144" s="6">
        <f>IF('weather data'!D144&lt;'user input'!$C$2,'user input'!$C$2,'weather data'!D144)</f>
        <v>12.777777777777777</v>
      </c>
      <c r="E144">
        <f t="shared" si="2"/>
        <v>15.555555555555554</v>
      </c>
      <c r="F144">
        <f>IF((E144-'user input'!$C$2)&lt;0,0,E144-'user input'!$C$2)</f>
        <v>5.5555555555555536</v>
      </c>
      <c r="G144">
        <f>IF(B144&lt;'user input'!$C$5,0,(F144+G143))</f>
        <v>97.777777777777757</v>
      </c>
      <c r="H144">
        <f>G144/'user input'!$C$4</f>
        <v>8.148148148148146E-2</v>
      </c>
    </row>
    <row r="145" spans="1:8" x14ac:dyDescent="0.2">
      <c r="A145" s="1">
        <v>40321</v>
      </c>
      <c r="B145">
        <v>143</v>
      </c>
      <c r="C145" s="6">
        <f>IF('weather data'!C145&gt;'user input'!$C$3,'user input'!$C$3,'weather data'!C145)</f>
        <v>25.555555555555554</v>
      </c>
      <c r="D145" s="6">
        <f>IF('weather data'!D145&lt;'user input'!$C$2,'user input'!$C$2,'weather data'!D145)</f>
        <v>13.888888888888889</v>
      </c>
      <c r="E145">
        <f t="shared" si="2"/>
        <v>19.722222222222221</v>
      </c>
      <c r="F145">
        <f>IF((E145-'user input'!$C$2)&lt;0,0,E145-'user input'!$C$2)</f>
        <v>9.7222222222222214</v>
      </c>
      <c r="G145">
        <f>IF(B145&lt;'user input'!$C$5,0,(F145+G144))</f>
        <v>107.49999999999997</v>
      </c>
      <c r="H145">
        <f>G145/'user input'!$C$4</f>
        <v>8.9583333333333307E-2</v>
      </c>
    </row>
    <row r="146" spans="1:8" x14ac:dyDescent="0.2">
      <c r="A146" s="1">
        <v>40322</v>
      </c>
      <c r="B146">
        <v>144</v>
      </c>
      <c r="C146" s="6">
        <f>IF('weather data'!C146&gt;'user input'!$C$3,'user input'!$C$3,'weather data'!C146)</f>
        <v>30</v>
      </c>
      <c r="D146" s="6">
        <f>IF('weather data'!D146&lt;'user input'!$C$2,'user input'!$C$2,'weather data'!D146)</f>
        <v>21.111111111111111</v>
      </c>
      <c r="E146">
        <f t="shared" ref="E146:E209" si="3">(C146+D146)/2</f>
        <v>25.555555555555557</v>
      </c>
      <c r="F146">
        <f>IF((E146-'user input'!$C$2)&lt;0,0,E146-'user input'!$C$2)</f>
        <v>15.555555555555557</v>
      </c>
      <c r="G146">
        <f>IF(B146&lt;'user input'!$C$5,0,(F146+G145))</f>
        <v>123.05555555555553</v>
      </c>
      <c r="H146">
        <f>G146/'user input'!$C$4</f>
        <v>0.10254629629629627</v>
      </c>
    </row>
    <row r="147" spans="1:8" x14ac:dyDescent="0.2">
      <c r="A147" s="1">
        <v>40323</v>
      </c>
      <c r="B147">
        <v>145</v>
      </c>
      <c r="C147" s="6">
        <f>IF('weather data'!C147&gt;'user input'!$C$3,'user input'!$C$3,'weather data'!C147)</f>
        <v>30</v>
      </c>
      <c r="D147" s="6">
        <f>IF('weather data'!D147&lt;'user input'!$C$2,'user input'!$C$2,'weather data'!D147)</f>
        <v>20.555555555555554</v>
      </c>
      <c r="E147">
        <f t="shared" si="3"/>
        <v>25.277777777777779</v>
      </c>
      <c r="F147">
        <f>IF((E147-'user input'!$C$2)&lt;0,0,E147-'user input'!$C$2)</f>
        <v>15.277777777777779</v>
      </c>
      <c r="G147">
        <f>IF(B147&lt;'user input'!$C$5,0,(F147+G146))</f>
        <v>138.33333333333331</v>
      </c>
      <c r="H147">
        <f>G147/'user input'!$C$4</f>
        <v>0.11527777777777776</v>
      </c>
    </row>
    <row r="148" spans="1:8" x14ac:dyDescent="0.2">
      <c r="A148" s="1">
        <v>40324</v>
      </c>
      <c r="B148">
        <v>146</v>
      </c>
      <c r="C148" s="6">
        <f>IF('weather data'!C148&gt;'user input'!$C$3,'user input'!$C$3,'weather data'!C148)</f>
        <v>28.333333333333336</v>
      </c>
      <c r="D148" s="6">
        <f>IF('weather data'!D148&lt;'user input'!$C$2,'user input'!$C$2,'weather data'!D148)</f>
        <v>16.666666666666668</v>
      </c>
      <c r="E148">
        <f t="shared" si="3"/>
        <v>22.5</v>
      </c>
      <c r="F148">
        <f>IF((E148-'user input'!$C$2)&lt;0,0,E148-'user input'!$C$2)</f>
        <v>12.5</v>
      </c>
      <c r="G148">
        <f>IF(B148&lt;'user input'!$C$5,0,(F148+G147))</f>
        <v>150.83333333333331</v>
      </c>
      <c r="H148">
        <f>G148/'user input'!$C$4</f>
        <v>0.12569444444444444</v>
      </c>
    </row>
    <row r="149" spans="1:8" x14ac:dyDescent="0.2">
      <c r="A149" s="1">
        <v>40325</v>
      </c>
      <c r="B149">
        <v>147</v>
      </c>
      <c r="C149" s="6">
        <f>IF('weather data'!C149&gt;'user input'!$C$3,'user input'!$C$3,'weather data'!C149)</f>
        <v>29.444444444444446</v>
      </c>
      <c r="D149" s="6">
        <f>IF('weather data'!D149&lt;'user input'!$C$2,'user input'!$C$2,'weather data'!D149)</f>
        <v>16.666666666666668</v>
      </c>
      <c r="E149">
        <f t="shared" si="3"/>
        <v>23.055555555555557</v>
      </c>
      <c r="F149">
        <f>IF((E149-'user input'!$C$2)&lt;0,0,E149-'user input'!$C$2)</f>
        <v>13.055555555555557</v>
      </c>
      <c r="G149">
        <f>IF(B149&lt;'user input'!$C$5,0,(F149+G148))</f>
        <v>163.88888888888886</v>
      </c>
      <c r="H149">
        <f>G149/'user input'!$C$4</f>
        <v>0.13657407407407404</v>
      </c>
    </row>
    <row r="150" spans="1:8" x14ac:dyDescent="0.2">
      <c r="A150" s="1">
        <v>40326</v>
      </c>
      <c r="B150">
        <v>148</v>
      </c>
      <c r="C150" s="6">
        <f>IF('weather data'!C150&gt;'user input'!$C$3,'user input'!$C$3,'weather data'!C150)</f>
        <v>28.333333333333336</v>
      </c>
      <c r="D150" s="6">
        <f>IF('weather data'!D150&lt;'user input'!$C$2,'user input'!$C$2,'weather data'!D150)</f>
        <v>10</v>
      </c>
      <c r="E150">
        <f t="shared" si="3"/>
        <v>19.166666666666668</v>
      </c>
      <c r="F150">
        <f>IF((E150-'user input'!$C$2)&lt;0,0,E150-'user input'!$C$2)</f>
        <v>9.1666666666666679</v>
      </c>
      <c r="G150">
        <f>IF(B150&lt;'user input'!$C$5,0,(F150+G149))</f>
        <v>173.05555555555551</v>
      </c>
      <c r="H150">
        <f>G150/'user input'!$C$4</f>
        <v>0.14421296296296293</v>
      </c>
    </row>
    <row r="151" spans="1:8" x14ac:dyDescent="0.2">
      <c r="A151" s="1">
        <v>40327</v>
      </c>
      <c r="B151">
        <v>149</v>
      </c>
      <c r="C151" s="6">
        <f>IF('weather data'!C151&gt;'user input'!$C$3,'user input'!$C$3,'weather data'!C151)</f>
        <v>28.333333333333336</v>
      </c>
      <c r="D151" s="6">
        <f>IF('weather data'!D151&lt;'user input'!$C$2,'user input'!$C$2,'weather data'!D151)</f>
        <v>12.222222222222223</v>
      </c>
      <c r="E151">
        <f t="shared" si="3"/>
        <v>20.277777777777779</v>
      </c>
      <c r="F151">
        <f>IF((E151-'user input'!$C$2)&lt;0,0,E151-'user input'!$C$2)</f>
        <v>10.277777777777779</v>
      </c>
      <c r="G151">
        <f>IF(B151&lt;'user input'!$C$5,0,(F151+G150))</f>
        <v>183.33333333333329</v>
      </c>
      <c r="H151">
        <f>G151/'user input'!$C$4</f>
        <v>0.15277777777777773</v>
      </c>
    </row>
    <row r="152" spans="1:8" x14ac:dyDescent="0.2">
      <c r="A152" s="1">
        <v>40328</v>
      </c>
      <c r="B152">
        <v>150</v>
      </c>
      <c r="C152" s="6">
        <f>IF('weather data'!C152&gt;'user input'!$C$3,'user input'!$C$3,'weather data'!C152)</f>
        <v>30</v>
      </c>
      <c r="D152" s="6">
        <f>IF('weather data'!D152&lt;'user input'!$C$2,'user input'!$C$2,'weather data'!D152)</f>
        <v>16.666666666666668</v>
      </c>
      <c r="E152">
        <f t="shared" si="3"/>
        <v>23.333333333333336</v>
      </c>
      <c r="F152">
        <f>IF((E152-'user input'!$C$2)&lt;0,0,E152-'user input'!$C$2)</f>
        <v>13.333333333333336</v>
      </c>
      <c r="G152">
        <f>IF(B152&lt;'user input'!$C$5,0,(F152+G151))</f>
        <v>196.66666666666663</v>
      </c>
      <c r="H152">
        <f>G152/'user input'!$C$4</f>
        <v>0.16388888888888886</v>
      </c>
    </row>
    <row r="153" spans="1:8" x14ac:dyDescent="0.2">
      <c r="A153" s="1">
        <v>40329</v>
      </c>
      <c r="B153">
        <v>151</v>
      </c>
      <c r="C153" s="6">
        <f>IF('weather data'!C153&gt;'user input'!$C$3,'user input'!$C$3,'weather data'!C153)</f>
        <v>30</v>
      </c>
      <c r="D153" s="6">
        <f>IF('weather data'!D153&lt;'user input'!$C$2,'user input'!$C$2,'weather data'!D153)</f>
        <v>17.222222222222221</v>
      </c>
      <c r="E153">
        <f t="shared" si="3"/>
        <v>23.611111111111111</v>
      </c>
      <c r="F153">
        <f>IF((E153-'user input'!$C$2)&lt;0,0,E153-'user input'!$C$2)</f>
        <v>13.611111111111111</v>
      </c>
      <c r="G153">
        <f>IF(B153&lt;'user input'!$C$5,0,(F153+G152))</f>
        <v>210.27777777777774</v>
      </c>
      <c r="H153">
        <f>G153/'user input'!$C$4</f>
        <v>0.17523148148148146</v>
      </c>
    </row>
    <row r="154" spans="1:8" x14ac:dyDescent="0.2">
      <c r="A154" s="1">
        <v>40330</v>
      </c>
      <c r="B154">
        <v>152</v>
      </c>
      <c r="C154" s="6">
        <f>IF('weather data'!C154&gt;'user input'!$C$3,'user input'!$C$3,'weather data'!C154)</f>
        <v>26.666666666666664</v>
      </c>
      <c r="D154" s="6">
        <f>IF('weather data'!D154&lt;'user input'!$C$2,'user input'!$C$2,'weather data'!D154)</f>
        <v>10</v>
      </c>
      <c r="E154">
        <f t="shared" si="3"/>
        <v>18.333333333333332</v>
      </c>
      <c r="F154">
        <f>IF((E154-'user input'!$C$2)&lt;0,0,E154-'user input'!$C$2)</f>
        <v>8.3333333333333321</v>
      </c>
      <c r="G154">
        <f>IF(B154&lt;'user input'!$C$5,0,(F154+G153))</f>
        <v>218.61111111111109</v>
      </c>
      <c r="H154">
        <f>G154/'user input'!$C$4</f>
        <v>0.18217592592592591</v>
      </c>
    </row>
    <row r="155" spans="1:8" x14ac:dyDescent="0.2">
      <c r="A155" s="1">
        <v>40331</v>
      </c>
      <c r="B155">
        <v>153</v>
      </c>
      <c r="C155" s="6">
        <f>IF('weather data'!C155&gt;'user input'!$C$3,'user input'!$C$3,'weather data'!C155)</f>
        <v>28.888888888888889</v>
      </c>
      <c r="D155" s="6">
        <f>IF('weather data'!D155&lt;'user input'!$C$2,'user input'!$C$2,'weather data'!D155)</f>
        <v>13.888888888888889</v>
      </c>
      <c r="E155">
        <f t="shared" si="3"/>
        <v>21.388888888888889</v>
      </c>
      <c r="F155">
        <f>IF((E155-'user input'!$C$2)&lt;0,0,E155-'user input'!$C$2)</f>
        <v>11.388888888888889</v>
      </c>
      <c r="G155">
        <f>IF(B155&lt;'user input'!$C$5,0,(F155+G154))</f>
        <v>229.99999999999997</v>
      </c>
      <c r="H155">
        <f>G155/'user input'!$C$4</f>
        <v>0.19166666666666665</v>
      </c>
    </row>
    <row r="156" spans="1:8" x14ac:dyDescent="0.2">
      <c r="A156" s="1">
        <v>40332</v>
      </c>
      <c r="B156">
        <v>154</v>
      </c>
      <c r="C156" s="6">
        <f>IF('weather data'!C156&gt;'user input'!$C$3,'user input'!$C$3,'weather data'!C156)</f>
        <v>26.111111111111111</v>
      </c>
      <c r="D156" s="6">
        <f>IF('weather data'!D156&lt;'user input'!$C$2,'user input'!$C$2,'weather data'!D156)</f>
        <v>12.222222222222223</v>
      </c>
      <c r="E156">
        <f t="shared" si="3"/>
        <v>19.166666666666668</v>
      </c>
      <c r="F156">
        <f>IF((E156-'user input'!$C$2)&lt;0,0,E156-'user input'!$C$2)</f>
        <v>9.1666666666666679</v>
      </c>
      <c r="G156">
        <f>IF(B156&lt;'user input'!$C$5,0,(F156+G155))</f>
        <v>239.16666666666663</v>
      </c>
      <c r="H156">
        <f>G156/'user input'!$C$4</f>
        <v>0.19930555555555551</v>
      </c>
    </row>
    <row r="157" spans="1:8" x14ac:dyDescent="0.2">
      <c r="A157" s="1">
        <v>40333</v>
      </c>
      <c r="B157">
        <v>155</v>
      </c>
      <c r="C157" s="6">
        <f>IF('weather data'!C157&gt;'user input'!$C$3,'user input'!$C$3,'weather data'!C157)</f>
        <v>23.333333333333336</v>
      </c>
      <c r="D157" s="6">
        <f>IF('weather data'!D157&lt;'user input'!$C$2,'user input'!$C$2,'weather data'!D157)</f>
        <v>13.333333333333332</v>
      </c>
      <c r="E157">
        <f t="shared" si="3"/>
        <v>18.333333333333336</v>
      </c>
      <c r="F157">
        <f>IF((E157-'user input'!$C$2)&lt;0,0,E157-'user input'!$C$2)</f>
        <v>8.3333333333333357</v>
      </c>
      <c r="G157">
        <f>IF(B157&lt;'user input'!$C$5,0,(F157+G156))</f>
        <v>247.49999999999997</v>
      </c>
      <c r="H157">
        <f>G157/'user input'!$C$4</f>
        <v>0.20624999999999999</v>
      </c>
    </row>
    <row r="158" spans="1:8" x14ac:dyDescent="0.2">
      <c r="A158" s="1">
        <v>40334</v>
      </c>
      <c r="B158">
        <v>156</v>
      </c>
      <c r="C158" s="6">
        <f>IF('weather data'!C158&gt;'user input'!$C$3,'user input'!$C$3,'weather data'!C158)</f>
        <v>26.666666666666664</v>
      </c>
      <c r="D158" s="6">
        <f>IF('weather data'!D158&lt;'user input'!$C$2,'user input'!$C$2,'weather data'!D158)</f>
        <v>13.888888888888889</v>
      </c>
      <c r="E158">
        <f t="shared" si="3"/>
        <v>20.277777777777779</v>
      </c>
      <c r="F158">
        <f>IF((E158-'user input'!$C$2)&lt;0,0,E158-'user input'!$C$2)</f>
        <v>10.277777777777779</v>
      </c>
      <c r="G158">
        <f>IF(B158&lt;'user input'!$C$5,0,(F158+G157))</f>
        <v>257.77777777777777</v>
      </c>
      <c r="H158">
        <f>G158/'user input'!$C$4</f>
        <v>0.21481481481481482</v>
      </c>
    </row>
    <row r="159" spans="1:8" x14ac:dyDescent="0.2">
      <c r="A159" s="1">
        <v>40335</v>
      </c>
      <c r="B159">
        <v>157</v>
      </c>
      <c r="C159" s="6">
        <f>IF('weather data'!C159&gt;'user input'!$C$3,'user input'!$C$3,'weather data'!C159)</f>
        <v>26.111111111111111</v>
      </c>
      <c r="D159" s="6">
        <f>IF('weather data'!D159&lt;'user input'!$C$2,'user input'!$C$2,'weather data'!D159)</f>
        <v>11.111111111111111</v>
      </c>
      <c r="E159">
        <f t="shared" si="3"/>
        <v>18.611111111111111</v>
      </c>
      <c r="F159">
        <f>IF((E159-'user input'!$C$2)&lt;0,0,E159-'user input'!$C$2)</f>
        <v>8.6111111111111107</v>
      </c>
      <c r="G159">
        <f>IF(B159&lt;'user input'!$C$5,0,(F159+G158))</f>
        <v>266.38888888888886</v>
      </c>
      <c r="H159">
        <f>G159/'user input'!$C$4</f>
        <v>0.22199074074074071</v>
      </c>
    </row>
    <row r="160" spans="1:8" x14ac:dyDescent="0.2">
      <c r="A160" s="1">
        <v>40336</v>
      </c>
      <c r="B160">
        <v>158</v>
      </c>
      <c r="C160" s="6">
        <f>IF('weather data'!C160&gt;'user input'!$C$3,'user input'!$C$3,'weather data'!C160)</f>
        <v>23.333333333333336</v>
      </c>
      <c r="D160" s="6">
        <f>IF('weather data'!D160&lt;'user input'!$C$2,'user input'!$C$2,'weather data'!D160)</f>
        <v>11.666666666666668</v>
      </c>
      <c r="E160">
        <f t="shared" si="3"/>
        <v>17.5</v>
      </c>
      <c r="F160">
        <f>IF((E160-'user input'!$C$2)&lt;0,0,E160-'user input'!$C$2)</f>
        <v>7.5</v>
      </c>
      <c r="G160">
        <f>IF(B160&lt;'user input'!$C$5,0,(F160+G159))</f>
        <v>273.88888888888886</v>
      </c>
      <c r="H160">
        <f>G160/'user input'!$C$4</f>
        <v>0.22824074074074072</v>
      </c>
    </row>
    <row r="161" spans="1:8" x14ac:dyDescent="0.2">
      <c r="A161" s="1">
        <v>40337</v>
      </c>
      <c r="B161">
        <v>159</v>
      </c>
      <c r="C161" s="6">
        <f>IF('weather data'!C161&gt;'user input'!$C$3,'user input'!$C$3,'weather data'!C161)</f>
        <v>23.333333333333336</v>
      </c>
      <c r="D161" s="6">
        <f>IF('weather data'!D161&lt;'user input'!$C$2,'user input'!$C$2,'weather data'!D161)</f>
        <v>11.666666666666668</v>
      </c>
      <c r="E161">
        <f t="shared" si="3"/>
        <v>17.5</v>
      </c>
      <c r="F161">
        <f>IF((E161-'user input'!$C$2)&lt;0,0,E161-'user input'!$C$2)</f>
        <v>7.5</v>
      </c>
      <c r="G161">
        <f>IF(B161&lt;'user input'!$C$5,0,(F161+G160))</f>
        <v>281.38888888888886</v>
      </c>
      <c r="H161">
        <f>G161/'user input'!$C$4</f>
        <v>0.23449074074074072</v>
      </c>
    </row>
    <row r="162" spans="1:8" x14ac:dyDescent="0.2">
      <c r="A162" s="1">
        <v>40338</v>
      </c>
      <c r="B162">
        <v>160</v>
      </c>
      <c r="C162" s="6">
        <f>IF('weather data'!C162&gt;'user input'!$C$3,'user input'!$C$3,'weather data'!C162)</f>
        <v>17.222222222222221</v>
      </c>
      <c r="D162" s="6">
        <f>IF('weather data'!D162&lt;'user input'!$C$2,'user input'!$C$2,'weather data'!D162)</f>
        <v>12.222222222222223</v>
      </c>
      <c r="E162">
        <f t="shared" si="3"/>
        <v>14.722222222222221</v>
      </c>
      <c r="F162">
        <f>IF((E162-'user input'!$C$2)&lt;0,0,E162-'user input'!$C$2)</f>
        <v>4.7222222222222214</v>
      </c>
      <c r="G162">
        <f>IF(B162&lt;'user input'!$C$5,0,(F162+G161))</f>
        <v>286.11111111111109</v>
      </c>
      <c r="H162">
        <f>G162/'user input'!$C$4</f>
        <v>0.2384259259259259</v>
      </c>
    </row>
    <row r="163" spans="1:8" x14ac:dyDescent="0.2">
      <c r="A163" s="1">
        <v>40339</v>
      </c>
      <c r="B163">
        <v>161</v>
      </c>
      <c r="C163" s="6">
        <f>IF('weather data'!C163&gt;'user input'!$C$3,'user input'!$C$3,'weather data'!C163)</f>
        <v>25.555555555555554</v>
      </c>
      <c r="D163" s="6">
        <f>IF('weather data'!D163&lt;'user input'!$C$2,'user input'!$C$2,'weather data'!D163)</f>
        <v>11.111111111111111</v>
      </c>
      <c r="E163">
        <f t="shared" si="3"/>
        <v>18.333333333333332</v>
      </c>
      <c r="F163">
        <f>IF((E163-'user input'!$C$2)&lt;0,0,E163-'user input'!$C$2)</f>
        <v>8.3333333333333321</v>
      </c>
      <c r="G163">
        <f>IF(B163&lt;'user input'!$C$5,0,(F163+G162))</f>
        <v>294.4444444444444</v>
      </c>
      <c r="H163">
        <f>G163/'user input'!$C$4</f>
        <v>0.24537037037037032</v>
      </c>
    </row>
    <row r="164" spans="1:8" x14ac:dyDescent="0.2">
      <c r="A164" s="1">
        <v>40340</v>
      </c>
      <c r="B164">
        <v>162</v>
      </c>
      <c r="C164" s="6">
        <f>IF('weather data'!C164&gt;'user input'!$C$3,'user input'!$C$3,'weather data'!C164)</f>
        <v>21.111111111111111</v>
      </c>
      <c r="D164" s="6">
        <f>IF('weather data'!D164&lt;'user input'!$C$2,'user input'!$C$2,'weather data'!D164)</f>
        <v>13.888888888888889</v>
      </c>
      <c r="E164">
        <f t="shared" si="3"/>
        <v>17.5</v>
      </c>
      <c r="F164">
        <f>IF((E164-'user input'!$C$2)&lt;0,0,E164-'user input'!$C$2)</f>
        <v>7.5</v>
      </c>
      <c r="G164">
        <f>IF(B164&lt;'user input'!$C$5,0,(F164+G163))</f>
        <v>301.9444444444444</v>
      </c>
      <c r="H164">
        <f>G164/'user input'!$C$4</f>
        <v>0.25162037037037033</v>
      </c>
    </row>
    <row r="165" spans="1:8" x14ac:dyDescent="0.2">
      <c r="A165" s="1">
        <v>40341</v>
      </c>
      <c r="B165">
        <v>163</v>
      </c>
      <c r="C165" s="6">
        <f>IF('weather data'!C165&gt;'user input'!$C$3,'user input'!$C$3,'weather data'!C165)</f>
        <v>29.444444444444446</v>
      </c>
      <c r="D165" s="6">
        <f>IF('weather data'!D165&lt;'user input'!$C$2,'user input'!$C$2,'weather data'!D165)</f>
        <v>15.555555555555555</v>
      </c>
      <c r="E165">
        <f t="shared" si="3"/>
        <v>22.5</v>
      </c>
      <c r="F165">
        <f>IF((E165-'user input'!$C$2)&lt;0,0,E165-'user input'!$C$2)</f>
        <v>12.5</v>
      </c>
      <c r="G165">
        <f>IF(B165&lt;'user input'!$C$5,0,(F165+G164))</f>
        <v>314.4444444444444</v>
      </c>
      <c r="H165">
        <f>G165/'user input'!$C$4</f>
        <v>0.26203703703703701</v>
      </c>
    </row>
    <row r="166" spans="1:8" x14ac:dyDescent="0.2">
      <c r="A166" s="1">
        <v>40342</v>
      </c>
      <c r="B166">
        <v>164</v>
      </c>
      <c r="C166" s="6">
        <f>IF('weather data'!C166&gt;'user input'!$C$3,'user input'!$C$3,'weather data'!C166)</f>
        <v>22.777777777777779</v>
      </c>
      <c r="D166" s="6">
        <f>IF('weather data'!D166&lt;'user input'!$C$2,'user input'!$C$2,'weather data'!D166)</f>
        <v>16.666666666666668</v>
      </c>
      <c r="E166">
        <f t="shared" si="3"/>
        <v>19.722222222222221</v>
      </c>
      <c r="F166">
        <f>IF((E166-'user input'!$C$2)&lt;0,0,E166-'user input'!$C$2)</f>
        <v>9.7222222222222214</v>
      </c>
      <c r="G166">
        <f>IF(B166&lt;'user input'!$C$5,0,(F166+G165))</f>
        <v>324.16666666666663</v>
      </c>
      <c r="H166">
        <f>G166/'user input'!$C$4</f>
        <v>0.27013888888888887</v>
      </c>
    </row>
    <row r="167" spans="1:8" x14ac:dyDescent="0.2">
      <c r="A167" s="1">
        <v>40343</v>
      </c>
      <c r="B167">
        <v>165</v>
      </c>
      <c r="C167" s="6">
        <f>IF('weather data'!C167&gt;'user input'!$C$3,'user input'!$C$3,'weather data'!C167)</f>
        <v>22.777777777777779</v>
      </c>
      <c r="D167" s="6">
        <f>IF('weather data'!D167&lt;'user input'!$C$2,'user input'!$C$2,'weather data'!D167)</f>
        <v>17.222222222222221</v>
      </c>
      <c r="E167">
        <f t="shared" si="3"/>
        <v>20</v>
      </c>
      <c r="F167">
        <f>IF((E167-'user input'!$C$2)&lt;0,0,E167-'user input'!$C$2)</f>
        <v>10</v>
      </c>
      <c r="G167">
        <f>IF(B167&lt;'user input'!$C$5,0,(F167+G166))</f>
        <v>334.16666666666663</v>
      </c>
      <c r="H167">
        <f>G167/'user input'!$C$4</f>
        <v>0.27847222222222218</v>
      </c>
    </row>
    <row r="168" spans="1:8" x14ac:dyDescent="0.2">
      <c r="A168" s="1">
        <v>40344</v>
      </c>
      <c r="B168">
        <v>166</v>
      </c>
      <c r="C168" s="6">
        <f>IF('weather data'!C168&gt;'user input'!$C$3,'user input'!$C$3,'weather data'!C168)</f>
        <v>20.555555555555554</v>
      </c>
      <c r="D168" s="6">
        <f>IF('weather data'!D168&lt;'user input'!$C$2,'user input'!$C$2,'weather data'!D168)</f>
        <v>15</v>
      </c>
      <c r="E168">
        <f t="shared" si="3"/>
        <v>17.777777777777779</v>
      </c>
      <c r="F168">
        <f>IF((E168-'user input'!$C$2)&lt;0,0,E168-'user input'!$C$2)</f>
        <v>7.7777777777777786</v>
      </c>
      <c r="G168">
        <f>IF(B168&lt;'user input'!$C$5,0,(F168+G167))</f>
        <v>341.9444444444444</v>
      </c>
      <c r="H168">
        <f>G168/'user input'!$C$4</f>
        <v>0.28495370370370365</v>
      </c>
    </row>
    <row r="169" spans="1:8" x14ac:dyDescent="0.2">
      <c r="A169" s="1">
        <v>40345</v>
      </c>
      <c r="B169">
        <v>167</v>
      </c>
      <c r="C169" s="6">
        <f>IF('weather data'!C169&gt;'user input'!$C$3,'user input'!$C$3,'weather data'!C169)</f>
        <v>22.222222222222221</v>
      </c>
      <c r="D169" s="6">
        <f>IF('weather data'!D169&lt;'user input'!$C$2,'user input'!$C$2,'weather data'!D169)</f>
        <v>15</v>
      </c>
      <c r="E169">
        <f t="shared" si="3"/>
        <v>18.611111111111111</v>
      </c>
      <c r="F169">
        <f>IF((E169-'user input'!$C$2)&lt;0,0,E169-'user input'!$C$2)</f>
        <v>8.6111111111111107</v>
      </c>
      <c r="G169">
        <f>IF(B169&lt;'user input'!$C$5,0,(F169+G168))</f>
        <v>350.55555555555549</v>
      </c>
      <c r="H169">
        <f>G169/'user input'!$C$4</f>
        <v>0.29212962962962957</v>
      </c>
    </row>
    <row r="170" spans="1:8" x14ac:dyDescent="0.2">
      <c r="A170" s="1">
        <v>40346</v>
      </c>
      <c r="B170">
        <v>168</v>
      </c>
      <c r="C170" s="6">
        <f>IF('weather data'!C170&gt;'user input'!$C$3,'user input'!$C$3,'weather data'!C170)</f>
        <v>26.111111111111111</v>
      </c>
      <c r="D170" s="6">
        <f>IF('weather data'!D170&lt;'user input'!$C$2,'user input'!$C$2,'weather data'!D170)</f>
        <v>13.888888888888889</v>
      </c>
      <c r="E170">
        <f t="shared" si="3"/>
        <v>20</v>
      </c>
      <c r="F170">
        <f>IF((E170-'user input'!$C$2)&lt;0,0,E170-'user input'!$C$2)</f>
        <v>10</v>
      </c>
      <c r="G170">
        <f>IF(B170&lt;'user input'!$C$5,0,(F170+G169))</f>
        <v>360.55555555555549</v>
      </c>
      <c r="H170">
        <f>G170/'user input'!$C$4</f>
        <v>0.30046296296296293</v>
      </c>
    </row>
    <row r="171" spans="1:8" x14ac:dyDescent="0.2">
      <c r="A171" s="1">
        <v>40347</v>
      </c>
      <c r="B171">
        <v>169</v>
      </c>
      <c r="C171" s="6">
        <f>IF('weather data'!C171&gt;'user input'!$C$3,'user input'!$C$3,'weather data'!C171)</f>
        <v>28.333333333333336</v>
      </c>
      <c r="D171" s="6">
        <f>IF('weather data'!D171&lt;'user input'!$C$2,'user input'!$C$2,'weather data'!D171)</f>
        <v>17.222222222222221</v>
      </c>
      <c r="E171">
        <f t="shared" si="3"/>
        <v>22.777777777777779</v>
      </c>
      <c r="F171">
        <f>IF((E171-'user input'!$C$2)&lt;0,0,E171-'user input'!$C$2)</f>
        <v>12.777777777777779</v>
      </c>
      <c r="G171">
        <f>IF(B171&lt;'user input'!$C$5,0,(F171+G170))</f>
        <v>373.33333333333326</v>
      </c>
      <c r="H171">
        <f>G171/'user input'!$C$4</f>
        <v>0.31111111111111106</v>
      </c>
    </row>
    <row r="172" spans="1:8" x14ac:dyDescent="0.2">
      <c r="A172" s="1">
        <v>40348</v>
      </c>
      <c r="B172">
        <v>170</v>
      </c>
      <c r="C172" s="6">
        <f>IF('weather data'!C172&gt;'user input'!$C$3,'user input'!$C$3,'weather data'!C172)</f>
        <v>28.888888888888889</v>
      </c>
      <c r="D172" s="6">
        <f>IF('weather data'!D172&lt;'user input'!$C$2,'user input'!$C$2,'weather data'!D172)</f>
        <v>16.666666666666668</v>
      </c>
      <c r="E172">
        <f t="shared" si="3"/>
        <v>22.777777777777779</v>
      </c>
      <c r="F172">
        <f>IF((E172-'user input'!$C$2)&lt;0,0,E172-'user input'!$C$2)</f>
        <v>12.777777777777779</v>
      </c>
      <c r="G172">
        <f>IF(B172&lt;'user input'!$C$5,0,(F172+G171))</f>
        <v>386.11111111111103</v>
      </c>
      <c r="H172">
        <f>G172/'user input'!$C$4</f>
        <v>0.32175925925925919</v>
      </c>
    </row>
    <row r="173" spans="1:8" x14ac:dyDescent="0.2">
      <c r="A173" s="1">
        <v>40349</v>
      </c>
      <c r="B173">
        <v>171</v>
      </c>
      <c r="C173" s="6">
        <f>IF('weather data'!C173&gt;'user input'!$C$3,'user input'!$C$3,'weather data'!C173)</f>
        <v>27.222222222222221</v>
      </c>
      <c r="D173" s="6">
        <f>IF('weather data'!D173&lt;'user input'!$C$2,'user input'!$C$2,'weather data'!D173)</f>
        <v>15</v>
      </c>
      <c r="E173">
        <f t="shared" si="3"/>
        <v>21.111111111111111</v>
      </c>
      <c r="F173">
        <f>IF((E173-'user input'!$C$2)&lt;0,0,E173-'user input'!$C$2)</f>
        <v>11.111111111111111</v>
      </c>
      <c r="G173">
        <f>IF(B173&lt;'user input'!$C$5,0,(F173+G172))</f>
        <v>397.22222222222211</v>
      </c>
      <c r="H173">
        <f>G173/'user input'!$C$4</f>
        <v>0.33101851851851843</v>
      </c>
    </row>
    <row r="174" spans="1:8" x14ac:dyDescent="0.2">
      <c r="A174" s="1">
        <v>40350</v>
      </c>
      <c r="B174">
        <v>172</v>
      </c>
      <c r="C174" s="6">
        <f>IF('weather data'!C174&gt;'user input'!$C$3,'user input'!$C$3,'weather data'!C174)</f>
        <v>26.111111111111111</v>
      </c>
      <c r="D174" s="6">
        <f>IF('weather data'!D174&lt;'user input'!$C$2,'user input'!$C$2,'weather data'!D174)</f>
        <v>16.666666666666668</v>
      </c>
      <c r="E174">
        <f t="shared" si="3"/>
        <v>21.388888888888889</v>
      </c>
      <c r="F174">
        <f>IF((E174-'user input'!$C$2)&lt;0,0,E174-'user input'!$C$2)</f>
        <v>11.388888888888889</v>
      </c>
      <c r="G174">
        <f>IF(B174&lt;'user input'!$C$5,0,(F174+G173))</f>
        <v>408.61111111111103</v>
      </c>
      <c r="H174">
        <f>G174/'user input'!$C$4</f>
        <v>0.34050925925925918</v>
      </c>
    </row>
    <row r="175" spans="1:8" x14ac:dyDescent="0.2">
      <c r="A175" s="1">
        <v>40351</v>
      </c>
      <c r="B175">
        <v>173</v>
      </c>
      <c r="C175" s="6">
        <f>IF('weather data'!C175&gt;'user input'!$C$3,'user input'!$C$3,'weather data'!C175)</f>
        <v>26.111111111111111</v>
      </c>
      <c r="D175" s="6">
        <f>IF('weather data'!D175&lt;'user input'!$C$2,'user input'!$C$2,'weather data'!D175)</f>
        <v>17.777777777777779</v>
      </c>
      <c r="E175">
        <f t="shared" si="3"/>
        <v>21.944444444444443</v>
      </c>
      <c r="F175">
        <f>IF((E175-'user input'!$C$2)&lt;0,0,E175-'user input'!$C$2)</f>
        <v>11.944444444444443</v>
      </c>
      <c r="G175">
        <f>IF(B175&lt;'user input'!$C$5,0,(F175+G174))</f>
        <v>420.55555555555549</v>
      </c>
      <c r="H175">
        <f>G175/'user input'!$C$4</f>
        <v>0.35046296296296292</v>
      </c>
    </row>
    <row r="176" spans="1:8" x14ac:dyDescent="0.2">
      <c r="A176" s="1">
        <v>40352</v>
      </c>
      <c r="B176">
        <v>174</v>
      </c>
      <c r="C176" s="6">
        <f>IF('weather data'!C176&gt;'user input'!$C$3,'user input'!$C$3,'weather data'!C176)</f>
        <v>30</v>
      </c>
      <c r="D176" s="6">
        <f>IF('weather data'!D176&lt;'user input'!$C$2,'user input'!$C$2,'weather data'!D176)</f>
        <v>18.888888888888889</v>
      </c>
      <c r="E176">
        <f t="shared" si="3"/>
        <v>24.444444444444443</v>
      </c>
      <c r="F176">
        <f>IF((E176-'user input'!$C$2)&lt;0,0,E176-'user input'!$C$2)</f>
        <v>14.444444444444443</v>
      </c>
      <c r="G176">
        <f>IF(B176&lt;'user input'!$C$5,0,(F176+G175))</f>
        <v>434.99999999999994</v>
      </c>
      <c r="H176">
        <f>G176/'user input'!$C$4</f>
        <v>0.36249999999999993</v>
      </c>
    </row>
    <row r="177" spans="1:8" x14ac:dyDescent="0.2">
      <c r="A177" s="1">
        <v>40353</v>
      </c>
      <c r="B177">
        <v>175</v>
      </c>
      <c r="C177" s="6">
        <f>IF('weather data'!C177&gt;'user input'!$C$3,'user input'!$C$3,'weather data'!C177)</f>
        <v>27.777777777777779</v>
      </c>
      <c r="D177" s="6">
        <f>IF('weather data'!D177&lt;'user input'!$C$2,'user input'!$C$2,'weather data'!D177)</f>
        <v>15.555555555555555</v>
      </c>
      <c r="E177">
        <f t="shared" si="3"/>
        <v>21.666666666666668</v>
      </c>
      <c r="F177">
        <f>IF((E177-'user input'!$C$2)&lt;0,0,E177-'user input'!$C$2)</f>
        <v>11.666666666666668</v>
      </c>
      <c r="G177">
        <f>IF(B177&lt;'user input'!$C$5,0,(F177+G176))</f>
        <v>446.66666666666663</v>
      </c>
      <c r="H177">
        <f>G177/'user input'!$C$4</f>
        <v>0.37222222222222218</v>
      </c>
    </row>
    <row r="178" spans="1:8" x14ac:dyDescent="0.2">
      <c r="A178" s="1">
        <v>40354</v>
      </c>
      <c r="B178">
        <v>176</v>
      </c>
      <c r="C178" s="6">
        <f>IF('weather data'!C178&gt;'user input'!$C$3,'user input'!$C$3,'weather data'!C178)</f>
        <v>27.777777777777779</v>
      </c>
      <c r="D178" s="6">
        <f>IF('weather data'!D178&lt;'user input'!$C$2,'user input'!$C$2,'weather data'!D178)</f>
        <v>15</v>
      </c>
      <c r="E178">
        <f t="shared" si="3"/>
        <v>21.388888888888889</v>
      </c>
      <c r="F178">
        <f>IF((E178-'user input'!$C$2)&lt;0,0,E178-'user input'!$C$2)</f>
        <v>11.388888888888889</v>
      </c>
      <c r="G178">
        <f>IF(B178&lt;'user input'!$C$5,0,(F178+G177))</f>
        <v>458.05555555555554</v>
      </c>
      <c r="H178">
        <f>G178/'user input'!$C$4</f>
        <v>0.38171296296296298</v>
      </c>
    </row>
    <row r="179" spans="1:8" x14ac:dyDescent="0.2">
      <c r="A179" s="1">
        <v>40355</v>
      </c>
      <c r="B179">
        <v>177</v>
      </c>
      <c r="C179" s="6">
        <f>IF('weather data'!C179&gt;'user input'!$C$3,'user input'!$C$3,'weather data'!C179)</f>
        <v>28.888888888888889</v>
      </c>
      <c r="D179" s="6">
        <f>IF('weather data'!D179&lt;'user input'!$C$2,'user input'!$C$2,'weather data'!D179)</f>
        <v>16.111111111111111</v>
      </c>
      <c r="E179">
        <f t="shared" si="3"/>
        <v>22.5</v>
      </c>
      <c r="F179">
        <f>IF((E179-'user input'!$C$2)&lt;0,0,E179-'user input'!$C$2)</f>
        <v>12.5</v>
      </c>
      <c r="G179">
        <f>IF(B179&lt;'user input'!$C$5,0,(F179+G178))</f>
        <v>470.55555555555554</v>
      </c>
      <c r="H179">
        <f>G179/'user input'!$C$4</f>
        <v>0.39212962962962961</v>
      </c>
    </row>
    <row r="180" spans="1:8" x14ac:dyDescent="0.2">
      <c r="A180" s="1">
        <v>40356</v>
      </c>
      <c r="B180">
        <v>178</v>
      </c>
      <c r="C180" s="6">
        <f>IF('weather data'!C180&gt;'user input'!$C$3,'user input'!$C$3,'weather data'!C180)</f>
        <v>28.888888888888889</v>
      </c>
      <c r="D180" s="6">
        <f>IF('weather data'!D180&lt;'user input'!$C$2,'user input'!$C$2,'weather data'!D180)</f>
        <v>19.444444444444443</v>
      </c>
      <c r="E180">
        <f t="shared" si="3"/>
        <v>24.166666666666664</v>
      </c>
      <c r="F180">
        <f>IF((E180-'user input'!$C$2)&lt;0,0,E180-'user input'!$C$2)</f>
        <v>14.166666666666664</v>
      </c>
      <c r="G180">
        <f>IF(B180&lt;'user input'!$C$5,0,(F180+G179))</f>
        <v>484.72222222222223</v>
      </c>
      <c r="H180">
        <f>G180/'user input'!$C$4</f>
        <v>0.40393518518518517</v>
      </c>
    </row>
    <row r="181" spans="1:8" x14ac:dyDescent="0.2">
      <c r="A181" s="1">
        <v>40357</v>
      </c>
      <c r="B181">
        <v>179</v>
      </c>
      <c r="C181" s="6">
        <f>IF('weather data'!C181&gt;'user input'!$C$3,'user input'!$C$3,'weather data'!C181)</f>
        <v>28.333333333333336</v>
      </c>
      <c r="D181" s="6">
        <f>IF('weather data'!D181&lt;'user input'!$C$2,'user input'!$C$2,'weather data'!D181)</f>
        <v>16.666666666666668</v>
      </c>
      <c r="E181">
        <f t="shared" si="3"/>
        <v>22.5</v>
      </c>
      <c r="F181">
        <f>IF((E181-'user input'!$C$2)&lt;0,0,E181-'user input'!$C$2)</f>
        <v>12.5</v>
      </c>
      <c r="G181">
        <f>IF(B181&lt;'user input'!$C$5,0,(F181+G180))</f>
        <v>497.22222222222223</v>
      </c>
      <c r="H181">
        <f>G181/'user input'!$C$4</f>
        <v>0.41435185185185186</v>
      </c>
    </row>
    <row r="182" spans="1:8" x14ac:dyDescent="0.2">
      <c r="A182" s="1">
        <v>40358</v>
      </c>
      <c r="B182">
        <v>180</v>
      </c>
      <c r="C182" s="6">
        <f>IF('weather data'!C182&gt;'user input'!$C$3,'user input'!$C$3,'weather data'!C182)</f>
        <v>25</v>
      </c>
      <c r="D182" s="6">
        <f>IF('weather data'!D182&lt;'user input'!$C$2,'user input'!$C$2,'weather data'!D182)</f>
        <v>12.222222222222223</v>
      </c>
      <c r="E182">
        <f t="shared" si="3"/>
        <v>18.611111111111111</v>
      </c>
      <c r="F182">
        <f>IF((E182-'user input'!$C$2)&lt;0,0,E182-'user input'!$C$2)</f>
        <v>8.6111111111111107</v>
      </c>
      <c r="G182">
        <f>IF(B182&lt;'user input'!$C$5,0,(F182+G181))</f>
        <v>505.83333333333331</v>
      </c>
      <c r="H182">
        <f>G182/'user input'!$C$4</f>
        <v>0.42152777777777778</v>
      </c>
    </row>
    <row r="183" spans="1:8" x14ac:dyDescent="0.2">
      <c r="A183" s="1">
        <v>40359</v>
      </c>
      <c r="B183">
        <v>181</v>
      </c>
      <c r="C183" s="6">
        <f>IF('weather data'!C183&gt;'user input'!$C$3,'user input'!$C$3,'weather data'!C183)</f>
        <v>23.333333333333336</v>
      </c>
      <c r="D183" s="6">
        <f>IF('weather data'!D183&lt;'user input'!$C$2,'user input'!$C$2,'weather data'!D183)</f>
        <v>10</v>
      </c>
      <c r="E183">
        <f t="shared" si="3"/>
        <v>16.666666666666668</v>
      </c>
      <c r="F183">
        <f>IF((E183-'user input'!$C$2)&lt;0,0,E183-'user input'!$C$2)</f>
        <v>6.6666666666666679</v>
      </c>
      <c r="G183">
        <f>IF(B183&lt;'user input'!$C$5,0,(F183+G182))</f>
        <v>512.5</v>
      </c>
      <c r="H183">
        <f>G183/'user input'!$C$4</f>
        <v>0.42708333333333331</v>
      </c>
    </row>
    <row r="184" spans="1:8" x14ac:dyDescent="0.2">
      <c r="A184" s="1">
        <v>40360</v>
      </c>
      <c r="B184">
        <v>182</v>
      </c>
      <c r="C184" s="6">
        <f>IF('weather data'!C184&gt;'user input'!$C$3,'user input'!$C$3,'weather data'!C184)</f>
        <v>24.444444444444446</v>
      </c>
      <c r="D184" s="6">
        <f>IF('weather data'!D184&lt;'user input'!$C$2,'user input'!$C$2,'weather data'!D184)</f>
        <v>12.222222222222223</v>
      </c>
      <c r="E184">
        <f t="shared" si="3"/>
        <v>18.333333333333336</v>
      </c>
      <c r="F184">
        <f>IF((E184-'user input'!$C$2)&lt;0,0,E184-'user input'!$C$2)</f>
        <v>8.3333333333333357</v>
      </c>
      <c r="G184">
        <f>IF(B184&lt;'user input'!$C$5,0,(F184+G183))</f>
        <v>520.83333333333337</v>
      </c>
      <c r="H184">
        <f>G184/'user input'!$C$4</f>
        <v>0.43402777777777779</v>
      </c>
    </row>
    <row r="185" spans="1:8" x14ac:dyDescent="0.2">
      <c r="A185" s="1">
        <v>40361</v>
      </c>
      <c r="B185">
        <v>183</v>
      </c>
      <c r="C185" s="6">
        <f>IF('weather data'!C185&gt;'user input'!$C$3,'user input'!$C$3,'weather data'!C185)</f>
        <v>25.555555555555554</v>
      </c>
      <c r="D185" s="6">
        <f>IF('weather data'!D185&lt;'user input'!$C$2,'user input'!$C$2,'weather data'!D185)</f>
        <v>12.777777777777777</v>
      </c>
      <c r="E185">
        <f t="shared" si="3"/>
        <v>19.166666666666664</v>
      </c>
      <c r="F185">
        <f>IF((E185-'user input'!$C$2)&lt;0,0,E185-'user input'!$C$2)</f>
        <v>9.1666666666666643</v>
      </c>
      <c r="G185">
        <f>IF(B185&lt;'user input'!$C$5,0,(F185+G184))</f>
        <v>530</v>
      </c>
      <c r="H185">
        <f>G185/'user input'!$C$4</f>
        <v>0.44166666666666665</v>
      </c>
    </row>
    <row r="186" spans="1:8" x14ac:dyDescent="0.2">
      <c r="A186" s="1">
        <v>40362</v>
      </c>
      <c r="B186">
        <v>184</v>
      </c>
      <c r="C186" s="6">
        <f>IF('weather data'!C186&gt;'user input'!$C$3,'user input'!$C$3,'weather data'!C186)</f>
        <v>27.222222222222221</v>
      </c>
      <c r="D186" s="6">
        <f>IF('weather data'!D186&lt;'user input'!$C$2,'user input'!$C$2,'weather data'!D186)</f>
        <v>13.888888888888889</v>
      </c>
      <c r="E186">
        <f t="shared" si="3"/>
        <v>20.555555555555557</v>
      </c>
      <c r="F186">
        <f>IF((E186-'user input'!$C$2)&lt;0,0,E186-'user input'!$C$2)</f>
        <v>10.555555555555557</v>
      </c>
      <c r="G186">
        <f>IF(B186&lt;'user input'!$C$5,0,(F186+G185))</f>
        <v>540.55555555555554</v>
      </c>
      <c r="H186">
        <f>G186/'user input'!$C$4</f>
        <v>0.45046296296296295</v>
      </c>
    </row>
    <row r="187" spans="1:8" x14ac:dyDescent="0.2">
      <c r="A187" s="1">
        <v>40363</v>
      </c>
      <c r="B187">
        <v>185</v>
      </c>
      <c r="C187" s="6">
        <f>IF('weather data'!C187&gt;'user input'!$C$3,'user input'!$C$3,'weather data'!C187)</f>
        <v>30</v>
      </c>
      <c r="D187" s="6">
        <f>IF('weather data'!D187&lt;'user input'!$C$2,'user input'!$C$2,'weather data'!D187)</f>
        <v>18.888888888888889</v>
      </c>
      <c r="E187">
        <f t="shared" si="3"/>
        <v>24.444444444444443</v>
      </c>
      <c r="F187">
        <f>IF((E187-'user input'!$C$2)&lt;0,0,E187-'user input'!$C$2)</f>
        <v>14.444444444444443</v>
      </c>
      <c r="G187">
        <f>IF(B187&lt;'user input'!$C$5,0,(F187+G186))</f>
        <v>555</v>
      </c>
      <c r="H187">
        <f>G187/'user input'!$C$4</f>
        <v>0.46250000000000002</v>
      </c>
    </row>
    <row r="188" spans="1:8" x14ac:dyDescent="0.2">
      <c r="A188" s="1">
        <v>40364</v>
      </c>
      <c r="B188">
        <v>186</v>
      </c>
      <c r="C188" s="6">
        <f>IF('weather data'!C188&gt;'user input'!$C$3,'user input'!$C$3,'weather data'!C188)</f>
        <v>30</v>
      </c>
      <c r="D188" s="6">
        <f>IF('weather data'!D188&lt;'user input'!$C$2,'user input'!$C$2,'weather data'!D188)</f>
        <v>21.111111111111111</v>
      </c>
      <c r="E188">
        <f t="shared" si="3"/>
        <v>25.555555555555557</v>
      </c>
      <c r="F188">
        <f>IF((E188-'user input'!$C$2)&lt;0,0,E188-'user input'!$C$2)</f>
        <v>15.555555555555557</v>
      </c>
      <c r="G188">
        <f>IF(B188&lt;'user input'!$C$5,0,(F188+G187))</f>
        <v>570.55555555555554</v>
      </c>
      <c r="H188">
        <f>G188/'user input'!$C$4</f>
        <v>0.47546296296296298</v>
      </c>
    </row>
    <row r="189" spans="1:8" x14ac:dyDescent="0.2">
      <c r="A189" s="1">
        <v>40365</v>
      </c>
      <c r="B189">
        <v>187</v>
      </c>
      <c r="C189" s="6">
        <f>IF('weather data'!C189&gt;'user input'!$C$3,'user input'!$C$3,'weather data'!C189)</f>
        <v>26.111111111111111</v>
      </c>
      <c r="D189" s="6">
        <f>IF('weather data'!D189&lt;'user input'!$C$2,'user input'!$C$2,'weather data'!D189)</f>
        <v>21.666666666666664</v>
      </c>
      <c r="E189">
        <f t="shared" si="3"/>
        <v>23.888888888888886</v>
      </c>
      <c r="F189">
        <f>IF((E189-'user input'!$C$2)&lt;0,0,E189-'user input'!$C$2)</f>
        <v>13.888888888888886</v>
      </c>
      <c r="G189">
        <f>IF(B189&lt;'user input'!$C$5,0,(F189+G188))</f>
        <v>584.44444444444446</v>
      </c>
      <c r="H189">
        <f>G189/'user input'!$C$4</f>
        <v>0.48703703703703705</v>
      </c>
    </row>
    <row r="190" spans="1:8" x14ac:dyDescent="0.2">
      <c r="A190" s="1">
        <v>40366</v>
      </c>
      <c r="B190">
        <v>188</v>
      </c>
      <c r="C190" s="6">
        <f>IF('weather data'!C190&gt;'user input'!$C$3,'user input'!$C$3,'weather data'!C190)</f>
        <v>28.333333333333336</v>
      </c>
      <c r="D190" s="6">
        <f>IF('weather data'!D190&lt;'user input'!$C$2,'user input'!$C$2,'weather data'!D190)</f>
        <v>21.111111111111111</v>
      </c>
      <c r="E190">
        <f t="shared" si="3"/>
        <v>24.722222222222221</v>
      </c>
      <c r="F190">
        <f>IF((E190-'user input'!$C$2)&lt;0,0,E190-'user input'!$C$2)</f>
        <v>14.722222222222221</v>
      </c>
      <c r="G190">
        <f>IF(B190&lt;'user input'!$C$5,0,(F190+G189))</f>
        <v>599.16666666666663</v>
      </c>
      <c r="H190">
        <f>G190/'user input'!$C$4</f>
        <v>0.4993055555555555</v>
      </c>
    </row>
    <row r="191" spans="1:8" x14ac:dyDescent="0.2">
      <c r="A191" s="1">
        <v>40367</v>
      </c>
      <c r="B191">
        <v>189</v>
      </c>
      <c r="C191" s="6">
        <f>IF('weather data'!C191&gt;'user input'!$C$3,'user input'!$C$3,'weather data'!C191)</f>
        <v>28.888888888888889</v>
      </c>
      <c r="D191" s="6">
        <f>IF('weather data'!D191&lt;'user input'!$C$2,'user input'!$C$2,'weather data'!D191)</f>
        <v>20</v>
      </c>
      <c r="E191">
        <f t="shared" si="3"/>
        <v>24.444444444444443</v>
      </c>
      <c r="F191">
        <f>IF((E191-'user input'!$C$2)&lt;0,0,E191-'user input'!$C$2)</f>
        <v>14.444444444444443</v>
      </c>
      <c r="G191">
        <f>IF(B191&lt;'user input'!$C$5,0,(F191+G190))</f>
        <v>613.61111111111109</v>
      </c>
      <c r="H191">
        <f>G191/'user input'!$C$4</f>
        <v>0.51134259259259263</v>
      </c>
    </row>
    <row r="192" spans="1:8" x14ac:dyDescent="0.2">
      <c r="A192" s="1">
        <v>40368</v>
      </c>
      <c r="B192">
        <v>190</v>
      </c>
      <c r="C192" s="6">
        <f>IF('weather data'!C192&gt;'user input'!$C$3,'user input'!$C$3,'weather data'!C192)</f>
        <v>28.888888888888889</v>
      </c>
      <c r="D192" s="6">
        <f>IF('weather data'!D192&lt;'user input'!$C$2,'user input'!$C$2,'weather data'!D192)</f>
        <v>17.222222222222221</v>
      </c>
      <c r="E192">
        <f t="shared" si="3"/>
        <v>23.055555555555557</v>
      </c>
      <c r="F192">
        <f>IF((E192-'user input'!$C$2)&lt;0,0,E192-'user input'!$C$2)</f>
        <v>13.055555555555557</v>
      </c>
      <c r="G192">
        <f>IF(B192&lt;'user input'!$C$5,0,(F192+G191))</f>
        <v>626.66666666666663</v>
      </c>
      <c r="H192">
        <f>G192/'user input'!$C$4</f>
        <v>0.52222222222222214</v>
      </c>
    </row>
    <row r="193" spans="1:8" x14ac:dyDescent="0.2">
      <c r="A193" s="1">
        <v>40369</v>
      </c>
      <c r="B193">
        <v>191</v>
      </c>
      <c r="C193" s="6">
        <f>IF('weather data'!C193&gt;'user input'!$C$3,'user input'!$C$3,'weather data'!C193)</f>
        <v>28.888888888888889</v>
      </c>
      <c r="D193" s="6">
        <f>IF('weather data'!D193&lt;'user input'!$C$2,'user input'!$C$2,'weather data'!D193)</f>
        <v>16.666666666666668</v>
      </c>
      <c r="E193">
        <f t="shared" si="3"/>
        <v>22.777777777777779</v>
      </c>
      <c r="F193">
        <f>IF((E193-'user input'!$C$2)&lt;0,0,E193-'user input'!$C$2)</f>
        <v>12.777777777777779</v>
      </c>
      <c r="G193">
        <f>IF(B193&lt;'user input'!$C$5,0,(F193+G192))</f>
        <v>639.44444444444446</v>
      </c>
      <c r="H193">
        <f>G193/'user input'!$C$4</f>
        <v>0.53287037037037033</v>
      </c>
    </row>
    <row r="194" spans="1:8" x14ac:dyDescent="0.2">
      <c r="A194" s="1">
        <v>40370</v>
      </c>
      <c r="B194">
        <v>192</v>
      </c>
      <c r="C194" s="6">
        <f>IF('weather data'!C194&gt;'user input'!$C$3,'user input'!$C$3,'weather data'!C194)</f>
        <v>29.444444444444446</v>
      </c>
      <c r="D194" s="6">
        <f>IF('weather data'!D194&lt;'user input'!$C$2,'user input'!$C$2,'weather data'!D194)</f>
        <v>16.111111111111111</v>
      </c>
      <c r="E194">
        <f t="shared" si="3"/>
        <v>22.777777777777779</v>
      </c>
      <c r="F194">
        <f>IF((E194-'user input'!$C$2)&lt;0,0,E194-'user input'!$C$2)</f>
        <v>12.777777777777779</v>
      </c>
      <c r="G194">
        <f>IF(B194&lt;'user input'!$C$5,0,(F194+G193))</f>
        <v>652.22222222222229</v>
      </c>
      <c r="H194">
        <f>G194/'user input'!$C$4</f>
        <v>0.54351851851851862</v>
      </c>
    </row>
    <row r="195" spans="1:8" x14ac:dyDescent="0.2">
      <c r="A195" s="1">
        <v>40371</v>
      </c>
      <c r="B195">
        <v>193</v>
      </c>
      <c r="C195" s="6">
        <f>IF('weather data'!C195&gt;'user input'!$C$3,'user input'!$C$3,'weather data'!C195)</f>
        <v>26.666666666666664</v>
      </c>
      <c r="D195" s="6">
        <f>IF('weather data'!D195&lt;'user input'!$C$2,'user input'!$C$2,'weather data'!D195)</f>
        <v>17.222222222222221</v>
      </c>
      <c r="E195">
        <f t="shared" si="3"/>
        <v>21.944444444444443</v>
      </c>
      <c r="F195">
        <f>IF((E195-'user input'!$C$2)&lt;0,0,E195-'user input'!$C$2)</f>
        <v>11.944444444444443</v>
      </c>
      <c r="G195">
        <f>IF(B195&lt;'user input'!$C$5,0,(F195+G194))</f>
        <v>664.16666666666674</v>
      </c>
      <c r="H195">
        <f>G195/'user input'!$C$4</f>
        <v>0.55347222222222225</v>
      </c>
    </row>
    <row r="196" spans="1:8" x14ac:dyDescent="0.2">
      <c r="A196" s="1">
        <v>40372</v>
      </c>
      <c r="B196">
        <v>194</v>
      </c>
      <c r="C196" s="6">
        <f>IF('weather data'!C196&gt;'user input'!$C$3,'user input'!$C$3,'weather data'!C196)</f>
        <v>25.555555555555554</v>
      </c>
      <c r="D196" s="6">
        <f>IF('weather data'!D196&lt;'user input'!$C$2,'user input'!$C$2,'weather data'!D196)</f>
        <v>16.666666666666668</v>
      </c>
      <c r="E196">
        <f t="shared" si="3"/>
        <v>21.111111111111111</v>
      </c>
      <c r="F196">
        <f>IF((E196-'user input'!$C$2)&lt;0,0,E196-'user input'!$C$2)</f>
        <v>11.111111111111111</v>
      </c>
      <c r="G196">
        <f>IF(B196&lt;'user input'!$C$5,0,(F196+G195))</f>
        <v>675.27777777777783</v>
      </c>
      <c r="H196">
        <f>G196/'user input'!$C$4</f>
        <v>0.56273148148148155</v>
      </c>
    </row>
    <row r="197" spans="1:8" x14ac:dyDescent="0.2">
      <c r="A197" s="1">
        <v>40373</v>
      </c>
      <c r="B197">
        <v>195</v>
      </c>
      <c r="C197" s="6">
        <f>IF('weather data'!C197&gt;'user input'!$C$3,'user input'!$C$3,'weather data'!C197)</f>
        <v>28.888888888888889</v>
      </c>
      <c r="D197" s="6">
        <f>IF('weather data'!D197&lt;'user input'!$C$2,'user input'!$C$2,'weather data'!D197)</f>
        <v>19.444444444444443</v>
      </c>
      <c r="E197">
        <f t="shared" si="3"/>
        <v>24.166666666666664</v>
      </c>
      <c r="F197">
        <f>IF((E197-'user input'!$C$2)&lt;0,0,E197-'user input'!$C$2)</f>
        <v>14.166666666666664</v>
      </c>
      <c r="G197">
        <f>IF(B197&lt;'user input'!$C$5,0,(F197+G196))</f>
        <v>689.44444444444446</v>
      </c>
      <c r="H197">
        <f>G197/'user input'!$C$4</f>
        <v>0.57453703703703707</v>
      </c>
    </row>
    <row r="198" spans="1:8" x14ac:dyDescent="0.2">
      <c r="A198" s="1">
        <v>40374</v>
      </c>
      <c r="B198">
        <v>196</v>
      </c>
      <c r="C198" s="6">
        <f>IF('weather data'!C198&gt;'user input'!$C$3,'user input'!$C$3,'weather data'!C198)</f>
        <v>30</v>
      </c>
      <c r="D198" s="6">
        <f>IF('weather data'!D198&lt;'user input'!$C$2,'user input'!$C$2,'weather data'!D198)</f>
        <v>19.444444444444443</v>
      </c>
      <c r="E198">
        <f t="shared" si="3"/>
        <v>24.722222222222221</v>
      </c>
      <c r="F198">
        <f>IF((E198-'user input'!$C$2)&lt;0,0,E198-'user input'!$C$2)</f>
        <v>14.722222222222221</v>
      </c>
      <c r="G198">
        <f>IF(B198&lt;'user input'!$C$5,0,(F198+G197))</f>
        <v>704.16666666666663</v>
      </c>
      <c r="H198">
        <f>G198/'user input'!$C$4</f>
        <v>0.58680555555555547</v>
      </c>
    </row>
    <row r="199" spans="1:8" x14ac:dyDescent="0.2">
      <c r="A199" s="1">
        <v>40375</v>
      </c>
      <c r="B199">
        <v>197</v>
      </c>
      <c r="C199" s="6">
        <f>IF('weather data'!C199&gt;'user input'!$C$3,'user input'!$C$3,'weather data'!C199)</f>
        <v>27.222222222222221</v>
      </c>
      <c r="D199" s="6">
        <f>IF('weather data'!D199&lt;'user input'!$C$2,'user input'!$C$2,'weather data'!D199)</f>
        <v>16.666666666666668</v>
      </c>
      <c r="E199">
        <f t="shared" si="3"/>
        <v>21.944444444444443</v>
      </c>
      <c r="F199">
        <f>IF((E199-'user input'!$C$2)&lt;0,0,E199-'user input'!$C$2)</f>
        <v>11.944444444444443</v>
      </c>
      <c r="G199">
        <f>IF(B199&lt;'user input'!$C$5,0,(F199+G198))</f>
        <v>716.11111111111109</v>
      </c>
      <c r="H199">
        <f>G199/'user input'!$C$4</f>
        <v>0.59675925925925921</v>
      </c>
    </row>
    <row r="200" spans="1:8" x14ac:dyDescent="0.2">
      <c r="A200" s="1">
        <v>40376</v>
      </c>
      <c r="B200">
        <v>198</v>
      </c>
      <c r="C200" s="6">
        <f>IF('weather data'!C200&gt;'user input'!$C$3,'user input'!$C$3,'weather data'!C200)</f>
        <v>30</v>
      </c>
      <c r="D200" s="6">
        <f>IF('weather data'!D200&lt;'user input'!$C$2,'user input'!$C$2,'weather data'!D200)</f>
        <v>18.888888888888889</v>
      </c>
      <c r="E200">
        <f t="shared" si="3"/>
        <v>24.444444444444443</v>
      </c>
      <c r="F200">
        <f>IF((E200-'user input'!$C$2)&lt;0,0,E200-'user input'!$C$2)</f>
        <v>14.444444444444443</v>
      </c>
      <c r="G200">
        <f>IF(B200&lt;'user input'!$C$5,0,(F200+G199))</f>
        <v>730.55555555555554</v>
      </c>
      <c r="H200">
        <f>G200/'user input'!$C$4</f>
        <v>0.60879629629629628</v>
      </c>
    </row>
    <row r="201" spans="1:8" x14ac:dyDescent="0.2">
      <c r="A201" s="1">
        <v>40377</v>
      </c>
      <c r="B201">
        <v>199</v>
      </c>
      <c r="C201" s="6">
        <f>IF('weather data'!C201&gt;'user input'!$C$3,'user input'!$C$3,'weather data'!C201)</f>
        <v>30</v>
      </c>
      <c r="D201" s="6">
        <f>IF('weather data'!D201&lt;'user input'!$C$2,'user input'!$C$2,'weather data'!D201)</f>
        <v>20</v>
      </c>
      <c r="E201">
        <f t="shared" si="3"/>
        <v>25</v>
      </c>
      <c r="F201">
        <f>IF((E201-'user input'!$C$2)&lt;0,0,E201-'user input'!$C$2)</f>
        <v>15</v>
      </c>
      <c r="G201">
        <f>IF(B201&lt;'user input'!$C$5,0,(F201+G200))</f>
        <v>745.55555555555554</v>
      </c>
      <c r="H201">
        <f>G201/'user input'!$C$4</f>
        <v>0.62129629629629624</v>
      </c>
    </row>
    <row r="202" spans="1:8" x14ac:dyDescent="0.2">
      <c r="A202" s="1">
        <v>40378</v>
      </c>
      <c r="B202">
        <v>200</v>
      </c>
      <c r="C202" s="6">
        <f>IF('weather data'!C202&gt;'user input'!$C$3,'user input'!$C$3,'weather data'!C202)</f>
        <v>28.888888888888889</v>
      </c>
      <c r="D202" s="6">
        <f>IF('weather data'!D202&lt;'user input'!$C$2,'user input'!$C$2,'weather data'!D202)</f>
        <v>18.333333333333332</v>
      </c>
      <c r="E202">
        <f t="shared" si="3"/>
        <v>23.611111111111111</v>
      </c>
      <c r="F202">
        <f>IF((E202-'user input'!$C$2)&lt;0,0,E202-'user input'!$C$2)</f>
        <v>13.611111111111111</v>
      </c>
      <c r="G202">
        <f>IF(B202&lt;'user input'!$C$5,0,(F202+G201))</f>
        <v>759.16666666666663</v>
      </c>
      <c r="H202">
        <f>G202/'user input'!$C$4</f>
        <v>0.63263888888888886</v>
      </c>
    </row>
    <row r="203" spans="1:8" x14ac:dyDescent="0.2">
      <c r="A203" s="1">
        <v>40379</v>
      </c>
      <c r="B203">
        <v>201</v>
      </c>
      <c r="C203" s="6">
        <f>IF('weather data'!C203&gt;'user input'!$C$3,'user input'!$C$3,'weather data'!C203)</f>
        <v>27.777777777777779</v>
      </c>
      <c r="D203" s="6">
        <f>IF('weather data'!D203&lt;'user input'!$C$2,'user input'!$C$2,'weather data'!D203)</f>
        <v>17.777777777777779</v>
      </c>
      <c r="E203">
        <f t="shared" si="3"/>
        <v>22.777777777777779</v>
      </c>
      <c r="F203">
        <f>IF((E203-'user input'!$C$2)&lt;0,0,E203-'user input'!$C$2)</f>
        <v>12.777777777777779</v>
      </c>
      <c r="G203">
        <f>IF(B203&lt;'user input'!$C$5,0,(F203+G202))</f>
        <v>771.94444444444446</v>
      </c>
      <c r="H203">
        <f>G203/'user input'!$C$4</f>
        <v>0.64328703703703705</v>
      </c>
    </row>
    <row r="204" spans="1:8" x14ac:dyDescent="0.2">
      <c r="A204" s="1">
        <v>40380</v>
      </c>
      <c r="B204">
        <v>202</v>
      </c>
      <c r="C204" s="6">
        <f>IF('weather data'!C204&gt;'user input'!$C$3,'user input'!$C$3,'weather data'!C204)</f>
        <v>29.444444444444446</v>
      </c>
      <c r="D204" s="6">
        <f>IF('weather data'!D204&lt;'user input'!$C$2,'user input'!$C$2,'weather data'!D204)</f>
        <v>17.777777777777779</v>
      </c>
      <c r="E204">
        <f t="shared" si="3"/>
        <v>23.611111111111114</v>
      </c>
      <c r="F204">
        <f>IF((E204-'user input'!$C$2)&lt;0,0,E204-'user input'!$C$2)</f>
        <v>13.611111111111114</v>
      </c>
      <c r="G204">
        <f>IF(B204&lt;'user input'!$C$5,0,(F204+G203))</f>
        <v>785.55555555555554</v>
      </c>
      <c r="H204">
        <f>G204/'user input'!$C$4</f>
        <v>0.65462962962962967</v>
      </c>
    </row>
    <row r="205" spans="1:8" x14ac:dyDescent="0.2">
      <c r="A205" s="1">
        <v>40381</v>
      </c>
      <c r="B205">
        <v>203</v>
      </c>
      <c r="C205" s="6">
        <f>IF('weather data'!C205&gt;'user input'!$C$3,'user input'!$C$3,'weather data'!C205)</f>
        <v>28.888888888888889</v>
      </c>
      <c r="D205" s="6">
        <f>IF('weather data'!D205&lt;'user input'!$C$2,'user input'!$C$2,'weather data'!D205)</f>
        <v>17.222222222222221</v>
      </c>
      <c r="E205">
        <f t="shared" si="3"/>
        <v>23.055555555555557</v>
      </c>
      <c r="F205">
        <f>IF((E205-'user input'!$C$2)&lt;0,0,E205-'user input'!$C$2)</f>
        <v>13.055555555555557</v>
      </c>
      <c r="G205">
        <f>IF(B205&lt;'user input'!$C$5,0,(F205+G204))</f>
        <v>798.61111111111109</v>
      </c>
      <c r="H205">
        <f>G205/'user input'!$C$4</f>
        <v>0.66550925925925919</v>
      </c>
    </row>
    <row r="206" spans="1:8" x14ac:dyDescent="0.2">
      <c r="A206" s="1">
        <v>40382</v>
      </c>
      <c r="B206">
        <v>204</v>
      </c>
      <c r="C206" s="6">
        <f>IF('weather data'!C206&gt;'user input'!$C$3,'user input'!$C$3,'weather data'!C206)</f>
        <v>27.222222222222221</v>
      </c>
      <c r="D206" s="6">
        <f>IF('weather data'!D206&lt;'user input'!$C$2,'user input'!$C$2,'weather data'!D206)</f>
        <v>18.888888888888889</v>
      </c>
      <c r="E206">
        <f t="shared" si="3"/>
        <v>23.055555555555557</v>
      </c>
      <c r="F206">
        <f>IF((E206-'user input'!$C$2)&lt;0,0,E206-'user input'!$C$2)</f>
        <v>13.055555555555557</v>
      </c>
      <c r="G206">
        <f>IF(B206&lt;'user input'!$C$5,0,(F206+G205))</f>
        <v>811.66666666666663</v>
      </c>
      <c r="H206">
        <f>G206/'user input'!$C$4</f>
        <v>0.67638888888888882</v>
      </c>
    </row>
    <row r="207" spans="1:8" x14ac:dyDescent="0.2">
      <c r="A207" s="1">
        <v>40383</v>
      </c>
      <c r="B207">
        <v>205</v>
      </c>
      <c r="C207" s="6">
        <f>IF('weather data'!C207&gt;'user input'!$C$3,'user input'!$C$3,'weather data'!C207)</f>
        <v>28.333333333333336</v>
      </c>
      <c r="D207" s="6">
        <f>IF('weather data'!D207&lt;'user input'!$C$2,'user input'!$C$2,'weather data'!D207)</f>
        <v>20</v>
      </c>
      <c r="E207">
        <f t="shared" si="3"/>
        <v>24.166666666666668</v>
      </c>
      <c r="F207">
        <f>IF((E207-'user input'!$C$2)&lt;0,0,E207-'user input'!$C$2)</f>
        <v>14.166666666666668</v>
      </c>
      <c r="G207">
        <f>IF(B207&lt;'user input'!$C$5,0,(F207+G206))</f>
        <v>825.83333333333326</v>
      </c>
      <c r="H207">
        <f>G207/'user input'!$C$4</f>
        <v>0.68819444444444433</v>
      </c>
    </row>
    <row r="208" spans="1:8" x14ac:dyDescent="0.2">
      <c r="A208" s="1">
        <v>40384</v>
      </c>
      <c r="B208">
        <v>206</v>
      </c>
      <c r="C208" s="6">
        <f>IF('weather data'!C208&gt;'user input'!$C$3,'user input'!$C$3,'weather data'!C208)</f>
        <v>27.777777777777779</v>
      </c>
      <c r="D208" s="6">
        <f>IF('weather data'!D208&lt;'user input'!$C$2,'user input'!$C$2,'weather data'!D208)</f>
        <v>17.777777777777779</v>
      </c>
      <c r="E208">
        <f t="shared" si="3"/>
        <v>22.777777777777779</v>
      </c>
      <c r="F208">
        <f>IF((E208-'user input'!$C$2)&lt;0,0,E208-'user input'!$C$2)</f>
        <v>12.777777777777779</v>
      </c>
      <c r="G208">
        <f>IF(B208&lt;'user input'!$C$5,0,(F208+G207))</f>
        <v>838.61111111111109</v>
      </c>
      <c r="H208">
        <f>G208/'user input'!$C$4</f>
        <v>0.69884259259259263</v>
      </c>
    </row>
    <row r="209" spans="1:8" x14ac:dyDescent="0.2">
      <c r="A209" s="1">
        <v>40385</v>
      </c>
      <c r="B209">
        <v>207</v>
      </c>
      <c r="C209" s="6">
        <f>IF('weather data'!C209&gt;'user input'!$C$3,'user input'!$C$3,'weather data'!C209)</f>
        <v>27.777777777777779</v>
      </c>
      <c r="D209" s="6">
        <f>IF('weather data'!D209&lt;'user input'!$C$2,'user input'!$C$2,'weather data'!D209)</f>
        <v>14.444444444444445</v>
      </c>
      <c r="E209">
        <f t="shared" si="3"/>
        <v>21.111111111111111</v>
      </c>
      <c r="F209">
        <f>IF((E209-'user input'!$C$2)&lt;0,0,E209-'user input'!$C$2)</f>
        <v>11.111111111111111</v>
      </c>
      <c r="G209">
        <f>IF(B209&lt;'user input'!$C$5,0,(F209+G208))</f>
        <v>849.72222222222217</v>
      </c>
      <c r="H209">
        <f>G209/'user input'!$C$4</f>
        <v>0.70810185185185182</v>
      </c>
    </row>
    <row r="210" spans="1:8" x14ac:dyDescent="0.2">
      <c r="A210" s="1">
        <v>40386</v>
      </c>
      <c r="B210">
        <v>208</v>
      </c>
      <c r="C210" s="6">
        <f>IF('weather data'!C210&gt;'user input'!$C$3,'user input'!$C$3,'weather data'!C210)</f>
        <v>28.333333333333336</v>
      </c>
      <c r="D210" s="6">
        <f>IF('weather data'!D210&lt;'user input'!$C$2,'user input'!$C$2,'weather data'!D210)</f>
        <v>16.666666666666668</v>
      </c>
      <c r="E210">
        <f t="shared" ref="E210:E273" si="4">(C210+D210)/2</f>
        <v>22.5</v>
      </c>
      <c r="F210">
        <f>IF((E210-'user input'!$C$2)&lt;0,0,E210-'user input'!$C$2)</f>
        <v>12.5</v>
      </c>
      <c r="G210">
        <f>IF(B210&lt;'user input'!$C$5,0,(F210+G209))</f>
        <v>862.22222222222217</v>
      </c>
      <c r="H210">
        <f>G210/'user input'!$C$4</f>
        <v>0.71851851851851845</v>
      </c>
    </row>
    <row r="211" spans="1:8" x14ac:dyDescent="0.2">
      <c r="A211" s="1">
        <v>40387</v>
      </c>
      <c r="B211">
        <v>209</v>
      </c>
      <c r="C211" s="6">
        <f>IF('weather data'!C211&gt;'user input'!$C$3,'user input'!$C$3,'weather data'!C211)</f>
        <v>30</v>
      </c>
      <c r="D211" s="6">
        <f>IF('weather data'!D211&lt;'user input'!$C$2,'user input'!$C$2,'weather data'!D211)</f>
        <v>20</v>
      </c>
      <c r="E211">
        <f t="shared" si="4"/>
        <v>25</v>
      </c>
      <c r="F211">
        <f>IF((E211-'user input'!$C$2)&lt;0,0,E211-'user input'!$C$2)</f>
        <v>15</v>
      </c>
      <c r="G211">
        <f>IF(B211&lt;'user input'!$C$5,0,(F211+G210))</f>
        <v>877.22222222222217</v>
      </c>
      <c r="H211">
        <f>G211/'user input'!$C$4</f>
        <v>0.73101851851851851</v>
      </c>
    </row>
    <row r="212" spans="1:8" x14ac:dyDescent="0.2">
      <c r="A212" s="1">
        <v>40388</v>
      </c>
      <c r="B212">
        <v>210</v>
      </c>
      <c r="C212" s="6">
        <f>IF('weather data'!C212&gt;'user input'!$C$3,'user input'!$C$3,'weather data'!C212)</f>
        <v>28.333333333333336</v>
      </c>
      <c r="D212" s="6">
        <f>IF('weather data'!D212&lt;'user input'!$C$2,'user input'!$C$2,'weather data'!D212)</f>
        <v>14.444444444444445</v>
      </c>
      <c r="E212">
        <f t="shared" si="4"/>
        <v>21.388888888888889</v>
      </c>
      <c r="F212">
        <f>IF((E212-'user input'!$C$2)&lt;0,0,E212-'user input'!$C$2)</f>
        <v>11.388888888888889</v>
      </c>
      <c r="G212">
        <f>IF(B212&lt;'user input'!$C$5,0,(F212+G211))</f>
        <v>888.61111111111109</v>
      </c>
      <c r="H212">
        <f>G212/'user input'!$C$4</f>
        <v>0.74050925925925926</v>
      </c>
    </row>
    <row r="213" spans="1:8" x14ac:dyDescent="0.2">
      <c r="A213" s="1">
        <v>40389</v>
      </c>
      <c r="B213">
        <v>211</v>
      </c>
      <c r="C213" s="6">
        <f>IF('weather data'!C213&gt;'user input'!$C$3,'user input'!$C$3,'weather data'!C213)</f>
        <v>27.222222222222221</v>
      </c>
      <c r="D213" s="6">
        <f>IF('weather data'!D213&lt;'user input'!$C$2,'user input'!$C$2,'weather data'!D213)</f>
        <v>15.555555555555555</v>
      </c>
      <c r="E213">
        <f t="shared" si="4"/>
        <v>21.388888888888889</v>
      </c>
      <c r="F213">
        <f>IF((E213-'user input'!$C$2)&lt;0,0,E213-'user input'!$C$2)</f>
        <v>11.388888888888889</v>
      </c>
      <c r="G213">
        <f>IF(B213&lt;'user input'!$C$5,0,(F213+G212))</f>
        <v>900</v>
      </c>
      <c r="H213">
        <f>G213/'user input'!$C$4</f>
        <v>0.75</v>
      </c>
    </row>
    <row r="214" spans="1:8" x14ac:dyDescent="0.2">
      <c r="A214" s="1">
        <v>40390</v>
      </c>
      <c r="B214">
        <v>212</v>
      </c>
      <c r="C214" s="6">
        <f>IF('weather data'!C214&gt;'user input'!$C$3,'user input'!$C$3,'weather data'!C214)</f>
        <v>22.222222222222221</v>
      </c>
      <c r="D214" s="6">
        <f>IF('weather data'!D214&lt;'user input'!$C$2,'user input'!$C$2,'weather data'!D214)</f>
        <v>18.333333333333332</v>
      </c>
      <c r="E214">
        <f t="shared" si="4"/>
        <v>20.277777777777779</v>
      </c>
      <c r="F214">
        <f>IF((E214-'user input'!$C$2)&lt;0,0,E214-'user input'!$C$2)</f>
        <v>10.277777777777779</v>
      </c>
      <c r="G214">
        <f>IF(B214&lt;'user input'!$C$5,0,(F214+G213))</f>
        <v>910.27777777777783</v>
      </c>
      <c r="H214">
        <f>G214/'user input'!$C$4</f>
        <v>0.75856481481481486</v>
      </c>
    </row>
    <row r="215" spans="1:8" x14ac:dyDescent="0.2">
      <c r="A215" s="1">
        <v>40391</v>
      </c>
      <c r="B215">
        <v>213</v>
      </c>
      <c r="C215" s="6">
        <f>IF('weather data'!C215&gt;'user input'!$C$3,'user input'!$C$3,'weather data'!C215)</f>
        <v>28.333333333333336</v>
      </c>
      <c r="D215" s="6">
        <f>IF('weather data'!D215&lt;'user input'!$C$2,'user input'!$C$2,'weather data'!D215)</f>
        <v>17.777777777777779</v>
      </c>
      <c r="E215">
        <f t="shared" si="4"/>
        <v>23.055555555555557</v>
      </c>
      <c r="F215">
        <f>IF((E215-'user input'!$C$2)&lt;0,0,E215-'user input'!$C$2)</f>
        <v>13.055555555555557</v>
      </c>
      <c r="G215">
        <f>IF(B215&lt;'user input'!$C$5,0,(F215+G214))</f>
        <v>923.33333333333337</v>
      </c>
      <c r="H215">
        <f>G215/'user input'!$C$4</f>
        <v>0.76944444444444449</v>
      </c>
    </row>
    <row r="216" spans="1:8" x14ac:dyDescent="0.2">
      <c r="A216" s="1">
        <v>40392</v>
      </c>
      <c r="B216">
        <v>214</v>
      </c>
      <c r="C216" s="6">
        <f>IF('weather data'!C216&gt;'user input'!$C$3,'user input'!$C$3,'weather data'!C216)</f>
        <v>28.888888888888889</v>
      </c>
      <c r="D216" s="6">
        <f>IF('weather data'!D216&lt;'user input'!$C$2,'user input'!$C$2,'weather data'!D216)</f>
        <v>17.777777777777779</v>
      </c>
      <c r="E216">
        <f t="shared" si="4"/>
        <v>23.333333333333336</v>
      </c>
      <c r="F216">
        <f>IF((E216-'user input'!$C$2)&lt;0,0,E216-'user input'!$C$2)</f>
        <v>13.333333333333336</v>
      </c>
      <c r="G216">
        <f>IF(B216&lt;'user input'!$C$5,0,(F216+G215))</f>
        <v>936.66666666666674</v>
      </c>
      <c r="H216">
        <f>G216/'user input'!$C$4</f>
        <v>0.78055555555555567</v>
      </c>
    </row>
    <row r="217" spans="1:8" x14ac:dyDescent="0.2">
      <c r="A217" s="1">
        <v>40393</v>
      </c>
      <c r="B217">
        <v>215</v>
      </c>
      <c r="C217" s="6">
        <f>IF('weather data'!C217&gt;'user input'!$C$3,'user input'!$C$3,'weather data'!C217)</f>
        <v>27.222222222222221</v>
      </c>
      <c r="D217" s="6">
        <f>IF('weather data'!D217&lt;'user input'!$C$2,'user input'!$C$2,'weather data'!D217)</f>
        <v>19.444444444444443</v>
      </c>
      <c r="E217">
        <f t="shared" si="4"/>
        <v>23.333333333333332</v>
      </c>
      <c r="F217">
        <f>IF((E217-'user input'!$C$2)&lt;0,0,E217-'user input'!$C$2)</f>
        <v>13.333333333333332</v>
      </c>
      <c r="G217">
        <f>IF(B217&lt;'user input'!$C$5,0,(F217+G216))</f>
        <v>950.00000000000011</v>
      </c>
      <c r="H217">
        <f>G217/'user input'!$C$4</f>
        <v>0.79166666666666674</v>
      </c>
    </row>
    <row r="218" spans="1:8" x14ac:dyDescent="0.2">
      <c r="A218" s="1">
        <v>40394</v>
      </c>
      <c r="B218">
        <v>216</v>
      </c>
      <c r="C218" s="6">
        <f>IF('weather data'!C218&gt;'user input'!$C$3,'user input'!$C$3,'weather data'!C218)</f>
        <v>30</v>
      </c>
      <c r="D218" s="6">
        <f>IF('weather data'!D218&lt;'user input'!$C$2,'user input'!$C$2,'weather data'!D218)</f>
        <v>20.555555555555554</v>
      </c>
      <c r="E218">
        <f t="shared" si="4"/>
        <v>25.277777777777779</v>
      </c>
      <c r="F218">
        <f>IF((E218-'user input'!$C$2)&lt;0,0,E218-'user input'!$C$2)</f>
        <v>15.277777777777779</v>
      </c>
      <c r="G218">
        <f>IF(B218&lt;'user input'!$C$5,0,(F218+G217))</f>
        <v>965.27777777777794</v>
      </c>
      <c r="H218">
        <f>G218/'user input'!$C$4</f>
        <v>0.80439814814814825</v>
      </c>
    </row>
    <row r="219" spans="1:8" x14ac:dyDescent="0.2">
      <c r="A219" s="1">
        <v>40395</v>
      </c>
      <c r="B219">
        <v>217</v>
      </c>
      <c r="C219" s="6">
        <f>IF('weather data'!C219&gt;'user input'!$C$3,'user input'!$C$3,'weather data'!C219)</f>
        <v>30</v>
      </c>
      <c r="D219" s="6">
        <f>IF('weather data'!D219&lt;'user input'!$C$2,'user input'!$C$2,'weather data'!D219)</f>
        <v>18.333333333333332</v>
      </c>
      <c r="E219">
        <f t="shared" si="4"/>
        <v>24.166666666666664</v>
      </c>
      <c r="F219">
        <f>IF((E219-'user input'!$C$2)&lt;0,0,E219-'user input'!$C$2)</f>
        <v>14.166666666666664</v>
      </c>
      <c r="G219">
        <f>IF(B219&lt;'user input'!$C$5,0,(F219+G218))</f>
        <v>979.44444444444457</v>
      </c>
      <c r="H219">
        <f>G219/'user input'!$C$4</f>
        <v>0.81620370370370376</v>
      </c>
    </row>
    <row r="220" spans="1:8" x14ac:dyDescent="0.2">
      <c r="A220" s="1">
        <v>40396</v>
      </c>
      <c r="B220">
        <v>218</v>
      </c>
      <c r="C220" s="6">
        <f>IF('weather data'!C220&gt;'user input'!$C$3,'user input'!$C$3,'weather data'!C220)</f>
        <v>27.222222222222221</v>
      </c>
      <c r="D220" s="6">
        <f>IF('weather data'!D220&lt;'user input'!$C$2,'user input'!$C$2,'weather data'!D220)</f>
        <v>15.555555555555555</v>
      </c>
      <c r="E220">
        <f t="shared" si="4"/>
        <v>21.388888888888889</v>
      </c>
      <c r="F220">
        <f>IF((E220-'user input'!$C$2)&lt;0,0,E220-'user input'!$C$2)</f>
        <v>11.388888888888889</v>
      </c>
      <c r="G220">
        <f>IF(B220&lt;'user input'!$C$5,0,(F220+G219))</f>
        <v>990.83333333333348</v>
      </c>
      <c r="H220">
        <f>G220/'user input'!$C$4</f>
        <v>0.82569444444444462</v>
      </c>
    </row>
    <row r="221" spans="1:8" x14ac:dyDescent="0.2">
      <c r="A221" s="1">
        <v>40397</v>
      </c>
      <c r="B221">
        <v>219</v>
      </c>
      <c r="C221" s="6">
        <f>IF('weather data'!C221&gt;'user input'!$C$3,'user input'!$C$3,'weather data'!C221)</f>
        <v>28.333333333333336</v>
      </c>
      <c r="D221" s="6">
        <f>IF('weather data'!D221&lt;'user input'!$C$2,'user input'!$C$2,'weather data'!D221)</f>
        <v>13.333333333333332</v>
      </c>
      <c r="E221">
        <f t="shared" si="4"/>
        <v>20.833333333333336</v>
      </c>
      <c r="F221">
        <f>IF((E221-'user input'!$C$2)&lt;0,0,E221-'user input'!$C$2)</f>
        <v>10.833333333333336</v>
      </c>
      <c r="G221">
        <f>IF(B221&lt;'user input'!$C$5,0,(F221+G220))</f>
        <v>1001.6666666666669</v>
      </c>
      <c r="H221">
        <f>G221/'user input'!$C$4</f>
        <v>0.83472222222222237</v>
      </c>
    </row>
    <row r="222" spans="1:8" x14ac:dyDescent="0.2">
      <c r="A222" s="1">
        <v>40398</v>
      </c>
      <c r="B222">
        <v>220</v>
      </c>
      <c r="C222" s="6">
        <f>IF('weather data'!C222&gt;'user input'!$C$3,'user input'!$C$3,'weather data'!C222)</f>
        <v>28.333333333333336</v>
      </c>
      <c r="D222" s="6">
        <f>IF('weather data'!D222&lt;'user input'!$C$2,'user input'!$C$2,'weather data'!D222)</f>
        <v>19.444444444444443</v>
      </c>
      <c r="E222">
        <f t="shared" si="4"/>
        <v>23.888888888888889</v>
      </c>
      <c r="F222">
        <f>IF((E222-'user input'!$C$2)&lt;0,0,E222-'user input'!$C$2)</f>
        <v>13.888888888888889</v>
      </c>
      <c r="G222">
        <f>IF(B222&lt;'user input'!$C$5,0,(F222+G221))</f>
        <v>1015.5555555555558</v>
      </c>
      <c r="H222">
        <f>G222/'user input'!$C$4</f>
        <v>0.84629629629629644</v>
      </c>
    </row>
    <row r="223" spans="1:8" x14ac:dyDescent="0.2">
      <c r="A223" s="1">
        <v>40399</v>
      </c>
      <c r="B223">
        <v>221</v>
      </c>
      <c r="C223" s="6">
        <f>IF('weather data'!C223&gt;'user input'!$C$3,'user input'!$C$3,'weather data'!C223)</f>
        <v>28.888888888888889</v>
      </c>
      <c r="D223" s="6">
        <f>IF('weather data'!D223&lt;'user input'!$C$2,'user input'!$C$2,'weather data'!D223)</f>
        <v>21.111111111111111</v>
      </c>
      <c r="E223">
        <f t="shared" si="4"/>
        <v>25</v>
      </c>
      <c r="F223">
        <f>IF((E223-'user input'!$C$2)&lt;0,0,E223-'user input'!$C$2)</f>
        <v>15</v>
      </c>
      <c r="G223">
        <f>IF(B223&lt;'user input'!$C$5,0,(F223+G222))</f>
        <v>1030.5555555555557</v>
      </c>
      <c r="H223">
        <f>G223/'user input'!$C$4</f>
        <v>0.85879629629629639</v>
      </c>
    </row>
    <row r="224" spans="1:8" x14ac:dyDescent="0.2">
      <c r="A224" s="1">
        <v>40400</v>
      </c>
      <c r="B224">
        <v>222</v>
      </c>
      <c r="C224" s="6">
        <f>IF('weather data'!C224&gt;'user input'!$C$3,'user input'!$C$3,'weather data'!C224)</f>
        <v>30</v>
      </c>
      <c r="D224" s="6">
        <f>IF('weather data'!D224&lt;'user input'!$C$2,'user input'!$C$2,'weather data'!D224)</f>
        <v>21.666666666666664</v>
      </c>
      <c r="E224">
        <f t="shared" si="4"/>
        <v>25.833333333333332</v>
      </c>
      <c r="F224">
        <f>IF((E224-'user input'!$C$2)&lt;0,0,E224-'user input'!$C$2)</f>
        <v>15.833333333333332</v>
      </c>
      <c r="G224">
        <f>IF(B224&lt;'user input'!$C$5,0,(F224+G223))</f>
        <v>1046.3888888888889</v>
      </c>
      <c r="H224">
        <f>G224/'user input'!$C$4</f>
        <v>0.87199074074074079</v>
      </c>
    </row>
    <row r="225" spans="1:8" x14ac:dyDescent="0.2">
      <c r="A225" s="1">
        <v>40401</v>
      </c>
      <c r="B225">
        <v>223</v>
      </c>
      <c r="C225" s="6">
        <f>IF('weather data'!C225&gt;'user input'!$C$3,'user input'!$C$3,'weather data'!C225)</f>
        <v>30</v>
      </c>
      <c r="D225" s="6">
        <f>IF('weather data'!D225&lt;'user input'!$C$2,'user input'!$C$2,'weather data'!D225)</f>
        <v>21.666666666666664</v>
      </c>
      <c r="E225">
        <f t="shared" si="4"/>
        <v>25.833333333333332</v>
      </c>
      <c r="F225">
        <f>IF((E225-'user input'!$C$2)&lt;0,0,E225-'user input'!$C$2)</f>
        <v>15.833333333333332</v>
      </c>
      <c r="G225">
        <f>IF(B225&lt;'user input'!$C$5,0,(F225+G224))</f>
        <v>1062.2222222222222</v>
      </c>
      <c r="H225">
        <f>G225/'user input'!$C$4</f>
        <v>0.88518518518518519</v>
      </c>
    </row>
    <row r="226" spans="1:8" x14ac:dyDescent="0.2">
      <c r="A226" s="1">
        <v>40402</v>
      </c>
      <c r="B226">
        <v>224</v>
      </c>
      <c r="C226" s="6">
        <f>IF('weather data'!C226&gt;'user input'!$C$3,'user input'!$C$3,'weather data'!C226)</f>
        <v>30</v>
      </c>
      <c r="D226" s="6">
        <f>IF('weather data'!D226&lt;'user input'!$C$2,'user input'!$C$2,'weather data'!D226)</f>
        <v>21.111111111111111</v>
      </c>
      <c r="E226">
        <f t="shared" si="4"/>
        <v>25.555555555555557</v>
      </c>
      <c r="F226">
        <f>IF((E226-'user input'!$C$2)&lt;0,0,E226-'user input'!$C$2)</f>
        <v>15.555555555555557</v>
      </c>
      <c r="G226">
        <f>IF(B226&lt;'user input'!$C$5,0,(F226+G225))</f>
        <v>1077.7777777777778</v>
      </c>
      <c r="H226">
        <f>G226/'user input'!$C$4</f>
        <v>0.89814814814814814</v>
      </c>
    </row>
    <row r="227" spans="1:8" x14ac:dyDescent="0.2">
      <c r="A227" s="1">
        <v>40403</v>
      </c>
      <c r="B227">
        <v>225</v>
      </c>
      <c r="C227" s="6">
        <f>IF('weather data'!C227&gt;'user input'!$C$3,'user input'!$C$3,'weather data'!C227)</f>
        <v>30</v>
      </c>
      <c r="D227" s="6">
        <f>IF('weather data'!D227&lt;'user input'!$C$2,'user input'!$C$2,'weather data'!D227)</f>
        <v>21.111111111111111</v>
      </c>
      <c r="E227">
        <f t="shared" si="4"/>
        <v>25.555555555555557</v>
      </c>
      <c r="F227">
        <f>IF((E227-'user input'!$C$2)&lt;0,0,E227-'user input'!$C$2)</f>
        <v>15.555555555555557</v>
      </c>
      <c r="G227">
        <f>IF(B227&lt;'user input'!$C$5,0,(F227+G226))</f>
        <v>1093.3333333333335</v>
      </c>
      <c r="H227">
        <f>G227/'user input'!$C$4</f>
        <v>0.9111111111111112</v>
      </c>
    </row>
    <row r="228" spans="1:8" x14ac:dyDescent="0.2">
      <c r="A228" s="1">
        <v>40404</v>
      </c>
      <c r="B228">
        <v>226</v>
      </c>
      <c r="C228" s="6">
        <f>IF('weather data'!C228&gt;'user input'!$C$3,'user input'!$C$3,'weather data'!C228)</f>
        <v>26.666666666666664</v>
      </c>
      <c r="D228" s="6">
        <f>IF('weather data'!D228&lt;'user input'!$C$2,'user input'!$C$2,'weather data'!D228)</f>
        <v>19.444444444444443</v>
      </c>
      <c r="E228">
        <f t="shared" si="4"/>
        <v>23.055555555555554</v>
      </c>
      <c r="F228">
        <f>IF((E228-'user input'!$C$2)&lt;0,0,E228-'user input'!$C$2)</f>
        <v>13.055555555555554</v>
      </c>
      <c r="G228">
        <f>IF(B228&lt;'user input'!$C$5,0,(F228+G227))</f>
        <v>1106.3888888888891</v>
      </c>
      <c r="H228">
        <f>G228/'user input'!$C$4</f>
        <v>0.92199074074074094</v>
      </c>
    </row>
    <row r="229" spans="1:8" x14ac:dyDescent="0.2">
      <c r="A229" s="1">
        <v>40405</v>
      </c>
      <c r="B229">
        <v>227</v>
      </c>
      <c r="C229" s="6">
        <f>IF('weather data'!C229&gt;'user input'!$C$3,'user input'!$C$3,'weather data'!C229)</f>
        <v>28.888888888888889</v>
      </c>
      <c r="D229" s="6">
        <f>IF('weather data'!D229&lt;'user input'!$C$2,'user input'!$C$2,'weather data'!D229)</f>
        <v>18.333333333333332</v>
      </c>
      <c r="E229">
        <f t="shared" si="4"/>
        <v>23.611111111111111</v>
      </c>
      <c r="F229">
        <f>IF((E229-'user input'!$C$2)&lt;0,0,E229-'user input'!$C$2)</f>
        <v>13.611111111111111</v>
      </c>
      <c r="G229">
        <f>IF(B229&lt;'user input'!$C$5,0,(F229+G228))</f>
        <v>1120.0000000000002</v>
      </c>
      <c r="H229">
        <f>G229/'user input'!$C$4</f>
        <v>0.93333333333333357</v>
      </c>
    </row>
    <row r="230" spans="1:8" x14ac:dyDescent="0.2">
      <c r="A230" s="1">
        <v>40406</v>
      </c>
      <c r="B230">
        <v>228</v>
      </c>
      <c r="C230" s="6">
        <f>IF('weather data'!C230&gt;'user input'!$C$3,'user input'!$C$3,'weather data'!C230)</f>
        <v>25.555555555555554</v>
      </c>
      <c r="D230" s="6">
        <f>IF('weather data'!D230&lt;'user input'!$C$2,'user input'!$C$2,'weather data'!D230)</f>
        <v>13.888888888888889</v>
      </c>
      <c r="E230">
        <f t="shared" si="4"/>
        <v>19.722222222222221</v>
      </c>
      <c r="F230">
        <f>IF((E230-'user input'!$C$2)&lt;0,0,E230-'user input'!$C$2)</f>
        <v>9.7222222222222214</v>
      </c>
      <c r="G230">
        <f>IF(B230&lt;'user input'!$C$5,0,(F230+G229))</f>
        <v>1129.7222222222224</v>
      </c>
      <c r="H230">
        <f>G230/'user input'!$C$4</f>
        <v>0.94143518518518532</v>
      </c>
    </row>
    <row r="231" spans="1:8" x14ac:dyDescent="0.2">
      <c r="A231" s="1">
        <v>40407</v>
      </c>
      <c r="B231">
        <v>229</v>
      </c>
      <c r="C231" s="6">
        <f>IF('weather data'!C231&gt;'user input'!$C$3,'user input'!$C$3,'weather data'!C231)</f>
        <v>26.111111111111111</v>
      </c>
      <c r="D231" s="6">
        <f>IF('weather data'!D231&lt;'user input'!$C$2,'user input'!$C$2,'weather data'!D231)</f>
        <v>13.888888888888889</v>
      </c>
      <c r="E231">
        <f t="shared" si="4"/>
        <v>20</v>
      </c>
      <c r="F231">
        <f>IF((E231-'user input'!$C$2)&lt;0,0,E231-'user input'!$C$2)</f>
        <v>10</v>
      </c>
      <c r="G231">
        <f>IF(B231&lt;'user input'!$C$5,0,(F231+G230))</f>
        <v>1139.7222222222224</v>
      </c>
      <c r="H231">
        <f>G231/'user input'!$C$4</f>
        <v>0.94976851851851862</v>
      </c>
    </row>
    <row r="232" spans="1:8" x14ac:dyDescent="0.2">
      <c r="A232" s="1">
        <v>40408</v>
      </c>
      <c r="B232">
        <v>230</v>
      </c>
      <c r="C232" s="6">
        <f>IF('weather data'!C232&gt;'user input'!$C$3,'user input'!$C$3,'weather data'!C232)</f>
        <v>22.222222222222221</v>
      </c>
      <c r="D232" s="6">
        <f>IF('weather data'!D232&lt;'user input'!$C$2,'user input'!$C$2,'weather data'!D232)</f>
        <v>14.444444444444445</v>
      </c>
      <c r="E232">
        <f t="shared" si="4"/>
        <v>18.333333333333332</v>
      </c>
      <c r="F232">
        <f>IF((E232-'user input'!$C$2)&lt;0,0,E232-'user input'!$C$2)</f>
        <v>8.3333333333333321</v>
      </c>
      <c r="G232">
        <f>IF(B232&lt;'user input'!$C$5,0,(F232+G231))</f>
        <v>1148.0555555555557</v>
      </c>
      <c r="H232">
        <f>G232/'user input'!$C$4</f>
        <v>0.95671296296296304</v>
      </c>
    </row>
    <row r="233" spans="1:8" x14ac:dyDescent="0.2">
      <c r="A233" s="1">
        <v>40409</v>
      </c>
      <c r="B233">
        <v>231</v>
      </c>
      <c r="C233" s="6">
        <f>IF('weather data'!C233&gt;'user input'!$C$3,'user input'!$C$3,'weather data'!C233)</f>
        <v>26.666666666666664</v>
      </c>
      <c r="D233" s="6">
        <f>IF('weather data'!D233&lt;'user input'!$C$2,'user input'!$C$2,'weather data'!D233)</f>
        <v>16.111111111111111</v>
      </c>
      <c r="E233">
        <f t="shared" si="4"/>
        <v>21.388888888888886</v>
      </c>
      <c r="F233">
        <f>IF((E233-'user input'!$C$2)&lt;0,0,E233-'user input'!$C$2)</f>
        <v>11.388888888888886</v>
      </c>
      <c r="G233">
        <f>IF(B233&lt;'user input'!$C$5,0,(F233+G232))</f>
        <v>1159.4444444444446</v>
      </c>
      <c r="H233">
        <f>G233/'user input'!$C$4</f>
        <v>0.96620370370370379</v>
      </c>
    </row>
    <row r="234" spans="1:8" x14ac:dyDescent="0.2">
      <c r="A234" s="1">
        <v>40410</v>
      </c>
      <c r="B234">
        <v>232</v>
      </c>
      <c r="C234" s="6">
        <f>IF('weather data'!C234&gt;'user input'!$C$3,'user input'!$C$3,'weather data'!C234)</f>
        <v>29.444444444444446</v>
      </c>
      <c r="D234" s="6">
        <f>IF('weather data'!D234&lt;'user input'!$C$2,'user input'!$C$2,'weather data'!D234)</f>
        <v>17.222222222222221</v>
      </c>
      <c r="E234">
        <f t="shared" si="4"/>
        <v>23.333333333333336</v>
      </c>
      <c r="F234">
        <f>IF((E234-'user input'!$C$2)&lt;0,0,E234-'user input'!$C$2)</f>
        <v>13.333333333333336</v>
      </c>
      <c r="G234">
        <f>IF(B234&lt;'user input'!$C$5,0,(F234+G233))</f>
        <v>1172.7777777777778</v>
      </c>
      <c r="H234">
        <f>G234/'user input'!$C$4</f>
        <v>0.97731481481481486</v>
      </c>
    </row>
    <row r="235" spans="1:8" x14ac:dyDescent="0.2">
      <c r="A235" s="1">
        <v>40411</v>
      </c>
      <c r="B235">
        <v>233</v>
      </c>
      <c r="C235" s="6">
        <f>IF('weather data'!C235&gt;'user input'!$C$3,'user input'!$C$3,'weather data'!C235)</f>
        <v>30</v>
      </c>
      <c r="D235" s="6">
        <f>IF('weather data'!D235&lt;'user input'!$C$2,'user input'!$C$2,'weather data'!D235)</f>
        <v>20</v>
      </c>
      <c r="E235">
        <f t="shared" si="4"/>
        <v>25</v>
      </c>
      <c r="F235">
        <f>IF((E235-'user input'!$C$2)&lt;0,0,E235-'user input'!$C$2)</f>
        <v>15</v>
      </c>
      <c r="G235">
        <f>IF(B235&lt;'user input'!$C$5,0,(F235+G234))</f>
        <v>1187.7777777777778</v>
      </c>
      <c r="H235">
        <f>G235/'user input'!$C$4</f>
        <v>0.98981481481481481</v>
      </c>
    </row>
    <row r="236" spans="1:8" x14ac:dyDescent="0.2">
      <c r="A236" s="1">
        <v>40412</v>
      </c>
      <c r="B236">
        <v>234</v>
      </c>
      <c r="C236" s="6">
        <f>IF('weather data'!C236&gt;'user input'!$C$3,'user input'!$C$3,'weather data'!C236)</f>
        <v>28.333333333333336</v>
      </c>
      <c r="D236" s="6">
        <f>IF('weather data'!D236&lt;'user input'!$C$2,'user input'!$C$2,'weather data'!D236)</f>
        <v>18.333333333333332</v>
      </c>
      <c r="E236">
        <f t="shared" si="4"/>
        <v>23.333333333333336</v>
      </c>
      <c r="F236">
        <f>IF((E236-'user input'!$C$2)&lt;0,0,E236-'user input'!$C$2)</f>
        <v>13.333333333333336</v>
      </c>
      <c r="G236">
        <f>IF(B236&lt;'user input'!$C$5,0,(F236+G235))</f>
        <v>1201.1111111111111</v>
      </c>
      <c r="H236">
        <f>G236/'user input'!$C$4</f>
        <v>1.000925925925926</v>
      </c>
    </row>
    <row r="237" spans="1:8" x14ac:dyDescent="0.2">
      <c r="A237" s="1">
        <v>40413</v>
      </c>
      <c r="B237">
        <v>235</v>
      </c>
      <c r="C237" s="6">
        <f>IF('weather data'!C237&gt;'user input'!$C$3,'user input'!$C$3,'weather data'!C237)</f>
        <v>28.888888888888889</v>
      </c>
      <c r="D237" s="6">
        <f>IF('weather data'!D237&lt;'user input'!$C$2,'user input'!$C$2,'weather data'!D237)</f>
        <v>14.444444444444445</v>
      </c>
      <c r="E237">
        <f t="shared" si="4"/>
        <v>21.666666666666668</v>
      </c>
      <c r="F237">
        <f>IF((E237-'user input'!$C$2)&lt;0,0,E237-'user input'!$C$2)</f>
        <v>11.666666666666668</v>
      </c>
      <c r="G237">
        <f>IF(B237&lt;'user input'!$C$5,0,(F237+G236))</f>
        <v>1212.7777777777778</v>
      </c>
      <c r="H237">
        <f>G237/'user input'!$C$4</f>
        <v>1.0106481481481482</v>
      </c>
    </row>
    <row r="238" spans="1:8" x14ac:dyDescent="0.2">
      <c r="A238" s="1">
        <v>40414</v>
      </c>
      <c r="B238">
        <v>236</v>
      </c>
      <c r="C238" s="6">
        <f>IF('weather data'!C238&gt;'user input'!$C$3,'user input'!$C$3,'weather data'!C238)</f>
        <v>28.888888888888889</v>
      </c>
      <c r="D238" s="6">
        <f>IF('weather data'!D238&lt;'user input'!$C$2,'user input'!$C$2,'weather data'!D238)</f>
        <v>15.555555555555555</v>
      </c>
      <c r="E238">
        <f t="shared" si="4"/>
        <v>22.222222222222221</v>
      </c>
      <c r="F238">
        <f>IF((E238-'user input'!$C$2)&lt;0,0,E238-'user input'!$C$2)</f>
        <v>12.222222222222221</v>
      </c>
      <c r="G238">
        <f>IF(B238&lt;'user input'!$C$5,0,(F238+G237))</f>
        <v>1225</v>
      </c>
      <c r="H238">
        <f>G238/'user input'!$C$4</f>
        <v>1.0208333333333333</v>
      </c>
    </row>
    <row r="239" spans="1:8" x14ac:dyDescent="0.2">
      <c r="A239" s="1">
        <v>40415</v>
      </c>
      <c r="B239">
        <v>237</v>
      </c>
      <c r="C239" s="6">
        <f>IF('weather data'!C239&gt;'user input'!$C$3,'user input'!$C$3,'weather data'!C239)</f>
        <v>25</v>
      </c>
      <c r="D239" s="6">
        <f>IF('weather data'!D239&lt;'user input'!$C$2,'user input'!$C$2,'weather data'!D239)</f>
        <v>11.666666666666668</v>
      </c>
      <c r="E239">
        <f t="shared" si="4"/>
        <v>18.333333333333336</v>
      </c>
      <c r="F239">
        <f>IF((E239-'user input'!$C$2)&lt;0,0,E239-'user input'!$C$2)</f>
        <v>8.3333333333333357</v>
      </c>
      <c r="G239">
        <f>IF(B239&lt;'user input'!$C$5,0,(F239+G238))</f>
        <v>1233.3333333333333</v>
      </c>
      <c r="H239">
        <f>G239/'user input'!$C$4</f>
        <v>1.0277777777777777</v>
      </c>
    </row>
    <row r="240" spans="1:8" x14ac:dyDescent="0.2">
      <c r="A240" s="1">
        <v>40416</v>
      </c>
      <c r="B240">
        <v>238</v>
      </c>
      <c r="C240" s="6">
        <f>IF('weather data'!C240&gt;'user input'!$C$3,'user input'!$C$3,'weather data'!C240)</f>
        <v>23.333333333333336</v>
      </c>
      <c r="D240" s="6">
        <f>IF('weather data'!D240&lt;'user input'!$C$2,'user input'!$C$2,'weather data'!D240)</f>
        <v>10</v>
      </c>
      <c r="E240">
        <f t="shared" si="4"/>
        <v>16.666666666666668</v>
      </c>
      <c r="F240">
        <f>IF((E240-'user input'!$C$2)&lt;0,0,E240-'user input'!$C$2)</f>
        <v>6.6666666666666679</v>
      </c>
      <c r="G240">
        <f>IF(B240&lt;'user input'!$C$5,0,(F240+G239))</f>
        <v>1240</v>
      </c>
      <c r="H240">
        <f>G240/'user input'!$C$4</f>
        <v>1.0333333333333334</v>
      </c>
    </row>
    <row r="241" spans="1:8" x14ac:dyDescent="0.2">
      <c r="A241" s="1">
        <v>40417</v>
      </c>
      <c r="B241">
        <v>239</v>
      </c>
      <c r="C241" s="6">
        <f>IF('weather data'!C241&gt;'user input'!$C$3,'user input'!$C$3,'weather data'!C241)</f>
        <v>24.444444444444446</v>
      </c>
      <c r="D241" s="6">
        <f>IF('weather data'!D241&lt;'user input'!$C$2,'user input'!$C$2,'weather data'!D241)</f>
        <v>10</v>
      </c>
      <c r="E241">
        <f t="shared" si="4"/>
        <v>17.222222222222221</v>
      </c>
      <c r="F241">
        <f>IF((E241-'user input'!$C$2)&lt;0,0,E241-'user input'!$C$2)</f>
        <v>7.2222222222222214</v>
      </c>
      <c r="G241">
        <f>IF(B241&lt;'user input'!$C$5,0,(F241+G240))</f>
        <v>1247.2222222222222</v>
      </c>
      <c r="H241">
        <f>G241/'user input'!$C$4</f>
        <v>1.0393518518518519</v>
      </c>
    </row>
    <row r="242" spans="1:8" x14ac:dyDescent="0.2">
      <c r="A242" s="1">
        <v>40418</v>
      </c>
      <c r="B242">
        <v>240</v>
      </c>
      <c r="C242" s="6">
        <f>IF('weather data'!C242&gt;'user input'!$C$3,'user input'!$C$3,'weather data'!C242)</f>
        <v>28.333333333333336</v>
      </c>
      <c r="D242" s="6">
        <f>IF('weather data'!D242&lt;'user input'!$C$2,'user input'!$C$2,'weather data'!D242)</f>
        <v>13.333333333333332</v>
      </c>
      <c r="E242">
        <f t="shared" si="4"/>
        <v>20.833333333333336</v>
      </c>
      <c r="F242">
        <f>IF((E242-'user input'!$C$2)&lt;0,0,E242-'user input'!$C$2)</f>
        <v>10.833333333333336</v>
      </c>
      <c r="G242">
        <f>IF(B242&lt;'user input'!$C$5,0,(F242+G241))</f>
        <v>1258.0555555555554</v>
      </c>
      <c r="H242">
        <f>G242/'user input'!$C$4</f>
        <v>1.0483796296296295</v>
      </c>
    </row>
    <row r="243" spans="1:8" x14ac:dyDescent="0.2">
      <c r="A243" s="1">
        <v>40419</v>
      </c>
      <c r="B243">
        <v>241</v>
      </c>
      <c r="C243" s="6">
        <f>IF('weather data'!C243&gt;'user input'!$C$3,'user input'!$C$3,'weather data'!C243)</f>
        <v>28.333333333333336</v>
      </c>
      <c r="D243" s="6">
        <f>IF('weather data'!D243&lt;'user input'!$C$2,'user input'!$C$2,'weather data'!D243)</f>
        <v>12.777777777777777</v>
      </c>
      <c r="E243">
        <f t="shared" si="4"/>
        <v>20.555555555555557</v>
      </c>
      <c r="F243">
        <f>IF((E243-'user input'!$C$2)&lt;0,0,E243-'user input'!$C$2)</f>
        <v>10.555555555555557</v>
      </c>
      <c r="G243">
        <f>IF(B243&lt;'user input'!$C$5,0,(F243+G242))</f>
        <v>1268.6111111111111</v>
      </c>
      <c r="H243">
        <f>G243/'user input'!$C$4</f>
        <v>1.0571759259259259</v>
      </c>
    </row>
    <row r="244" spans="1:8" x14ac:dyDescent="0.2">
      <c r="A244" s="1">
        <v>40420</v>
      </c>
      <c r="B244">
        <v>242</v>
      </c>
      <c r="C244" s="6">
        <f>IF('weather data'!C244&gt;'user input'!$C$3,'user input'!$C$3,'weather data'!C244)</f>
        <v>30</v>
      </c>
      <c r="D244" s="6">
        <f>IF('weather data'!D244&lt;'user input'!$C$2,'user input'!$C$2,'weather data'!D244)</f>
        <v>15.555555555555555</v>
      </c>
      <c r="E244">
        <f t="shared" si="4"/>
        <v>22.777777777777779</v>
      </c>
      <c r="F244">
        <f>IF((E244-'user input'!$C$2)&lt;0,0,E244-'user input'!$C$2)</f>
        <v>12.777777777777779</v>
      </c>
      <c r="G244">
        <f>IF(B244&lt;'user input'!$C$5,0,(F244+G243))</f>
        <v>1281.3888888888889</v>
      </c>
      <c r="H244">
        <f>G244/'user input'!$C$4</f>
        <v>1.0678240740740741</v>
      </c>
    </row>
    <row r="245" spans="1:8" x14ac:dyDescent="0.2">
      <c r="A245" s="1">
        <v>40421</v>
      </c>
      <c r="B245">
        <v>243</v>
      </c>
      <c r="C245" s="6">
        <f>IF('weather data'!C245&gt;'user input'!$C$3,'user input'!$C$3,'weather data'!C245)</f>
        <v>28.888888888888889</v>
      </c>
      <c r="D245" s="6">
        <f>IF('weather data'!D245&lt;'user input'!$C$2,'user input'!$C$2,'weather data'!D245)</f>
        <v>22.222222222222221</v>
      </c>
      <c r="E245">
        <f t="shared" si="4"/>
        <v>25.555555555555557</v>
      </c>
      <c r="F245">
        <f>IF((E245-'user input'!$C$2)&lt;0,0,E245-'user input'!$C$2)</f>
        <v>15.555555555555557</v>
      </c>
      <c r="G245">
        <f>IF(B245&lt;'user input'!$C$5,0,(F245+G244))</f>
        <v>1296.9444444444446</v>
      </c>
      <c r="H245">
        <f>G245/'user input'!$C$4</f>
        <v>1.0807870370370372</v>
      </c>
    </row>
    <row r="246" spans="1:8" x14ac:dyDescent="0.2">
      <c r="A246" s="1">
        <v>40422</v>
      </c>
      <c r="B246">
        <v>244</v>
      </c>
      <c r="C246" s="6">
        <f>IF('weather data'!C246&gt;'user input'!$C$3,'user input'!$C$3,'weather data'!C246)</f>
        <v>26.111111111111111</v>
      </c>
      <c r="D246" s="6">
        <f>IF('weather data'!D246&lt;'user input'!$C$2,'user input'!$C$2,'weather data'!D246)</f>
        <v>19.444444444444443</v>
      </c>
      <c r="E246">
        <f t="shared" si="4"/>
        <v>22.777777777777779</v>
      </c>
      <c r="F246">
        <f>IF((E246-'user input'!$C$2)&lt;0,0,E246-'user input'!$C$2)</f>
        <v>12.777777777777779</v>
      </c>
      <c r="G246">
        <f>IF(B246&lt;'user input'!$C$5,0,(F246+G245))</f>
        <v>1309.7222222222224</v>
      </c>
      <c r="H246">
        <f>G246/'user input'!$C$4</f>
        <v>1.0914351851851853</v>
      </c>
    </row>
    <row r="247" spans="1:8" x14ac:dyDescent="0.2">
      <c r="A247" s="1">
        <v>40423</v>
      </c>
      <c r="B247">
        <v>245</v>
      </c>
      <c r="C247" s="6">
        <f>IF('weather data'!C247&gt;'user input'!$C$3,'user input'!$C$3,'weather data'!C247)</f>
        <v>26.666666666666664</v>
      </c>
      <c r="D247" s="6">
        <f>IF('weather data'!D247&lt;'user input'!$C$2,'user input'!$C$2,'weather data'!D247)</f>
        <v>18.333333333333332</v>
      </c>
      <c r="E247">
        <f t="shared" si="4"/>
        <v>22.5</v>
      </c>
      <c r="F247">
        <f>IF((E247-'user input'!$C$2)&lt;0,0,E247-'user input'!$C$2)</f>
        <v>12.5</v>
      </c>
      <c r="G247">
        <f>IF(B247&lt;'user input'!$C$5,0,(F247+G246))</f>
        <v>1322.2222222222224</v>
      </c>
      <c r="H247">
        <f>G247/'user input'!$C$4</f>
        <v>1.1018518518518521</v>
      </c>
    </row>
    <row r="248" spans="1:8" x14ac:dyDescent="0.2">
      <c r="A248" s="1">
        <v>40424</v>
      </c>
      <c r="B248">
        <v>246</v>
      </c>
      <c r="C248" s="6">
        <f>IF('weather data'!C248&gt;'user input'!$C$3,'user input'!$C$3,'weather data'!C248)</f>
        <v>27.222222222222221</v>
      </c>
      <c r="D248" s="6">
        <f>IF('weather data'!D248&lt;'user input'!$C$2,'user input'!$C$2,'weather data'!D248)</f>
        <v>13.888888888888889</v>
      </c>
      <c r="E248">
        <f t="shared" si="4"/>
        <v>20.555555555555557</v>
      </c>
      <c r="F248">
        <f>IF((E248-'user input'!$C$2)&lt;0,0,E248-'user input'!$C$2)</f>
        <v>10.555555555555557</v>
      </c>
      <c r="G248">
        <f>IF(B248&lt;'user input'!$C$5,0,(F248+G247))</f>
        <v>1332.7777777777781</v>
      </c>
      <c r="H248">
        <f>G248/'user input'!$C$4</f>
        <v>1.1106481481481483</v>
      </c>
    </row>
    <row r="249" spans="1:8" x14ac:dyDescent="0.2">
      <c r="A249" s="1">
        <v>40425</v>
      </c>
      <c r="B249">
        <v>247</v>
      </c>
      <c r="C249" s="6">
        <f>IF('weather data'!C249&gt;'user input'!$C$3,'user input'!$C$3,'weather data'!C249)</f>
        <v>16.111111111111111</v>
      </c>
      <c r="D249" s="6">
        <f>IF('weather data'!D249&lt;'user input'!$C$2,'user input'!$C$2,'weather data'!D249)</f>
        <v>10</v>
      </c>
      <c r="E249">
        <f t="shared" si="4"/>
        <v>13.055555555555555</v>
      </c>
      <c r="F249">
        <f>IF((E249-'user input'!$C$2)&lt;0,0,E249-'user input'!$C$2)</f>
        <v>3.0555555555555554</v>
      </c>
      <c r="G249">
        <f>IF(B249&lt;'user input'!$C$5,0,(F249+G248))</f>
        <v>1335.8333333333337</v>
      </c>
      <c r="H249">
        <f>G249/'user input'!$C$4</f>
        <v>1.1131944444444448</v>
      </c>
    </row>
    <row r="250" spans="1:8" x14ac:dyDescent="0.2">
      <c r="A250" s="1">
        <v>40426</v>
      </c>
      <c r="B250">
        <v>248</v>
      </c>
      <c r="C250" s="6">
        <f>IF('weather data'!C250&gt;'user input'!$C$3,'user input'!$C$3,'weather data'!C250)</f>
        <v>19.444444444444443</v>
      </c>
      <c r="D250" s="6">
        <f>IF('weather data'!D250&lt;'user input'!$C$2,'user input'!$C$2,'weather data'!D250)</f>
        <v>10</v>
      </c>
      <c r="E250">
        <f t="shared" si="4"/>
        <v>14.722222222222221</v>
      </c>
      <c r="F250">
        <f>IF((E250-'user input'!$C$2)&lt;0,0,E250-'user input'!$C$2)</f>
        <v>4.7222222222222214</v>
      </c>
      <c r="G250">
        <f>IF(B250&lt;'user input'!$C$5,0,(F250+G249))</f>
        <v>1340.5555555555559</v>
      </c>
      <c r="H250">
        <f>G250/'user input'!$C$4</f>
        <v>1.1171296296296298</v>
      </c>
    </row>
    <row r="251" spans="1:8" x14ac:dyDescent="0.2">
      <c r="A251" s="1">
        <v>40427</v>
      </c>
      <c r="B251">
        <v>249</v>
      </c>
      <c r="C251" s="6">
        <f>IF('weather data'!C251&gt;'user input'!$C$3,'user input'!$C$3,'weather data'!C251)</f>
        <v>22.777777777777779</v>
      </c>
      <c r="D251" s="6">
        <f>IF('weather data'!D251&lt;'user input'!$C$2,'user input'!$C$2,'weather data'!D251)</f>
        <v>10</v>
      </c>
      <c r="E251">
        <f t="shared" si="4"/>
        <v>16.388888888888889</v>
      </c>
      <c r="F251">
        <f>IF((E251-'user input'!$C$2)&lt;0,0,E251-'user input'!$C$2)</f>
        <v>6.3888888888888893</v>
      </c>
      <c r="G251">
        <f>IF(B251&lt;'user input'!$C$5,0,(F251+G250))</f>
        <v>1346.9444444444448</v>
      </c>
      <c r="H251">
        <f>G251/'user input'!$C$4</f>
        <v>1.1224537037037039</v>
      </c>
    </row>
    <row r="252" spans="1:8" x14ac:dyDescent="0.2">
      <c r="A252" s="1">
        <v>40428</v>
      </c>
      <c r="B252">
        <v>250</v>
      </c>
      <c r="C252" s="6">
        <f>IF('weather data'!C252&gt;'user input'!$C$3,'user input'!$C$3,'weather data'!C252)</f>
        <v>25</v>
      </c>
      <c r="D252" s="6">
        <f>IF('weather data'!D252&lt;'user input'!$C$2,'user input'!$C$2,'weather data'!D252)</f>
        <v>13.888888888888889</v>
      </c>
      <c r="E252">
        <f t="shared" si="4"/>
        <v>19.444444444444443</v>
      </c>
      <c r="F252">
        <f>IF((E252-'user input'!$C$2)&lt;0,0,E252-'user input'!$C$2)</f>
        <v>9.4444444444444429</v>
      </c>
      <c r="G252">
        <f>IF(B252&lt;'user input'!$C$5,0,(F252+G251))</f>
        <v>1356.3888888888891</v>
      </c>
      <c r="H252">
        <f>G252/'user input'!$C$4</f>
        <v>1.1303240740740743</v>
      </c>
    </row>
    <row r="253" spans="1:8" x14ac:dyDescent="0.2">
      <c r="A253" s="1">
        <v>40429</v>
      </c>
      <c r="B253">
        <v>251</v>
      </c>
      <c r="C253" s="6">
        <f>IF('weather data'!C253&gt;'user input'!$C$3,'user input'!$C$3,'weather data'!C253)</f>
        <v>18.333333333333332</v>
      </c>
      <c r="D253" s="6">
        <f>IF('weather data'!D253&lt;'user input'!$C$2,'user input'!$C$2,'weather data'!D253)</f>
        <v>10</v>
      </c>
      <c r="E253">
        <f t="shared" si="4"/>
        <v>14.166666666666666</v>
      </c>
      <c r="F253">
        <f>IF((E253-'user input'!$C$2)&lt;0,0,E253-'user input'!$C$2)</f>
        <v>4.1666666666666661</v>
      </c>
      <c r="G253">
        <f>IF(B253&lt;'user input'!$C$5,0,(F253+G252))</f>
        <v>1360.5555555555559</v>
      </c>
      <c r="H253">
        <f>G253/'user input'!$C$4</f>
        <v>1.1337962962962966</v>
      </c>
    </row>
    <row r="254" spans="1:8" x14ac:dyDescent="0.2">
      <c r="A254" s="1">
        <v>40430</v>
      </c>
      <c r="B254">
        <v>252</v>
      </c>
      <c r="C254" s="6">
        <f>IF('weather data'!C254&gt;'user input'!$C$3,'user input'!$C$3,'weather data'!C254)</f>
        <v>20</v>
      </c>
      <c r="D254" s="6">
        <f>IF('weather data'!D254&lt;'user input'!$C$2,'user input'!$C$2,'weather data'!D254)</f>
        <v>10</v>
      </c>
      <c r="E254">
        <f t="shared" si="4"/>
        <v>15</v>
      </c>
      <c r="F254">
        <f>IF((E254-'user input'!$C$2)&lt;0,0,E254-'user input'!$C$2)</f>
        <v>5</v>
      </c>
      <c r="G254">
        <f>IF(B254&lt;'user input'!$C$5,0,(F254+G253))</f>
        <v>1365.5555555555559</v>
      </c>
      <c r="H254">
        <f>G254/'user input'!$C$4</f>
        <v>1.1379629629629633</v>
      </c>
    </row>
    <row r="255" spans="1:8" x14ac:dyDescent="0.2">
      <c r="A255" s="1">
        <v>40431</v>
      </c>
      <c r="B255">
        <v>253</v>
      </c>
      <c r="C255" s="6">
        <f>IF('weather data'!C255&gt;'user input'!$C$3,'user input'!$C$3,'weather data'!C255)</f>
        <v>18.333333333333332</v>
      </c>
      <c r="D255" s="6">
        <f>IF('weather data'!D255&lt;'user input'!$C$2,'user input'!$C$2,'weather data'!D255)</f>
        <v>10</v>
      </c>
      <c r="E255">
        <f t="shared" si="4"/>
        <v>14.166666666666666</v>
      </c>
      <c r="F255">
        <f>IF((E255-'user input'!$C$2)&lt;0,0,E255-'user input'!$C$2)</f>
        <v>4.1666666666666661</v>
      </c>
      <c r="G255">
        <f>IF(B255&lt;'user input'!$C$5,0,(F255+G254))</f>
        <v>1369.7222222222226</v>
      </c>
      <c r="H255">
        <f>G255/'user input'!$C$4</f>
        <v>1.1414351851851856</v>
      </c>
    </row>
    <row r="256" spans="1:8" x14ac:dyDescent="0.2">
      <c r="A256" s="1">
        <v>40432</v>
      </c>
      <c r="B256">
        <v>254</v>
      </c>
      <c r="C256" s="6">
        <f>IF('weather data'!C256&gt;'user input'!$C$3,'user input'!$C$3,'weather data'!C256)</f>
        <v>23.888888888888889</v>
      </c>
      <c r="D256" s="6">
        <f>IF('weather data'!D256&lt;'user input'!$C$2,'user input'!$C$2,'weather data'!D256)</f>
        <v>11.111111111111111</v>
      </c>
      <c r="E256">
        <f t="shared" si="4"/>
        <v>17.5</v>
      </c>
      <c r="F256">
        <f>IF((E256-'user input'!$C$2)&lt;0,0,E256-'user input'!$C$2)</f>
        <v>7.5</v>
      </c>
      <c r="G256">
        <f>IF(B256&lt;'user input'!$C$5,0,(F256+G255))</f>
        <v>1377.2222222222226</v>
      </c>
      <c r="H256">
        <f>G256/'user input'!$C$4</f>
        <v>1.1476851851851855</v>
      </c>
    </row>
    <row r="257" spans="1:8" x14ac:dyDescent="0.2">
      <c r="A257" s="1">
        <v>40433</v>
      </c>
      <c r="B257">
        <v>255</v>
      </c>
      <c r="C257" s="6">
        <f>IF('weather data'!C257&gt;'user input'!$C$3,'user input'!$C$3,'weather data'!C257)</f>
        <v>26.111111111111111</v>
      </c>
      <c r="D257" s="6">
        <f>IF('weather data'!D257&lt;'user input'!$C$2,'user input'!$C$2,'weather data'!D257)</f>
        <v>10</v>
      </c>
      <c r="E257">
        <f t="shared" si="4"/>
        <v>18.055555555555557</v>
      </c>
      <c r="F257">
        <f>IF((E257-'user input'!$C$2)&lt;0,0,E257-'user input'!$C$2)</f>
        <v>8.0555555555555571</v>
      </c>
      <c r="G257">
        <f>IF(B257&lt;'user input'!$C$5,0,(F257+G256))</f>
        <v>1385.2777777777783</v>
      </c>
      <c r="H257">
        <f>G257/'user input'!$C$4</f>
        <v>1.1543981481481487</v>
      </c>
    </row>
    <row r="258" spans="1:8" x14ac:dyDescent="0.2">
      <c r="A258" s="1">
        <v>40434</v>
      </c>
      <c r="B258">
        <v>256</v>
      </c>
      <c r="C258" s="6">
        <f>IF('weather data'!C258&gt;'user input'!$C$3,'user input'!$C$3,'weather data'!C258)</f>
        <v>27.777777777777779</v>
      </c>
      <c r="D258" s="6">
        <f>IF('weather data'!D258&lt;'user input'!$C$2,'user input'!$C$2,'weather data'!D258)</f>
        <v>10</v>
      </c>
      <c r="E258">
        <f t="shared" si="4"/>
        <v>18.888888888888889</v>
      </c>
      <c r="F258">
        <f>IF((E258-'user input'!$C$2)&lt;0,0,E258-'user input'!$C$2)</f>
        <v>8.8888888888888893</v>
      </c>
      <c r="G258">
        <f>IF(B258&lt;'user input'!$C$5,0,(F258+G257))</f>
        <v>1394.1666666666672</v>
      </c>
      <c r="H258">
        <f>G258/'user input'!$C$4</f>
        <v>1.161805555555556</v>
      </c>
    </row>
    <row r="259" spans="1:8" x14ac:dyDescent="0.2">
      <c r="A259" s="1">
        <v>40435</v>
      </c>
      <c r="B259">
        <v>257</v>
      </c>
      <c r="C259" s="6">
        <f>IF('weather data'!C259&gt;'user input'!$C$3,'user input'!$C$3,'weather data'!C259)</f>
        <v>24.444444444444446</v>
      </c>
      <c r="D259" s="6">
        <f>IF('weather data'!D259&lt;'user input'!$C$2,'user input'!$C$2,'weather data'!D259)</f>
        <v>10</v>
      </c>
      <c r="E259">
        <f t="shared" si="4"/>
        <v>17.222222222222221</v>
      </c>
      <c r="F259">
        <f>IF((E259-'user input'!$C$2)&lt;0,0,E259-'user input'!$C$2)</f>
        <v>7.2222222222222214</v>
      </c>
      <c r="G259">
        <f>IF(B259&lt;'user input'!$C$5,0,(F259+G258))</f>
        <v>1401.3888888888894</v>
      </c>
      <c r="H259">
        <f>G259/'user input'!$C$4</f>
        <v>1.1678240740740744</v>
      </c>
    </row>
    <row r="260" spans="1:8" x14ac:dyDescent="0.2">
      <c r="A260" s="1">
        <v>40436</v>
      </c>
      <c r="B260">
        <v>258</v>
      </c>
      <c r="C260" s="6">
        <f>IF('weather data'!C260&gt;'user input'!$C$3,'user input'!$C$3,'weather data'!C260)</f>
        <v>23.888888888888889</v>
      </c>
      <c r="D260" s="6">
        <f>IF('weather data'!D260&lt;'user input'!$C$2,'user input'!$C$2,'weather data'!D260)</f>
        <v>10</v>
      </c>
      <c r="E260">
        <f t="shared" si="4"/>
        <v>16.944444444444443</v>
      </c>
      <c r="F260">
        <f>IF((E260-'user input'!$C$2)&lt;0,0,E260-'user input'!$C$2)</f>
        <v>6.9444444444444429</v>
      </c>
      <c r="G260">
        <f>IF(B260&lt;'user input'!$C$5,0,(F260+G259))</f>
        <v>1408.3333333333337</v>
      </c>
      <c r="H260">
        <f>G260/'user input'!$C$4</f>
        <v>1.1736111111111114</v>
      </c>
    </row>
    <row r="261" spans="1:8" x14ac:dyDescent="0.2">
      <c r="A261" s="1">
        <v>40437</v>
      </c>
      <c r="B261">
        <v>259</v>
      </c>
      <c r="C261" s="6">
        <f>IF('weather data'!C261&gt;'user input'!$C$3,'user input'!$C$3,'weather data'!C261)</f>
        <v>25.555555555555554</v>
      </c>
      <c r="D261" s="6">
        <f>IF('weather data'!D261&lt;'user input'!$C$2,'user input'!$C$2,'weather data'!D261)</f>
        <v>12.777777777777777</v>
      </c>
      <c r="E261">
        <f t="shared" si="4"/>
        <v>19.166666666666664</v>
      </c>
      <c r="F261">
        <f>IF((E261-'user input'!$C$2)&lt;0,0,E261-'user input'!$C$2)</f>
        <v>9.1666666666666643</v>
      </c>
      <c r="G261">
        <f>IF(B261&lt;'user input'!$C$5,0,(F261+G260))</f>
        <v>1417.5000000000005</v>
      </c>
      <c r="H261">
        <f>G261/'user input'!$C$4</f>
        <v>1.1812500000000004</v>
      </c>
    </row>
    <row r="262" spans="1:8" x14ac:dyDescent="0.2">
      <c r="A262" s="1">
        <v>40438</v>
      </c>
      <c r="B262">
        <v>260</v>
      </c>
      <c r="C262" s="6">
        <f>IF('weather data'!C262&gt;'user input'!$C$3,'user input'!$C$3,'weather data'!C262)</f>
        <v>18.333333333333332</v>
      </c>
      <c r="D262" s="6">
        <f>IF('weather data'!D262&lt;'user input'!$C$2,'user input'!$C$2,'weather data'!D262)</f>
        <v>10</v>
      </c>
      <c r="E262">
        <f t="shared" si="4"/>
        <v>14.166666666666666</v>
      </c>
      <c r="F262">
        <f>IF((E262-'user input'!$C$2)&lt;0,0,E262-'user input'!$C$2)</f>
        <v>4.1666666666666661</v>
      </c>
      <c r="G262">
        <f>IF(B262&lt;'user input'!$C$5,0,(F262+G261))</f>
        <v>1421.6666666666672</v>
      </c>
      <c r="H262">
        <f>G262/'user input'!$C$4</f>
        <v>1.1847222222222227</v>
      </c>
    </row>
    <row r="263" spans="1:8" x14ac:dyDescent="0.2">
      <c r="A263" s="1">
        <v>40439</v>
      </c>
      <c r="B263">
        <v>261</v>
      </c>
      <c r="C263" s="6">
        <f>IF('weather data'!C263&gt;'user input'!$C$3,'user input'!$C$3,'weather data'!C263)</f>
        <v>23.888888888888889</v>
      </c>
      <c r="D263" s="6">
        <f>IF('weather data'!D263&lt;'user input'!$C$2,'user input'!$C$2,'weather data'!D263)</f>
        <v>10</v>
      </c>
      <c r="E263">
        <f t="shared" si="4"/>
        <v>16.944444444444443</v>
      </c>
      <c r="F263">
        <f>IF((E263-'user input'!$C$2)&lt;0,0,E263-'user input'!$C$2)</f>
        <v>6.9444444444444429</v>
      </c>
      <c r="G263">
        <f>IF(B263&lt;'user input'!$C$5,0,(F263+G262))</f>
        <v>1428.6111111111115</v>
      </c>
      <c r="H263">
        <f>G263/'user input'!$C$4</f>
        <v>1.1905092592592597</v>
      </c>
    </row>
    <row r="264" spans="1:8" x14ac:dyDescent="0.2">
      <c r="A264" s="1">
        <v>40440</v>
      </c>
      <c r="B264">
        <v>262</v>
      </c>
      <c r="C264" s="6">
        <f>IF('weather data'!C264&gt;'user input'!$C$3,'user input'!$C$3,'weather data'!C264)</f>
        <v>16.666666666666668</v>
      </c>
      <c r="D264" s="6">
        <f>IF('weather data'!D264&lt;'user input'!$C$2,'user input'!$C$2,'weather data'!D264)</f>
        <v>10</v>
      </c>
      <c r="E264">
        <f t="shared" si="4"/>
        <v>13.333333333333334</v>
      </c>
      <c r="F264">
        <f>IF((E264-'user input'!$C$2)&lt;0,0,E264-'user input'!$C$2)</f>
        <v>3.3333333333333339</v>
      </c>
      <c r="G264">
        <f>IF(B264&lt;'user input'!$C$5,0,(F264+G263))</f>
        <v>1431.9444444444448</v>
      </c>
      <c r="H264">
        <f>G264/'user input'!$C$4</f>
        <v>1.1932870370370374</v>
      </c>
    </row>
    <row r="265" spans="1:8" x14ac:dyDescent="0.2">
      <c r="A265" s="1">
        <v>40441</v>
      </c>
      <c r="B265">
        <v>263</v>
      </c>
      <c r="C265" s="6">
        <f>IF('weather data'!C265&gt;'user input'!$C$3,'user input'!$C$3,'weather data'!C265)</f>
        <v>14.444444444444445</v>
      </c>
      <c r="D265" s="6">
        <f>IF('weather data'!D265&lt;'user input'!$C$2,'user input'!$C$2,'weather data'!D265)</f>
        <v>10.555555555555555</v>
      </c>
      <c r="E265">
        <f t="shared" si="4"/>
        <v>12.5</v>
      </c>
      <c r="F265">
        <f>IF((E265-'user input'!$C$2)&lt;0,0,E265-'user input'!$C$2)</f>
        <v>2.5</v>
      </c>
      <c r="G265">
        <f>IF(B265&lt;'user input'!$C$5,0,(F265+G264))</f>
        <v>1434.4444444444448</v>
      </c>
      <c r="H265">
        <f>G265/'user input'!$C$4</f>
        <v>1.1953703703703706</v>
      </c>
    </row>
    <row r="266" spans="1:8" x14ac:dyDescent="0.2">
      <c r="A266" s="1">
        <v>40442</v>
      </c>
      <c r="B266">
        <v>264</v>
      </c>
      <c r="C266" s="6">
        <f>IF('weather data'!C266&gt;'user input'!$C$3,'user input'!$C$3,'weather data'!C266)</f>
        <v>24.444444444444446</v>
      </c>
      <c r="D266" s="6">
        <f>IF('weather data'!D266&lt;'user input'!$C$2,'user input'!$C$2,'weather data'!D266)</f>
        <v>12.222222222222223</v>
      </c>
      <c r="E266">
        <f t="shared" si="4"/>
        <v>18.333333333333336</v>
      </c>
      <c r="F266">
        <f>IF((E266-'user input'!$C$2)&lt;0,0,E266-'user input'!$C$2)</f>
        <v>8.3333333333333357</v>
      </c>
      <c r="G266">
        <f>IF(B266&lt;'user input'!$C$5,0,(F266+G265))</f>
        <v>1442.7777777777781</v>
      </c>
      <c r="H266">
        <f>G266/'user input'!$C$4</f>
        <v>1.2023148148148151</v>
      </c>
    </row>
    <row r="267" spans="1:8" x14ac:dyDescent="0.2">
      <c r="A267" s="1">
        <v>40443</v>
      </c>
      <c r="B267">
        <v>265</v>
      </c>
      <c r="C267" s="6">
        <f>IF('weather data'!C267&gt;'user input'!$C$3,'user input'!$C$3,'weather data'!C267)</f>
        <v>24.444444444444446</v>
      </c>
      <c r="D267" s="6">
        <f>IF('weather data'!D267&lt;'user input'!$C$2,'user input'!$C$2,'weather data'!D267)</f>
        <v>14.444444444444445</v>
      </c>
      <c r="E267">
        <f t="shared" si="4"/>
        <v>19.444444444444446</v>
      </c>
      <c r="F267">
        <f>IF((E267-'user input'!$C$2)&lt;0,0,E267-'user input'!$C$2)</f>
        <v>9.4444444444444464</v>
      </c>
      <c r="G267">
        <f>IF(B267&lt;'user input'!$C$5,0,(F267+G266))</f>
        <v>1452.2222222222224</v>
      </c>
      <c r="H267">
        <f>G267/'user input'!$C$4</f>
        <v>1.2101851851851853</v>
      </c>
    </row>
    <row r="268" spans="1:8" x14ac:dyDescent="0.2">
      <c r="A268" s="1">
        <v>40444</v>
      </c>
      <c r="B268">
        <v>266</v>
      </c>
      <c r="C268" s="6">
        <f>IF('weather data'!C268&gt;'user input'!$C$3,'user input'!$C$3,'weather data'!C268)</f>
        <v>23.333333333333336</v>
      </c>
      <c r="D268" s="6">
        <f>IF('weather data'!D268&lt;'user input'!$C$2,'user input'!$C$2,'weather data'!D268)</f>
        <v>13.888888888888889</v>
      </c>
      <c r="E268">
        <f t="shared" si="4"/>
        <v>18.611111111111114</v>
      </c>
      <c r="F268">
        <f>IF((E268-'user input'!$C$2)&lt;0,0,E268-'user input'!$C$2)</f>
        <v>8.6111111111111143</v>
      </c>
      <c r="G268">
        <f>IF(B268&lt;'user input'!$C$5,0,(F268+G267))</f>
        <v>1460.8333333333335</v>
      </c>
      <c r="H268">
        <f>G268/'user input'!$C$4</f>
        <v>1.2173611111111113</v>
      </c>
    </row>
    <row r="269" spans="1:8" x14ac:dyDescent="0.2">
      <c r="A269" s="1">
        <v>40445</v>
      </c>
      <c r="B269">
        <v>267</v>
      </c>
      <c r="C269" s="6">
        <f>IF('weather data'!C269&gt;'user input'!$C$3,'user input'!$C$3,'weather data'!C269)</f>
        <v>29.444444444444446</v>
      </c>
      <c r="D269" s="6">
        <f>IF('weather data'!D269&lt;'user input'!$C$2,'user input'!$C$2,'weather data'!D269)</f>
        <v>11.666666666666668</v>
      </c>
      <c r="E269">
        <f t="shared" si="4"/>
        <v>20.555555555555557</v>
      </c>
      <c r="F269">
        <f>IF((E269-'user input'!$C$2)&lt;0,0,E269-'user input'!$C$2)</f>
        <v>10.555555555555557</v>
      </c>
      <c r="G269">
        <f>IF(B269&lt;'user input'!$C$5,0,(F269+G268))</f>
        <v>1471.3888888888891</v>
      </c>
      <c r="H269">
        <f>G269/'user input'!$C$4</f>
        <v>1.2261574074074075</v>
      </c>
    </row>
    <row r="270" spans="1:8" x14ac:dyDescent="0.2">
      <c r="A270" s="1">
        <v>40446</v>
      </c>
      <c r="B270">
        <v>268</v>
      </c>
      <c r="C270" s="6">
        <f>IF('weather data'!C270&gt;'user input'!$C$3,'user input'!$C$3,'weather data'!C270)</f>
        <v>18.333333333333332</v>
      </c>
      <c r="D270" s="6">
        <f>IF('weather data'!D270&lt;'user input'!$C$2,'user input'!$C$2,'weather data'!D270)</f>
        <v>10</v>
      </c>
      <c r="E270">
        <f t="shared" si="4"/>
        <v>14.166666666666666</v>
      </c>
      <c r="F270">
        <f>IF((E270-'user input'!$C$2)&lt;0,0,E270-'user input'!$C$2)</f>
        <v>4.1666666666666661</v>
      </c>
      <c r="G270">
        <f>IF(B270&lt;'user input'!$C$5,0,(F270+G269))</f>
        <v>1475.5555555555559</v>
      </c>
      <c r="H270">
        <f>G270/'user input'!$C$4</f>
        <v>1.2296296296296299</v>
      </c>
    </row>
    <row r="271" spans="1:8" x14ac:dyDescent="0.2">
      <c r="A271" s="1">
        <v>40447</v>
      </c>
      <c r="B271">
        <v>269</v>
      </c>
      <c r="C271" s="6">
        <f>IF('weather data'!C271&gt;'user input'!$C$3,'user input'!$C$3,'weather data'!C271)</f>
        <v>15</v>
      </c>
      <c r="D271" s="6">
        <f>IF('weather data'!D271&lt;'user input'!$C$2,'user input'!$C$2,'weather data'!D271)</f>
        <v>10</v>
      </c>
      <c r="E271">
        <f t="shared" si="4"/>
        <v>12.5</v>
      </c>
      <c r="F271">
        <f>IF((E271-'user input'!$C$2)&lt;0,0,E271-'user input'!$C$2)</f>
        <v>2.5</v>
      </c>
      <c r="G271">
        <f>IF(B271&lt;'user input'!$C$5,0,(F271+G270))</f>
        <v>1478.0555555555559</v>
      </c>
      <c r="H271">
        <f>G271/'user input'!$C$4</f>
        <v>1.2317129629629633</v>
      </c>
    </row>
    <row r="272" spans="1:8" x14ac:dyDescent="0.2">
      <c r="A272" s="1">
        <v>40448</v>
      </c>
      <c r="B272">
        <v>270</v>
      </c>
      <c r="C272" s="6">
        <f>IF('weather data'!C272&gt;'user input'!$C$3,'user input'!$C$3,'weather data'!C272)</f>
        <v>16.111111111111111</v>
      </c>
      <c r="D272" s="6">
        <f>IF('weather data'!D272&lt;'user input'!$C$2,'user input'!$C$2,'weather data'!D272)</f>
        <v>10</v>
      </c>
      <c r="E272">
        <f t="shared" si="4"/>
        <v>13.055555555555555</v>
      </c>
      <c r="F272">
        <f>IF((E272-'user input'!$C$2)&lt;0,0,E272-'user input'!$C$2)</f>
        <v>3.0555555555555554</v>
      </c>
      <c r="G272">
        <f>IF(B272&lt;'user input'!$C$5,0,(F272+G271))</f>
        <v>1481.1111111111115</v>
      </c>
      <c r="H272">
        <f>G272/'user input'!$C$4</f>
        <v>1.2342592592592596</v>
      </c>
    </row>
    <row r="273" spans="1:8" x14ac:dyDescent="0.2">
      <c r="A273" s="1">
        <v>40449</v>
      </c>
      <c r="B273">
        <v>271</v>
      </c>
      <c r="C273" s="6">
        <f>IF('weather data'!C273&gt;'user input'!$C$3,'user input'!$C$3,'weather data'!C273)</f>
        <v>18.888888888888889</v>
      </c>
      <c r="D273" s="6">
        <f>IF('weather data'!D273&lt;'user input'!$C$2,'user input'!$C$2,'weather data'!D273)</f>
        <v>10</v>
      </c>
      <c r="E273">
        <f t="shared" si="4"/>
        <v>14.444444444444445</v>
      </c>
      <c r="F273">
        <f>IF((E273-'user input'!$C$2)&lt;0,0,E273-'user input'!$C$2)</f>
        <v>4.4444444444444446</v>
      </c>
      <c r="G273">
        <f>IF(B273&lt;'user input'!$C$5,0,(F273+G272))</f>
        <v>1485.5555555555559</v>
      </c>
      <c r="H273">
        <f>G273/'user input'!$C$4</f>
        <v>1.2379629629629632</v>
      </c>
    </row>
    <row r="274" spans="1:8" x14ac:dyDescent="0.2">
      <c r="A274" s="1">
        <v>40450</v>
      </c>
      <c r="B274">
        <v>272</v>
      </c>
      <c r="C274" s="6">
        <f>IF('weather data'!C274&gt;'user input'!$C$3,'user input'!$C$3,'weather data'!C274)</f>
        <v>20.555555555555554</v>
      </c>
      <c r="D274" s="6">
        <f>IF('weather data'!D274&lt;'user input'!$C$2,'user input'!$C$2,'weather data'!D274)</f>
        <v>10</v>
      </c>
      <c r="E274">
        <f t="shared" ref="E274:E337" si="5">(C274+D274)/2</f>
        <v>15.277777777777777</v>
      </c>
      <c r="F274">
        <f>IF((E274-'user input'!$C$2)&lt;0,0,E274-'user input'!$C$2)</f>
        <v>5.2777777777777768</v>
      </c>
      <c r="G274">
        <f>IF(B274&lt;'user input'!$C$5,0,(F274+G273))</f>
        <v>1490.8333333333337</v>
      </c>
      <c r="H274">
        <f>G274/'user input'!$C$4</f>
        <v>1.2423611111111115</v>
      </c>
    </row>
    <row r="275" spans="1:8" x14ac:dyDescent="0.2">
      <c r="A275" s="1">
        <v>40451</v>
      </c>
      <c r="B275">
        <v>273</v>
      </c>
      <c r="C275" s="6">
        <f>IF('weather data'!C275&gt;'user input'!$C$3,'user input'!$C$3,'weather data'!C275)</f>
        <v>23.888888888888889</v>
      </c>
      <c r="D275" s="6">
        <f>IF('weather data'!D275&lt;'user input'!$C$2,'user input'!$C$2,'weather data'!D275)</f>
        <v>10</v>
      </c>
      <c r="E275">
        <f t="shared" si="5"/>
        <v>16.944444444444443</v>
      </c>
      <c r="F275">
        <f>IF((E275-'user input'!$C$2)&lt;0,0,E275-'user input'!$C$2)</f>
        <v>6.9444444444444429</v>
      </c>
      <c r="G275">
        <f>IF(B275&lt;'user input'!$C$5,0,(F275+G274))</f>
        <v>1497.7777777777781</v>
      </c>
      <c r="H275">
        <f>G275/'user input'!$C$4</f>
        <v>1.2481481481481485</v>
      </c>
    </row>
    <row r="276" spans="1:8" x14ac:dyDescent="0.2">
      <c r="A276" s="1">
        <v>40452</v>
      </c>
      <c r="B276">
        <v>274</v>
      </c>
      <c r="C276" s="6">
        <f>IF('weather data'!C276&gt;'user input'!$C$3,'user input'!$C$3,'weather data'!C276)</f>
        <v>20.555555555555554</v>
      </c>
      <c r="D276" s="6">
        <f>IF('weather data'!D276&lt;'user input'!$C$2,'user input'!$C$2,'weather data'!D276)</f>
        <v>10</v>
      </c>
      <c r="E276">
        <f t="shared" si="5"/>
        <v>15.277777777777777</v>
      </c>
      <c r="F276">
        <f>IF((E276-'user input'!$C$2)&lt;0,0,E276-'user input'!$C$2)</f>
        <v>5.2777777777777768</v>
      </c>
      <c r="G276">
        <f>IF(B276&lt;'user input'!$C$5,0,(F276+G275))</f>
        <v>1503.0555555555559</v>
      </c>
      <c r="H276">
        <f>G276/'user input'!$C$4</f>
        <v>1.2525462962962965</v>
      </c>
    </row>
    <row r="277" spans="1:8" x14ac:dyDescent="0.2">
      <c r="A277" s="1">
        <v>40453</v>
      </c>
      <c r="B277">
        <v>275</v>
      </c>
      <c r="C277" s="6">
        <f>IF('weather data'!C277&gt;'user input'!$C$3,'user input'!$C$3,'weather data'!C277)</f>
        <v>22.777777777777779</v>
      </c>
      <c r="D277" s="6">
        <f>IF('weather data'!D277&lt;'user input'!$C$2,'user input'!$C$2,'weather data'!D277)</f>
        <v>10</v>
      </c>
      <c r="E277">
        <f t="shared" si="5"/>
        <v>16.388888888888889</v>
      </c>
      <c r="F277">
        <f>IF((E277-'user input'!$C$2)&lt;0,0,E277-'user input'!$C$2)</f>
        <v>6.3888888888888893</v>
      </c>
      <c r="G277">
        <f>IF(B277&lt;'user input'!$C$5,0,(F277+G276))</f>
        <v>1509.4444444444448</v>
      </c>
      <c r="H277">
        <f>G277/'user input'!$C$4</f>
        <v>1.2578703703703706</v>
      </c>
    </row>
    <row r="278" spans="1:8" x14ac:dyDescent="0.2">
      <c r="A278" s="1">
        <v>40454</v>
      </c>
      <c r="B278">
        <v>276</v>
      </c>
      <c r="C278" s="6">
        <f>IF('weather data'!C278&gt;'user input'!$C$3,'user input'!$C$3,'weather data'!C278)</f>
        <v>12.222222222222223</v>
      </c>
      <c r="D278" s="6">
        <f>IF('weather data'!D278&lt;'user input'!$C$2,'user input'!$C$2,'weather data'!D278)</f>
        <v>10</v>
      </c>
      <c r="E278">
        <f t="shared" si="5"/>
        <v>11.111111111111111</v>
      </c>
      <c r="F278">
        <f>IF((E278-'user input'!$C$2)&lt;0,0,E278-'user input'!$C$2)</f>
        <v>1.1111111111111107</v>
      </c>
      <c r="G278">
        <f>IF(B278&lt;'user input'!$C$5,0,(F278+G277))</f>
        <v>1510.5555555555559</v>
      </c>
      <c r="H278">
        <f>G278/'user input'!$C$4</f>
        <v>1.2587962962962966</v>
      </c>
    </row>
    <row r="279" spans="1:8" x14ac:dyDescent="0.2">
      <c r="A279" s="1">
        <v>40455</v>
      </c>
      <c r="B279">
        <v>277</v>
      </c>
      <c r="C279" s="6">
        <f>IF('weather data'!C279&gt;'user input'!$C$3,'user input'!$C$3,'weather data'!C279)</f>
        <v>13.333333333333332</v>
      </c>
      <c r="D279" s="6">
        <f>IF('weather data'!D279&lt;'user input'!$C$2,'user input'!$C$2,'weather data'!D279)</f>
        <v>10</v>
      </c>
      <c r="E279">
        <f t="shared" si="5"/>
        <v>11.666666666666666</v>
      </c>
      <c r="F279">
        <f>IF((E279-'user input'!$C$2)&lt;0,0,E279-'user input'!$C$2)</f>
        <v>1.6666666666666661</v>
      </c>
      <c r="G279">
        <f>IF(B279&lt;'user input'!$C$5,0,(F279+G278))</f>
        <v>1512.2222222222226</v>
      </c>
      <c r="H279">
        <f>G279/'user input'!$C$4</f>
        <v>1.2601851851851855</v>
      </c>
    </row>
    <row r="280" spans="1:8" x14ac:dyDescent="0.2">
      <c r="A280" s="1">
        <v>40456</v>
      </c>
      <c r="B280">
        <v>278</v>
      </c>
      <c r="C280" s="6">
        <f>IF('weather data'!C280&gt;'user input'!$C$3,'user input'!$C$3,'weather data'!C280)</f>
        <v>16.666666666666668</v>
      </c>
      <c r="D280" s="6">
        <f>IF('weather data'!D280&lt;'user input'!$C$2,'user input'!$C$2,'weather data'!D280)</f>
        <v>10</v>
      </c>
      <c r="E280">
        <f t="shared" si="5"/>
        <v>13.333333333333334</v>
      </c>
      <c r="F280">
        <f>IF((E280-'user input'!$C$2)&lt;0,0,E280-'user input'!$C$2)</f>
        <v>3.3333333333333339</v>
      </c>
      <c r="G280">
        <f>IF(B280&lt;'user input'!$C$5,0,(F280+G279))</f>
        <v>1515.5555555555559</v>
      </c>
      <c r="H280">
        <f>G280/'user input'!$C$4</f>
        <v>1.2629629629629633</v>
      </c>
    </row>
    <row r="281" spans="1:8" x14ac:dyDescent="0.2">
      <c r="A281" s="1">
        <v>40457</v>
      </c>
      <c r="B281">
        <v>279</v>
      </c>
      <c r="C281" s="6">
        <f>IF('weather data'!C281&gt;'user input'!$C$3,'user input'!$C$3,'weather data'!C281)</f>
        <v>20</v>
      </c>
      <c r="D281" s="6">
        <f>IF('weather data'!D281&lt;'user input'!$C$2,'user input'!$C$2,'weather data'!D281)</f>
        <v>10</v>
      </c>
      <c r="E281">
        <f t="shared" si="5"/>
        <v>15</v>
      </c>
      <c r="F281">
        <f>IF((E281-'user input'!$C$2)&lt;0,0,E281-'user input'!$C$2)</f>
        <v>5</v>
      </c>
      <c r="G281">
        <f>IF(B281&lt;'user input'!$C$5,0,(F281+G280))</f>
        <v>1520.5555555555559</v>
      </c>
      <c r="H281">
        <f>G281/'user input'!$C$4</f>
        <v>1.2671296296296299</v>
      </c>
    </row>
    <row r="282" spans="1:8" x14ac:dyDescent="0.2">
      <c r="A282" s="1">
        <v>40458</v>
      </c>
      <c r="B282">
        <v>280</v>
      </c>
      <c r="C282" s="6">
        <f>IF('weather data'!C282&gt;'user input'!$C$3,'user input'!$C$3,'weather data'!C282)</f>
        <v>24.444444444444446</v>
      </c>
      <c r="D282" s="6">
        <f>IF('weather data'!D282&lt;'user input'!$C$2,'user input'!$C$2,'weather data'!D282)</f>
        <v>10</v>
      </c>
      <c r="E282">
        <f t="shared" si="5"/>
        <v>17.222222222222221</v>
      </c>
      <c r="F282">
        <f>IF((E282-'user input'!$C$2)&lt;0,0,E282-'user input'!$C$2)</f>
        <v>7.2222222222222214</v>
      </c>
      <c r="G282">
        <f>IF(B282&lt;'user input'!$C$5,0,(F282+G281))</f>
        <v>1527.7777777777781</v>
      </c>
      <c r="H282">
        <f>G282/'user input'!$C$4</f>
        <v>1.2731481481481484</v>
      </c>
    </row>
    <row r="283" spans="1:8" x14ac:dyDescent="0.2">
      <c r="A283" s="1">
        <v>40459</v>
      </c>
      <c r="B283">
        <v>281</v>
      </c>
      <c r="C283" s="6">
        <f>IF('weather data'!C283&gt;'user input'!$C$3,'user input'!$C$3,'weather data'!C283)</f>
        <v>24.444444444444446</v>
      </c>
      <c r="D283" s="6">
        <f>IF('weather data'!D283&lt;'user input'!$C$2,'user input'!$C$2,'weather data'!D283)</f>
        <v>10</v>
      </c>
      <c r="E283">
        <f t="shared" si="5"/>
        <v>17.222222222222221</v>
      </c>
      <c r="F283">
        <f>IF((E283-'user input'!$C$2)&lt;0,0,E283-'user input'!$C$2)</f>
        <v>7.2222222222222214</v>
      </c>
      <c r="G283">
        <f>IF(B283&lt;'user input'!$C$5,0,(F283+G282))</f>
        <v>1535.0000000000002</v>
      </c>
      <c r="H283">
        <f>G283/'user input'!$C$4</f>
        <v>1.2791666666666668</v>
      </c>
    </row>
    <row r="284" spans="1:8" x14ac:dyDescent="0.2">
      <c r="A284" s="1">
        <v>40460</v>
      </c>
      <c r="B284">
        <v>282</v>
      </c>
      <c r="C284" s="6">
        <f>IF('weather data'!C284&gt;'user input'!$C$3,'user input'!$C$3,'weather data'!C284)</f>
        <v>26.111111111111111</v>
      </c>
      <c r="D284" s="6">
        <f>IF('weather data'!D284&lt;'user input'!$C$2,'user input'!$C$2,'weather data'!D284)</f>
        <v>10</v>
      </c>
      <c r="E284">
        <f t="shared" si="5"/>
        <v>18.055555555555557</v>
      </c>
      <c r="F284">
        <f>IF((E284-'user input'!$C$2)&lt;0,0,E284-'user input'!$C$2)</f>
        <v>8.0555555555555571</v>
      </c>
      <c r="G284">
        <f>IF(B284&lt;'user input'!$C$5,0,(F284+G283))</f>
        <v>1543.0555555555559</v>
      </c>
      <c r="H284">
        <f>G284/'user input'!$C$4</f>
        <v>1.28587962962963</v>
      </c>
    </row>
    <row r="285" spans="1:8" x14ac:dyDescent="0.2">
      <c r="A285" s="1">
        <v>40461</v>
      </c>
      <c r="B285">
        <v>283</v>
      </c>
      <c r="C285" s="6">
        <f>IF('weather data'!C285&gt;'user input'!$C$3,'user input'!$C$3,'weather data'!C285)</f>
        <v>30</v>
      </c>
      <c r="D285" s="6">
        <f>IF('weather data'!D285&lt;'user input'!$C$2,'user input'!$C$2,'weather data'!D285)</f>
        <v>10</v>
      </c>
      <c r="E285">
        <f t="shared" si="5"/>
        <v>20</v>
      </c>
      <c r="F285">
        <f>IF((E285-'user input'!$C$2)&lt;0,0,E285-'user input'!$C$2)</f>
        <v>10</v>
      </c>
      <c r="G285">
        <f>IF(B285&lt;'user input'!$C$5,0,(F285+G284))</f>
        <v>1553.0555555555559</v>
      </c>
      <c r="H285">
        <f>G285/'user input'!$C$4</f>
        <v>1.2942129629629633</v>
      </c>
    </row>
    <row r="286" spans="1:8" x14ac:dyDescent="0.2">
      <c r="A286" s="1">
        <v>40462</v>
      </c>
      <c r="B286">
        <v>284</v>
      </c>
      <c r="C286" s="6">
        <f>IF('weather data'!C286&gt;'user input'!$C$3,'user input'!$C$3,'weather data'!C286)</f>
        <v>28.333333333333336</v>
      </c>
      <c r="D286" s="6">
        <f>IF('weather data'!D286&lt;'user input'!$C$2,'user input'!$C$2,'weather data'!D286)</f>
        <v>10</v>
      </c>
      <c r="E286">
        <f t="shared" si="5"/>
        <v>19.166666666666668</v>
      </c>
      <c r="F286">
        <f>IF((E286-'user input'!$C$2)&lt;0,0,E286-'user input'!$C$2)</f>
        <v>9.1666666666666679</v>
      </c>
      <c r="G286">
        <f>IF(B286&lt;'user input'!$C$5,0,(F286+G285))</f>
        <v>1562.2222222222226</v>
      </c>
      <c r="H286">
        <f>G286/'user input'!$C$4</f>
        <v>1.3018518518518523</v>
      </c>
    </row>
    <row r="287" spans="1:8" x14ac:dyDescent="0.2">
      <c r="A287" s="1">
        <v>40463</v>
      </c>
      <c r="B287">
        <v>285</v>
      </c>
      <c r="C287" s="6">
        <f>IF('weather data'!C287&gt;'user input'!$C$3,'user input'!$C$3,'weather data'!C287)</f>
        <v>26.111111111111111</v>
      </c>
      <c r="D287" s="6">
        <f>IF('weather data'!D287&lt;'user input'!$C$2,'user input'!$C$2,'weather data'!D287)</f>
        <v>10</v>
      </c>
      <c r="E287">
        <f t="shared" si="5"/>
        <v>18.055555555555557</v>
      </c>
      <c r="F287">
        <f>IF((E287-'user input'!$C$2)&lt;0,0,E287-'user input'!$C$2)</f>
        <v>8.0555555555555571</v>
      </c>
      <c r="G287">
        <f>IF(B287&lt;'user input'!$C$5,0,(F287+G286))</f>
        <v>1570.2777777777783</v>
      </c>
      <c r="H287">
        <f>G287/'user input'!$C$4</f>
        <v>1.3085648148148152</v>
      </c>
    </row>
    <row r="288" spans="1:8" x14ac:dyDescent="0.2">
      <c r="A288" s="1">
        <v>40464</v>
      </c>
      <c r="B288">
        <v>286</v>
      </c>
      <c r="C288" s="6">
        <f>IF('weather data'!C288&gt;'user input'!$C$3,'user input'!$C$3,'weather data'!C288)</f>
        <v>26.666666666666664</v>
      </c>
      <c r="D288" s="6">
        <f>IF('weather data'!D288&lt;'user input'!$C$2,'user input'!$C$2,'weather data'!D288)</f>
        <v>10</v>
      </c>
      <c r="E288">
        <f t="shared" si="5"/>
        <v>18.333333333333332</v>
      </c>
      <c r="F288">
        <f>IF((E288-'user input'!$C$2)&lt;0,0,E288-'user input'!$C$2)</f>
        <v>8.3333333333333321</v>
      </c>
      <c r="G288">
        <f>IF(B288&lt;'user input'!$C$5,0,(F288+G287))</f>
        <v>1578.6111111111115</v>
      </c>
      <c r="H288">
        <f>G288/'user input'!$C$4</f>
        <v>1.3155092592592597</v>
      </c>
    </row>
    <row r="289" spans="1:8" x14ac:dyDescent="0.2">
      <c r="A289" s="1">
        <v>40465</v>
      </c>
      <c r="B289">
        <v>287</v>
      </c>
      <c r="C289" s="6">
        <f>IF('weather data'!C289&gt;'user input'!$C$3,'user input'!$C$3,'weather data'!C289)</f>
        <v>17.777777777777779</v>
      </c>
      <c r="D289" s="6">
        <f>IF('weather data'!D289&lt;'user input'!$C$2,'user input'!$C$2,'weather data'!D289)</f>
        <v>10</v>
      </c>
      <c r="E289">
        <f t="shared" si="5"/>
        <v>13.888888888888889</v>
      </c>
      <c r="F289">
        <f>IF((E289-'user input'!$C$2)&lt;0,0,E289-'user input'!$C$2)</f>
        <v>3.8888888888888893</v>
      </c>
      <c r="G289">
        <f>IF(B289&lt;'user input'!$C$5,0,(F289+G288))</f>
        <v>1582.5000000000005</v>
      </c>
      <c r="H289">
        <f>G289/'user input'!$C$4</f>
        <v>1.3187500000000003</v>
      </c>
    </row>
    <row r="290" spans="1:8" x14ac:dyDescent="0.2">
      <c r="A290" s="1">
        <v>40466</v>
      </c>
      <c r="B290">
        <v>288</v>
      </c>
      <c r="C290" s="6">
        <f>IF('weather data'!C290&gt;'user input'!$C$3,'user input'!$C$3,'weather data'!C290)</f>
        <v>18.888888888888889</v>
      </c>
      <c r="D290" s="6">
        <f>IF('weather data'!D290&lt;'user input'!$C$2,'user input'!$C$2,'weather data'!D290)</f>
        <v>10</v>
      </c>
      <c r="E290">
        <f t="shared" si="5"/>
        <v>14.444444444444445</v>
      </c>
      <c r="F290">
        <f>IF((E290-'user input'!$C$2)&lt;0,0,E290-'user input'!$C$2)</f>
        <v>4.4444444444444446</v>
      </c>
      <c r="G290">
        <f>IF(B290&lt;'user input'!$C$5,0,(F290+G289))</f>
        <v>1586.9444444444448</v>
      </c>
      <c r="H290">
        <f>G290/'user input'!$C$4</f>
        <v>1.3224537037037041</v>
      </c>
    </row>
    <row r="291" spans="1:8" x14ac:dyDescent="0.2">
      <c r="A291" s="1">
        <v>40467</v>
      </c>
      <c r="B291">
        <v>289</v>
      </c>
      <c r="C291" s="6">
        <f>IF('weather data'!C291&gt;'user input'!$C$3,'user input'!$C$3,'weather data'!C291)</f>
        <v>16.111111111111111</v>
      </c>
      <c r="D291" s="6">
        <f>IF('weather data'!D291&lt;'user input'!$C$2,'user input'!$C$2,'weather data'!D291)</f>
        <v>10</v>
      </c>
      <c r="E291">
        <f t="shared" si="5"/>
        <v>13.055555555555555</v>
      </c>
      <c r="F291">
        <f>IF((E291-'user input'!$C$2)&lt;0,0,E291-'user input'!$C$2)</f>
        <v>3.0555555555555554</v>
      </c>
      <c r="G291">
        <f>IF(B291&lt;'user input'!$C$5,0,(F291+G290))</f>
        <v>1590.0000000000005</v>
      </c>
      <c r="H291">
        <f>G291/'user input'!$C$4</f>
        <v>1.3250000000000004</v>
      </c>
    </row>
    <row r="292" spans="1:8" x14ac:dyDescent="0.2">
      <c r="A292" s="1">
        <v>40468</v>
      </c>
      <c r="B292">
        <v>290</v>
      </c>
      <c r="C292" s="6">
        <f>IF('weather data'!C292&gt;'user input'!$C$3,'user input'!$C$3,'weather data'!C292)</f>
        <v>21.666666666666664</v>
      </c>
      <c r="D292" s="6">
        <f>IF('weather data'!D292&lt;'user input'!$C$2,'user input'!$C$2,'weather data'!D292)</f>
        <v>10</v>
      </c>
      <c r="E292">
        <f t="shared" si="5"/>
        <v>15.833333333333332</v>
      </c>
      <c r="F292">
        <f>IF((E292-'user input'!$C$2)&lt;0,0,E292-'user input'!$C$2)</f>
        <v>5.8333333333333321</v>
      </c>
      <c r="G292">
        <f>IF(B292&lt;'user input'!$C$5,0,(F292+G291))</f>
        <v>1595.8333333333337</v>
      </c>
      <c r="H292">
        <f>G292/'user input'!$C$4</f>
        <v>1.3298611111111114</v>
      </c>
    </row>
    <row r="293" spans="1:8" x14ac:dyDescent="0.2">
      <c r="A293" s="1">
        <v>40469</v>
      </c>
      <c r="B293">
        <v>291</v>
      </c>
      <c r="C293" s="6">
        <f>IF('weather data'!C293&gt;'user input'!$C$3,'user input'!$C$3,'weather data'!C293)</f>
        <v>16.111111111111111</v>
      </c>
      <c r="D293" s="6">
        <f>IF('weather data'!D293&lt;'user input'!$C$2,'user input'!$C$2,'weather data'!D293)</f>
        <v>10</v>
      </c>
      <c r="E293">
        <f t="shared" si="5"/>
        <v>13.055555555555555</v>
      </c>
      <c r="F293">
        <f>IF((E293-'user input'!$C$2)&lt;0,0,E293-'user input'!$C$2)</f>
        <v>3.0555555555555554</v>
      </c>
      <c r="G293">
        <f>IF(B293&lt;'user input'!$C$5,0,(F293+G292))</f>
        <v>1598.8888888888894</v>
      </c>
      <c r="H293">
        <f>G293/'user input'!$C$4</f>
        <v>1.3324074074074077</v>
      </c>
    </row>
    <row r="294" spans="1:8" x14ac:dyDescent="0.2">
      <c r="A294" s="1">
        <v>40470</v>
      </c>
      <c r="B294">
        <v>292</v>
      </c>
      <c r="C294" s="6">
        <f>IF('weather data'!C294&gt;'user input'!$C$3,'user input'!$C$3,'weather data'!C294)</f>
        <v>15.555555555555555</v>
      </c>
      <c r="D294" s="6">
        <f>IF('weather data'!D294&lt;'user input'!$C$2,'user input'!$C$2,'weather data'!D294)</f>
        <v>10</v>
      </c>
      <c r="E294">
        <f t="shared" si="5"/>
        <v>12.777777777777779</v>
      </c>
      <c r="F294">
        <f>IF((E294-'user input'!$C$2)&lt;0,0,E294-'user input'!$C$2)</f>
        <v>2.7777777777777786</v>
      </c>
      <c r="G294">
        <f>IF(B294&lt;'user input'!$C$5,0,(F294+G293))</f>
        <v>1601.6666666666672</v>
      </c>
      <c r="H294">
        <f>G294/'user input'!$C$4</f>
        <v>1.3347222222222226</v>
      </c>
    </row>
    <row r="295" spans="1:8" x14ac:dyDescent="0.2">
      <c r="A295" s="1">
        <v>40471</v>
      </c>
      <c r="B295">
        <v>293</v>
      </c>
      <c r="C295" s="6">
        <f>IF('weather data'!C295&gt;'user input'!$C$3,'user input'!$C$3,'weather data'!C295)</f>
        <v>15.555555555555555</v>
      </c>
      <c r="D295" s="6">
        <f>IF('weather data'!D295&lt;'user input'!$C$2,'user input'!$C$2,'weather data'!D295)</f>
        <v>10</v>
      </c>
      <c r="E295">
        <f t="shared" si="5"/>
        <v>12.777777777777779</v>
      </c>
      <c r="F295">
        <f>IF((E295-'user input'!$C$2)&lt;0,0,E295-'user input'!$C$2)</f>
        <v>2.7777777777777786</v>
      </c>
      <c r="G295">
        <f>IF(B295&lt;'user input'!$C$5,0,(F295+G294))</f>
        <v>1604.444444444445</v>
      </c>
      <c r="H295">
        <f>G295/'user input'!$C$4</f>
        <v>1.3370370370370375</v>
      </c>
    </row>
    <row r="296" spans="1:8" x14ac:dyDescent="0.2">
      <c r="A296" s="1">
        <v>40472</v>
      </c>
      <c r="B296">
        <v>294</v>
      </c>
      <c r="C296" s="6">
        <f>IF('weather data'!C296&gt;'user input'!$C$3,'user input'!$C$3,'weather data'!C296)</f>
        <v>21.666666666666664</v>
      </c>
      <c r="D296" s="6">
        <f>IF('weather data'!D296&lt;'user input'!$C$2,'user input'!$C$2,'weather data'!D296)</f>
        <v>10</v>
      </c>
      <c r="E296">
        <f t="shared" si="5"/>
        <v>15.833333333333332</v>
      </c>
      <c r="F296">
        <f>IF((E296-'user input'!$C$2)&lt;0,0,E296-'user input'!$C$2)</f>
        <v>5.8333333333333321</v>
      </c>
      <c r="G296">
        <f>IF(B296&lt;'user input'!$C$5,0,(F296+G295))</f>
        <v>1610.2777777777783</v>
      </c>
      <c r="H296">
        <f>G296/'user input'!$C$4</f>
        <v>1.3418981481481487</v>
      </c>
    </row>
    <row r="297" spans="1:8" x14ac:dyDescent="0.2">
      <c r="A297" s="1">
        <v>40473</v>
      </c>
      <c r="B297">
        <v>295</v>
      </c>
      <c r="C297" s="6">
        <f>IF('weather data'!C297&gt;'user input'!$C$3,'user input'!$C$3,'weather data'!C297)</f>
        <v>11.666666666666668</v>
      </c>
      <c r="D297" s="6">
        <f>IF('weather data'!D297&lt;'user input'!$C$2,'user input'!$C$2,'weather data'!D297)</f>
        <v>10</v>
      </c>
      <c r="E297">
        <f t="shared" si="5"/>
        <v>10.833333333333334</v>
      </c>
      <c r="F297">
        <f>IF((E297-'user input'!$C$2)&lt;0,0,E297-'user input'!$C$2)</f>
        <v>0.83333333333333393</v>
      </c>
      <c r="G297">
        <f>IF(B297&lt;'user input'!$C$5,0,(F297+G296))</f>
        <v>1611.1111111111115</v>
      </c>
      <c r="H297">
        <f>G297/'user input'!$C$4</f>
        <v>1.342592592592593</v>
      </c>
    </row>
    <row r="298" spans="1:8" x14ac:dyDescent="0.2">
      <c r="A298" s="1">
        <v>40474</v>
      </c>
      <c r="B298">
        <v>296</v>
      </c>
      <c r="C298" s="6">
        <f>IF('weather data'!C298&gt;'user input'!$C$3,'user input'!$C$3,'weather data'!C298)</f>
        <v>18.333333333333332</v>
      </c>
      <c r="D298" s="6">
        <f>IF('weather data'!D298&lt;'user input'!$C$2,'user input'!$C$2,'weather data'!D298)</f>
        <v>10</v>
      </c>
      <c r="E298">
        <f t="shared" si="5"/>
        <v>14.166666666666666</v>
      </c>
      <c r="F298">
        <f>IF((E298-'user input'!$C$2)&lt;0,0,E298-'user input'!$C$2)</f>
        <v>4.1666666666666661</v>
      </c>
      <c r="G298">
        <f>IF(B298&lt;'user input'!$C$5,0,(F298+G297))</f>
        <v>1615.2777777777783</v>
      </c>
      <c r="H298">
        <f>G298/'user input'!$C$4</f>
        <v>1.3460648148148153</v>
      </c>
    </row>
    <row r="299" spans="1:8" x14ac:dyDescent="0.2">
      <c r="A299" s="1">
        <v>40475</v>
      </c>
      <c r="B299">
        <v>297</v>
      </c>
      <c r="C299" s="6">
        <f>IF('weather data'!C299&gt;'user input'!$C$3,'user input'!$C$3,'weather data'!C299)</f>
        <v>16.666666666666668</v>
      </c>
      <c r="D299" s="6">
        <f>IF('weather data'!D299&lt;'user input'!$C$2,'user input'!$C$2,'weather data'!D299)</f>
        <v>11.111111111111111</v>
      </c>
      <c r="E299">
        <f t="shared" si="5"/>
        <v>13.888888888888889</v>
      </c>
      <c r="F299">
        <f>IF((E299-'user input'!$C$2)&lt;0,0,E299-'user input'!$C$2)</f>
        <v>3.8888888888888893</v>
      </c>
      <c r="G299">
        <f>IF(B299&lt;'user input'!$C$5,0,(F299+G298))</f>
        <v>1619.1666666666672</v>
      </c>
      <c r="H299">
        <f>G299/'user input'!$C$4</f>
        <v>1.349305555555556</v>
      </c>
    </row>
    <row r="300" spans="1:8" x14ac:dyDescent="0.2">
      <c r="A300" s="1">
        <v>40476</v>
      </c>
      <c r="B300">
        <v>298</v>
      </c>
      <c r="C300" s="6">
        <f>IF('weather data'!C300&gt;'user input'!$C$3,'user input'!$C$3,'weather data'!C300)</f>
        <v>17.777777777777779</v>
      </c>
      <c r="D300" s="6">
        <f>IF('weather data'!D300&lt;'user input'!$C$2,'user input'!$C$2,'weather data'!D300)</f>
        <v>13.333333333333332</v>
      </c>
      <c r="E300">
        <f t="shared" si="5"/>
        <v>15.555555555555555</v>
      </c>
      <c r="F300">
        <f>IF((E300-'user input'!$C$2)&lt;0,0,E300-'user input'!$C$2)</f>
        <v>5.5555555555555554</v>
      </c>
      <c r="G300">
        <f>IF(B300&lt;'user input'!$C$5,0,(F300+G299))</f>
        <v>1624.7222222222229</v>
      </c>
      <c r="H300">
        <f>G300/'user input'!$C$4</f>
        <v>1.3539351851851857</v>
      </c>
    </row>
    <row r="301" spans="1:8" x14ac:dyDescent="0.2">
      <c r="A301" s="1">
        <v>40477</v>
      </c>
      <c r="B301">
        <v>299</v>
      </c>
      <c r="C301" s="6">
        <f>IF('weather data'!C301&gt;'user input'!$C$3,'user input'!$C$3,'weather data'!C301)</f>
        <v>19.444444444444443</v>
      </c>
      <c r="D301" s="6">
        <f>IF('weather data'!D301&lt;'user input'!$C$2,'user input'!$C$2,'weather data'!D301)</f>
        <v>12.777777777777777</v>
      </c>
      <c r="E301">
        <f t="shared" si="5"/>
        <v>16.111111111111111</v>
      </c>
      <c r="F301">
        <f>IF((E301-'user input'!$C$2)&lt;0,0,E301-'user input'!$C$2)</f>
        <v>6.1111111111111107</v>
      </c>
      <c r="G301">
        <f>IF(B301&lt;'user input'!$C$5,0,(F301+G300))</f>
        <v>1630.8333333333339</v>
      </c>
      <c r="H301">
        <f>G301/'user input'!$C$4</f>
        <v>1.3590277777777784</v>
      </c>
    </row>
    <row r="302" spans="1:8" x14ac:dyDescent="0.2">
      <c r="A302" s="1">
        <v>40478</v>
      </c>
      <c r="B302">
        <v>300</v>
      </c>
      <c r="C302" s="6">
        <f>IF('weather data'!C302&gt;'user input'!$C$3,'user input'!$C$3,'weather data'!C302)</f>
        <v>13.333333333333332</v>
      </c>
      <c r="D302" s="6">
        <f>IF('weather data'!D302&lt;'user input'!$C$2,'user input'!$C$2,'weather data'!D302)</f>
        <v>10</v>
      </c>
      <c r="E302">
        <f t="shared" si="5"/>
        <v>11.666666666666666</v>
      </c>
      <c r="F302">
        <f>IF((E302-'user input'!$C$2)&lt;0,0,E302-'user input'!$C$2)</f>
        <v>1.6666666666666661</v>
      </c>
      <c r="G302">
        <f>IF(B302&lt;'user input'!$C$5,0,(F302+G301))</f>
        <v>1632.5000000000007</v>
      </c>
      <c r="H302">
        <f>G302/'user input'!$C$4</f>
        <v>1.3604166666666673</v>
      </c>
    </row>
    <row r="303" spans="1:8" x14ac:dyDescent="0.2">
      <c r="A303" s="1">
        <v>40479</v>
      </c>
      <c r="B303">
        <v>301</v>
      </c>
      <c r="C303" s="6">
        <f>IF('weather data'!C303&gt;'user input'!$C$3,'user input'!$C$3,'weather data'!C303)</f>
        <v>11.111111111111111</v>
      </c>
      <c r="D303" s="6">
        <f>IF('weather data'!D303&lt;'user input'!$C$2,'user input'!$C$2,'weather data'!D303)</f>
        <v>10</v>
      </c>
      <c r="E303">
        <f t="shared" si="5"/>
        <v>10.555555555555555</v>
      </c>
      <c r="F303">
        <f>IF((E303-'user input'!$C$2)&lt;0,0,E303-'user input'!$C$2)</f>
        <v>0.55555555555555536</v>
      </c>
      <c r="G303">
        <f>IF(B303&lt;'user input'!$C$5,0,(F303+G302))</f>
        <v>1633.0555555555563</v>
      </c>
      <c r="H303">
        <f>G303/'user input'!$C$4</f>
        <v>1.3608796296296304</v>
      </c>
    </row>
    <row r="304" spans="1:8" x14ac:dyDescent="0.2">
      <c r="A304" s="1">
        <v>40480</v>
      </c>
      <c r="B304">
        <v>302</v>
      </c>
      <c r="C304" s="6">
        <f>IF('weather data'!C304&gt;'user input'!$C$3,'user input'!$C$3,'weather data'!C304)</f>
        <v>7.2222222222222223</v>
      </c>
      <c r="D304" s="6">
        <f>IF('weather data'!D304&lt;'user input'!$C$2,'user input'!$C$2,'weather data'!D304)</f>
        <v>10</v>
      </c>
      <c r="E304">
        <f t="shared" si="5"/>
        <v>8.6111111111111107</v>
      </c>
      <c r="F304">
        <f>IF((E304-'user input'!$C$2)&lt;0,0,E304-'user input'!$C$2)</f>
        <v>0</v>
      </c>
      <c r="G304">
        <f>IF(B304&lt;'user input'!$C$5,0,(F304+G303))</f>
        <v>1633.0555555555563</v>
      </c>
      <c r="H304">
        <f>G304/'user input'!$C$4</f>
        <v>1.3608796296296304</v>
      </c>
    </row>
    <row r="305" spans="1:8" x14ac:dyDescent="0.2">
      <c r="A305" s="1">
        <v>40481</v>
      </c>
      <c r="B305">
        <v>303</v>
      </c>
      <c r="C305" s="6">
        <f>IF('weather data'!C305&gt;'user input'!$C$3,'user input'!$C$3,'weather data'!C305)</f>
        <v>10</v>
      </c>
      <c r="D305" s="6">
        <f>IF('weather data'!D305&lt;'user input'!$C$2,'user input'!$C$2,'weather data'!D305)</f>
        <v>10</v>
      </c>
      <c r="E305">
        <f t="shared" si="5"/>
        <v>10</v>
      </c>
      <c r="F305">
        <f>IF((E305-'user input'!$C$2)&lt;0,0,E305-'user input'!$C$2)</f>
        <v>0</v>
      </c>
      <c r="G305">
        <f>IF(B305&lt;'user input'!$C$5,0,(F305+G304))</f>
        <v>1633.0555555555563</v>
      </c>
      <c r="H305">
        <f>G305/'user input'!$C$4</f>
        <v>1.3608796296296304</v>
      </c>
    </row>
    <row r="306" spans="1:8" x14ac:dyDescent="0.2">
      <c r="A306" s="1">
        <v>40482</v>
      </c>
      <c r="B306">
        <v>304</v>
      </c>
      <c r="C306" s="6">
        <f>IF('weather data'!C306&gt;'user input'!$C$3,'user input'!$C$3,'weather data'!C306)</f>
        <v>17.777777777777779</v>
      </c>
      <c r="D306" s="6">
        <f>IF('weather data'!D306&lt;'user input'!$C$2,'user input'!$C$2,'weather data'!D306)</f>
        <v>10</v>
      </c>
      <c r="E306">
        <f t="shared" si="5"/>
        <v>13.888888888888889</v>
      </c>
      <c r="F306">
        <f>IF((E306-'user input'!$C$2)&lt;0,0,E306-'user input'!$C$2)</f>
        <v>3.8888888888888893</v>
      </c>
      <c r="G306">
        <f>IF(B306&lt;'user input'!$C$5,0,(F306+G305))</f>
        <v>1636.9444444444453</v>
      </c>
      <c r="H306">
        <f>G306/'user input'!$C$4</f>
        <v>1.364120370370371</v>
      </c>
    </row>
    <row r="307" spans="1:8" x14ac:dyDescent="0.2">
      <c r="A307" s="1">
        <v>40483</v>
      </c>
      <c r="B307">
        <v>305</v>
      </c>
      <c r="C307" s="6">
        <f>IF('weather data'!C307&gt;'user input'!$C$3,'user input'!$C$3,'weather data'!C307)</f>
        <v>10.555555555555555</v>
      </c>
      <c r="D307" s="6">
        <f>IF('weather data'!D307&lt;'user input'!$C$2,'user input'!$C$2,'weather data'!D307)</f>
        <v>10</v>
      </c>
      <c r="E307">
        <f t="shared" si="5"/>
        <v>10.277777777777779</v>
      </c>
      <c r="F307">
        <f>IF((E307-'user input'!$C$2)&lt;0,0,E307-'user input'!$C$2)</f>
        <v>0.27777777777777857</v>
      </c>
      <c r="G307">
        <f>IF(B307&lt;'user input'!$C$5,0,(F307+G306))</f>
        <v>1637.2222222222231</v>
      </c>
      <c r="H307">
        <f>G307/'user input'!$C$4</f>
        <v>1.3643518518518525</v>
      </c>
    </row>
    <row r="308" spans="1:8" x14ac:dyDescent="0.2">
      <c r="A308" s="1">
        <v>40484</v>
      </c>
      <c r="B308">
        <v>306</v>
      </c>
      <c r="C308" s="6">
        <f>IF('weather data'!C308&gt;'user input'!$C$3,'user input'!$C$3,'weather data'!C308)</f>
        <v>10.555555555555555</v>
      </c>
      <c r="D308" s="6">
        <f>IF('weather data'!D308&lt;'user input'!$C$2,'user input'!$C$2,'weather data'!D308)</f>
        <v>10</v>
      </c>
      <c r="E308">
        <f t="shared" si="5"/>
        <v>10.277777777777779</v>
      </c>
      <c r="F308">
        <f>IF((E308-'user input'!$C$2)&lt;0,0,E308-'user input'!$C$2)</f>
        <v>0.27777777777777857</v>
      </c>
      <c r="G308">
        <f>IF(B308&lt;'user input'!$C$5,0,(F308+G307))</f>
        <v>1637.5000000000009</v>
      </c>
      <c r="H308">
        <f>G308/'user input'!$C$4</f>
        <v>1.3645833333333341</v>
      </c>
    </row>
    <row r="309" spans="1:8" x14ac:dyDescent="0.2">
      <c r="A309" s="1">
        <v>40485</v>
      </c>
      <c r="B309">
        <v>307</v>
      </c>
      <c r="C309" s="6">
        <f>IF('weather data'!C309&gt;'user input'!$C$3,'user input'!$C$3,'weather data'!C309)</f>
        <v>11.666666666666668</v>
      </c>
      <c r="D309" s="6">
        <f>IF('weather data'!D309&lt;'user input'!$C$2,'user input'!$C$2,'weather data'!D309)</f>
        <v>10</v>
      </c>
      <c r="E309">
        <f t="shared" si="5"/>
        <v>10.833333333333334</v>
      </c>
      <c r="F309">
        <f>IF((E309-'user input'!$C$2)&lt;0,0,E309-'user input'!$C$2)</f>
        <v>0.83333333333333393</v>
      </c>
      <c r="G309">
        <f>IF(B309&lt;'user input'!$C$5,0,(F309+G308))</f>
        <v>1638.3333333333342</v>
      </c>
      <c r="H309">
        <f>G309/'user input'!$C$4</f>
        <v>1.3652777777777785</v>
      </c>
    </row>
    <row r="310" spans="1:8" x14ac:dyDescent="0.2">
      <c r="A310" s="1">
        <v>40486</v>
      </c>
      <c r="B310">
        <v>308</v>
      </c>
      <c r="C310" s="6">
        <f>IF('weather data'!C310&gt;'user input'!$C$3,'user input'!$C$3,'weather data'!C310)</f>
        <v>15</v>
      </c>
      <c r="D310" s="6">
        <f>IF('weather data'!D310&lt;'user input'!$C$2,'user input'!$C$2,'weather data'!D310)</f>
        <v>10</v>
      </c>
      <c r="E310">
        <f t="shared" si="5"/>
        <v>12.5</v>
      </c>
      <c r="F310">
        <f>IF((E310-'user input'!$C$2)&lt;0,0,E310-'user input'!$C$2)</f>
        <v>2.5</v>
      </c>
      <c r="G310">
        <f>IF(B310&lt;'user input'!$C$5,0,(F310+G309))</f>
        <v>1640.8333333333342</v>
      </c>
      <c r="H310">
        <f>G310/'user input'!$C$4</f>
        <v>1.3673611111111119</v>
      </c>
    </row>
    <row r="311" spans="1:8" x14ac:dyDescent="0.2">
      <c r="A311" s="1">
        <v>40487</v>
      </c>
      <c r="B311">
        <v>309</v>
      </c>
      <c r="C311" s="6">
        <f>IF('weather data'!C311&gt;'user input'!$C$3,'user input'!$C$3,'weather data'!C311)</f>
        <v>7.7777777777777777</v>
      </c>
      <c r="D311" s="6">
        <f>IF('weather data'!D311&lt;'user input'!$C$2,'user input'!$C$2,'weather data'!D311)</f>
        <v>10</v>
      </c>
      <c r="E311">
        <f t="shared" si="5"/>
        <v>8.8888888888888893</v>
      </c>
      <c r="F311">
        <f>IF((E311-'user input'!$C$2)&lt;0,0,E311-'user input'!$C$2)</f>
        <v>0</v>
      </c>
      <c r="G311">
        <f>IF(B311&lt;'user input'!$C$5,0,(F311+G310))</f>
        <v>1640.8333333333342</v>
      </c>
      <c r="H311">
        <f>G311/'user input'!$C$4</f>
        <v>1.3673611111111119</v>
      </c>
    </row>
    <row r="312" spans="1:8" x14ac:dyDescent="0.2">
      <c r="A312" s="1">
        <v>40488</v>
      </c>
      <c r="B312">
        <v>310</v>
      </c>
      <c r="C312" s="6">
        <f>IF('weather data'!C312&gt;'user input'!$C$3,'user input'!$C$3,'weather data'!C312)</f>
        <v>4.4444444444444446</v>
      </c>
      <c r="D312" s="6">
        <f>IF('weather data'!D312&lt;'user input'!$C$2,'user input'!$C$2,'weather data'!D312)</f>
        <v>10</v>
      </c>
      <c r="E312">
        <f t="shared" si="5"/>
        <v>7.2222222222222223</v>
      </c>
      <c r="F312">
        <f>IF((E312-'user input'!$C$2)&lt;0,0,E312-'user input'!$C$2)</f>
        <v>0</v>
      </c>
      <c r="G312">
        <f>IF(B312&lt;'user input'!$C$5,0,(F312+G311))</f>
        <v>1640.8333333333342</v>
      </c>
      <c r="H312">
        <f>G312/'user input'!$C$4</f>
        <v>1.3673611111111119</v>
      </c>
    </row>
    <row r="313" spans="1:8" x14ac:dyDescent="0.2">
      <c r="A313" s="1">
        <v>40489</v>
      </c>
      <c r="B313">
        <v>311</v>
      </c>
      <c r="C313" s="6">
        <f>IF('weather data'!C313&gt;'user input'!$C$3,'user input'!$C$3,'weather data'!C313)</f>
        <v>8.8888888888888893</v>
      </c>
      <c r="D313" s="6">
        <f>IF('weather data'!D313&lt;'user input'!$C$2,'user input'!$C$2,'weather data'!D313)</f>
        <v>10</v>
      </c>
      <c r="E313">
        <f t="shared" si="5"/>
        <v>9.4444444444444446</v>
      </c>
      <c r="F313">
        <f>IF((E313-'user input'!$C$2)&lt;0,0,E313-'user input'!$C$2)</f>
        <v>0</v>
      </c>
      <c r="G313">
        <f>IF(B313&lt;'user input'!$C$5,0,(F313+G312))</f>
        <v>1640.8333333333342</v>
      </c>
      <c r="H313">
        <f>G313/'user input'!$C$4</f>
        <v>1.3673611111111119</v>
      </c>
    </row>
    <row r="314" spans="1:8" x14ac:dyDescent="0.2">
      <c r="A314" s="1">
        <v>40490</v>
      </c>
      <c r="B314">
        <v>312</v>
      </c>
      <c r="C314" s="6">
        <f>IF('weather data'!C314&gt;'user input'!$C$3,'user input'!$C$3,'weather data'!C314)</f>
        <v>15.555555555555555</v>
      </c>
      <c r="D314" s="6">
        <f>IF('weather data'!D314&lt;'user input'!$C$2,'user input'!$C$2,'weather data'!D314)</f>
        <v>10</v>
      </c>
      <c r="E314">
        <f t="shared" si="5"/>
        <v>12.777777777777779</v>
      </c>
      <c r="F314">
        <f>IF((E314-'user input'!$C$2)&lt;0,0,E314-'user input'!$C$2)</f>
        <v>2.7777777777777786</v>
      </c>
      <c r="G314">
        <f>IF(B314&lt;'user input'!$C$5,0,(F314+G313))</f>
        <v>1643.611111111112</v>
      </c>
      <c r="H314">
        <f>G314/'user input'!$C$4</f>
        <v>1.3696759259259266</v>
      </c>
    </row>
    <row r="315" spans="1:8" x14ac:dyDescent="0.2">
      <c r="A315" s="1">
        <v>40491</v>
      </c>
      <c r="B315">
        <v>313</v>
      </c>
      <c r="C315" s="6">
        <f>IF('weather data'!C315&gt;'user input'!$C$3,'user input'!$C$3,'weather data'!C315)</f>
        <v>20</v>
      </c>
      <c r="D315" s="6">
        <f>IF('weather data'!D315&lt;'user input'!$C$2,'user input'!$C$2,'weather data'!D315)</f>
        <v>10</v>
      </c>
      <c r="E315">
        <f t="shared" si="5"/>
        <v>15</v>
      </c>
      <c r="F315">
        <f>IF((E315-'user input'!$C$2)&lt;0,0,E315-'user input'!$C$2)</f>
        <v>5</v>
      </c>
      <c r="G315">
        <f>IF(B315&lt;'user input'!$C$5,0,(F315+G314))</f>
        <v>1648.611111111112</v>
      </c>
      <c r="H315">
        <f>G315/'user input'!$C$4</f>
        <v>1.3738425925925932</v>
      </c>
    </row>
    <row r="316" spans="1:8" x14ac:dyDescent="0.2">
      <c r="A316" s="1">
        <v>40492</v>
      </c>
      <c r="B316">
        <v>314</v>
      </c>
      <c r="C316" s="6">
        <f>IF('weather data'!C316&gt;'user input'!$C$3,'user input'!$C$3,'weather data'!C316)</f>
        <v>21.111111111111111</v>
      </c>
      <c r="D316" s="6">
        <f>IF('weather data'!D316&lt;'user input'!$C$2,'user input'!$C$2,'weather data'!D316)</f>
        <v>10</v>
      </c>
      <c r="E316">
        <f t="shared" si="5"/>
        <v>15.555555555555555</v>
      </c>
      <c r="F316">
        <f>IF((E316-'user input'!$C$2)&lt;0,0,E316-'user input'!$C$2)</f>
        <v>5.5555555555555554</v>
      </c>
      <c r="G316">
        <f>IF(B316&lt;'user input'!$C$5,0,(F316+G315))</f>
        <v>1654.1666666666677</v>
      </c>
      <c r="H316">
        <f>G316/'user input'!$C$4</f>
        <v>1.378472222222223</v>
      </c>
    </row>
    <row r="317" spans="1:8" x14ac:dyDescent="0.2">
      <c r="A317" s="1">
        <v>40493</v>
      </c>
      <c r="B317">
        <v>315</v>
      </c>
      <c r="C317" s="6">
        <f>IF('weather data'!C317&gt;'user input'!$C$3,'user input'!$C$3,'weather data'!C317)</f>
        <v>19.444444444444443</v>
      </c>
      <c r="D317" s="6">
        <f>IF('weather data'!D317&lt;'user input'!$C$2,'user input'!$C$2,'weather data'!D317)</f>
        <v>10</v>
      </c>
      <c r="E317">
        <f t="shared" si="5"/>
        <v>14.722222222222221</v>
      </c>
      <c r="F317">
        <f>IF((E317-'user input'!$C$2)&lt;0,0,E317-'user input'!$C$2)</f>
        <v>4.7222222222222214</v>
      </c>
      <c r="G317">
        <f>IF(B317&lt;'user input'!$C$5,0,(F317+G316))</f>
        <v>1658.8888888888898</v>
      </c>
      <c r="H317">
        <f>G317/'user input'!$C$4</f>
        <v>1.3824074074074082</v>
      </c>
    </row>
    <row r="318" spans="1:8" x14ac:dyDescent="0.2">
      <c r="A318" s="1">
        <v>40494</v>
      </c>
      <c r="B318">
        <v>316</v>
      </c>
      <c r="C318" s="6">
        <f>IF('weather data'!C318&gt;'user input'!$C$3,'user input'!$C$3,'weather data'!C318)</f>
        <v>13.333333333333332</v>
      </c>
      <c r="D318" s="6">
        <f>IF('weather data'!D318&lt;'user input'!$C$2,'user input'!$C$2,'weather data'!D318)</f>
        <v>10</v>
      </c>
      <c r="E318">
        <f t="shared" si="5"/>
        <v>11.666666666666666</v>
      </c>
      <c r="F318">
        <f>IF((E318-'user input'!$C$2)&lt;0,0,E318-'user input'!$C$2)</f>
        <v>1.6666666666666661</v>
      </c>
      <c r="G318">
        <f>IF(B318&lt;'user input'!$C$5,0,(F318+G317))</f>
        <v>1660.5555555555566</v>
      </c>
      <c r="H318">
        <f>G318/'user input'!$C$4</f>
        <v>1.3837962962962971</v>
      </c>
    </row>
    <row r="319" spans="1:8" x14ac:dyDescent="0.2">
      <c r="A319" s="1">
        <v>40495</v>
      </c>
      <c r="B319">
        <v>317</v>
      </c>
      <c r="C319" s="6">
        <f>IF('weather data'!C319&gt;'user input'!$C$3,'user input'!$C$3,'weather data'!C319)</f>
        <v>7.2222222222222223</v>
      </c>
      <c r="D319" s="6">
        <f>IF('weather data'!D319&lt;'user input'!$C$2,'user input'!$C$2,'weather data'!D319)</f>
        <v>10</v>
      </c>
      <c r="E319">
        <f t="shared" si="5"/>
        <v>8.6111111111111107</v>
      </c>
      <c r="F319">
        <f>IF((E319-'user input'!$C$2)&lt;0,0,E319-'user input'!$C$2)</f>
        <v>0</v>
      </c>
      <c r="G319">
        <f>IF(B319&lt;'user input'!$C$5,0,(F319+G318))</f>
        <v>1660.5555555555566</v>
      </c>
      <c r="H319">
        <f>G319/'user input'!$C$4</f>
        <v>1.3837962962962971</v>
      </c>
    </row>
    <row r="320" spans="1:8" x14ac:dyDescent="0.2">
      <c r="A320" s="1">
        <v>40496</v>
      </c>
      <c r="B320">
        <v>318</v>
      </c>
      <c r="C320" s="6">
        <f>IF('weather data'!C320&gt;'user input'!$C$3,'user input'!$C$3,'weather data'!C320)</f>
        <v>8.8888888888888893</v>
      </c>
      <c r="D320" s="6">
        <f>IF('weather data'!D320&lt;'user input'!$C$2,'user input'!$C$2,'weather data'!D320)</f>
        <v>10</v>
      </c>
      <c r="E320">
        <f t="shared" si="5"/>
        <v>9.4444444444444446</v>
      </c>
      <c r="F320">
        <f>IF((E320-'user input'!$C$2)&lt;0,0,E320-'user input'!$C$2)</f>
        <v>0</v>
      </c>
      <c r="G320">
        <f>IF(B320&lt;'user input'!$C$5,0,(F320+G319))</f>
        <v>1660.5555555555566</v>
      </c>
      <c r="H320">
        <f>G320/'user input'!$C$4</f>
        <v>1.3837962962962971</v>
      </c>
    </row>
    <row r="321" spans="1:8" x14ac:dyDescent="0.2">
      <c r="A321" s="1">
        <v>40497</v>
      </c>
      <c r="B321">
        <v>319</v>
      </c>
      <c r="C321" s="6">
        <f>IF('weather data'!C321&gt;'user input'!$C$3,'user input'!$C$3,'weather data'!C321)</f>
        <v>5</v>
      </c>
      <c r="D321" s="6">
        <f>IF('weather data'!D321&lt;'user input'!$C$2,'user input'!$C$2,'weather data'!D321)</f>
        <v>10</v>
      </c>
      <c r="E321">
        <f t="shared" si="5"/>
        <v>7.5</v>
      </c>
      <c r="F321">
        <f>IF((E321-'user input'!$C$2)&lt;0,0,E321-'user input'!$C$2)</f>
        <v>0</v>
      </c>
      <c r="G321">
        <f>IF(B321&lt;'user input'!$C$5,0,(F321+G320))</f>
        <v>1660.5555555555566</v>
      </c>
      <c r="H321">
        <f>G321/'user input'!$C$4</f>
        <v>1.3837962962962971</v>
      </c>
    </row>
    <row r="322" spans="1:8" x14ac:dyDescent="0.2">
      <c r="A322" s="1">
        <v>40498</v>
      </c>
      <c r="B322">
        <v>320</v>
      </c>
      <c r="C322" s="6">
        <f>IF('weather data'!C322&gt;'user input'!$C$3,'user input'!$C$3,'weather data'!C322)</f>
        <v>10.555555555555555</v>
      </c>
      <c r="D322" s="6">
        <f>IF('weather data'!D322&lt;'user input'!$C$2,'user input'!$C$2,'weather data'!D322)</f>
        <v>10</v>
      </c>
      <c r="E322">
        <f t="shared" si="5"/>
        <v>10.277777777777779</v>
      </c>
      <c r="F322">
        <f>IF((E322-'user input'!$C$2)&lt;0,0,E322-'user input'!$C$2)</f>
        <v>0.27777777777777857</v>
      </c>
      <c r="G322">
        <f>IF(B322&lt;'user input'!$C$5,0,(F322+G321))</f>
        <v>1660.8333333333344</v>
      </c>
      <c r="H322">
        <f>G322/'user input'!$C$4</f>
        <v>1.3840277777777787</v>
      </c>
    </row>
    <row r="323" spans="1:8" x14ac:dyDescent="0.2">
      <c r="A323" s="1">
        <v>40499</v>
      </c>
      <c r="B323">
        <v>321</v>
      </c>
      <c r="C323" s="6">
        <f>IF('weather data'!C323&gt;'user input'!$C$3,'user input'!$C$3,'weather data'!C323)</f>
        <v>10.555555555555555</v>
      </c>
      <c r="D323" s="6">
        <f>IF('weather data'!D323&lt;'user input'!$C$2,'user input'!$C$2,'weather data'!D323)</f>
        <v>10</v>
      </c>
      <c r="E323">
        <f t="shared" si="5"/>
        <v>10.277777777777779</v>
      </c>
      <c r="F323">
        <f>IF((E323-'user input'!$C$2)&lt;0,0,E323-'user input'!$C$2)</f>
        <v>0.27777777777777857</v>
      </c>
      <c r="G323">
        <f>IF(B323&lt;'user input'!$C$5,0,(F323+G322))</f>
        <v>1661.1111111111122</v>
      </c>
      <c r="H323">
        <f>G323/'user input'!$C$4</f>
        <v>1.3842592592592602</v>
      </c>
    </row>
    <row r="324" spans="1:8" x14ac:dyDescent="0.2">
      <c r="A324" s="1">
        <v>40500</v>
      </c>
      <c r="B324">
        <v>322</v>
      </c>
      <c r="C324" s="6">
        <f>IF('weather data'!C324&gt;'user input'!$C$3,'user input'!$C$3,'weather data'!C324)</f>
        <v>4.4444444444444446</v>
      </c>
      <c r="D324" s="6">
        <f>IF('weather data'!D324&lt;'user input'!$C$2,'user input'!$C$2,'weather data'!D324)</f>
        <v>10</v>
      </c>
      <c r="E324">
        <f t="shared" si="5"/>
        <v>7.2222222222222223</v>
      </c>
      <c r="F324">
        <f>IF((E324-'user input'!$C$2)&lt;0,0,E324-'user input'!$C$2)</f>
        <v>0</v>
      </c>
      <c r="G324">
        <f>IF(B324&lt;'user input'!$C$5,0,(F324+G323))</f>
        <v>1661.1111111111122</v>
      </c>
      <c r="H324">
        <f>G324/'user input'!$C$4</f>
        <v>1.3842592592592602</v>
      </c>
    </row>
    <row r="325" spans="1:8" x14ac:dyDescent="0.2">
      <c r="A325" s="1">
        <v>40501</v>
      </c>
      <c r="B325">
        <v>323</v>
      </c>
      <c r="C325" s="6">
        <f>IF('weather data'!C325&gt;'user input'!$C$3,'user input'!$C$3,'weather data'!C325)</f>
        <v>2.2222222222222223</v>
      </c>
      <c r="D325" s="6">
        <f>IF('weather data'!D325&lt;'user input'!$C$2,'user input'!$C$2,'weather data'!D325)</f>
        <v>10</v>
      </c>
      <c r="E325">
        <f t="shared" si="5"/>
        <v>6.1111111111111107</v>
      </c>
      <c r="F325">
        <f>IF((E325-'user input'!$C$2)&lt;0,0,E325-'user input'!$C$2)</f>
        <v>0</v>
      </c>
      <c r="G325">
        <f>IF(B325&lt;'user input'!$C$5,0,(F325+G324))</f>
        <v>1661.1111111111122</v>
      </c>
      <c r="H325">
        <f>G325/'user input'!$C$4</f>
        <v>1.3842592592592602</v>
      </c>
    </row>
    <row r="326" spans="1:8" x14ac:dyDescent="0.2">
      <c r="A326" s="1">
        <v>40502</v>
      </c>
      <c r="B326">
        <v>324</v>
      </c>
      <c r="C326" s="6">
        <f>IF('weather data'!C326&gt;'user input'!$C$3,'user input'!$C$3,'weather data'!C326)</f>
        <v>4.4444444444444446</v>
      </c>
      <c r="D326" s="6">
        <f>IF('weather data'!D326&lt;'user input'!$C$2,'user input'!$C$2,'weather data'!D326)</f>
        <v>10</v>
      </c>
      <c r="E326">
        <f t="shared" si="5"/>
        <v>7.2222222222222223</v>
      </c>
      <c r="F326">
        <f>IF((E326-'user input'!$C$2)&lt;0,0,E326-'user input'!$C$2)</f>
        <v>0</v>
      </c>
      <c r="G326">
        <f>IF(B326&lt;'user input'!$C$5,0,(F326+G325))</f>
        <v>1661.1111111111122</v>
      </c>
      <c r="H326">
        <f>G326/'user input'!$C$4</f>
        <v>1.3842592592592602</v>
      </c>
    </row>
    <row r="327" spans="1:8" x14ac:dyDescent="0.2">
      <c r="A327" s="1">
        <v>40503</v>
      </c>
      <c r="B327">
        <v>325</v>
      </c>
      <c r="C327" s="6">
        <f>IF('weather data'!C327&gt;'user input'!$C$3,'user input'!$C$3,'weather data'!C327)</f>
        <v>2.7777777777777777</v>
      </c>
      <c r="D327" s="6">
        <f>IF('weather data'!D327&lt;'user input'!$C$2,'user input'!$C$2,'weather data'!D327)</f>
        <v>10</v>
      </c>
      <c r="E327">
        <f t="shared" si="5"/>
        <v>6.3888888888888893</v>
      </c>
      <c r="F327">
        <f>IF((E327-'user input'!$C$2)&lt;0,0,E327-'user input'!$C$2)</f>
        <v>0</v>
      </c>
      <c r="G327">
        <f>IF(B327&lt;'user input'!$C$5,0,(F327+G326))</f>
        <v>1661.1111111111122</v>
      </c>
      <c r="H327">
        <f>G327/'user input'!$C$4</f>
        <v>1.3842592592592602</v>
      </c>
    </row>
    <row r="328" spans="1:8" x14ac:dyDescent="0.2">
      <c r="A328" s="1">
        <v>40504</v>
      </c>
      <c r="B328">
        <v>326</v>
      </c>
      <c r="C328" s="6">
        <f>IF('weather data'!C328&gt;'user input'!$C$3,'user input'!$C$3,'weather data'!C328)</f>
        <v>12.777777777777777</v>
      </c>
      <c r="D328" s="6">
        <f>IF('weather data'!D328&lt;'user input'!$C$2,'user input'!$C$2,'weather data'!D328)</f>
        <v>10</v>
      </c>
      <c r="E328">
        <f t="shared" si="5"/>
        <v>11.388888888888889</v>
      </c>
      <c r="F328">
        <f>IF((E328-'user input'!$C$2)&lt;0,0,E328-'user input'!$C$2)</f>
        <v>1.3888888888888893</v>
      </c>
      <c r="G328">
        <f>IF(B328&lt;'user input'!$C$5,0,(F328+G327))</f>
        <v>1662.5000000000011</v>
      </c>
      <c r="H328">
        <f>G328/'user input'!$C$4</f>
        <v>1.3854166666666676</v>
      </c>
    </row>
    <row r="329" spans="1:8" x14ac:dyDescent="0.2">
      <c r="A329" s="1">
        <v>40505</v>
      </c>
      <c r="B329">
        <v>327</v>
      </c>
      <c r="C329" s="6">
        <f>IF('weather data'!C329&gt;'user input'!$C$3,'user input'!$C$3,'weather data'!C329)</f>
        <v>13.333333333333332</v>
      </c>
      <c r="D329" s="6">
        <f>IF('weather data'!D329&lt;'user input'!$C$2,'user input'!$C$2,'weather data'!D329)</f>
        <v>10</v>
      </c>
      <c r="E329">
        <f t="shared" si="5"/>
        <v>11.666666666666666</v>
      </c>
      <c r="F329">
        <f>IF((E329-'user input'!$C$2)&lt;0,0,E329-'user input'!$C$2)</f>
        <v>1.6666666666666661</v>
      </c>
      <c r="G329">
        <f>IF(B329&lt;'user input'!$C$5,0,(F329+G328))</f>
        <v>1664.1666666666679</v>
      </c>
      <c r="H329">
        <f>G329/'user input'!$C$4</f>
        <v>1.3868055555555565</v>
      </c>
    </row>
    <row r="330" spans="1:8" x14ac:dyDescent="0.2">
      <c r="A330" s="1">
        <v>40506</v>
      </c>
      <c r="B330">
        <v>328</v>
      </c>
      <c r="C330" s="6">
        <f>IF('weather data'!C330&gt;'user input'!$C$3,'user input'!$C$3,'weather data'!C330)</f>
        <v>-1.1111111111111112</v>
      </c>
      <c r="D330" s="6">
        <f>IF('weather data'!D330&lt;'user input'!$C$2,'user input'!$C$2,'weather data'!D330)</f>
        <v>10</v>
      </c>
      <c r="E330">
        <f t="shared" si="5"/>
        <v>4.4444444444444446</v>
      </c>
      <c r="F330">
        <f>IF((E330-'user input'!$C$2)&lt;0,0,E330-'user input'!$C$2)</f>
        <v>0</v>
      </c>
      <c r="G330">
        <f>IF(B330&lt;'user input'!$C$5,0,(F330+G329))</f>
        <v>1664.1666666666679</v>
      </c>
      <c r="H330">
        <f>G330/'user input'!$C$4</f>
        <v>1.3868055555555565</v>
      </c>
    </row>
    <row r="331" spans="1:8" x14ac:dyDescent="0.2">
      <c r="A331" s="1">
        <v>40507</v>
      </c>
      <c r="B331">
        <v>329</v>
      </c>
      <c r="C331" s="6">
        <f>IF('weather data'!C331&gt;'user input'!$C$3,'user input'!$C$3,'weather data'!C331)</f>
        <v>2.2222222222222223</v>
      </c>
      <c r="D331" s="6">
        <f>IF('weather data'!D331&lt;'user input'!$C$2,'user input'!$C$2,'weather data'!D331)</f>
        <v>10</v>
      </c>
      <c r="E331">
        <f t="shared" si="5"/>
        <v>6.1111111111111107</v>
      </c>
      <c r="F331">
        <f>IF((E331-'user input'!$C$2)&lt;0,0,E331-'user input'!$C$2)</f>
        <v>0</v>
      </c>
      <c r="G331">
        <f>IF(B331&lt;'user input'!$C$5,0,(F331+G330))</f>
        <v>1664.1666666666679</v>
      </c>
      <c r="H331">
        <f>G331/'user input'!$C$4</f>
        <v>1.3868055555555565</v>
      </c>
    </row>
    <row r="332" spans="1:8" x14ac:dyDescent="0.2">
      <c r="A332" s="1">
        <v>40508</v>
      </c>
      <c r="B332">
        <v>330</v>
      </c>
      <c r="C332" s="6">
        <f>IF('weather data'!C332&gt;'user input'!$C$3,'user input'!$C$3,'weather data'!C332)</f>
        <v>0.55555555555555558</v>
      </c>
      <c r="D332" s="6">
        <f>IF('weather data'!D332&lt;'user input'!$C$2,'user input'!$C$2,'weather data'!D332)</f>
        <v>10</v>
      </c>
      <c r="E332">
        <f t="shared" si="5"/>
        <v>5.2777777777777777</v>
      </c>
      <c r="F332">
        <f>IF((E332-'user input'!$C$2)&lt;0,0,E332-'user input'!$C$2)</f>
        <v>0</v>
      </c>
      <c r="G332">
        <f>IF(B332&lt;'user input'!$C$5,0,(F332+G331))</f>
        <v>1664.1666666666679</v>
      </c>
      <c r="H332">
        <f>G332/'user input'!$C$4</f>
        <v>1.3868055555555565</v>
      </c>
    </row>
    <row r="333" spans="1:8" x14ac:dyDescent="0.2">
      <c r="A333" s="1">
        <v>40509</v>
      </c>
      <c r="B333">
        <v>331</v>
      </c>
      <c r="C333" s="6">
        <f>IF('weather data'!C333&gt;'user input'!$C$3,'user input'!$C$3,'weather data'!C333)</f>
        <v>-1.1111111111111112</v>
      </c>
      <c r="D333" s="6">
        <f>IF('weather data'!D333&lt;'user input'!$C$2,'user input'!$C$2,'weather data'!D333)</f>
        <v>10</v>
      </c>
      <c r="E333">
        <f t="shared" si="5"/>
        <v>4.4444444444444446</v>
      </c>
      <c r="F333">
        <f>IF((E333-'user input'!$C$2)&lt;0,0,E333-'user input'!$C$2)</f>
        <v>0</v>
      </c>
      <c r="G333">
        <f>IF(B333&lt;'user input'!$C$5,0,(F333+G332))</f>
        <v>1664.1666666666679</v>
      </c>
      <c r="H333">
        <f>G333/'user input'!$C$4</f>
        <v>1.3868055555555565</v>
      </c>
    </row>
    <row r="334" spans="1:8" x14ac:dyDescent="0.2">
      <c r="A334" s="1">
        <v>40510</v>
      </c>
      <c r="B334">
        <v>332</v>
      </c>
      <c r="C334" s="6">
        <f>IF('weather data'!C334&gt;'user input'!$C$3,'user input'!$C$3,'weather data'!C334)</f>
        <v>0.55555555555555558</v>
      </c>
      <c r="D334" s="6">
        <f>IF('weather data'!D334&lt;'user input'!$C$2,'user input'!$C$2,'weather data'!D334)</f>
        <v>10</v>
      </c>
      <c r="E334">
        <f t="shared" si="5"/>
        <v>5.2777777777777777</v>
      </c>
      <c r="F334">
        <f>IF((E334-'user input'!$C$2)&lt;0,0,E334-'user input'!$C$2)</f>
        <v>0</v>
      </c>
      <c r="G334">
        <f>IF(B334&lt;'user input'!$C$5,0,(F334+G333))</f>
        <v>1664.1666666666679</v>
      </c>
      <c r="H334">
        <f>G334/'user input'!$C$4</f>
        <v>1.3868055555555565</v>
      </c>
    </row>
    <row r="335" spans="1:8" x14ac:dyDescent="0.2">
      <c r="A335" s="1">
        <v>40511</v>
      </c>
      <c r="B335">
        <v>333</v>
      </c>
      <c r="C335" s="6">
        <f>IF('weather data'!C335&gt;'user input'!$C$3,'user input'!$C$3,'weather data'!C335)</f>
        <v>8.8888888888888893</v>
      </c>
      <c r="D335" s="6">
        <f>IF('weather data'!D335&lt;'user input'!$C$2,'user input'!$C$2,'weather data'!D335)</f>
        <v>10</v>
      </c>
      <c r="E335">
        <f t="shared" si="5"/>
        <v>9.4444444444444446</v>
      </c>
      <c r="F335">
        <f>IF((E335-'user input'!$C$2)&lt;0,0,E335-'user input'!$C$2)</f>
        <v>0</v>
      </c>
      <c r="G335">
        <f>IF(B335&lt;'user input'!$C$5,0,(F335+G334))</f>
        <v>1664.1666666666679</v>
      </c>
      <c r="H335">
        <f>G335/'user input'!$C$4</f>
        <v>1.3868055555555565</v>
      </c>
    </row>
    <row r="336" spans="1:8" x14ac:dyDescent="0.2">
      <c r="A336" s="1">
        <v>40512</v>
      </c>
      <c r="B336">
        <v>334</v>
      </c>
      <c r="C336" s="6">
        <f>IF('weather data'!C336&gt;'user input'!$C$3,'user input'!$C$3,'weather data'!C336)</f>
        <v>7.7777777777777777</v>
      </c>
      <c r="D336" s="6">
        <f>IF('weather data'!D336&lt;'user input'!$C$2,'user input'!$C$2,'weather data'!D336)</f>
        <v>10</v>
      </c>
      <c r="E336">
        <f t="shared" si="5"/>
        <v>8.8888888888888893</v>
      </c>
      <c r="F336">
        <f>IF((E336-'user input'!$C$2)&lt;0,0,E336-'user input'!$C$2)</f>
        <v>0</v>
      </c>
      <c r="G336">
        <f>IF(B336&lt;'user input'!$C$5,0,(F336+G335))</f>
        <v>1664.1666666666679</v>
      </c>
      <c r="H336">
        <f>G336/'user input'!$C$4</f>
        <v>1.3868055555555565</v>
      </c>
    </row>
    <row r="337" spans="1:8" x14ac:dyDescent="0.2">
      <c r="A337" s="1">
        <v>40513</v>
      </c>
      <c r="B337">
        <v>335</v>
      </c>
      <c r="C337" s="6">
        <f>IF('weather data'!C337&gt;'user input'!$C$3,'user input'!$C$3,'weather data'!C337)</f>
        <v>-1.1111111111111112</v>
      </c>
      <c r="D337" s="6">
        <f>IF('weather data'!D337&lt;'user input'!$C$2,'user input'!$C$2,'weather data'!D337)</f>
        <v>10</v>
      </c>
      <c r="E337">
        <f t="shared" si="5"/>
        <v>4.4444444444444446</v>
      </c>
      <c r="F337">
        <f>IF((E337-'user input'!$C$2)&lt;0,0,E337-'user input'!$C$2)</f>
        <v>0</v>
      </c>
      <c r="G337">
        <f>IF(B337&lt;'user input'!$C$5,0,(F337+G336))</f>
        <v>1664.1666666666679</v>
      </c>
      <c r="H337">
        <f>G337/'user input'!$C$4</f>
        <v>1.3868055555555565</v>
      </c>
    </row>
    <row r="338" spans="1:8" x14ac:dyDescent="0.2">
      <c r="A338" s="1">
        <v>40514</v>
      </c>
      <c r="B338">
        <v>336</v>
      </c>
      <c r="C338" s="6">
        <f>IF('weather data'!C338&gt;'user input'!$C$3,'user input'!$C$3,'weather data'!C338)</f>
        <v>-4.4444444444444446</v>
      </c>
      <c r="D338" s="6">
        <f>IF('weather data'!D338&lt;'user input'!$C$2,'user input'!$C$2,'weather data'!D338)</f>
        <v>10</v>
      </c>
      <c r="E338">
        <f t="shared" ref="E338:E401" si="6">(C338+D338)/2</f>
        <v>2.7777777777777777</v>
      </c>
      <c r="F338">
        <f>IF((E338-'user input'!$C$2)&lt;0,0,E338-'user input'!$C$2)</f>
        <v>0</v>
      </c>
      <c r="G338">
        <f>IF(B338&lt;'user input'!$C$5,0,(F338+G337))</f>
        <v>1664.1666666666679</v>
      </c>
      <c r="H338">
        <f>G338/'user input'!$C$4</f>
        <v>1.3868055555555565</v>
      </c>
    </row>
    <row r="339" spans="1:8" x14ac:dyDescent="0.2">
      <c r="A339" s="1">
        <v>40515</v>
      </c>
      <c r="B339">
        <v>337</v>
      </c>
      <c r="C339" s="6">
        <f>IF('weather data'!C339&gt;'user input'!$C$3,'user input'!$C$3,'weather data'!C339)</f>
        <v>-1.1111111111111112</v>
      </c>
      <c r="D339" s="6">
        <f>IF('weather data'!D339&lt;'user input'!$C$2,'user input'!$C$2,'weather data'!D339)</f>
        <v>10</v>
      </c>
      <c r="E339">
        <f t="shared" si="6"/>
        <v>4.4444444444444446</v>
      </c>
      <c r="F339">
        <f>IF((E339-'user input'!$C$2)&lt;0,0,E339-'user input'!$C$2)</f>
        <v>0</v>
      </c>
      <c r="G339">
        <f>IF(B339&lt;'user input'!$C$5,0,(F339+G338))</f>
        <v>1664.1666666666679</v>
      </c>
      <c r="H339">
        <f>G339/'user input'!$C$4</f>
        <v>1.3868055555555565</v>
      </c>
    </row>
    <row r="340" spans="1:8" x14ac:dyDescent="0.2">
      <c r="A340" s="1">
        <v>40516</v>
      </c>
      <c r="B340">
        <v>338</v>
      </c>
      <c r="C340" s="6">
        <f>IF('weather data'!C340&gt;'user input'!$C$3,'user input'!$C$3,'weather data'!C340)</f>
        <v>-5</v>
      </c>
      <c r="D340" s="6">
        <f>IF('weather data'!D340&lt;'user input'!$C$2,'user input'!$C$2,'weather data'!D340)</f>
        <v>10</v>
      </c>
      <c r="E340">
        <f t="shared" si="6"/>
        <v>2.5</v>
      </c>
      <c r="F340">
        <f>IF((E340-'user input'!$C$2)&lt;0,0,E340-'user input'!$C$2)</f>
        <v>0</v>
      </c>
      <c r="G340">
        <f>IF(B340&lt;'user input'!$C$5,0,(F340+G339))</f>
        <v>1664.1666666666679</v>
      </c>
      <c r="H340">
        <f>G340/'user input'!$C$4</f>
        <v>1.3868055555555565</v>
      </c>
    </row>
    <row r="341" spans="1:8" x14ac:dyDescent="0.2">
      <c r="A341" s="1">
        <v>40517</v>
      </c>
      <c r="B341">
        <v>339</v>
      </c>
      <c r="C341" s="6">
        <f>IF('weather data'!C341&gt;'user input'!$C$3,'user input'!$C$3,'weather data'!C341)</f>
        <v>-2.2222222222222223</v>
      </c>
      <c r="D341" s="6">
        <f>IF('weather data'!D341&lt;'user input'!$C$2,'user input'!$C$2,'weather data'!D341)</f>
        <v>10</v>
      </c>
      <c r="E341">
        <f t="shared" si="6"/>
        <v>3.8888888888888888</v>
      </c>
      <c r="F341">
        <f>IF((E341-'user input'!$C$2)&lt;0,0,E341-'user input'!$C$2)</f>
        <v>0</v>
      </c>
      <c r="G341">
        <f>IF(B341&lt;'user input'!$C$5,0,(F341+G340))</f>
        <v>1664.1666666666679</v>
      </c>
      <c r="H341">
        <f>G341/'user input'!$C$4</f>
        <v>1.3868055555555565</v>
      </c>
    </row>
    <row r="342" spans="1:8" x14ac:dyDescent="0.2">
      <c r="A342" s="1">
        <v>40518</v>
      </c>
      <c r="B342">
        <v>340</v>
      </c>
      <c r="C342" s="6">
        <f>IF('weather data'!C342&gt;'user input'!$C$3,'user input'!$C$3,'weather data'!C342)</f>
        <v>-6.1111111111111116</v>
      </c>
      <c r="D342" s="6">
        <f>IF('weather data'!D342&lt;'user input'!$C$2,'user input'!$C$2,'weather data'!D342)</f>
        <v>10</v>
      </c>
      <c r="E342">
        <f t="shared" si="6"/>
        <v>1.9444444444444442</v>
      </c>
      <c r="F342">
        <f>IF((E342-'user input'!$C$2)&lt;0,0,E342-'user input'!$C$2)</f>
        <v>0</v>
      </c>
      <c r="G342">
        <f>IF(B342&lt;'user input'!$C$5,0,(F342+G341))</f>
        <v>1664.1666666666679</v>
      </c>
      <c r="H342">
        <f>G342/'user input'!$C$4</f>
        <v>1.3868055555555565</v>
      </c>
    </row>
    <row r="343" spans="1:8" x14ac:dyDescent="0.2">
      <c r="A343" s="1">
        <v>40519</v>
      </c>
      <c r="B343">
        <v>341</v>
      </c>
      <c r="C343" s="6">
        <f>IF('weather data'!C343&gt;'user input'!$C$3,'user input'!$C$3,'weather data'!C343)</f>
        <v>-7.2222222222222223</v>
      </c>
      <c r="D343" s="6">
        <f>IF('weather data'!D343&lt;'user input'!$C$2,'user input'!$C$2,'weather data'!D343)</f>
        <v>10</v>
      </c>
      <c r="E343">
        <f t="shared" si="6"/>
        <v>1.3888888888888888</v>
      </c>
      <c r="F343">
        <f>IF((E343-'user input'!$C$2)&lt;0,0,E343-'user input'!$C$2)</f>
        <v>0</v>
      </c>
      <c r="G343">
        <f>IF(B343&lt;'user input'!$C$5,0,(F343+G342))</f>
        <v>1664.1666666666679</v>
      </c>
      <c r="H343">
        <f>G343/'user input'!$C$4</f>
        <v>1.3868055555555565</v>
      </c>
    </row>
    <row r="344" spans="1:8" x14ac:dyDescent="0.2">
      <c r="A344" s="1">
        <v>40520</v>
      </c>
      <c r="B344">
        <v>342</v>
      </c>
      <c r="C344" s="6">
        <f>IF('weather data'!C344&gt;'user input'!$C$3,'user input'!$C$3,'weather data'!C344)</f>
        <v>-6.6666666666666661</v>
      </c>
      <c r="D344" s="6">
        <f>IF('weather data'!D344&lt;'user input'!$C$2,'user input'!$C$2,'weather data'!D344)</f>
        <v>10</v>
      </c>
      <c r="E344">
        <f t="shared" si="6"/>
        <v>1.666666666666667</v>
      </c>
      <c r="F344">
        <f>IF((E344-'user input'!$C$2)&lt;0,0,E344-'user input'!$C$2)</f>
        <v>0</v>
      </c>
      <c r="G344">
        <f>IF(B344&lt;'user input'!$C$5,0,(F344+G343))</f>
        <v>1664.1666666666679</v>
      </c>
      <c r="H344">
        <f>G344/'user input'!$C$4</f>
        <v>1.3868055555555565</v>
      </c>
    </row>
    <row r="345" spans="1:8" x14ac:dyDescent="0.2">
      <c r="A345" s="1">
        <v>40521</v>
      </c>
      <c r="B345">
        <v>343</v>
      </c>
      <c r="C345" s="6">
        <f>IF('weather data'!C345&gt;'user input'!$C$3,'user input'!$C$3,'weather data'!C345)</f>
        <v>-5.5555555555555554</v>
      </c>
      <c r="D345" s="6">
        <f>IF('weather data'!D345&lt;'user input'!$C$2,'user input'!$C$2,'weather data'!D345)</f>
        <v>10</v>
      </c>
      <c r="E345">
        <f t="shared" si="6"/>
        <v>2.2222222222222223</v>
      </c>
      <c r="F345">
        <f>IF((E345-'user input'!$C$2)&lt;0,0,E345-'user input'!$C$2)</f>
        <v>0</v>
      </c>
      <c r="G345">
        <f>IF(B345&lt;'user input'!$C$5,0,(F345+G344))</f>
        <v>1664.1666666666679</v>
      </c>
      <c r="H345">
        <f>G345/'user input'!$C$4</f>
        <v>1.3868055555555565</v>
      </c>
    </row>
    <row r="346" spans="1:8" x14ac:dyDescent="0.2">
      <c r="A346" s="1">
        <v>40522</v>
      </c>
      <c r="B346">
        <v>344</v>
      </c>
      <c r="C346" s="6">
        <f>IF('weather data'!C346&gt;'user input'!$C$3,'user input'!$C$3,'weather data'!C346)</f>
        <v>-1.6666666666666665</v>
      </c>
      <c r="D346" s="6">
        <f>IF('weather data'!D346&lt;'user input'!$C$2,'user input'!$C$2,'weather data'!D346)</f>
        <v>10</v>
      </c>
      <c r="E346">
        <f t="shared" si="6"/>
        <v>4.166666666666667</v>
      </c>
      <c r="F346">
        <f>IF((E346-'user input'!$C$2)&lt;0,0,E346-'user input'!$C$2)</f>
        <v>0</v>
      </c>
      <c r="G346">
        <f>IF(B346&lt;'user input'!$C$5,0,(F346+G345))</f>
        <v>1664.1666666666679</v>
      </c>
      <c r="H346">
        <f>G346/'user input'!$C$4</f>
        <v>1.3868055555555565</v>
      </c>
    </row>
    <row r="347" spans="1:8" x14ac:dyDescent="0.2">
      <c r="A347" s="1">
        <v>40523</v>
      </c>
      <c r="B347">
        <v>345</v>
      </c>
      <c r="C347" s="6">
        <f>IF('weather data'!C347&gt;'user input'!$C$3,'user input'!$C$3,'weather data'!C347)</f>
        <v>-0.55555555555555558</v>
      </c>
      <c r="D347" s="6">
        <f>IF('weather data'!D347&lt;'user input'!$C$2,'user input'!$C$2,'weather data'!D347)</f>
        <v>10</v>
      </c>
      <c r="E347">
        <f t="shared" si="6"/>
        <v>4.7222222222222223</v>
      </c>
      <c r="F347">
        <f>IF((E347-'user input'!$C$2)&lt;0,0,E347-'user input'!$C$2)</f>
        <v>0</v>
      </c>
      <c r="G347">
        <f>IF(B347&lt;'user input'!$C$5,0,(F347+G346))</f>
        <v>1664.1666666666679</v>
      </c>
      <c r="H347">
        <f>G347/'user input'!$C$4</f>
        <v>1.3868055555555565</v>
      </c>
    </row>
    <row r="348" spans="1:8" x14ac:dyDescent="0.2">
      <c r="A348" s="1">
        <v>40524</v>
      </c>
      <c r="B348">
        <v>346</v>
      </c>
      <c r="C348" s="6">
        <f>IF('weather data'!C348&gt;'user input'!$C$3,'user input'!$C$3,'weather data'!C348)</f>
        <v>-2.2222222222222223</v>
      </c>
      <c r="D348" s="6">
        <f>IF('weather data'!D348&lt;'user input'!$C$2,'user input'!$C$2,'weather data'!D348)</f>
        <v>10</v>
      </c>
      <c r="E348">
        <f t="shared" si="6"/>
        <v>3.8888888888888888</v>
      </c>
      <c r="F348">
        <f>IF((E348-'user input'!$C$2)&lt;0,0,E348-'user input'!$C$2)</f>
        <v>0</v>
      </c>
      <c r="G348">
        <f>IF(B348&lt;'user input'!$C$5,0,(F348+G347))</f>
        <v>1664.1666666666679</v>
      </c>
      <c r="H348">
        <f>G348/'user input'!$C$4</f>
        <v>1.3868055555555565</v>
      </c>
    </row>
    <row r="349" spans="1:8" x14ac:dyDescent="0.2">
      <c r="A349" s="1">
        <v>40525</v>
      </c>
      <c r="B349">
        <v>347</v>
      </c>
      <c r="C349" s="6">
        <f>IF('weather data'!C349&gt;'user input'!$C$3,'user input'!$C$3,'weather data'!C349)</f>
        <v>-7.2222222222222223</v>
      </c>
      <c r="D349" s="6">
        <f>IF('weather data'!D349&lt;'user input'!$C$2,'user input'!$C$2,'weather data'!D349)</f>
        <v>10</v>
      </c>
      <c r="E349">
        <f t="shared" si="6"/>
        <v>1.3888888888888888</v>
      </c>
      <c r="F349">
        <f>IF((E349-'user input'!$C$2)&lt;0,0,E349-'user input'!$C$2)</f>
        <v>0</v>
      </c>
      <c r="G349">
        <f>IF(B349&lt;'user input'!$C$5,0,(F349+G348))</f>
        <v>1664.1666666666679</v>
      </c>
      <c r="H349">
        <f>G349/'user input'!$C$4</f>
        <v>1.3868055555555565</v>
      </c>
    </row>
    <row r="350" spans="1:8" x14ac:dyDescent="0.2">
      <c r="A350" s="1">
        <v>40526</v>
      </c>
      <c r="B350">
        <v>348</v>
      </c>
      <c r="C350" s="6">
        <f>IF('weather data'!C350&gt;'user input'!$C$3,'user input'!$C$3,'weather data'!C350)</f>
        <v>-12.222222222222223</v>
      </c>
      <c r="D350" s="6">
        <f>IF('weather data'!D350&lt;'user input'!$C$2,'user input'!$C$2,'weather data'!D350)</f>
        <v>10</v>
      </c>
      <c r="E350">
        <f t="shared" si="6"/>
        <v>-1.1111111111111116</v>
      </c>
      <c r="F350">
        <f>IF((E350-'user input'!$C$2)&lt;0,0,E350-'user input'!$C$2)</f>
        <v>0</v>
      </c>
      <c r="G350">
        <f>IF(B350&lt;'user input'!$C$5,0,(F350+G349))</f>
        <v>1664.1666666666679</v>
      </c>
      <c r="H350">
        <f>G350/'user input'!$C$4</f>
        <v>1.3868055555555565</v>
      </c>
    </row>
    <row r="351" spans="1:8" x14ac:dyDescent="0.2">
      <c r="A351" s="1">
        <v>40527</v>
      </c>
      <c r="B351">
        <v>349</v>
      </c>
      <c r="C351" s="6">
        <f>IF('weather data'!C351&gt;'user input'!$C$3,'user input'!$C$3,'weather data'!C351)</f>
        <v>-9.4444444444444446</v>
      </c>
      <c r="D351" s="6">
        <f>IF('weather data'!D351&lt;'user input'!$C$2,'user input'!$C$2,'weather data'!D351)</f>
        <v>10</v>
      </c>
      <c r="E351">
        <f t="shared" si="6"/>
        <v>0.27777777777777768</v>
      </c>
      <c r="F351">
        <f>IF((E351-'user input'!$C$2)&lt;0,0,E351-'user input'!$C$2)</f>
        <v>0</v>
      </c>
      <c r="G351">
        <f>IF(B351&lt;'user input'!$C$5,0,(F351+G350))</f>
        <v>1664.1666666666679</v>
      </c>
      <c r="H351">
        <f>G351/'user input'!$C$4</f>
        <v>1.3868055555555565</v>
      </c>
    </row>
    <row r="352" spans="1:8" x14ac:dyDescent="0.2">
      <c r="A352" s="1">
        <v>40528</v>
      </c>
      <c r="B352">
        <v>350</v>
      </c>
      <c r="C352" s="6">
        <f>IF('weather data'!C352&gt;'user input'!$C$3,'user input'!$C$3,'weather data'!C352)</f>
        <v>-8.8888888888888893</v>
      </c>
      <c r="D352" s="6">
        <f>IF('weather data'!D352&lt;'user input'!$C$2,'user input'!$C$2,'weather data'!D352)</f>
        <v>10</v>
      </c>
      <c r="E352">
        <f t="shared" si="6"/>
        <v>0.55555555555555536</v>
      </c>
      <c r="F352">
        <f>IF((E352-'user input'!$C$2)&lt;0,0,E352-'user input'!$C$2)</f>
        <v>0</v>
      </c>
      <c r="G352">
        <f>IF(B352&lt;'user input'!$C$5,0,(F352+G351))</f>
        <v>1664.1666666666679</v>
      </c>
      <c r="H352">
        <f>G352/'user input'!$C$4</f>
        <v>1.3868055555555565</v>
      </c>
    </row>
    <row r="353" spans="1:8" x14ac:dyDescent="0.2">
      <c r="A353" s="1">
        <v>40529</v>
      </c>
      <c r="B353">
        <v>351</v>
      </c>
      <c r="C353" s="6">
        <f>IF('weather data'!C353&gt;'user input'!$C$3,'user input'!$C$3,'weather data'!C353)</f>
        <v>-6.6666666666666661</v>
      </c>
      <c r="D353" s="6">
        <f>IF('weather data'!D353&lt;'user input'!$C$2,'user input'!$C$2,'weather data'!D353)</f>
        <v>10</v>
      </c>
      <c r="E353">
        <f t="shared" si="6"/>
        <v>1.666666666666667</v>
      </c>
      <c r="F353">
        <f>IF((E353-'user input'!$C$2)&lt;0,0,E353-'user input'!$C$2)</f>
        <v>0</v>
      </c>
      <c r="G353">
        <f>IF(B353&lt;'user input'!$C$5,0,(F353+G352))</f>
        <v>1664.1666666666679</v>
      </c>
      <c r="H353">
        <f>G353/'user input'!$C$4</f>
        <v>1.3868055555555565</v>
      </c>
    </row>
    <row r="354" spans="1:8" x14ac:dyDescent="0.2">
      <c r="A354" s="1">
        <v>40530</v>
      </c>
      <c r="B354">
        <v>352</v>
      </c>
      <c r="C354" s="6">
        <f>IF('weather data'!C354&gt;'user input'!$C$3,'user input'!$C$3,'weather data'!C354)</f>
        <v>-6.6666666666666661</v>
      </c>
      <c r="D354" s="6">
        <f>IF('weather data'!D354&lt;'user input'!$C$2,'user input'!$C$2,'weather data'!D354)</f>
        <v>10</v>
      </c>
      <c r="E354">
        <f t="shared" si="6"/>
        <v>1.666666666666667</v>
      </c>
      <c r="F354">
        <f>IF((E354-'user input'!$C$2)&lt;0,0,E354-'user input'!$C$2)</f>
        <v>0</v>
      </c>
      <c r="G354">
        <f>IF(B354&lt;'user input'!$C$5,0,(F354+G353))</f>
        <v>1664.1666666666679</v>
      </c>
      <c r="H354">
        <f>G354/'user input'!$C$4</f>
        <v>1.3868055555555565</v>
      </c>
    </row>
    <row r="355" spans="1:8" x14ac:dyDescent="0.2">
      <c r="A355" s="1">
        <v>40531</v>
      </c>
      <c r="B355">
        <v>353</v>
      </c>
      <c r="C355" s="6">
        <f>IF('weather data'!C355&gt;'user input'!$C$3,'user input'!$C$3,'weather data'!C355)</f>
        <v>-7.7777777777777777</v>
      </c>
      <c r="D355" s="6">
        <f>IF('weather data'!D355&lt;'user input'!$C$2,'user input'!$C$2,'weather data'!D355)</f>
        <v>10</v>
      </c>
      <c r="E355">
        <f t="shared" si="6"/>
        <v>1.1111111111111112</v>
      </c>
      <c r="F355">
        <f>IF((E355-'user input'!$C$2)&lt;0,0,E355-'user input'!$C$2)</f>
        <v>0</v>
      </c>
      <c r="G355">
        <f>IF(B355&lt;'user input'!$C$5,0,(F355+G354))</f>
        <v>1664.1666666666679</v>
      </c>
      <c r="H355">
        <f>G355/'user input'!$C$4</f>
        <v>1.3868055555555565</v>
      </c>
    </row>
    <row r="356" spans="1:8" x14ac:dyDescent="0.2">
      <c r="A356" s="1">
        <v>40532</v>
      </c>
      <c r="B356">
        <v>354</v>
      </c>
      <c r="C356" s="6">
        <f>IF('weather data'!C356&gt;'user input'!$C$3,'user input'!$C$3,'weather data'!C356)</f>
        <v>-6.6666666666666661</v>
      </c>
      <c r="D356" s="6">
        <f>IF('weather data'!D356&lt;'user input'!$C$2,'user input'!$C$2,'weather data'!D356)</f>
        <v>10</v>
      </c>
      <c r="E356">
        <f t="shared" si="6"/>
        <v>1.666666666666667</v>
      </c>
      <c r="F356">
        <f>IF((E356-'user input'!$C$2)&lt;0,0,E356-'user input'!$C$2)</f>
        <v>0</v>
      </c>
      <c r="G356">
        <f>IF(B356&lt;'user input'!$C$5,0,(F356+G355))</f>
        <v>1664.1666666666679</v>
      </c>
      <c r="H356">
        <f>G356/'user input'!$C$4</f>
        <v>1.3868055555555565</v>
      </c>
    </row>
    <row r="357" spans="1:8" x14ac:dyDescent="0.2">
      <c r="A357" s="1">
        <v>40533</v>
      </c>
      <c r="B357">
        <v>355</v>
      </c>
      <c r="C357" s="6">
        <f>IF('weather data'!C357&gt;'user input'!$C$3,'user input'!$C$3,'weather data'!C357)</f>
        <v>-2.2222222222222223</v>
      </c>
      <c r="D357" s="6">
        <f>IF('weather data'!D357&lt;'user input'!$C$2,'user input'!$C$2,'weather data'!D357)</f>
        <v>10</v>
      </c>
      <c r="E357">
        <f t="shared" si="6"/>
        <v>3.8888888888888888</v>
      </c>
      <c r="F357">
        <f>IF((E357-'user input'!$C$2)&lt;0,0,E357-'user input'!$C$2)</f>
        <v>0</v>
      </c>
      <c r="G357">
        <f>IF(B357&lt;'user input'!$C$5,0,(F357+G356))</f>
        <v>1664.1666666666679</v>
      </c>
      <c r="H357">
        <f>G357/'user input'!$C$4</f>
        <v>1.3868055555555565</v>
      </c>
    </row>
    <row r="358" spans="1:8" x14ac:dyDescent="0.2">
      <c r="A358" s="1">
        <v>40534</v>
      </c>
      <c r="B358">
        <v>356</v>
      </c>
      <c r="C358" s="6">
        <f>IF('weather data'!C358&gt;'user input'!$C$3,'user input'!$C$3,'weather data'!C358)</f>
        <v>-0.55555555555555558</v>
      </c>
      <c r="D358" s="6">
        <f>IF('weather data'!D358&lt;'user input'!$C$2,'user input'!$C$2,'weather data'!D358)</f>
        <v>10</v>
      </c>
      <c r="E358">
        <f t="shared" si="6"/>
        <v>4.7222222222222223</v>
      </c>
      <c r="F358">
        <f>IF((E358-'user input'!$C$2)&lt;0,0,E358-'user input'!$C$2)</f>
        <v>0</v>
      </c>
      <c r="G358">
        <f>IF(B358&lt;'user input'!$C$5,0,(F358+G357))</f>
        <v>1664.1666666666679</v>
      </c>
      <c r="H358">
        <f>G358/'user input'!$C$4</f>
        <v>1.3868055555555565</v>
      </c>
    </row>
    <row r="359" spans="1:8" x14ac:dyDescent="0.2">
      <c r="A359" s="1">
        <v>40535</v>
      </c>
      <c r="B359">
        <v>357</v>
      </c>
      <c r="C359" s="6">
        <f>IF('weather data'!C359&gt;'user input'!$C$3,'user input'!$C$3,'weather data'!C359)</f>
        <v>0.55555555555555558</v>
      </c>
      <c r="D359" s="6">
        <f>IF('weather data'!D359&lt;'user input'!$C$2,'user input'!$C$2,'weather data'!D359)</f>
        <v>10</v>
      </c>
      <c r="E359">
        <f t="shared" si="6"/>
        <v>5.2777777777777777</v>
      </c>
      <c r="F359">
        <f>IF((E359-'user input'!$C$2)&lt;0,0,E359-'user input'!$C$2)</f>
        <v>0</v>
      </c>
      <c r="G359">
        <f>IF(B359&lt;'user input'!$C$5,0,(F359+G358))</f>
        <v>1664.1666666666679</v>
      </c>
      <c r="H359">
        <f>G359/'user input'!$C$4</f>
        <v>1.3868055555555565</v>
      </c>
    </row>
    <row r="360" spans="1:8" x14ac:dyDescent="0.2">
      <c r="A360" s="1">
        <v>40536</v>
      </c>
      <c r="B360">
        <v>358</v>
      </c>
      <c r="C360" s="6">
        <f>IF('weather data'!C360&gt;'user input'!$C$3,'user input'!$C$3,'weather data'!C360)</f>
        <v>-4.4444444444444446</v>
      </c>
      <c r="D360" s="6">
        <f>IF('weather data'!D360&lt;'user input'!$C$2,'user input'!$C$2,'weather data'!D360)</f>
        <v>10</v>
      </c>
      <c r="E360">
        <f t="shared" si="6"/>
        <v>2.7777777777777777</v>
      </c>
      <c r="F360">
        <f>IF((E360-'user input'!$C$2)&lt;0,0,E360-'user input'!$C$2)</f>
        <v>0</v>
      </c>
      <c r="G360">
        <f>IF(B360&lt;'user input'!$C$5,0,(F360+G359))</f>
        <v>1664.1666666666679</v>
      </c>
      <c r="H360">
        <f>G360/'user input'!$C$4</f>
        <v>1.3868055555555565</v>
      </c>
    </row>
    <row r="361" spans="1:8" x14ac:dyDescent="0.2">
      <c r="A361" s="1">
        <v>40537</v>
      </c>
      <c r="B361">
        <v>359</v>
      </c>
      <c r="C361" s="6">
        <f>IF('weather data'!C361&gt;'user input'!$C$3,'user input'!$C$3,'weather data'!C361)</f>
        <v>-3.333333333333333</v>
      </c>
      <c r="D361" s="6">
        <f>IF('weather data'!D361&lt;'user input'!$C$2,'user input'!$C$2,'weather data'!D361)</f>
        <v>10</v>
      </c>
      <c r="E361">
        <f t="shared" si="6"/>
        <v>3.3333333333333335</v>
      </c>
      <c r="F361">
        <f>IF((E361-'user input'!$C$2)&lt;0,0,E361-'user input'!$C$2)</f>
        <v>0</v>
      </c>
      <c r="G361">
        <f>IF(B361&lt;'user input'!$C$5,0,(F361+G360))</f>
        <v>1664.1666666666679</v>
      </c>
      <c r="H361">
        <f>G361/'user input'!$C$4</f>
        <v>1.3868055555555565</v>
      </c>
    </row>
    <row r="362" spans="1:8" x14ac:dyDescent="0.2">
      <c r="A362" s="1">
        <v>40538</v>
      </c>
      <c r="B362">
        <v>360</v>
      </c>
      <c r="C362" s="6">
        <f>IF('weather data'!C362&gt;'user input'!$C$3,'user input'!$C$3,'weather data'!C362)</f>
        <v>-1.6666666666666665</v>
      </c>
      <c r="D362" s="6">
        <f>IF('weather data'!D362&lt;'user input'!$C$2,'user input'!$C$2,'weather data'!D362)</f>
        <v>10</v>
      </c>
      <c r="E362">
        <f t="shared" si="6"/>
        <v>4.166666666666667</v>
      </c>
      <c r="F362">
        <f>IF((E362-'user input'!$C$2)&lt;0,0,E362-'user input'!$C$2)</f>
        <v>0</v>
      </c>
      <c r="G362">
        <f>IF(B362&lt;'user input'!$C$5,0,(F362+G361))</f>
        <v>1664.1666666666679</v>
      </c>
      <c r="H362">
        <f>G362/'user input'!$C$4</f>
        <v>1.3868055555555565</v>
      </c>
    </row>
    <row r="363" spans="1:8" x14ac:dyDescent="0.2">
      <c r="A363" s="1">
        <v>40539</v>
      </c>
      <c r="B363">
        <v>361</v>
      </c>
      <c r="C363" s="6">
        <f>IF('weather data'!C363&gt;'user input'!$C$3,'user input'!$C$3,'weather data'!C363)</f>
        <v>-4.4444444444444446</v>
      </c>
      <c r="D363" s="6">
        <f>IF('weather data'!D363&lt;'user input'!$C$2,'user input'!$C$2,'weather data'!D363)</f>
        <v>10</v>
      </c>
      <c r="E363">
        <f t="shared" si="6"/>
        <v>2.7777777777777777</v>
      </c>
      <c r="F363">
        <f>IF((E363-'user input'!$C$2)&lt;0,0,E363-'user input'!$C$2)</f>
        <v>0</v>
      </c>
      <c r="G363">
        <f>IF(B363&lt;'user input'!$C$5,0,(F363+G362))</f>
        <v>1664.1666666666679</v>
      </c>
      <c r="H363">
        <f>G363/'user input'!$C$4</f>
        <v>1.3868055555555565</v>
      </c>
    </row>
    <row r="364" spans="1:8" x14ac:dyDescent="0.2">
      <c r="A364" s="1">
        <v>40540</v>
      </c>
      <c r="B364">
        <v>362</v>
      </c>
      <c r="C364" s="6">
        <f>IF('weather data'!C364&gt;'user input'!$C$3,'user input'!$C$3,'weather data'!C364)</f>
        <v>-5</v>
      </c>
      <c r="D364" s="6">
        <f>IF('weather data'!D364&lt;'user input'!$C$2,'user input'!$C$2,'weather data'!D364)</f>
        <v>10</v>
      </c>
      <c r="E364">
        <f t="shared" si="6"/>
        <v>2.5</v>
      </c>
      <c r="F364">
        <f>IF((E364-'user input'!$C$2)&lt;0,0,E364-'user input'!$C$2)</f>
        <v>0</v>
      </c>
      <c r="G364">
        <f>IF(B364&lt;'user input'!$C$5,0,(F364+G363))</f>
        <v>1664.1666666666679</v>
      </c>
      <c r="H364">
        <f>G364/'user input'!$C$4</f>
        <v>1.3868055555555565</v>
      </c>
    </row>
    <row r="365" spans="1:8" x14ac:dyDescent="0.2">
      <c r="A365" s="1">
        <v>40541</v>
      </c>
      <c r="B365">
        <v>363</v>
      </c>
      <c r="C365" s="6">
        <f>IF('weather data'!C365&gt;'user input'!$C$3,'user input'!$C$3,'weather data'!C365)</f>
        <v>-2.7777777777777777</v>
      </c>
      <c r="D365" s="6">
        <f>IF('weather data'!D365&lt;'user input'!$C$2,'user input'!$C$2,'weather data'!D365)</f>
        <v>10</v>
      </c>
      <c r="E365">
        <f t="shared" si="6"/>
        <v>3.6111111111111112</v>
      </c>
      <c r="F365">
        <f>IF((E365-'user input'!$C$2)&lt;0,0,E365-'user input'!$C$2)</f>
        <v>0</v>
      </c>
      <c r="G365">
        <f>IF(B365&lt;'user input'!$C$5,0,(F365+G364))</f>
        <v>1664.1666666666679</v>
      </c>
      <c r="H365">
        <f>G365/'user input'!$C$4</f>
        <v>1.3868055555555565</v>
      </c>
    </row>
    <row r="366" spans="1:8" x14ac:dyDescent="0.2">
      <c r="A366" s="1">
        <v>40542</v>
      </c>
      <c r="B366">
        <v>364</v>
      </c>
      <c r="C366" s="6">
        <f>IF('weather data'!C366&gt;'user input'!$C$3,'user input'!$C$3,'weather data'!C366)</f>
        <v>3.8888888888888888</v>
      </c>
      <c r="D366" s="6">
        <f>IF('weather data'!D366&lt;'user input'!$C$2,'user input'!$C$2,'weather data'!D366)</f>
        <v>10</v>
      </c>
      <c r="E366">
        <f t="shared" si="6"/>
        <v>6.9444444444444446</v>
      </c>
      <c r="F366">
        <f>IF((E366-'user input'!$C$2)&lt;0,0,E366-'user input'!$C$2)</f>
        <v>0</v>
      </c>
      <c r="G366">
        <f>IF(B366&lt;'user input'!$C$5,0,(F366+G365))</f>
        <v>1664.1666666666679</v>
      </c>
      <c r="H366">
        <f>G366/'user input'!$C$4</f>
        <v>1.3868055555555565</v>
      </c>
    </row>
    <row r="367" spans="1:8" x14ac:dyDescent="0.2">
      <c r="A367" s="1">
        <v>40543</v>
      </c>
      <c r="B367">
        <v>365</v>
      </c>
      <c r="C367" s="6">
        <f>IF('weather data'!C367&gt;'user input'!$C$3,'user input'!$C$3,'weather data'!C367)</f>
        <v>7.2222222222222223</v>
      </c>
      <c r="D367" s="6">
        <f>IF('weather data'!D367&lt;'user input'!$C$2,'user input'!$C$2,'weather data'!D367)</f>
        <v>10</v>
      </c>
      <c r="E367">
        <f t="shared" si="6"/>
        <v>8.6111111111111107</v>
      </c>
      <c r="F367">
        <f>IF((E367-'user input'!$C$2)&lt;0,0,E367-'user input'!$C$2)</f>
        <v>0</v>
      </c>
      <c r="G367">
        <f>IF(B367&lt;'user input'!$C$5,0,(F367+G366))</f>
        <v>1664.1666666666679</v>
      </c>
      <c r="H367">
        <f>G367/'user input'!$C$4</f>
        <v>1.3868055555555565</v>
      </c>
    </row>
    <row r="368" spans="1:8" x14ac:dyDescent="0.2">
      <c r="A368" s="1">
        <v>40544</v>
      </c>
      <c r="B368">
        <v>1</v>
      </c>
      <c r="C368" s="6">
        <f>IF('weather data'!C368&gt;'user input'!$C$3,'user input'!$C$3,'weather data'!C368)</f>
        <v>8.3333333333333339</v>
      </c>
      <c r="D368" s="6">
        <f>IF('weather data'!D368&lt;'user input'!$C$2,'user input'!$C$2,'weather data'!D368)</f>
        <v>10</v>
      </c>
      <c r="E368">
        <f t="shared" si="6"/>
        <v>9.1666666666666679</v>
      </c>
      <c r="F368">
        <f>IF((E368-'user input'!$C$2)&lt;0,0,E368-'user input'!$C$2)</f>
        <v>0</v>
      </c>
      <c r="G368">
        <f>IF(B368&lt;'user input'!$C$5,0,(F368+G367))</f>
        <v>0</v>
      </c>
      <c r="H368">
        <f>G368/'user input'!$C$4</f>
        <v>0</v>
      </c>
    </row>
    <row r="369" spans="1:8" x14ac:dyDescent="0.2">
      <c r="A369" s="1">
        <v>40545</v>
      </c>
      <c r="B369">
        <v>2</v>
      </c>
      <c r="C369" s="6">
        <f>IF('weather data'!C369&gt;'user input'!$C$3,'user input'!$C$3,'weather data'!C369)</f>
        <v>8.3333333333333339</v>
      </c>
      <c r="D369" s="6">
        <f>IF('weather data'!D369&lt;'user input'!$C$2,'user input'!$C$2,'weather data'!D369)</f>
        <v>10</v>
      </c>
      <c r="E369">
        <f t="shared" si="6"/>
        <v>9.1666666666666679</v>
      </c>
      <c r="F369">
        <f>IF((E369-'user input'!$C$2)&lt;0,0,E369-'user input'!$C$2)</f>
        <v>0</v>
      </c>
      <c r="G369">
        <f>IF(B369&lt;'user input'!$C$5,0,(F369+G368))</f>
        <v>0</v>
      </c>
      <c r="H369">
        <f>G369/'user input'!$C$4</f>
        <v>0</v>
      </c>
    </row>
    <row r="370" spans="1:8" x14ac:dyDescent="0.2">
      <c r="A370" s="1">
        <v>40546</v>
      </c>
      <c r="B370">
        <v>3</v>
      </c>
      <c r="C370" s="6">
        <f>IF('weather data'!C370&gt;'user input'!$C$3,'user input'!$C$3,'weather data'!C370)</f>
        <v>-5</v>
      </c>
      <c r="D370" s="6">
        <f>IF('weather data'!D370&lt;'user input'!$C$2,'user input'!$C$2,'weather data'!D370)</f>
        <v>10</v>
      </c>
      <c r="E370">
        <f t="shared" si="6"/>
        <v>2.5</v>
      </c>
      <c r="F370">
        <f>IF((E370-'user input'!$C$2)&lt;0,0,E370-'user input'!$C$2)</f>
        <v>0</v>
      </c>
      <c r="G370">
        <f>IF(B370&lt;'user input'!$C$5,0,(F370+G369))</f>
        <v>0</v>
      </c>
      <c r="H370">
        <f>G370/'user input'!$C$4</f>
        <v>0</v>
      </c>
    </row>
    <row r="371" spans="1:8" x14ac:dyDescent="0.2">
      <c r="A371" s="1">
        <v>40547</v>
      </c>
      <c r="B371">
        <v>4</v>
      </c>
      <c r="C371" s="6">
        <f>IF('weather data'!C371&gt;'user input'!$C$3,'user input'!$C$3,'weather data'!C371)</f>
        <v>-1.1111111111111112</v>
      </c>
      <c r="D371" s="6">
        <f>IF('weather data'!D371&lt;'user input'!$C$2,'user input'!$C$2,'weather data'!D371)</f>
        <v>10</v>
      </c>
      <c r="E371">
        <f t="shared" si="6"/>
        <v>4.4444444444444446</v>
      </c>
      <c r="F371">
        <f>IF((E371-'user input'!$C$2)&lt;0,0,E371-'user input'!$C$2)</f>
        <v>0</v>
      </c>
      <c r="G371">
        <f>IF(B371&lt;'user input'!$C$5,0,(F371+G370))</f>
        <v>0</v>
      </c>
      <c r="H371">
        <f>G371/'user input'!$C$4</f>
        <v>0</v>
      </c>
    </row>
    <row r="372" spans="1:8" x14ac:dyDescent="0.2">
      <c r="A372" s="1">
        <v>40548</v>
      </c>
      <c r="B372">
        <v>5</v>
      </c>
      <c r="C372" s="6">
        <f>IF('weather data'!C372&gt;'user input'!$C$3,'user input'!$C$3,'weather data'!C372)</f>
        <v>-7.7777777777777777</v>
      </c>
      <c r="D372" s="6">
        <f>IF('weather data'!D372&lt;'user input'!$C$2,'user input'!$C$2,'weather data'!D372)</f>
        <v>10</v>
      </c>
      <c r="E372">
        <f t="shared" si="6"/>
        <v>1.1111111111111112</v>
      </c>
      <c r="F372">
        <f>IF((E372-'user input'!$C$2)&lt;0,0,E372-'user input'!$C$2)</f>
        <v>0</v>
      </c>
      <c r="G372">
        <f>IF(B372&lt;'user input'!$C$5,0,(F372+G371))</f>
        <v>0</v>
      </c>
      <c r="H372">
        <f>G372/'user input'!$C$4</f>
        <v>0</v>
      </c>
    </row>
    <row r="373" spans="1:8" x14ac:dyDescent="0.2">
      <c r="A373" s="1">
        <v>40549</v>
      </c>
      <c r="B373">
        <v>6</v>
      </c>
      <c r="C373" s="6">
        <f>IF('weather data'!C373&gt;'user input'!$C$3,'user input'!$C$3,'weather data'!C373)</f>
        <v>-4.4444444444444446</v>
      </c>
      <c r="D373" s="6">
        <f>IF('weather data'!D373&lt;'user input'!$C$2,'user input'!$C$2,'weather data'!D373)</f>
        <v>10</v>
      </c>
      <c r="E373">
        <f t="shared" si="6"/>
        <v>2.7777777777777777</v>
      </c>
      <c r="F373">
        <f>IF((E373-'user input'!$C$2)&lt;0,0,E373-'user input'!$C$2)</f>
        <v>0</v>
      </c>
      <c r="G373">
        <f>IF(B373&lt;'user input'!$C$5,0,(F373+G372))</f>
        <v>0</v>
      </c>
      <c r="H373">
        <f>G373/'user input'!$C$4</f>
        <v>0</v>
      </c>
    </row>
    <row r="374" spans="1:8" x14ac:dyDescent="0.2">
      <c r="A374" s="1">
        <v>40550</v>
      </c>
      <c r="B374">
        <v>7</v>
      </c>
      <c r="C374" s="6">
        <f>IF('weather data'!C374&gt;'user input'!$C$3,'user input'!$C$3,'weather data'!C374)</f>
        <v>-6.1111111111111116</v>
      </c>
      <c r="D374" s="6">
        <f>IF('weather data'!D374&lt;'user input'!$C$2,'user input'!$C$2,'weather data'!D374)</f>
        <v>10</v>
      </c>
      <c r="E374">
        <f t="shared" si="6"/>
        <v>1.9444444444444442</v>
      </c>
      <c r="F374">
        <f>IF((E374-'user input'!$C$2)&lt;0,0,E374-'user input'!$C$2)</f>
        <v>0</v>
      </c>
      <c r="G374">
        <f>IF(B374&lt;'user input'!$C$5,0,(F374+G373))</f>
        <v>0</v>
      </c>
      <c r="H374">
        <f>G374/'user input'!$C$4</f>
        <v>0</v>
      </c>
    </row>
    <row r="375" spans="1:8" x14ac:dyDescent="0.2">
      <c r="A375" s="1">
        <v>40551</v>
      </c>
      <c r="B375">
        <v>8</v>
      </c>
      <c r="C375" s="6">
        <f>IF('weather data'!C375&gt;'user input'!$C$3,'user input'!$C$3,'weather data'!C375)</f>
        <v>-7.7777777777777777</v>
      </c>
      <c r="D375" s="6">
        <f>IF('weather data'!D375&lt;'user input'!$C$2,'user input'!$C$2,'weather data'!D375)</f>
        <v>10</v>
      </c>
      <c r="E375">
        <f t="shared" si="6"/>
        <v>1.1111111111111112</v>
      </c>
      <c r="F375">
        <f>IF((E375-'user input'!$C$2)&lt;0,0,E375-'user input'!$C$2)</f>
        <v>0</v>
      </c>
      <c r="G375">
        <f>IF(B375&lt;'user input'!$C$5,0,(F375+G374))</f>
        <v>0</v>
      </c>
      <c r="H375">
        <f>G375/'user input'!$C$4</f>
        <v>0</v>
      </c>
    </row>
    <row r="376" spans="1:8" x14ac:dyDescent="0.2">
      <c r="A376" s="1">
        <v>40552</v>
      </c>
      <c r="B376">
        <v>9</v>
      </c>
      <c r="C376" s="6">
        <f>IF('weather data'!C376&gt;'user input'!$C$3,'user input'!$C$3,'weather data'!C376)</f>
        <v>-6.6666666666666661</v>
      </c>
      <c r="D376" s="6">
        <f>IF('weather data'!D376&lt;'user input'!$C$2,'user input'!$C$2,'weather data'!D376)</f>
        <v>10</v>
      </c>
      <c r="E376">
        <f t="shared" si="6"/>
        <v>1.666666666666667</v>
      </c>
      <c r="F376">
        <f>IF((E376-'user input'!$C$2)&lt;0,0,E376-'user input'!$C$2)</f>
        <v>0</v>
      </c>
      <c r="G376">
        <f>IF(B376&lt;'user input'!$C$5,0,(F376+G375))</f>
        <v>0</v>
      </c>
      <c r="H376">
        <f>G376/'user input'!$C$4</f>
        <v>0</v>
      </c>
    </row>
    <row r="377" spans="1:8" x14ac:dyDescent="0.2">
      <c r="A377" s="1">
        <v>40553</v>
      </c>
      <c r="B377">
        <v>10</v>
      </c>
      <c r="C377" s="6">
        <f>IF('weather data'!C377&gt;'user input'!$C$3,'user input'!$C$3,'weather data'!C377)</f>
        <v>-5</v>
      </c>
      <c r="D377" s="6">
        <f>IF('weather data'!D377&lt;'user input'!$C$2,'user input'!$C$2,'weather data'!D377)</f>
        <v>10</v>
      </c>
      <c r="E377">
        <f t="shared" si="6"/>
        <v>2.5</v>
      </c>
      <c r="F377">
        <f>IF((E377-'user input'!$C$2)&lt;0,0,E377-'user input'!$C$2)</f>
        <v>0</v>
      </c>
      <c r="G377">
        <f>IF(B377&lt;'user input'!$C$5,0,(F377+G376))</f>
        <v>0</v>
      </c>
      <c r="H377">
        <f>G377/'user input'!$C$4</f>
        <v>0</v>
      </c>
    </row>
    <row r="378" spans="1:8" x14ac:dyDescent="0.2">
      <c r="A378" s="1">
        <v>40554</v>
      </c>
      <c r="B378">
        <v>11</v>
      </c>
      <c r="C378" s="6">
        <f>IF('weather data'!C378&gt;'user input'!$C$3,'user input'!$C$3,'weather data'!C378)</f>
        <v>-2.2222222222222223</v>
      </c>
      <c r="D378" s="6">
        <f>IF('weather data'!D378&lt;'user input'!$C$2,'user input'!$C$2,'weather data'!D378)</f>
        <v>10</v>
      </c>
      <c r="E378">
        <f t="shared" si="6"/>
        <v>3.8888888888888888</v>
      </c>
      <c r="F378">
        <f>IF((E378-'user input'!$C$2)&lt;0,0,E378-'user input'!$C$2)</f>
        <v>0</v>
      </c>
      <c r="G378">
        <f>IF(B378&lt;'user input'!$C$5,0,(F378+G377))</f>
        <v>0</v>
      </c>
      <c r="H378">
        <f>G378/'user input'!$C$4</f>
        <v>0</v>
      </c>
    </row>
    <row r="379" spans="1:8" x14ac:dyDescent="0.2">
      <c r="A379" s="1">
        <v>40555</v>
      </c>
      <c r="B379">
        <v>12</v>
      </c>
      <c r="C379" s="6">
        <f>IF('weather data'!C379&gt;'user input'!$C$3,'user input'!$C$3,'weather data'!C379)</f>
        <v>-4.4444444444444446</v>
      </c>
      <c r="D379" s="6">
        <f>IF('weather data'!D379&lt;'user input'!$C$2,'user input'!$C$2,'weather data'!D379)</f>
        <v>10</v>
      </c>
      <c r="E379">
        <f t="shared" si="6"/>
        <v>2.7777777777777777</v>
      </c>
      <c r="F379">
        <f>IF((E379-'user input'!$C$2)&lt;0,0,E379-'user input'!$C$2)</f>
        <v>0</v>
      </c>
      <c r="G379">
        <f>IF(B379&lt;'user input'!$C$5,0,(F379+G378))</f>
        <v>0</v>
      </c>
      <c r="H379">
        <f>G379/'user input'!$C$4</f>
        <v>0</v>
      </c>
    </row>
    <row r="380" spans="1:8" x14ac:dyDescent="0.2">
      <c r="A380" s="1">
        <v>40556</v>
      </c>
      <c r="B380">
        <v>13</v>
      </c>
      <c r="C380" s="6">
        <f>IF('weather data'!C380&gt;'user input'!$C$3,'user input'!$C$3,'weather data'!C380)</f>
        <v>-3.8888888888888888</v>
      </c>
      <c r="D380" s="6">
        <f>IF('weather data'!D380&lt;'user input'!$C$2,'user input'!$C$2,'weather data'!D380)</f>
        <v>10</v>
      </c>
      <c r="E380">
        <f t="shared" si="6"/>
        <v>3.0555555555555554</v>
      </c>
      <c r="F380">
        <f>IF((E380-'user input'!$C$2)&lt;0,0,E380-'user input'!$C$2)</f>
        <v>0</v>
      </c>
      <c r="G380">
        <f>IF(B380&lt;'user input'!$C$5,0,(F380+G379))</f>
        <v>0</v>
      </c>
      <c r="H380">
        <f>G380/'user input'!$C$4</f>
        <v>0</v>
      </c>
    </row>
    <row r="381" spans="1:8" x14ac:dyDescent="0.2">
      <c r="A381" s="1">
        <v>40557</v>
      </c>
      <c r="B381">
        <v>14</v>
      </c>
      <c r="C381" s="6">
        <f>IF('weather data'!C381&gt;'user input'!$C$3,'user input'!$C$3,'weather data'!C381)</f>
        <v>-5</v>
      </c>
      <c r="D381" s="6">
        <f>IF('weather data'!D381&lt;'user input'!$C$2,'user input'!$C$2,'weather data'!D381)</f>
        <v>10</v>
      </c>
      <c r="E381">
        <f t="shared" si="6"/>
        <v>2.5</v>
      </c>
      <c r="F381">
        <f>IF((E381-'user input'!$C$2)&lt;0,0,E381-'user input'!$C$2)</f>
        <v>0</v>
      </c>
      <c r="G381">
        <f>IF(B381&lt;'user input'!$C$5,0,(F381+G380))</f>
        <v>0</v>
      </c>
      <c r="H381">
        <f>G381/'user input'!$C$4</f>
        <v>0</v>
      </c>
    </row>
    <row r="382" spans="1:8" x14ac:dyDescent="0.2">
      <c r="A382" s="1">
        <v>40558</v>
      </c>
      <c r="B382">
        <v>15</v>
      </c>
      <c r="C382" s="6">
        <f>IF('weather data'!C382&gt;'user input'!$C$3,'user input'!$C$3,'weather data'!C382)</f>
        <v>-6.1111111111111116</v>
      </c>
      <c r="D382" s="6">
        <f>IF('weather data'!D382&lt;'user input'!$C$2,'user input'!$C$2,'weather data'!D382)</f>
        <v>10</v>
      </c>
      <c r="E382">
        <f t="shared" si="6"/>
        <v>1.9444444444444442</v>
      </c>
      <c r="F382">
        <f>IF((E382-'user input'!$C$2)&lt;0,0,E382-'user input'!$C$2)</f>
        <v>0</v>
      </c>
      <c r="G382">
        <f>IF(B382&lt;'user input'!$C$5,0,(F382+G381))</f>
        <v>0</v>
      </c>
      <c r="H382">
        <f>G382/'user input'!$C$4</f>
        <v>0</v>
      </c>
    </row>
    <row r="383" spans="1:8" x14ac:dyDescent="0.2">
      <c r="A383" s="1">
        <v>40559</v>
      </c>
      <c r="B383">
        <v>16</v>
      </c>
      <c r="C383" s="6">
        <f>IF('weather data'!C383&gt;'user input'!$C$3,'user input'!$C$3,'weather data'!C383)</f>
        <v>-5.5555555555555554</v>
      </c>
      <c r="D383" s="6">
        <f>IF('weather data'!D383&lt;'user input'!$C$2,'user input'!$C$2,'weather data'!D383)</f>
        <v>10</v>
      </c>
      <c r="E383">
        <f t="shared" si="6"/>
        <v>2.2222222222222223</v>
      </c>
      <c r="F383">
        <f>IF((E383-'user input'!$C$2)&lt;0,0,E383-'user input'!$C$2)</f>
        <v>0</v>
      </c>
      <c r="G383">
        <f>IF(B383&lt;'user input'!$C$5,0,(F383+G382))</f>
        <v>0</v>
      </c>
      <c r="H383">
        <f>G383/'user input'!$C$4</f>
        <v>0</v>
      </c>
    </row>
    <row r="384" spans="1:8" x14ac:dyDescent="0.2">
      <c r="A384" s="1">
        <v>40560</v>
      </c>
      <c r="B384">
        <v>17</v>
      </c>
      <c r="C384" s="6">
        <f>IF('weather data'!C384&gt;'user input'!$C$3,'user input'!$C$3,'weather data'!C384)</f>
        <v>-6.6666666666666661</v>
      </c>
      <c r="D384" s="6">
        <f>IF('weather data'!D384&lt;'user input'!$C$2,'user input'!$C$2,'weather data'!D384)</f>
        <v>10</v>
      </c>
      <c r="E384">
        <f t="shared" si="6"/>
        <v>1.666666666666667</v>
      </c>
      <c r="F384">
        <f>IF((E384-'user input'!$C$2)&lt;0,0,E384-'user input'!$C$2)</f>
        <v>0</v>
      </c>
      <c r="G384">
        <f>IF(B384&lt;'user input'!$C$5,0,(F384+G383))</f>
        <v>0</v>
      </c>
      <c r="H384">
        <f>G384/'user input'!$C$4</f>
        <v>0</v>
      </c>
    </row>
    <row r="385" spans="1:8" x14ac:dyDescent="0.2">
      <c r="A385" s="1">
        <v>40561</v>
      </c>
      <c r="B385">
        <v>18</v>
      </c>
      <c r="C385" s="6">
        <f>IF('weather data'!C385&gt;'user input'!$C$3,'user input'!$C$3,'weather data'!C385)</f>
        <v>-2.2222222222222223</v>
      </c>
      <c r="D385" s="6">
        <f>IF('weather data'!D385&lt;'user input'!$C$2,'user input'!$C$2,'weather data'!D385)</f>
        <v>10</v>
      </c>
      <c r="E385">
        <f t="shared" si="6"/>
        <v>3.8888888888888888</v>
      </c>
      <c r="F385">
        <f>IF((E385-'user input'!$C$2)&lt;0,0,E385-'user input'!$C$2)</f>
        <v>0</v>
      </c>
      <c r="G385">
        <f>IF(B385&lt;'user input'!$C$5,0,(F385+G384))</f>
        <v>0</v>
      </c>
      <c r="H385">
        <f>G385/'user input'!$C$4</f>
        <v>0</v>
      </c>
    </row>
    <row r="386" spans="1:8" x14ac:dyDescent="0.2">
      <c r="A386" s="1">
        <v>40562</v>
      </c>
      <c r="B386">
        <v>19</v>
      </c>
      <c r="C386" s="6">
        <f>IF('weather data'!C386&gt;'user input'!$C$3,'user input'!$C$3,'weather data'!C386)</f>
        <v>-5.5555555555555554</v>
      </c>
      <c r="D386" s="6">
        <f>IF('weather data'!D386&lt;'user input'!$C$2,'user input'!$C$2,'weather data'!D386)</f>
        <v>10</v>
      </c>
      <c r="E386">
        <f t="shared" si="6"/>
        <v>2.2222222222222223</v>
      </c>
      <c r="F386">
        <f>IF((E386-'user input'!$C$2)&lt;0,0,E386-'user input'!$C$2)</f>
        <v>0</v>
      </c>
      <c r="G386">
        <f>IF(B386&lt;'user input'!$C$5,0,(F386+G385))</f>
        <v>0</v>
      </c>
      <c r="H386">
        <f>G386/'user input'!$C$4</f>
        <v>0</v>
      </c>
    </row>
    <row r="387" spans="1:8" x14ac:dyDescent="0.2">
      <c r="A387" s="1">
        <v>40563</v>
      </c>
      <c r="B387">
        <v>20</v>
      </c>
      <c r="C387" s="6">
        <f>IF('weather data'!C387&gt;'user input'!$C$3,'user input'!$C$3,'weather data'!C387)</f>
        <v>-7.2222222222222223</v>
      </c>
      <c r="D387" s="6">
        <f>IF('weather data'!D387&lt;'user input'!$C$2,'user input'!$C$2,'weather data'!D387)</f>
        <v>10</v>
      </c>
      <c r="E387">
        <f t="shared" si="6"/>
        <v>1.3888888888888888</v>
      </c>
      <c r="F387">
        <f>IF((E387-'user input'!$C$2)&lt;0,0,E387-'user input'!$C$2)</f>
        <v>0</v>
      </c>
      <c r="G387">
        <f>IF(B387&lt;'user input'!$C$5,0,(F387+G386))</f>
        <v>0</v>
      </c>
      <c r="H387">
        <f>G387/'user input'!$C$4</f>
        <v>0</v>
      </c>
    </row>
    <row r="388" spans="1:8" x14ac:dyDescent="0.2">
      <c r="A388" s="1">
        <v>40564</v>
      </c>
      <c r="B388">
        <v>21</v>
      </c>
      <c r="C388" s="6">
        <f>IF('weather data'!C388&gt;'user input'!$C$3,'user input'!$C$3,'weather data'!C388)</f>
        <v>-9.4444444444444446</v>
      </c>
      <c r="D388" s="6">
        <f>IF('weather data'!D388&lt;'user input'!$C$2,'user input'!$C$2,'weather data'!D388)</f>
        <v>10</v>
      </c>
      <c r="E388">
        <f t="shared" si="6"/>
        <v>0.27777777777777768</v>
      </c>
      <c r="F388">
        <f>IF((E388-'user input'!$C$2)&lt;0,0,E388-'user input'!$C$2)</f>
        <v>0</v>
      </c>
      <c r="G388">
        <f>IF(B388&lt;'user input'!$C$5,0,(F388+G387))</f>
        <v>0</v>
      </c>
      <c r="H388">
        <f>G388/'user input'!$C$4</f>
        <v>0</v>
      </c>
    </row>
    <row r="389" spans="1:8" x14ac:dyDescent="0.2">
      <c r="A389" s="1">
        <v>40565</v>
      </c>
      <c r="B389">
        <v>22</v>
      </c>
      <c r="C389" s="6">
        <f>IF('weather data'!C389&gt;'user input'!$C$3,'user input'!$C$3,'weather data'!C389)</f>
        <v>-13.888888888888889</v>
      </c>
      <c r="D389" s="6">
        <f>IF('weather data'!D389&lt;'user input'!$C$2,'user input'!$C$2,'weather data'!D389)</f>
        <v>10</v>
      </c>
      <c r="E389">
        <f t="shared" si="6"/>
        <v>-1.9444444444444446</v>
      </c>
      <c r="F389">
        <f>IF((E389-'user input'!$C$2)&lt;0,0,E389-'user input'!$C$2)</f>
        <v>0</v>
      </c>
      <c r="G389">
        <f>IF(B389&lt;'user input'!$C$5,0,(F389+G388))</f>
        <v>0</v>
      </c>
      <c r="H389">
        <f>G389/'user input'!$C$4</f>
        <v>0</v>
      </c>
    </row>
    <row r="390" spans="1:8" x14ac:dyDescent="0.2">
      <c r="A390" s="1">
        <v>40566</v>
      </c>
      <c r="B390">
        <v>23</v>
      </c>
      <c r="C390" s="6">
        <f>IF('weather data'!C390&gt;'user input'!$C$3,'user input'!$C$3,'weather data'!C390)</f>
        <v>-11.111111111111111</v>
      </c>
      <c r="D390" s="6">
        <f>IF('weather data'!D390&lt;'user input'!$C$2,'user input'!$C$2,'weather data'!D390)</f>
        <v>10</v>
      </c>
      <c r="E390">
        <f t="shared" si="6"/>
        <v>-0.55555555555555536</v>
      </c>
      <c r="F390">
        <f>IF((E390-'user input'!$C$2)&lt;0,0,E390-'user input'!$C$2)</f>
        <v>0</v>
      </c>
      <c r="G390">
        <f>IF(B390&lt;'user input'!$C$5,0,(F390+G389))</f>
        <v>0</v>
      </c>
      <c r="H390">
        <f>G390/'user input'!$C$4</f>
        <v>0</v>
      </c>
    </row>
    <row r="391" spans="1:8" x14ac:dyDescent="0.2">
      <c r="A391" s="1">
        <v>40567</v>
      </c>
      <c r="B391">
        <v>24</v>
      </c>
      <c r="C391" s="6">
        <f>IF('weather data'!C391&gt;'user input'!$C$3,'user input'!$C$3,'weather data'!C391)</f>
        <v>-8.3333333333333339</v>
      </c>
      <c r="D391" s="6">
        <f>IF('weather data'!D391&lt;'user input'!$C$2,'user input'!$C$2,'weather data'!D391)</f>
        <v>10</v>
      </c>
      <c r="E391">
        <f t="shared" si="6"/>
        <v>0.83333333333333304</v>
      </c>
      <c r="F391">
        <f>IF((E391-'user input'!$C$2)&lt;0,0,E391-'user input'!$C$2)</f>
        <v>0</v>
      </c>
      <c r="G391">
        <f>IF(B391&lt;'user input'!$C$5,0,(F391+G390))</f>
        <v>0</v>
      </c>
      <c r="H391">
        <f>G391/'user input'!$C$4</f>
        <v>0</v>
      </c>
    </row>
    <row r="392" spans="1:8" x14ac:dyDescent="0.2">
      <c r="A392" s="1">
        <v>40568</v>
      </c>
      <c r="B392">
        <v>25</v>
      </c>
      <c r="C392" s="6">
        <f>IF('weather data'!C392&gt;'user input'!$C$3,'user input'!$C$3,'weather data'!C392)</f>
        <v>-4.4444444444444446</v>
      </c>
      <c r="D392" s="6">
        <f>IF('weather data'!D392&lt;'user input'!$C$2,'user input'!$C$2,'weather data'!D392)</f>
        <v>10</v>
      </c>
      <c r="E392">
        <f t="shared" si="6"/>
        <v>2.7777777777777777</v>
      </c>
      <c r="F392">
        <f>IF((E392-'user input'!$C$2)&lt;0,0,E392-'user input'!$C$2)</f>
        <v>0</v>
      </c>
      <c r="G392">
        <f>IF(B392&lt;'user input'!$C$5,0,(F392+G391))</f>
        <v>0</v>
      </c>
      <c r="H392">
        <f>G392/'user input'!$C$4</f>
        <v>0</v>
      </c>
    </row>
    <row r="393" spans="1:8" x14ac:dyDescent="0.2">
      <c r="A393" s="1">
        <v>40569</v>
      </c>
      <c r="B393">
        <v>26</v>
      </c>
      <c r="C393" s="6">
        <f>IF('weather data'!C393&gt;'user input'!$C$3,'user input'!$C$3,'weather data'!C393)</f>
        <v>-3.333333333333333</v>
      </c>
      <c r="D393" s="6">
        <f>IF('weather data'!D393&lt;'user input'!$C$2,'user input'!$C$2,'weather data'!D393)</f>
        <v>10</v>
      </c>
      <c r="E393">
        <f t="shared" si="6"/>
        <v>3.3333333333333335</v>
      </c>
      <c r="F393">
        <f>IF((E393-'user input'!$C$2)&lt;0,0,E393-'user input'!$C$2)</f>
        <v>0</v>
      </c>
      <c r="G393">
        <f>IF(B393&lt;'user input'!$C$5,0,(F393+G392))</f>
        <v>0</v>
      </c>
      <c r="H393">
        <f>G393/'user input'!$C$4</f>
        <v>0</v>
      </c>
    </row>
    <row r="394" spans="1:8" x14ac:dyDescent="0.2">
      <c r="A394" s="1">
        <v>40570</v>
      </c>
      <c r="B394">
        <v>27</v>
      </c>
      <c r="C394" s="6">
        <f>IF('weather data'!C394&gt;'user input'!$C$3,'user input'!$C$3,'weather data'!C394)</f>
        <v>-6.1111111111111116</v>
      </c>
      <c r="D394" s="6">
        <f>IF('weather data'!D394&lt;'user input'!$C$2,'user input'!$C$2,'weather data'!D394)</f>
        <v>10</v>
      </c>
      <c r="E394">
        <f t="shared" si="6"/>
        <v>1.9444444444444442</v>
      </c>
      <c r="F394">
        <f>IF((E394-'user input'!$C$2)&lt;0,0,E394-'user input'!$C$2)</f>
        <v>0</v>
      </c>
      <c r="G394">
        <f>IF(B394&lt;'user input'!$C$5,0,(F394+G393))</f>
        <v>0</v>
      </c>
      <c r="H394">
        <f>G394/'user input'!$C$4</f>
        <v>0</v>
      </c>
    </row>
    <row r="395" spans="1:8" x14ac:dyDescent="0.2">
      <c r="A395" s="1">
        <v>40571</v>
      </c>
      <c r="B395">
        <v>28</v>
      </c>
      <c r="C395" s="6">
        <f>IF('weather data'!C395&gt;'user input'!$C$3,'user input'!$C$3,'weather data'!C395)</f>
        <v>-3.333333333333333</v>
      </c>
      <c r="D395" s="6">
        <f>IF('weather data'!D395&lt;'user input'!$C$2,'user input'!$C$2,'weather data'!D395)</f>
        <v>10</v>
      </c>
      <c r="E395">
        <f t="shared" si="6"/>
        <v>3.3333333333333335</v>
      </c>
      <c r="F395">
        <f>IF((E395-'user input'!$C$2)&lt;0,0,E395-'user input'!$C$2)</f>
        <v>0</v>
      </c>
      <c r="G395">
        <f>IF(B395&lt;'user input'!$C$5,0,(F395+G394))</f>
        <v>0</v>
      </c>
      <c r="H395">
        <f>G395/'user input'!$C$4</f>
        <v>0</v>
      </c>
    </row>
    <row r="396" spans="1:8" x14ac:dyDescent="0.2">
      <c r="A396" s="1">
        <v>40572</v>
      </c>
      <c r="B396">
        <v>29</v>
      </c>
      <c r="C396" s="6">
        <f>IF('weather data'!C396&gt;'user input'!$C$3,'user input'!$C$3,'weather data'!C396)</f>
        <v>-0.55555555555555558</v>
      </c>
      <c r="D396" s="6">
        <f>IF('weather data'!D396&lt;'user input'!$C$2,'user input'!$C$2,'weather data'!D396)</f>
        <v>10</v>
      </c>
      <c r="E396">
        <f t="shared" si="6"/>
        <v>4.7222222222222223</v>
      </c>
      <c r="F396">
        <f>IF((E396-'user input'!$C$2)&lt;0,0,E396-'user input'!$C$2)</f>
        <v>0</v>
      </c>
      <c r="G396">
        <f>IF(B396&lt;'user input'!$C$5,0,(F396+G395))</f>
        <v>0</v>
      </c>
      <c r="H396">
        <f>G396/'user input'!$C$4</f>
        <v>0</v>
      </c>
    </row>
    <row r="397" spans="1:8" x14ac:dyDescent="0.2">
      <c r="A397" s="1">
        <v>40573</v>
      </c>
      <c r="B397">
        <v>30</v>
      </c>
      <c r="C397" s="6">
        <f>IF('weather data'!C397&gt;'user input'!$C$3,'user input'!$C$3,'weather data'!C397)</f>
        <v>1.1111111111111112</v>
      </c>
      <c r="D397" s="6">
        <f>IF('weather data'!D397&lt;'user input'!$C$2,'user input'!$C$2,'weather data'!D397)</f>
        <v>10</v>
      </c>
      <c r="E397">
        <f t="shared" si="6"/>
        <v>5.5555555555555554</v>
      </c>
      <c r="F397">
        <f>IF((E397-'user input'!$C$2)&lt;0,0,E397-'user input'!$C$2)</f>
        <v>0</v>
      </c>
      <c r="G397">
        <f>IF(B397&lt;'user input'!$C$5,0,(F397+G396))</f>
        <v>0</v>
      </c>
      <c r="H397">
        <f>G397/'user input'!$C$4</f>
        <v>0</v>
      </c>
    </row>
    <row r="398" spans="1:8" x14ac:dyDescent="0.2">
      <c r="A398" s="1">
        <v>40574</v>
      </c>
      <c r="B398">
        <v>31</v>
      </c>
      <c r="C398" s="6">
        <f>IF('weather data'!C398&gt;'user input'!$C$3,'user input'!$C$3,'weather data'!C398)</f>
        <v>-2.7777777777777777</v>
      </c>
      <c r="D398" s="6">
        <f>IF('weather data'!D398&lt;'user input'!$C$2,'user input'!$C$2,'weather data'!D398)</f>
        <v>10</v>
      </c>
      <c r="E398">
        <f t="shared" si="6"/>
        <v>3.6111111111111112</v>
      </c>
      <c r="F398">
        <f>IF((E398-'user input'!$C$2)&lt;0,0,E398-'user input'!$C$2)</f>
        <v>0</v>
      </c>
      <c r="G398">
        <f>IF(B398&lt;'user input'!$C$5,0,(F398+G397))</f>
        <v>0</v>
      </c>
      <c r="H398">
        <f>G398/'user input'!$C$4</f>
        <v>0</v>
      </c>
    </row>
    <row r="399" spans="1:8" x14ac:dyDescent="0.2">
      <c r="A399" s="1">
        <v>40575</v>
      </c>
      <c r="B399">
        <v>32</v>
      </c>
      <c r="C399" s="6">
        <f>IF('weather data'!C399&gt;'user input'!$C$3,'user input'!$C$3,'weather data'!C399)</f>
        <v>-7.2222222222222223</v>
      </c>
      <c r="D399" s="6">
        <f>IF('weather data'!D399&lt;'user input'!$C$2,'user input'!$C$2,'weather data'!D399)</f>
        <v>10</v>
      </c>
      <c r="E399">
        <f t="shared" si="6"/>
        <v>1.3888888888888888</v>
      </c>
      <c r="F399">
        <f>IF((E399-'user input'!$C$2)&lt;0,0,E399-'user input'!$C$2)</f>
        <v>0</v>
      </c>
      <c r="G399">
        <f>IF(B399&lt;'user input'!$C$5,0,(F399+G398))</f>
        <v>0</v>
      </c>
      <c r="H399">
        <f>G399/'user input'!$C$4</f>
        <v>0</v>
      </c>
    </row>
    <row r="400" spans="1:8" x14ac:dyDescent="0.2">
      <c r="A400" s="1">
        <v>40576</v>
      </c>
      <c r="B400">
        <v>33</v>
      </c>
      <c r="C400" s="6">
        <f>IF('weather data'!C400&gt;'user input'!$C$3,'user input'!$C$3,'weather data'!C400)</f>
        <v>-7.2222222222222223</v>
      </c>
      <c r="D400" s="6">
        <f>IF('weather data'!D400&lt;'user input'!$C$2,'user input'!$C$2,'weather data'!D400)</f>
        <v>10</v>
      </c>
      <c r="E400">
        <f t="shared" si="6"/>
        <v>1.3888888888888888</v>
      </c>
      <c r="F400">
        <f>IF((E400-'user input'!$C$2)&lt;0,0,E400-'user input'!$C$2)</f>
        <v>0</v>
      </c>
      <c r="G400">
        <f>IF(B400&lt;'user input'!$C$5,0,(F400+G399))</f>
        <v>0</v>
      </c>
      <c r="H400">
        <f>G400/'user input'!$C$4</f>
        <v>0</v>
      </c>
    </row>
    <row r="401" spans="1:8" x14ac:dyDescent="0.2">
      <c r="A401" s="1">
        <v>40577</v>
      </c>
      <c r="B401">
        <v>34</v>
      </c>
      <c r="C401" s="6">
        <f>IF('weather data'!C401&gt;'user input'!$C$3,'user input'!$C$3,'weather data'!C401)</f>
        <v>-8.3333333333333339</v>
      </c>
      <c r="D401" s="6">
        <f>IF('weather data'!D401&lt;'user input'!$C$2,'user input'!$C$2,'weather data'!D401)</f>
        <v>10</v>
      </c>
      <c r="E401">
        <f t="shared" si="6"/>
        <v>0.83333333333333304</v>
      </c>
      <c r="F401">
        <f>IF((E401-'user input'!$C$2)&lt;0,0,E401-'user input'!$C$2)</f>
        <v>0</v>
      </c>
      <c r="G401">
        <f>IF(B401&lt;'user input'!$C$5,0,(F401+G400))</f>
        <v>0</v>
      </c>
      <c r="H401">
        <f>G401/'user input'!$C$4</f>
        <v>0</v>
      </c>
    </row>
    <row r="402" spans="1:8" x14ac:dyDescent="0.2">
      <c r="A402" s="1">
        <v>40578</v>
      </c>
      <c r="B402">
        <v>35</v>
      </c>
      <c r="C402" s="6">
        <f>IF('weather data'!C402&gt;'user input'!$C$3,'user input'!$C$3,'weather data'!C402)</f>
        <v>-7.2222222222222223</v>
      </c>
      <c r="D402" s="6">
        <f>IF('weather data'!D402&lt;'user input'!$C$2,'user input'!$C$2,'weather data'!D402)</f>
        <v>10</v>
      </c>
      <c r="E402">
        <f t="shared" ref="E402:E465" si="7">(C402+D402)/2</f>
        <v>1.3888888888888888</v>
      </c>
      <c r="F402">
        <f>IF((E402-'user input'!$C$2)&lt;0,0,E402-'user input'!$C$2)</f>
        <v>0</v>
      </c>
      <c r="G402">
        <f>IF(B402&lt;'user input'!$C$5,0,(F402+G401))</f>
        <v>0</v>
      </c>
      <c r="H402">
        <f>G402/'user input'!$C$4</f>
        <v>0</v>
      </c>
    </row>
    <row r="403" spans="1:8" x14ac:dyDescent="0.2">
      <c r="A403" s="1">
        <v>40579</v>
      </c>
      <c r="B403">
        <v>36</v>
      </c>
      <c r="C403" s="6">
        <f>IF('weather data'!C403&gt;'user input'!$C$3,'user input'!$C$3,'weather data'!C403)</f>
        <v>-3.333333333333333</v>
      </c>
      <c r="D403" s="6">
        <f>IF('weather data'!D403&lt;'user input'!$C$2,'user input'!$C$2,'weather data'!D403)</f>
        <v>10</v>
      </c>
      <c r="E403">
        <f t="shared" si="7"/>
        <v>3.3333333333333335</v>
      </c>
      <c r="F403">
        <f>IF((E403-'user input'!$C$2)&lt;0,0,E403-'user input'!$C$2)</f>
        <v>0</v>
      </c>
      <c r="G403">
        <f>IF(B403&lt;'user input'!$C$5,0,(F403+G402))</f>
        <v>0</v>
      </c>
      <c r="H403">
        <f>G403/'user input'!$C$4</f>
        <v>0</v>
      </c>
    </row>
    <row r="404" spans="1:8" x14ac:dyDescent="0.2">
      <c r="A404" s="1">
        <v>40580</v>
      </c>
      <c r="B404">
        <v>37</v>
      </c>
      <c r="C404" s="6">
        <f>IF('weather data'!C404&gt;'user input'!$C$3,'user input'!$C$3,'weather data'!C404)</f>
        <v>-1.6666666666666665</v>
      </c>
      <c r="D404" s="6">
        <f>IF('weather data'!D404&lt;'user input'!$C$2,'user input'!$C$2,'weather data'!D404)</f>
        <v>10</v>
      </c>
      <c r="E404">
        <f t="shared" si="7"/>
        <v>4.166666666666667</v>
      </c>
      <c r="F404">
        <f>IF((E404-'user input'!$C$2)&lt;0,0,E404-'user input'!$C$2)</f>
        <v>0</v>
      </c>
      <c r="G404">
        <f>IF(B404&lt;'user input'!$C$5,0,(F404+G403))</f>
        <v>0</v>
      </c>
      <c r="H404">
        <f>G404/'user input'!$C$4</f>
        <v>0</v>
      </c>
    </row>
    <row r="405" spans="1:8" x14ac:dyDescent="0.2">
      <c r="A405" s="1">
        <v>40581</v>
      </c>
      <c r="B405">
        <v>38</v>
      </c>
      <c r="C405" s="6">
        <f>IF('weather data'!C405&gt;'user input'!$C$3,'user input'!$C$3,'weather data'!C405)</f>
        <v>-1.1111111111111112</v>
      </c>
      <c r="D405" s="6">
        <f>IF('weather data'!D405&lt;'user input'!$C$2,'user input'!$C$2,'weather data'!D405)</f>
        <v>10</v>
      </c>
      <c r="E405">
        <f t="shared" si="7"/>
        <v>4.4444444444444446</v>
      </c>
      <c r="F405">
        <f>IF((E405-'user input'!$C$2)&lt;0,0,E405-'user input'!$C$2)</f>
        <v>0</v>
      </c>
      <c r="G405">
        <f>IF(B405&lt;'user input'!$C$5,0,(F405+G404))</f>
        <v>0</v>
      </c>
      <c r="H405">
        <f>G405/'user input'!$C$4</f>
        <v>0</v>
      </c>
    </row>
    <row r="406" spans="1:8" x14ac:dyDescent="0.2">
      <c r="A406" s="1">
        <v>40582</v>
      </c>
      <c r="B406">
        <v>39</v>
      </c>
      <c r="C406" s="6">
        <f>IF('weather data'!C406&gt;'user input'!$C$3,'user input'!$C$3,'weather data'!C406)</f>
        <v>-3.333333333333333</v>
      </c>
      <c r="D406" s="6">
        <f>IF('weather data'!D406&lt;'user input'!$C$2,'user input'!$C$2,'weather data'!D406)</f>
        <v>10</v>
      </c>
      <c r="E406">
        <f t="shared" si="7"/>
        <v>3.3333333333333335</v>
      </c>
      <c r="F406">
        <f>IF((E406-'user input'!$C$2)&lt;0,0,E406-'user input'!$C$2)</f>
        <v>0</v>
      </c>
      <c r="G406">
        <f>IF(B406&lt;'user input'!$C$5,0,(F406+G405))</f>
        <v>0</v>
      </c>
      <c r="H406">
        <f>G406/'user input'!$C$4</f>
        <v>0</v>
      </c>
    </row>
    <row r="407" spans="1:8" x14ac:dyDescent="0.2">
      <c r="A407" s="1">
        <v>40583</v>
      </c>
      <c r="B407">
        <v>40</v>
      </c>
      <c r="C407" s="6">
        <f>IF('weather data'!C407&gt;'user input'!$C$3,'user input'!$C$3,'weather data'!C407)</f>
        <v>-12.222222222222223</v>
      </c>
      <c r="D407" s="6">
        <f>IF('weather data'!D407&lt;'user input'!$C$2,'user input'!$C$2,'weather data'!D407)</f>
        <v>10</v>
      </c>
      <c r="E407">
        <f t="shared" si="7"/>
        <v>-1.1111111111111116</v>
      </c>
      <c r="F407">
        <f>IF((E407-'user input'!$C$2)&lt;0,0,E407-'user input'!$C$2)</f>
        <v>0</v>
      </c>
      <c r="G407">
        <f>IF(B407&lt;'user input'!$C$5,0,(F407+G406))</f>
        <v>0</v>
      </c>
      <c r="H407">
        <f>G407/'user input'!$C$4</f>
        <v>0</v>
      </c>
    </row>
    <row r="408" spans="1:8" x14ac:dyDescent="0.2">
      <c r="A408" s="1">
        <v>40584</v>
      </c>
      <c r="B408">
        <v>41</v>
      </c>
      <c r="C408" s="6">
        <f>IF('weather data'!C408&gt;'user input'!$C$3,'user input'!$C$3,'weather data'!C408)</f>
        <v>-11.666666666666668</v>
      </c>
      <c r="D408" s="6">
        <f>IF('weather data'!D408&lt;'user input'!$C$2,'user input'!$C$2,'weather data'!D408)</f>
        <v>10</v>
      </c>
      <c r="E408">
        <f t="shared" si="7"/>
        <v>-0.83333333333333393</v>
      </c>
      <c r="F408">
        <f>IF((E408-'user input'!$C$2)&lt;0,0,E408-'user input'!$C$2)</f>
        <v>0</v>
      </c>
      <c r="G408">
        <f>IF(B408&lt;'user input'!$C$5,0,(F408+G407))</f>
        <v>0</v>
      </c>
      <c r="H408">
        <f>G408/'user input'!$C$4</f>
        <v>0</v>
      </c>
    </row>
    <row r="409" spans="1:8" x14ac:dyDescent="0.2">
      <c r="A409" s="1">
        <v>40585</v>
      </c>
      <c r="B409">
        <v>42</v>
      </c>
      <c r="C409" s="6">
        <f>IF('weather data'!C409&gt;'user input'!$C$3,'user input'!$C$3,'weather data'!C409)</f>
        <v>-11.111111111111111</v>
      </c>
      <c r="D409" s="6">
        <f>IF('weather data'!D409&lt;'user input'!$C$2,'user input'!$C$2,'weather data'!D409)</f>
        <v>10</v>
      </c>
      <c r="E409">
        <f t="shared" si="7"/>
        <v>-0.55555555555555536</v>
      </c>
      <c r="F409">
        <f>IF((E409-'user input'!$C$2)&lt;0,0,E409-'user input'!$C$2)</f>
        <v>0</v>
      </c>
      <c r="G409">
        <f>IF(B409&lt;'user input'!$C$5,0,(F409+G408))</f>
        <v>0</v>
      </c>
      <c r="H409">
        <f>G409/'user input'!$C$4</f>
        <v>0</v>
      </c>
    </row>
    <row r="410" spans="1:8" x14ac:dyDescent="0.2">
      <c r="A410" s="1">
        <v>40586</v>
      </c>
      <c r="B410">
        <v>43</v>
      </c>
      <c r="C410" s="6">
        <f>IF('weather data'!C410&gt;'user input'!$C$3,'user input'!$C$3,'weather data'!C410)</f>
        <v>-1.6666666666666665</v>
      </c>
      <c r="D410" s="6">
        <f>IF('weather data'!D410&lt;'user input'!$C$2,'user input'!$C$2,'weather data'!D410)</f>
        <v>10</v>
      </c>
      <c r="E410">
        <f t="shared" si="7"/>
        <v>4.166666666666667</v>
      </c>
      <c r="F410">
        <f>IF((E410-'user input'!$C$2)&lt;0,0,E410-'user input'!$C$2)</f>
        <v>0</v>
      </c>
      <c r="G410">
        <f>IF(B410&lt;'user input'!$C$5,0,(F410+G409))</f>
        <v>0</v>
      </c>
      <c r="H410">
        <f>G410/'user input'!$C$4</f>
        <v>0</v>
      </c>
    </row>
    <row r="411" spans="1:8" x14ac:dyDescent="0.2">
      <c r="A411" s="1">
        <v>40587</v>
      </c>
      <c r="B411">
        <v>44</v>
      </c>
      <c r="C411" s="6">
        <f>IF('weather data'!C411&gt;'user input'!$C$3,'user input'!$C$3,'weather data'!C411)</f>
        <v>1.6666666666666665</v>
      </c>
      <c r="D411" s="6">
        <f>IF('weather data'!D411&lt;'user input'!$C$2,'user input'!$C$2,'weather data'!D411)</f>
        <v>10</v>
      </c>
      <c r="E411">
        <f t="shared" si="7"/>
        <v>5.833333333333333</v>
      </c>
      <c r="F411">
        <f>IF((E411-'user input'!$C$2)&lt;0,0,E411-'user input'!$C$2)</f>
        <v>0</v>
      </c>
      <c r="G411">
        <f>IF(B411&lt;'user input'!$C$5,0,(F411+G410))</f>
        <v>0</v>
      </c>
      <c r="H411">
        <f>G411/'user input'!$C$4</f>
        <v>0</v>
      </c>
    </row>
    <row r="412" spans="1:8" x14ac:dyDescent="0.2">
      <c r="A412" s="1">
        <v>40588</v>
      </c>
      <c r="B412">
        <v>45</v>
      </c>
      <c r="C412" s="6">
        <f>IF('weather data'!C412&gt;'user input'!$C$3,'user input'!$C$3,'weather data'!C412)</f>
        <v>8.3333333333333339</v>
      </c>
      <c r="D412" s="6">
        <f>IF('weather data'!D412&lt;'user input'!$C$2,'user input'!$C$2,'weather data'!D412)</f>
        <v>10</v>
      </c>
      <c r="E412">
        <f t="shared" si="7"/>
        <v>9.1666666666666679</v>
      </c>
      <c r="F412">
        <f>IF((E412-'user input'!$C$2)&lt;0,0,E412-'user input'!$C$2)</f>
        <v>0</v>
      </c>
      <c r="G412">
        <f>IF(B412&lt;'user input'!$C$5,0,(F412+G411))</f>
        <v>0</v>
      </c>
      <c r="H412">
        <f>G412/'user input'!$C$4</f>
        <v>0</v>
      </c>
    </row>
    <row r="413" spans="1:8" x14ac:dyDescent="0.2">
      <c r="A413" s="1">
        <v>40589</v>
      </c>
      <c r="B413">
        <v>46</v>
      </c>
      <c r="C413" s="6">
        <f>IF('weather data'!C413&gt;'user input'!$C$3,'user input'!$C$3,'weather data'!C413)</f>
        <v>5.5555555555555554</v>
      </c>
      <c r="D413" s="6">
        <f>IF('weather data'!D413&lt;'user input'!$C$2,'user input'!$C$2,'weather data'!D413)</f>
        <v>10</v>
      </c>
      <c r="E413">
        <f t="shared" si="7"/>
        <v>7.7777777777777777</v>
      </c>
      <c r="F413">
        <f>IF((E413-'user input'!$C$2)&lt;0,0,E413-'user input'!$C$2)</f>
        <v>0</v>
      </c>
      <c r="G413">
        <f>IF(B413&lt;'user input'!$C$5,0,(F413+G412))</f>
        <v>0</v>
      </c>
      <c r="H413">
        <f>G413/'user input'!$C$4</f>
        <v>0</v>
      </c>
    </row>
    <row r="414" spans="1:8" x14ac:dyDescent="0.2">
      <c r="A414" s="1">
        <v>40590</v>
      </c>
      <c r="B414">
        <v>47</v>
      </c>
      <c r="C414" s="6">
        <f>IF('weather data'!C414&gt;'user input'!$C$3,'user input'!$C$3,'weather data'!C414)</f>
        <v>5</v>
      </c>
      <c r="D414" s="6">
        <f>IF('weather data'!D414&lt;'user input'!$C$2,'user input'!$C$2,'weather data'!D414)</f>
        <v>10</v>
      </c>
      <c r="E414">
        <f t="shared" si="7"/>
        <v>7.5</v>
      </c>
      <c r="F414">
        <f>IF((E414-'user input'!$C$2)&lt;0,0,E414-'user input'!$C$2)</f>
        <v>0</v>
      </c>
      <c r="G414">
        <f>IF(B414&lt;'user input'!$C$5,0,(F414+G413))</f>
        <v>0</v>
      </c>
      <c r="H414">
        <f>G414/'user input'!$C$4</f>
        <v>0</v>
      </c>
    </row>
    <row r="415" spans="1:8" x14ac:dyDescent="0.2">
      <c r="A415" s="1">
        <v>40591</v>
      </c>
      <c r="B415">
        <v>48</v>
      </c>
      <c r="C415" s="6">
        <f>IF('weather data'!C415&gt;'user input'!$C$3,'user input'!$C$3,'weather data'!C415)</f>
        <v>8.8888888888888893</v>
      </c>
      <c r="D415" s="6">
        <f>IF('weather data'!D415&lt;'user input'!$C$2,'user input'!$C$2,'weather data'!D415)</f>
        <v>10</v>
      </c>
      <c r="E415">
        <f t="shared" si="7"/>
        <v>9.4444444444444446</v>
      </c>
      <c r="F415">
        <f>IF((E415-'user input'!$C$2)&lt;0,0,E415-'user input'!$C$2)</f>
        <v>0</v>
      </c>
      <c r="G415">
        <f>IF(B415&lt;'user input'!$C$5,0,(F415+G414))</f>
        <v>0</v>
      </c>
      <c r="H415">
        <f>G415/'user input'!$C$4</f>
        <v>0</v>
      </c>
    </row>
    <row r="416" spans="1:8" x14ac:dyDescent="0.2">
      <c r="A416" s="1">
        <v>40592</v>
      </c>
      <c r="B416">
        <v>49</v>
      </c>
      <c r="C416" s="6">
        <f>IF('weather data'!C416&gt;'user input'!$C$3,'user input'!$C$3,'weather data'!C416)</f>
        <v>10.555555555555555</v>
      </c>
      <c r="D416" s="6">
        <f>IF('weather data'!D416&lt;'user input'!$C$2,'user input'!$C$2,'weather data'!D416)</f>
        <v>10</v>
      </c>
      <c r="E416">
        <f t="shared" si="7"/>
        <v>10.277777777777779</v>
      </c>
      <c r="F416">
        <f>IF((E416-'user input'!$C$2)&lt;0,0,E416-'user input'!$C$2)</f>
        <v>0.27777777777777857</v>
      </c>
      <c r="G416">
        <f>IF(B416&lt;'user input'!$C$5,0,(F416+G415))</f>
        <v>0</v>
      </c>
      <c r="H416">
        <f>G416/'user input'!$C$4</f>
        <v>0</v>
      </c>
    </row>
    <row r="417" spans="1:8" x14ac:dyDescent="0.2">
      <c r="A417" s="1">
        <v>40593</v>
      </c>
      <c r="B417">
        <v>50</v>
      </c>
      <c r="C417" s="6">
        <f>IF('weather data'!C417&gt;'user input'!$C$3,'user input'!$C$3,'weather data'!C417)</f>
        <v>5</v>
      </c>
      <c r="D417" s="6">
        <f>IF('weather data'!D417&lt;'user input'!$C$2,'user input'!$C$2,'weather data'!D417)</f>
        <v>10</v>
      </c>
      <c r="E417">
        <f t="shared" si="7"/>
        <v>7.5</v>
      </c>
      <c r="F417">
        <f>IF((E417-'user input'!$C$2)&lt;0,0,E417-'user input'!$C$2)</f>
        <v>0</v>
      </c>
      <c r="G417">
        <f>IF(B417&lt;'user input'!$C$5,0,(F417+G416))</f>
        <v>0</v>
      </c>
      <c r="H417">
        <f>G417/'user input'!$C$4</f>
        <v>0</v>
      </c>
    </row>
    <row r="418" spans="1:8" x14ac:dyDescent="0.2">
      <c r="A418" s="1">
        <v>40594</v>
      </c>
      <c r="B418">
        <v>51</v>
      </c>
      <c r="C418" s="6">
        <f>IF('weather data'!C418&gt;'user input'!$C$3,'user input'!$C$3,'weather data'!C418)</f>
        <v>1.1111111111111112</v>
      </c>
      <c r="D418" s="6">
        <f>IF('weather data'!D418&lt;'user input'!$C$2,'user input'!$C$2,'weather data'!D418)</f>
        <v>10</v>
      </c>
      <c r="E418">
        <f t="shared" si="7"/>
        <v>5.5555555555555554</v>
      </c>
      <c r="F418">
        <f>IF((E418-'user input'!$C$2)&lt;0,0,E418-'user input'!$C$2)</f>
        <v>0</v>
      </c>
      <c r="G418">
        <f>IF(B418&lt;'user input'!$C$5,0,(F418+G417))</f>
        <v>0</v>
      </c>
      <c r="H418">
        <f>G418/'user input'!$C$4</f>
        <v>0</v>
      </c>
    </row>
    <row r="419" spans="1:8" x14ac:dyDescent="0.2">
      <c r="A419" s="1">
        <v>40595</v>
      </c>
      <c r="B419">
        <v>52</v>
      </c>
      <c r="C419" s="6">
        <f>IF('weather data'!C419&gt;'user input'!$C$3,'user input'!$C$3,'weather data'!C419)</f>
        <v>0.55555555555555558</v>
      </c>
      <c r="D419" s="6">
        <f>IF('weather data'!D419&lt;'user input'!$C$2,'user input'!$C$2,'weather data'!D419)</f>
        <v>10</v>
      </c>
      <c r="E419">
        <f t="shared" si="7"/>
        <v>5.2777777777777777</v>
      </c>
      <c r="F419">
        <f>IF((E419-'user input'!$C$2)&lt;0,0,E419-'user input'!$C$2)</f>
        <v>0</v>
      </c>
      <c r="G419">
        <f>IF(B419&lt;'user input'!$C$5,0,(F419+G418))</f>
        <v>0</v>
      </c>
      <c r="H419">
        <f>G419/'user input'!$C$4</f>
        <v>0</v>
      </c>
    </row>
    <row r="420" spans="1:8" x14ac:dyDescent="0.2">
      <c r="A420" s="1">
        <v>40596</v>
      </c>
      <c r="B420">
        <v>53</v>
      </c>
      <c r="C420" s="6">
        <f>IF('weather data'!C420&gt;'user input'!$C$3,'user input'!$C$3,'weather data'!C420)</f>
        <v>-2.7777777777777777</v>
      </c>
      <c r="D420" s="6">
        <f>IF('weather data'!D420&lt;'user input'!$C$2,'user input'!$C$2,'weather data'!D420)</f>
        <v>10</v>
      </c>
      <c r="E420">
        <f t="shared" si="7"/>
        <v>3.6111111111111112</v>
      </c>
      <c r="F420">
        <f>IF((E420-'user input'!$C$2)&lt;0,0,E420-'user input'!$C$2)</f>
        <v>0</v>
      </c>
      <c r="G420">
        <f>IF(B420&lt;'user input'!$C$5,0,(F420+G419))</f>
        <v>0</v>
      </c>
      <c r="H420">
        <f>G420/'user input'!$C$4</f>
        <v>0</v>
      </c>
    </row>
    <row r="421" spans="1:8" x14ac:dyDescent="0.2">
      <c r="A421" s="1">
        <v>40597</v>
      </c>
      <c r="B421">
        <v>54</v>
      </c>
      <c r="C421" s="6">
        <f>IF('weather data'!C421&gt;'user input'!$C$3,'user input'!$C$3,'weather data'!C421)</f>
        <v>-2.2222222222222223</v>
      </c>
      <c r="D421" s="6">
        <f>IF('weather data'!D421&lt;'user input'!$C$2,'user input'!$C$2,'weather data'!D421)</f>
        <v>10</v>
      </c>
      <c r="E421">
        <f t="shared" si="7"/>
        <v>3.8888888888888888</v>
      </c>
      <c r="F421">
        <f>IF((E421-'user input'!$C$2)&lt;0,0,E421-'user input'!$C$2)</f>
        <v>0</v>
      </c>
      <c r="G421">
        <f>IF(B421&lt;'user input'!$C$5,0,(F421+G420))</f>
        <v>0</v>
      </c>
      <c r="H421">
        <f>G421/'user input'!$C$4</f>
        <v>0</v>
      </c>
    </row>
    <row r="422" spans="1:8" x14ac:dyDescent="0.2">
      <c r="A422" s="1">
        <v>40598</v>
      </c>
      <c r="B422">
        <v>55</v>
      </c>
      <c r="C422" s="6">
        <f>IF('weather data'!C422&gt;'user input'!$C$3,'user input'!$C$3,'weather data'!C422)</f>
        <v>-0.55555555555555558</v>
      </c>
      <c r="D422" s="6">
        <f>IF('weather data'!D422&lt;'user input'!$C$2,'user input'!$C$2,'weather data'!D422)</f>
        <v>10</v>
      </c>
      <c r="E422">
        <f t="shared" si="7"/>
        <v>4.7222222222222223</v>
      </c>
      <c r="F422">
        <f>IF((E422-'user input'!$C$2)&lt;0,0,E422-'user input'!$C$2)</f>
        <v>0</v>
      </c>
      <c r="G422">
        <f>IF(B422&lt;'user input'!$C$5,0,(F422+G421))</f>
        <v>0</v>
      </c>
      <c r="H422">
        <f>G422/'user input'!$C$4</f>
        <v>0</v>
      </c>
    </row>
    <row r="423" spans="1:8" x14ac:dyDescent="0.2">
      <c r="A423" s="1">
        <v>40599</v>
      </c>
      <c r="B423">
        <v>56</v>
      </c>
      <c r="C423" s="6">
        <f>IF('weather data'!C423&gt;'user input'!$C$3,'user input'!$C$3,'weather data'!C423)</f>
        <v>0.55555555555555558</v>
      </c>
      <c r="D423" s="6">
        <f>IF('weather data'!D423&lt;'user input'!$C$2,'user input'!$C$2,'weather data'!D423)</f>
        <v>10</v>
      </c>
      <c r="E423">
        <f t="shared" si="7"/>
        <v>5.2777777777777777</v>
      </c>
      <c r="F423">
        <f>IF((E423-'user input'!$C$2)&lt;0,0,E423-'user input'!$C$2)</f>
        <v>0</v>
      </c>
      <c r="G423">
        <f>IF(B423&lt;'user input'!$C$5,0,(F423+G422))</f>
        <v>0</v>
      </c>
      <c r="H423">
        <f>G423/'user input'!$C$4</f>
        <v>0</v>
      </c>
    </row>
    <row r="424" spans="1:8" x14ac:dyDescent="0.2">
      <c r="A424" s="1">
        <v>40600</v>
      </c>
      <c r="B424">
        <v>57</v>
      </c>
      <c r="C424" s="6">
        <f>IF('weather data'!C424&gt;'user input'!$C$3,'user input'!$C$3,'weather data'!C424)</f>
        <v>-2.7777777777777777</v>
      </c>
      <c r="D424" s="6">
        <f>IF('weather data'!D424&lt;'user input'!$C$2,'user input'!$C$2,'weather data'!D424)</f>
        <v>10</v>
      </c>
      <c r="E424">
        <f t="shared" si="7"/>
        <v>3.6111111111111112</v>
      </c>
      <c r="F424">
        <f>IF((E424-'user input'!$C$2)&lt;0,0,E424-'user input'!$C$2)</f>
        <v>0</v>
      </c>
      <c r="G424">
        <f>IF(B424&lt;'user input'!$C$5,0,(F424+G423))</f>
        <v>0</v>
      </c>
      <c r="H424">
        <f>G424/'user input'!$C$4</f>
        <v>0</v>
      </c>
    </row>
    <row r="425" spans="1:8" x14ac:dyDescent="0.2">
      <c r="A425" s="1">
        <v>40601</v>
      </c>
      <c r="B425">
        <v>58</v>
      </c>
      <c r="C425" s="6">
        <f>IF('weather data'!C425&gt;'user input'!$C$3,'user input'!$C$3,'weather data'!C425)</f>
        <v>-8.8888888888888893</v>
      </c>
      <c r="D425" s="6">
        <f>IF('weather data'!D425&lt;'user input'!$C$2,'user input'!$C$2,'weather data'!D425)</f>
        <v>10</v>
      </c>
      <c r="E425">
        <f t="shared" si="7"/>
        <v>0.55555555555555536</v>
      </c>
      <c r="F425">
        <f>IF((E425-'user input'!$C$2)&lt;0,0,E425-'user input'!$C$2)</f>
        <v>0</v>
      </c>
      <c r="G425">
        <f>IF(B425&lt;'user input'!$C$5,0,(F425+G424))</f>
        <v>0</v>
      </c>
      <c r="H425">
        <f>G425/'user input'!$C$4</f>
        <v>0</v>
      </c>
    </row>
    <row r="426" spans="1:8" x14ac:dyDescent="0.2">
      <c r="A426" s="1">
        <v>40602</v>
      </c>
      <c r="B426">
        <v>59</v>
      </c>
      <c r="C426" s="6">
        <f>IF('weather data'!C426&gt;'user input'!$C$3,'user input'!$C$3,'weather data'!C426)</f>
        <v>-1.6666666666666665</v>
      </c>
      <c r="D426" s="6">
        <f>IF('weather data'!D426&lt;'user input'!$C$2,'user input'!$C$2,'weather data'!D426)</f>
        <v>10</v>
      </c>
      <c r="E426">
        <f t="shared" si="7"/>
        <v>4.166666666666667</v>
      </c>
      <c r="F426">
        <f>IF((E426-'user input'!$C$2)&lt;0,0,E426-'user input'!$C$2)</f>
        <v>0</v>
      </c>
      <c r="G426">
        <f>IF(B426&lt;'user input'!$C$5,0,(F426+G425))</f>
        <v>0</v>
      </c>
      <c r="H426">
        <f>G426/'user input'!$C$4</f>
        <v>0</v>
      </c>
    </row>
    <row r="427" spans="1:8" x14ac:dyDescent="0.2">
      <c r="A427" s="1">
        <v>40603</v>
      </c>
      <c r="B427">
        <v>60</v>
      </c>
      <c r="C427" s="6">
        <f>IF('weather data'!C427&gt;'user input'!$C$3,'user input'!$C$3,'weather data'!C427)</f>
        <v>0</v>
      </c>
      <c r="D427" s="6">
        <f>IF('weather data'!D427&lt;'user input'!$C$2,'user input'!$C$2,'weather data'!D427)</f>
        <v>10</v>
      </c>
      <c r="E427">
        <f t="shared" si="7"/>
        <v>5</v>
      </c>
      <c r="F427">
        <f>IF((E427-'user input'!$C$2)&lt;0,0,E427-'user input'!$C$2)</f>
        <v>0</v>
      </c>
      <c r="G427">
        <f>IF(B427&lt;'user input'!$C$5,0,(F427+G426))</f>
        <v>0</v>
      </c>
      <c r="H427">
        <f>G427/'user input'!$C$4</f>
        <v>0</v>
      </c>
    </row>
    <row r="428" spans="1:8" x14ac:dyDescent="0.2">
      <c r="A428" s="1">
        <v>40604</v>
      </c>
      <c r="B428">
        <v>61</v>
      </c>
      <c r="C428" s="6">
        <f>IF('weather data'!C428&gt;'user input'!$C$3,'user input'!$C$3,'weather data'!C428)</f>
        <v>5</v>
      </c>
      <c r="D428" s="6">
        <f>IF('weather data'!D428&lt;'user input'!$C$2,'user input'!$C$2,'weather data'!D428)</f>
        <v>10</v>
      </c>
      <c r="E428">
        <f t="shared" si="7"/>
        <v>7.5</v>
      </c>
      <c r="F428">
        <f>IF((E428-'user input'!$C$2)&lt;0,0,E428-'user input'!$C$2)</f>
        <v>0</v>
      </c>
      <c r="G428">
        <f>IF(B428&lt;'user input'!$C$5,0,(F428+G427))</f>
        <v>0</v>
      </c>
      <c r="H428">
        <f>G428/'user input'!$C$4</f>
        <v>0</v>
      </c>
    </row>
    <row r="429" spans="1:8" x14ac:dyDescent="0.2">
      <c r="A429" s="1">
        <v>40605</v>
      </c>
      <c r="B429">
        <v>62</v>
      </c>
      <c r="C429" s="6">
        <f>IF('weather data'!C429&gt;'user input'!$C$3,'user input'!$C$3,'weather data'!C429)</f>
        <v>-3.8888888888888888</v>
      </c>
      <c r="D429" s="6">
        <f>IF('weather data'!D429&lt;'user input'!$C$2,'user input'!$C$2,'weather data'!D429)</f>
        <v>10</v>
      </c>
      <c r="E429">
        <f t="shared" si="7"/>
        <v>3.0555555555555554</v>
      </c>
      <c r="F429">
        <f>IF((E429-'user input'!$C$2)&lt;0,0,E429-'user input'!$C$2)</f>
        <v>0</v>
      </c>
      <c r="G429">
        <f>IF(B429&lt;'user input'!$C$5,0,(F429+G428))</f>
        <v>0</v>
      </c>
      <c r="H429">
        <f>G429/'user input'!$C$4</f>
        <v>0</v>
      </c>
    </row>
    <row r="430" spans="1:8" x14ac:dyDescent="0.2">
      <c r="A430" s="1">
        <v>40606</v>
      </c>
      <c r="B430">
        <v>63</v>
      </c>
      <c r="C430" s="6">
        <f>IF('weather data'!C430&gt;'user input'!$C$3,'user input'!$C$3,'weather data'!C430)</f>
        <v>4.4444444444444446</v>
      </c>
      <c r="D430" s="6">
        <f>IF('weather data'!D430&lt;'user input'!$C$2,'user input'!$C$2,'weather data'!D430)</f>
        <v>10</v>
      </c>
      <c r="E430">
        <f t="shared" si="7"/>
        <v>7.2222222222222223</v>
      </c>
      <c r="F430">
        <f>IF((E430-'user input'!$C$2)&lt;0,0,E430-'user input'!$C$2)</f>
        <v>0</v>
      </c>
      <c r="G430">
        <f>IF(B430&lt;'user input'!$C$5,0,(F430+G429))</f>
        <v>0</v>
      </c>
      <c r="H430">
        <f>G430/'user input'!$C$4</f>
        <v>0</v>
      </c>
    </row>
    <row r="431" spans="1:8" x14ac:dyDescent="0.2">
      <c r="A431" s="1">
        <v>40607</v>
      </c>
      <c r="B431">
        <v>64</v>
      </c>
      <c r="C431" s="6">
        <f>IF('weather data'!C431&gt;'user input'!$C$3,'user input'!$C$3,'weather data'!C431)</f>
        <v>5</v>
      </c>
      <c r="D431" s="6">
        <f>IF('weather data'!D431&lt;'user input'!$C$2,'user input'!$C$2,'weather data'!D431)</f>
        <v>10</v>
      </c>
      <c r="E431">
        <f t="shared" si="7"/>
        <v>7.5</v>
      </c>
      <c r="F431">
        <f>IF((E431-'user input'!$C$2)&lt;0,0,E431-'user input'!$C$2)</f>
        <v>0</v>
      </c>
      <c r="G431">
        <f>IF(B431&lt;'user input'!$C$5,0,(F431+G430))</f>
        <v>0</v>
      </c>
      <c r="H431">
        <f>G431/'user input'!$C$4</f>
        <v>0</v>
      </c>
    </row>
    <row r="432" spans="1:8" x14ac:dyDescent="0.2">
      <c r="A432" s="1">
        <v>40608</v>
      </c>
      <c r="B432">
        <v>65</v>
      </c>
      <c r="C432" s="6">
        <f>IF('weather data'!C432&gt;'user input'!$C$3,'user input'!$C$3,'weather data'!C432)</f>
        <v>-0.55555555555555558</v>
      </c>
      <c r="D432" s="6">
        <f>IF('weather data'!D432&lt;'user input'!$C$2,'user input'!$C$2,'weather data'!D432)</f>
        <v>10</v>
      </c>
      <c r="E432">
        <f t="shared" si="7"/>
        <v>4.7222222222222223</v>
      </c>
      <c r="F432">
        <f>IF((E432-'user input'!$C$2)&lt;0,0,E432-'user input'!$C$2)</f>
        <v>0</v>
      </c>
      <c r="G432">
        <f>IF(B432&lt;'user input'!$C$5,0,(F432+G431))</f>
        <v>0</v>
      </c>
      <c r="H432">
        <f>G432/'user input'!$C$4</f>
        <v>0</v>
      </c>
    </row>
    <row r="433" spans="1:8" x14ac:dyDescent="0.2">
      <c r="A433" s="1">
        <v>40609</v>
      </c>
      <c r="B433">
        <v>66</v>
      </c>
      <c r="C433" s="6">
        <f>IF('weather data'!C433&gt;'user input'!$C$3,'user input'!$C$3,'weather data'!C433)</f>
        <v>0</v>
      </c>
      <c r="D433" s="6">
        <f>IF('weather data'!D433&lt;'user input'!$C$2,'user input'!$C$2,'weather data'!D433)</f>
        <v>10</v>
      </c>
      <c r="E433">
        <f t="shared" si="7"/>
        <v>5</v>
      </c>
      <c r="F433">
        <f>IF((E433-'user input'!$C$2)&lt;0,0,E433-'user input'!$C$2)</f>
        <v>0</v>
      </c>
      <c r="G433">
        <f>IF(B433&lt;'user input'!$C$5,0,(F433+G432))</f>
        <v>0</v>
      </c>
      <c r="H433">
        <f>G433/'user input'!$C$4</f>
        <v>0</v>
      </c>
    </row>
    <row r="434" spans="1:8" x14ac:dyDescent="0.2">
      <c r="A434" s="1">
        <v>40610</v>
      </c>
      <c r="B434">
        <v>67</v>
      </c>
      <c r="C434" s="6">
        <f>IF('weather data'!C434&gt;'user input'!$C$3,'user input'!$C$3,'weather data'!C434)</f>
        <v>1.1111111111111112</v>
      </c>
      <c r="D434" s="6">
        <f>IF('weather data'!D434&lt;'user input'!$C$2,'user input'!$C$2,'weather data'!D434)</f>
        <v>10</v>
      </c>
      <c r="E434">
        <f t="shared" si="7"/>
        <v>5.5555555555555554</v>
      </c>
      <c r="F434">
        <f>IF((E434-'user input'!$C$2)&lt;0,0,E434-'user input'!$C$2)</f>
        <v>0</v>
      </c>
      <c r="G434">
        <f>IF(B434&lt;'user input'!$C$5,0,(F434+G433))</f>
        <v>0</v>
      </c>
      <c r="H434">
        <f>G434/'user input'!$C$4</f>
        <v>0</v>
      </c>
    </row>
    <row r="435" spans="1:8" x14ac:dyDescent="0.2">
      <c r="A435" s="1">
        <v>40611</v>
      </c>
      <c r="B435">
        <v>68</v>
      </c>
      <c r="C435" s="6">
        <f>IF('weather data'!C435&gt;'user input'!$C$3,'user input'!$C$3,'weather data'!C435)</f>
        <v>4.4444444444444446</v>
      </c>
      <c r="D435" s="6">
        <f>IF('weather data'!D435&lt;'user input'!$C$2,'user input'!$C$2,'weather data'!D435)</f>
        <v>10</v>
      </c>
      <c r="E435">
        <f t="shared" si="7"/>
        <v>7.2222222222222223</v>
      </c>
      <c r="F435">
        <f>IF((E435-'user input'!$C$2)&lt;0,0,E435-'user input'!$C$2)</f>
        <v>0</v>
      </c>
      <c r="G435">
        <f>IF(B435&lt;'user input'!$C$5,0,(F435+G434))</f>
        <v>0</v>
      </c>
      <c r="H435">
        <f>G435/'user input'!$C$4</f>
        <v>0</v>
      </c>
    </row>
    <row r="436" spans="1:8" x14ac:dyDescent="0.2">
      <c r="A436" s="1">
        <v>40612</v>
      </c>
      <c r="B436">
        <v>69</v>
      </c>
      <c r="C436" s="6">
        <f>IF('weather data'!C436&gt;'user input'!$C$3,'user input'!$C$3,'weather data'!C436)</f>
        <v>1.1111111111111112</v>
      </c>
      <c r="D436" s="6">
        <f>IF('weather data'!D436&lt;'user input'!$C$2,'user input'!$C$2,'weather data'!D436)</f>
        <v>10</v>
      </c>
      <c r="E436">
        <f t="shared" si="7"/>
        <v>5.5555555555555554</v>
      </c>
      <c r="F436">
        <f>IF((E436-'user input'!$C$2)&lt;0,0,E436-'user input'!$C$2)</f>
        <v>0</v>
      </c>
      <c r="G436">
        <f>IF(B436&lt;'user input'!$C$5,0,(F436+G435))</f>
        <v>0</v>
      </c>
      <c r="H436">
        <f>G436/'user input'!$C$4</f>
        <v>0</v>
      </c>
    </row>
    <row r="437" spans="1:8" x14ac:dyDescent="0.2">
      <c r="A437" s="1">
        <v>40613</v>
      </c>
      <c r="B437">
        <v>70</v>
      </c>
      <c r="C437" s="6">
        <f>IF('weather data'!C437&gt;'user input'!$C$3,'user input'!$C$3,'weather data'!C437)</f>
        <v>4.4444444444444446</v>
      </c>
      <c r="D437" s="6">
        <f>IF('weather data'!D437&lt;'user input'!$C$2,'user input'!$C$2,'weather data'!D437)</f>
        <v>10</v>
      </c>
      <c r="E437">
        <f t="shared" si="7"/>
        <v>7.2222222222222223</v>
      </c>
      <c r="F437">
        <f>IF((E437-'user input'!$C$2)&lt;0,0,E437-'user input'!$C$2)</f>
        <v>0</v>
      </c>
      <c r="G437">
        <f>IF(B437&lt;'user input'!$C$5,0,(F437+G436))</f>
        <v>0</v>
      </c>
      <c r="H437">
        <f>G437/'user input'!$C$4</f>
        <v>0</v>
      </c>
    </row>
    <row r="438" spans="1:8" x14ac:dyDescent="0.2">
      <c r="A438" s="1">
        <v>40614</v>
      </c>
      <c r="B438">
        <v>71</v>
      </c>
      <c r="C438" s="6">
        <f>IF('weather data'!C438&gt;'user input'!$C$3,'user input'!$C$3,'weather data'!C438)</f>
        <v>7.7777777777777777</v>
      </c>
      <c r="D438" s="6">
        <f>IF('weather data'!D438&lt;'user input'!$C$2,'user input'!$C$2,'weather data'!D438)</f>
        <v>10</v>
      </c>
      <c r="E438">
        <f t="shared" si="7"/>
        <v>8.8888888888888893</v>
      </c>
      <c r="F438">
        <f>IF((E438-'user input'!$C$2)&lt;0,0,E438-'user input'!$C$2)</f>
        <v>0</v>
      </c>
      <c r="G438">
        <f>IF(B438&lt;'user input'!$C$5,0,(F438+G437))</f>
        <v>0</v>
      </c>
      <c r="H438">
        <f>G438/'user input'!$C$4</f>
        <v>0</v>
      </c>
    </row>
    <row r="439" spans="1:8" x14ac:dyDescent="0.2">
      <c r="A439" s="1">
        <v>40615</v>
      </c>
      <c r="B439">
        <v>72</v>
      </c>
      <c r="C439" s="6">
        <f>IF('weather data'!C439&gt;'user input'!$C$3,'user input'!$C$3,'weather data'!C439)</f>
        <v>1.1111111111111112</v>
      </c>
      <c r="D439" s="6">
        <f>IF('weather data'!D439&lt;'user input'!$C$2,'user input'!$C$2,'weather data'!D439)</f>
        <v>10</v>
      </c>
      <c r="E439">
        <f t="shared" si="7"/>
        <v>5.5555555555555554</v>
      </c>
      <c r="F439">
        <f>IF((E439-'user input'!$C$2)&lt;0,0,E439-'user input'!$C$2)</f>
        <v>0</v>
      </c>
      <c r="G439">
        <f>IF(B439&lt;'user input'!$C$5,0,(F439+G438))</f>
        <v>0</v>
      </c>
      <c r="H439">
        <f>G439/'user input'!$C$4</f>
        <v>0</v>
      </c>
    </row>
    <row r="440" spans="1:8" x14ac:dyDescent="0.2">
      <c r="A440" s="1">
        <v>40616</v>
      </c>
      <c r="B440">
        <v>73</v>
      </c>
      <c r="C440" s="6">
        <f>IF('weather data'!C440&gt;'user input'!$C$3,'user input'!$C$3,'weather data'!C440)</f>
        <v>4.4444444444444446</v>
      </c>
      <c r="D440" s="6">
        <f>IF('weather data'!D440&lt;'user input'!$C$2,'user input'!$C$2,'weather data'!D440)</f>
        <v>10</v>
      </c>
      <c r="E440">
        <f t="shared" si="7"/>
        <v>7.2222222222222223</v>
      </c>
      <c r="F440">
        <f>IF((E440-'user input'!$C$2)&lt;0,0,E440-'user input'!$C$2)</f>
        <v>0</v>
      </c>
      <c r="G440">
        <f>IF(B440&lt;'user input'!$C$5,0,(F440+G439))</f>
        <v>0</v>
      </c>
      <c r="H440">
        <f>G440/'user input'!$C$4</f>
        <v>0</v>
      </c>
    </row>
    <row r="441" spans="1:8" x14ac:dyDescent="0.2">
      <c r="A441" s="1">
        <v>40617</v>
      </c>
      <c r="B441">
        <v>74</v>
      </c>
      <c r="C441" s="6">
        <f>IF('weather data'!C441&gt;'user input'!$C$3,'user input'!$C$3,'weather data'!C441)</f>
        <v>6.6666666666666661</v>
      </c>
      <c r="D441" s="6">
        <f>IF('weather data'!D441&lt;'user input'!$C$2,'user input'!$C$2,'weather data'!D441)</f>
        <v>10</v>
      </c>
      <c r="E441">
        <f t="shared" si="7"/>
        <v>8.3333333333333321</v>
      </c>
      <c r="F441">
        <f>IF((E441-'user input'!$C$2)&lt;0,0,E441-'user input'!$C$2)</f>
        <v>0</v>
      </c>
      <c r="G441">
        <f>IF(B441&lt;'user input'!$C$5,0,(F441+G440))</f>
        <v>0</v>
      </c>
      <c r="H441">
        <f>G441/'user input'!$C$4</f>
        <v>0</v>
      </c>
    </row>
    <row r="442" spans="1:8" x14ac:dyDescent="0.2">
      <c r="A442" s="1">
        <v>40618</v>
      </c>
      <c r="B442">
        <v>75</v>
      </c>
      <c r="C442" s="6">
        <f>IF('weather data'!C442&gt;'user input'!$C$3,'user input'!$C$3,'weather data'!C442)</f>
        <v>10.555555555555555</v>
      </c>
      <c r="D442" s="6">
        <f>IF('weather data'!D442&lt;'user input'!$C$2,'user input'!$C$2,'weather data'!D442)</f>
        <v>10</v>
      </c>
      <c r="E442">
        <f t="shared" si="7"/>
        <v>10.277777777777779</v>
      </c>
      <c r="F442">
        <f>IF((E442-'user input'!$C$2)&lt;0,0,E442-'user input'!$C$2)</f>
        <v>0.27777777777777857</v>
      </c>
      <c r="G442">
        <f>IF(B442&lt;'user input'!$C$5,0,(F442+G441))</f>
        <v>0</v>
      </c>
      <c r="H442">
        <f>G442/'user input'!$C$4</f>
        <v>0</v>
      </c>
    </row>
    <row r="443" spans="1:8" x14ac:dyDescent="0.2">
      <c r="A443" s="1">
        <v>40619</v>
      </c>
      <c r="B443">
        <v>76</v>
      </c>
      <c r="C443" s="6">
        <f>IF('weather data'!C443&gt;'user input'!$C$3,'user input'!$C$3,'weather data'!C443)</f>
        <v>15</v>
      </c>
      <c r="D443" s="6">
        <f>IF('weather data'!D443&lt;'user input'!$C$2,'user input'!$C$2,'weather data'!D443)</f>
        <v>10</v>
      </c>
      <c r="E443">
        <f t="shared" si="7"/>
        <v>12.5</v>
      </c>
      <c r="F443">
        <f>IF((E443-'user input'!$C$2)&lt;0,0,E443-'user input'!$C$2)</f>
        <v>2.5</v>
      </c>
      <c r="G443">
        <f>IF(B443&lt;'user input'!$C$5,0,(F443+G442))</f>
        <v>0</v>
      </c>
      <c r="H443">
        <f>G443/'user input'!$C$4</f>
        <v>0</v>
      </c>
    </row>
    <row r="444" spans="1:8" x14ac:dyDescent="0.2">
      <c r="A444" s="1">
        <v>40620</v>
      </c>
      <c r="B444">
        <v>77</v>
      </c>
      <c r="C444" s="6">
        <f>IF('weather data'!C444&gt;'user input'!$C$3,'user input'!$C$3,'weather data'!C444)</f>
        <v>15</v>
      </c>
      <c r="D444" s="6">
        <f>IF('weather data'!D444&lt;'user input'!$C$2,'user input'!$C$2,'weather data'!D444)</f>
        <v>10</v>
      </c>
      <c r="E444">
        <f t="shared" si="7"/>
        <v>12.5</v>
      </c>
      <c r="F444">
        <f>IF((E444-'user input'!$C$2)&lt;0,0,E444-'user input'!$C$2)</f>
        <v>2.5</v>
      </c>
      <c r="G444">
        <f>IF(B444&lt;'user input'!$C$5,0,(F444+G443))</f>
        <v>0</v>
      </c>
      <c r="H444">
        <f>G444/'user input'!$C$4</f>
        <v>0</v>
      </c>
    </row>
    <row r="445" spans="1:8" x14ac:dyDescent="0.2">
      <c r="A445" s="1">
        <v>40621</v>
      </c>
      <c r="B445">
        <v>78</v>
      </c>
      <c r="C445" s="6">
        <f>IF('weather data'!C445&gt;'user input'!$C$3,'user input'!$C$3,'weather data'!C445)</f>
        <v>10</v>
      </c>
      <c r="D445" s="6">
        <f>IF('weather data'!D445&lt;'user input'!$C$2,'user input'!$C$2,'weather data'!D445)</f>
        <v>10</v>
      </c>
      <c r="E445">
        <f t="shared" si="7"/>
        <v>10</v>
      </c>
      <c r="F445">
        <f>IF((E445-'user input'!$C$2)&lt;0,0,E445-'user input'!$C$2)</f>
        <v>0</v>
      </c>
      <c r="G445">
        <f>IF(B445&lt;'user input'!$C$5,0,(F445+G444))</f>
        <v>0</v>
      </c>
      <c r="H445">
        <f>G445/'user input'!$C$4</f>
        <v>0</v>
      </c>
    </row>
    <row r="446" spans="1:8" x14ac:dyDescent="0.2">
      <c r="A446" s="1">
        <v>40622</v>
      </c>
      <c r="B446">
        <v>79</v>
      </c>
      <c r="C446" s="6">
        <f>IF('weather data'!C446&gt;'user input'!$C$3,'user input'!$C$3,'weather data'!C446)</f>
        <v>12.222222222222223</v>
      </c>
      <c r="D446" s="6">
        <f>IF('weather data'!D446&lt;'user input'!$C$2,'user input'!$C$2,'weather data'!D446)</f>
        <v>10</v>
      </c>
      <c r="E446">
        <f t="shared" si="7"/>
        <v>11.111111111111111</v>
      </c>
      <c r="F446">
        <f>IF((E446-'user input'!$C$2)&lt;0,0,E446-'user input'!$C$2)</f>
        <v>1.1111111111111107</v>
      </c>
      <c r="G446">
        <f>IF(B446&lt;'user input'!$C$5,0,(F446+G445))</f>
        <v>0</v>
      </c>
      <c r="H446">
        <f>G446/'user input'!$C$4</f>
        <v>0</v>
      </c>
    </row>
    <row r="447" spans="1:8" x14ac:dyDescent="0.2">
      <c r="A447" s="1">
        <v>40623</v>
      </c>
      <c r="B447">
        <v>80</v>
      </c>
      <c r="C447" s="6">
        <f>IF('weather data'!C447&gt;'user input'!$C$3,'user input'!$C$3,'weather data'!C447)</f>
        <v>12.222222222222223</v>
      </c>
      <c r="D447" s="6">
        <f>IF('weather data'!D447&lt;'user input'!$C$2,'user input'!$C$2,'weather data'!D447)</f>
        <v>10</v>
      </c>
      <c r="E447">
        <f t="shared" si="7"/>
        <v>11.111111111111111</v>
      </c>
      <c r="F447">
        <f>IF((E447-'user input'!$C$2)&lt;0,0,E447-'user input'!$C$2)</f>
        <v>1.1111111111111107</v>
      </c>
      <c r="G447">
        <f>IF(B447&lt;'user input'!$C$5,0,(F447+G446))</f>
        <v>0</v>
      </c>
      <c r="H447">
        <f>G447/'user input'!$C$4</f>
        <v>0</v>
      </c>
    </row>
    <row r="448" spans="1:8" x14ac:dyDescent="0.2">
      <c r="A448" s="1">
        <v>40624</v>
      </c>
      <c r="B448">
        <v>81</v>
      </c>
      <c r="C448" s="6">
        <f>IF('weather data'!C448&gt;'user input'!$C$3,'user input'!$C$3,'weather data'!C448)</f>
        <v>8.8888888888888893</v>
      </c>
      <c r="D448" s="6">
        <f>IF('weather data'!D448&lt;'user input'!$C$2,'user input'!$C$2,'weather data'!D448)</f>
        <v>10</v>
      </c>
      <c r="E448">
        <f t="shared" si="7"/>
        <v>9.4444444444444446</v>
      </c>
      <c r="F448">
        <f>IF((E448-'user input'!$C$2)&lt;0,0,E448-'user input'!$C$2)</f>
        <v>0</v>
      </c>
      <c r="G448">
        <f>IF(B448&lt;'user input'!$C$5,0,(F448+G447))</f>
        <v>0</v>
      </c>
      <c r="H448">
        <f>G448/'user input'!$C$4</f>
        <v>0</v>
      </c>
    </row>
    <row r="449" spans="1:8" x14ac:dyDescent="0.2">
      <c r="A449" s="1">
        <v>40625</v>
      </c>
      <c r="B449">
        <v>82</v>
      </c>
      <c r="C449" s="6">
        <f>IF('weather data'!C449&gt;'user input'!$C$3,'user input'!$C$3,'weather data'!C449)</f>
        <v>2.2222222222222223</v>
      </c>
      <c r="D449" s="6">
        <f>IF('weather data'!D449&lt;'user input'!$C$2,'user input'!$C$2,'weather data'!D449)</f>
        <v>10</v>
      </c>
      <c r="E449">
        <f t="shared" si="7"/>
        <v>6.1111111111111107</v>
      </c>
      <c r="F449">
        <f>IF((E449-'user input'!$C$2)&lt;0,0,E449-'user input'!$C$2)</f>
        <v>0</v>
      </c>
      <c r="G449">
        <f>IF(B449&lt;'user input'!$C$5,0,(F449+G448))</f>
        <v>0</v>
      </c>
      <c r="H449">
        <f>G449/'user input'!$C$4</f>
        <v>0</v>
      </c>
    </row>
    <row r="450" spans="1:8" x14ac:dyDescent="0.2">
      <c r="A450" s="1">
        <v>40626</v>
      </c>
      <c r="B450">
        <v>83</v>
      </c>
      <c r="C450" s="6">
        <f>IF('weather data'!C450&gt;'user input'!$C$3,'user input'!$C$3,'weather data'!C450)</f>
        <v>0</v>
      </c>
      <c r="D450" s="6">
        <f>IF('weather data'!D450&lt;'user input'!$C$2,'user input'!$C$2,'weather data'!D450)</f>
        <v>10</v>
      </c>
      <c r="E450">
        <f t="shared" si="7"/>
        <v>5</v>
      </c>
      <c r="F450">
        <f>IF((E450-'user input'!$C$2)&lt;0,0,E450-'user input'!$C$2)</f>
        <v>0</v>
      </c>
      <c r="G450">
        <f>IF(B450&lt;'user input'!$C$5,0,(F450+G449))</f>
        <v>0</v>
      </c>
      <c r="H450">
        <f>G450/'user input'!$C$4</f>
        <v>0</v>
      </c>
    </row>
    <row r="451" spans="1:8" x14ac:dyDescent="0.2">
      <c r="A451" s="1">
        <v>40627</v>
      </c>
      <c r="B451">
        <v>84</v>
      </c>
      <c r="C451" s="6">
        <f>IF('weather data'!C451&gt;'user input'!$C$3,'user input'!$C$3,'weather data'!C451)</f>
        <v>1.1111111111111112</v>
      </c>
      <c r="D451" s="6">
        <f>IF('weather data'!D451&lt;'user input'!$C$2,'user input'!$C$2,'weather data'!D451)</f>
        <v>10</v>
      </c>
      <c r="E451">
        <f t="shared" si="7"/>
        <v>5.5555555555555554</v>
      </c>
      <c r="F451">
        <f>IF((E451-'user input'!$C$2)&lt;0,0,E451-'user input'!$C$2)</f>
        <v>0</v>
      </c>
      <c r="G451">
        <f>IF(B451&lt;'user input'!$C$5,0,(F451+G450))</f>
        <v>0</v>
      </c>
      <c r="H451">
        <f>G451/'user input'!$C$4</f>
        <v>0</v>
      </c>
    </row>
    <row r="452" spans="1:8" x14ac:dyDescent="0.2">
      <c r="A452" s="1">
        <v>40628</v>
      </c>
      <c r="B452">
        <v>85</v>
      </c>
      <c r="C452" s="6">
        <f>IF('weather data'!C452&gt;'user input'!$C$3,'user input'!$C$3,'weather data'!C452)</f>
        <v>1.6666666666666665</v>
      </c>
      <c r="D452" s="6">
        <f>IF('weather data'!D452&lt;'user input'!$C$2,'user input'!$C$2,'weather data'!D452)</f>
        <v>10</v>
      </c>
      <c r="E452">
        <f t="shared" si="7"/>
        <v>5.833333333333333</v>
      </c>
      <c r="F452">
        <f>IF((E452-'user input'!$C$2)&lt;0,0,E452-'user input'!$C$2)</f>
        <v>0</v>
      </c>
      <c r="G452">
        <f>IF(B452&lt;'user input'!$C$5,0,(F452+G451))</f>
        <v>0</v>
      </c>
      <c r="H452">
        <f>G452/'user input'!$C$4</f>
        <v>0</v>
      </c>
    </row>
    <row r="453" spans="1:8" x14ac:dyDescent="0.2">
      <c r="A453" s="1">
        <v>40629</v>
      </c>
      <c r="B453">
        <v>86</v>
      </c>
      <c r="C453" s="6">
        <f>IF('weather data'!C453&gt;'user input'!$C$3,'user input'!$C$3,'weather data'!C453)</f>
        <v>-0.55555555555555558</v>
      </c>
      <c r="D453" s="6">
        <f>IF('weather data'!D453&lt;'user input'!$C$2,'user input'!$C$2,'weather data'!D453)</f>
        <v>10</v>
      </c>
      <c r="E453">
        <f t="shared" si="7"/>
        <v>4.7222222222222223</v>
      </c>
      <c r="F453">
        <f>IF((E453-'user input'!$C$2)&lt;0,0,E453-'user input'!$C$2)</f>
        <v>0</v>
      </c>
      <c r="G453">
        <f>IF(B453&lt;'user input'!$C$5,0,(F453+G452))</f>
        <v>0</v>
      </c>
      <c r="H453">
        <f>G453/'user input'!$C$4</f>
        <v>0</v>
      </c>
    </row>
    <row r="454" spans="1:8" x14ac:dyDescent="0.2">
      <c r="A454" s="1">
        <v>40630</v>
      </c>
      <c r="B454">
        <v>87</v>
      </c>
      <c r="C454" s="6">
        <f>IF('weather data'!C454&gt;'user input'!$C$3,'user input'!$C$3,'weather data'!C454)</f>
        <v>1.6666666666666665</v>
      </c>
      <c r="D454" s="6">
        <f>IF('weather data'!D454&lt;'user input'!$C$2,'user input'!$C$2,'weather data'!D454)</f>
        <v>10</v>
      </c>
      <c r="E454">
        <f t="shared" si="7"/>
        <v>5.833333333333333</v>
      </c>
      <c r="F454">
        <f>IF((E454-'user input'!$C$2)&lt;0,0,E454-'user input'!$C$2)</f>
        <v>0</v>
      </c>
      <c r="G454">
        <f>IF(B454&lt;'user input'!$C$5,0,(F454+G453))</f>
        <v>0</v>
      </c>
      <c r="H454">
        <f>G454/'user input'!$C$4</f>
        <v>0</v>
      </c>
    </row>
    <row r="455" spans="1:8" x14ac:dyDescent="0.2">
      <c r="A455" s="1">
        <v>40631</v>
      </c>
      <c r="B455">
        <v>88</v>
      </c>
      <c r="C455" s="6">
        <f>IF('weather data'!C455&gt;'user input'!$C$3,'user input'!$C$3,'weather data'!C455)</f>
        <v>3.8888888888888888</v>
      </c>
      <c r="D455" s="6">
        <f>IF('weather data'!D455&lt;'user input'!$C$2,'user input'!$C$2,'weather data'!D455)</f>
        <v>10</v>
      </c>
      <c r="E455">
        <f t="shared" si="7"/>
        <v>6.9444444444444446</v>
      </c>
      <c r="F455">
        <f>IF((E455-'user input'!$C$2)&lt;0,0,E455-'user input'!$C$2)</f>
        <v>0</v>
      </c>
      <c r="G455">
        <f>IF(B455&lt;'user input'!$C$5,0,(F455+G454))</f>
        <v>0</v>
      </c>
      <c r="H455">
        <f>G455/'user input'!$C$4</f>
        <v>0</v>
      </c>
    </row>
    <row r="456" spans="1:8" x14ac:dyDescent="0.2">
      <c r="A456" s="1">
        <v>40632</v>
      </c>
      <c r="B456">
        <v>89</v>
      </c>
      <c r="C456" s="6">
        <f>IF('weather data'!C456&gt;'user input'!$C$3,'user input'!$C$3,'weather data'!C456)</f>
        <v>7.2222222222222223</v>
      </c>
      <c r="D456" s="6">
        <f>IF('weather data'!D456&lt;'user input'!$C$2,'user input'!$C$2,'weather data'!D456)</f>
        <v>10</v>
      </c>
      <c r="E456">
        <f t="shared" si="7"/>
        <v>8.6111111111111107</v>
      </c>
      <c r="F456">
        <f>IF((E456-'user input'!$C$2)&lt;0,0,E456-'user input'!$C$2)</f>
        <v>0</v>
      </c>
      <c r="G456">
        <f>IF(B456&lt;'user input'!$C$5,0,(F456+G455))</f>
        <v>0</v>
      </c>
      <c r="H456">
        <f>G456/'user input'!$C$4</f>
        <v>0</v>
      </c>
    </row>
    <row r="457" spans="1:8" x14ac:dyDescent="0.2">
      <c r="A457" s="1">
        <v>40633</v>
      </c>
      <c r="B457">
        <v>90</v>
      </c>
      <c r="C457" s="6">
        <f>IF('weather data'!C457&gt;'user input'!$C$3,'user input'!$C$3,'weather data'!C457)</f>
        <v>8.8888888888888893</v>
      </c>
      <c r="D457" s="6">
        <f>IF('weather data'!D457&lt;'user input'!$C$2,'user input'!$C$2,'weather data'!D457)</f>
        <v>10</v>
      </c>
      <c r="E457">
        <f t="shared" si="7"/>
        <v>9.4444444444444446</v>
      </c>
      <c r="F457">
        <f>IF((E457-'user input'!$C$2)&lt;0,0,E457-'user input'!$C$2)</f>
        <v>0</v>
      </c>
      <c r="G457">
        <f>IF(B457&lt;'user input'!$C$5,0,(F457+G456))</f>
        <v>0</v>
      </c>
      <c r="H457">
        <f>G457/'user input'!$C$4</f>
        <v>0</v>
      </c>
    </row>
    <row r="458" spans="1:8" x14ac:dyDescent="0.2">
      <c r="A458" s="1">
        <v>40634</v>
      </c>
      <c r="B458">
        <v>91</v>
      </c>
      <c r="C458" s="6">
        <f>IF('weather data'!C458&gt;'user input'!$C$3,'user input'!$C$3,'weather data'!C458)</f>
        <v>10</v>
      </c>
      <c r="D458" s="6">
        <f>IF('weather data'!D458&lt;'user input'!$C$2,'user input'!$C$2,'weather data'!D458)</f>
        <v>10</v>
      </c>
      <c r="E458">
        <f t="shared" si="7"/>
        <v>10</v>
      </c>
      <c r="F458">
        <f>IF((E458-'user input'!$C$2)&lt;0,0,E458-'user input'!$C$2)</f>
        <v>0</v>
      </c>
      <c r="G458">
        <f>IF(B458&lt;'user input'!$C$5,0,(F458+G457))</f>
        <v>0</v>
      </c>
      <c r="H458">
        <f>G458/'user input'!$C$4</f>
        <v>0</v>
      </c>
    </row>
    <row r="459" spans="1:8" x14ac:dyDescent="0.2">
      <c r="A459" s="1">
        <v>40635</v>
      </c>
      <c r="B459">
        <v>92</v>
      </c>
      <c r="C459" s="6">
        <f>IF('weather data'!C459&gt;'user input'!$C$3,'user input'!$C$3,'weather data'!C459)</f>
        <v>8.3333333333333339</v>
      </c>
      <c r="D459" s="6">
        <f>IF('weather data'!D459&lt;'user input'!$C$2,'user input'!$C$2,'weather data'!D459)</f>
        <v>10</v>
      </c>
      <c r="E459">
        <f t="shared" si="7"/>
        <v>9.1666666666666679</v>
      </c>
      <c r="F459">
        <f>IF((E459-'user input'!$C$2)&lt;0,0,E459-'user input'!$C$2)</f>
        <v>0</v>
      </c>
      <c r="G459">
        <f>IF(B459&lt;'user input'!$C$5,0,(F459+G458))</f>
        <v>0</v>
      </c>
      <c r="H459">
        <f>G459/'user input'!$C$4</f>
        <v>0</v>
      </c>
    </row>
    <row r="460" spans="1:8" x14ac:dyDescent="0.2">
      <c r="A460" s="1">
        <v>40636</v>
      </c>
      <c r="B460">
        <v>93</v>
      </c>
      <c r="C460" s="6">
        <f>IF('weather data'!C460&gt;'user input'!$C$3,'user input'!$C$3,'weather data'!C460)</f>
        <v>12.222222222222223</v>
      </c>
      <c r="D460" s="6">
        <f>IF('weather data'!D460&lt;'user input'!$C$2,'user input'!$C$2,'weather data'!D460)</f>
        <v>10</v>
      </c>
      <c r="E460">
        <f t="shared" si="7"/>
        <v>11.111111111111111</v>
      </c>
      <c r="F460">
        <f>IF((E460-'user input'!$C$2)&lt;0,0,E460-'user input'!$C$2)</f>
        <v>1.1111111111111107</v>
      </c>
      <c r="G460">
        <f>IF(B460&lt;'user input'!$C$5,0,(F460+G459))</f>
        <v>0</v>
      </c>
      <c r="H460">
        <f>G460/'user input'!$C$4</f>
        <v>0</v>
      </c>
    </row>
    <row r="461" spans="1:8" x14ac:dyDescent="0.2">
      <c r="A461" s="1">
        <v>40637</v>
      </c>
      <c r="B461">
        <v>94</v>
      </c>
      <c r="C461" s="6">
        <f>IF('weather data'!C461&gt;'user input'!$C$3,'user input'!$C$3,'weather data'!C461)</f>
        <v>8.3333333333333339</v>
      </c>
      <c r="D461" s="6">
        <f>IF('weather data'!D461&lt;'user input'!$C$2,'user input'!$C$2,'weather data'!D461)</f>
        <v>10</v>
      </c>
      <c r="E461">
        <f t="shared" si="7"/>
        <v>9.1666666666666679</v>
      </c>
      <c r="F461">
        <f>IF((E461-'user input'!$C$2)&lt;0,0,E461-'user input'!$C$2)</f>
        <v>0</v>
      </c>
      <c r="G461">
        <f>IF(B461&lt;'user input'!$C$5,0,(F461+G460))</f>
        <v>0</v>
      </c>
      <c r="H461">
        <f>G461/'user input'!$C$4</f>
        <v>0</v>
      </c>
    </row>
    <row r="462" spans="1:8" x14ac:dyDescent="0.2">
      <c r="A462" s="1">
        <v>40638</v>
      </c>
      <c r="B462">
        <v>95</v>
      </c>
      <c r="C462" s="6">
        <f>IF('weather data'!C462&gt;'user input'!$C$3,'user input'!$C$3,'weather data'!C462)</f>
        <v>8.3333333333333339</v>
      </c>
      <c r="D462" s="6">
        <f>IF('weather data'!D462&lt;'user input'!$C$2,'user input'!$C$2,'weather data'!D462)</f>
        <v>10</v>
      </c>
      <c r="E462">
        <f t="shared" si="7"/>
        <v>9.1666666666666679</v>
      </c>
      <c r="F462">
        <f>IF((E462-'user input'!$C$2)&lt;0,0,E462-'user input'!$C$2)</f>
        <v>0</v>
      </c>
      <c r="G462">
        <f>IF(B462&lt;'user input'!$C$5,0,(F462+G461))</f>
        <v>0</v>
      </c>
      <c r="H462">
        <f>G462/'user input'!$C$4</f>
        <v>0</v>
      </c>
    </row>
    <row r="463" spans="1:8" x14ac:dyDescent="0.2">
      <c r="A463" s="1">
        <v>40639</v>
      </c>
      <c r="B463">
        <v>96</v>
      </c>
      <c r="C463" s="6">
        <f>IF('weather data'!C463&gt;'user input'!$C$3,'user input'!$C$3,'weather data'!C463)</f>
        <v>11.666666666666668</v>
      </c>
      <c r="D463" s="6">
        <f>IF('weather data'!D463&lt;'user input'!$C$2,'user input'!$C$2,'weather data'!D463)</f>
        <v>10</v>
      </c>
      <c r="E463">
        <f t="shared" si="7"/>
        <v>10.833333333333334</v>
      </c>
      <c r="F463">
        <f>IF((E463-'user input'!$C$2)&lt;0,0,E463-'user input'!$C$2)</f>
        <v>0.83333333333333393</v>
      </c>
      <c r="G463">
        <f>IF(B463&lt;'user input'!$C$5,0,(F463+G462))</f>
        <v>0</v>
      </c>
      <c r="H463">
        <f>G463/'user input'!$C$4</f>
        <v>0</v>
      </c>
    </row>
    <row r="464" spans="1:8" x14ac:dyDescent="0.2">
      <c r="A464" s="1">
        <v>40640</v>
      </c>
      <c r="B464">
        <v>97</v>
      </c>
      <c r="C464" s="6">
        <f>IF('weather data'!C464&gt;'user input'!$C$3,'user input'!$C$3,'weather data'!C464)</f>
        <v>14.444444444444445</v>
      </c>
      <c r="D464" s="6">
        <f>IF('weather data'!D464&lt;'user input'!$C$2,'user input'!$C$2,'weather data'!D464)</f>
        <v>10</v>
      </c>
      <c r="E464">
        <f t="shared" si="7"/>
        <v>12.222222222222221</v>
      </c>
      <c r="F464">
        <f>IF((E464-'user input'!$C$2)&lt;0,0,E464-'user input'!$C$2)</f>
        <v>2.2222222222222214</v>
      </c>
      <c r="G464">
        <f>IF(B464&lt;'user input'!$C$5,0,(F464+G463))</f>
        <v>0</v>
      </c>
      <c r="H464">
        <f>G464/'user input'!$C$4</f>
        <v>0</v>
      </c>
    </row>
    <row r="465" spans="1:8" x14ac:dyDescent="0.2">
      <c r="A465" s="1">
        <v>40641</v>
      </c>
      <c r="B465">
        <v>98</v>
      </c>
      <c r="C465" s="6">
        <f>IF('weather data'!C465&gt;'user input'!$C$3,'user input'!$C$3,'weather data'!C465)</f>
        <v>13.888888888888889</v>
      </c>
      <c r="D465" s="6">
        <f>IF('weather data'!D465&lt;'user input'!$C$2,'user input'!$C$2,'weather data'!D465)</f>
        <v>10</v>
      </c>
      <c r="E465">
        <f t="shared" si="7"/>
        <v>11.944444444444445</v>
      </c>
      <c r="F465">
        <f>IF((E465-'user input'!$C$2)&lt;0,0,E465-'user input'!$C$2)</f>
        <v>1.9444444444444446</v>
      </c>
      <c r="G465">
        <f>IF(B465&lt;'user input'!$C$5,0,(F465+G464))</f>
        <v>0</v>
      </c>
      <c r="H465">
        <f>G465/'user input'!$C$4</f>
        <v>0</v>
      </c>
    </row>
    <row r="466" spans="1:8" x14ac:dyDescent="0.2">
      <c r="A466" s="1">
        <v>40642</v>
      </c>
      <c r="B466">
        <v>99</v>
      </c>
      <c r="C466" s="6">
        <f>IF('weather data'!C466&gt;'user input'!$C$3,'user input'!$C$3,'weather data'!C466)</f>
        <v>13.333333333333332</v>
      </c>
      <c r="D466" s="6">
        <f>IF('weather data'!D466&lt;'user input'!$C$2,'user input'!$C$2,'weather data'!D466)</f>
        <v>10</v>
      </c>
      <c r="E466">
        <f t="shared" ref="E466:E529" si="8">(C466+D466)/2</f>
        <v>11.666666666666666</v>
      </c>
      <c r="F466">
        <f>IF((E466-'user input'!$C$2)&lt;0,0,E466-'user input'!$C$2)</f>
        <v>1.6666666666666661</v>
      </c>
      <c r="G466">
        <f>IF(B466&lt;'user input'!$C$5,0,(F466+G465))</f>
        <v>0</v>
      </c>
      <c r="H466">
        <f>G466/'user input'!$C$4</f>
        <v>0</v>
      </c>
    </row>
    <row r="467" spans="1:8" x14ac:dyDescent="0.2">
      <c r="A467" s="1">
        <v>40643</v>
      </c>
      <c r="B467">
        <v>100</v>
      </c>
      <c r="C467" s="6">
        <f>IF('weather data'!C467&gt;'user input'!$C$3,'user input'!$C$3,'weather data'!C467)</f>
        <v>18.333333333333332</v>
      </c>
      <c r="D467" s="6">
        <f>IF('weather data'!D467&lt;'user input'!$C$2,'user input'!$C$2,'weather data'!D467)</f>
        <v>10</v>
      </c>
      <c r="E467">
        <f t="shared" si="8"/>
        <v>14.166666666666666</v>
      </c>
      <c r="F467">
        <f>IF((E467-'user input'!$C$2)&lt;0,0,E467-'user input'!$C$2)</f>
        <v>4.1666666666666661</v>
      </c>
      <c r="G467">
        <f>IF(B467&lt;'user input'!$C$5,0,(F467+G466))</f>
        <v>0</v>
      </c>
      <c r="H467">
        <f>G467/'user input'!$C$4</f>
        <v>0</v>
      </c>
    </row>
    <row r="468" spans="1:8" x14ac:dyDescent="0.2">
      <c r="A468" s="1">
        <v>40644</v>
      </c>
      <c r="B468">
        <v>101</v>
      </c>
      <c r="C468" s="6">
        <f>IF('weather data'!C468&gt;'user input'!$C$3,'user input'!$C$3,'weather data'!C468)</f>
        <v>26.666666666666664</v>
      </c>
      <c r="D468" s="6">
        <f>IF('weather data'!D468&lt;'user input'!$C$2,'user input'!$C$2,'weather data'!D468)</f>
        <v>10</v>
      </c>
      <c r="E468">
        <f t="shared" si="8"/>
        <v>18.333333333333332</v>
      </c>
      <c r="F468">
        <f>IF((E468-'user input'!$C$2)&lt;0,0,E468-'user input'!$C$2)</f>
        <v>8.3333333333333321</v>
      </c>
      <c r="G468">
        <f>IF(B468&lt;'user input'!$C$5,0,(F468+G467))</f>
        <v>0</v>
      </c>
      <c r="H468">
        <f>G468/'user input'!$C$4</f>
        <v>0</v>
      </c>
    </row>
    <row r="469" spans="1:8" x14ac:dyDescent="0.2">
      <c r="A469" s="1">
        <v>40645</v>
      </c>
      <c r="B469">
        <v>102</v>
      </c>
      <c r="C469" s="6">
        <f>IF('weather data'!C469&gt;'user input'!$C$3,'user input'!$C$3,'weather data'!C469)</f>
        <v>16.111111111111111</v>
      </c>
      <c r="D469" s="6">
        <f>IF('weather data'!D469&lt;'user input'!$C$2,'user input'!$C$2,'weather data'!D469)</f>
        <v>10</v>
      </c>
      <c r="E469">
        <f t="shared" si="8"/>
        <v>13.055555555555555</v>
      </c>
      <c r="F469">
        <f>IF((E469-'user input'!$C$2)&lt;0,0,E469-'user input'!$C$2)</f>
        <v>3.0555555555555554</v>
      </c>
      <c r="G469">
        <f>IF(B469&lt;'user input'!$C$5,0,(F469+G468))</f>
        <v>0</v>
      </c>
      <c r="H469">
        <f>G469/'user input'!$C$4</f>
        <v>0</v>
      </c>
    </row>
    <row r="470" spans="1:8" x14ac:dyDescent="0.2">
      <c r="A470" s="1">
        <v>40646</v>
      </c>
      <c r="B470">
        <v>103</v>
      </c>
      <c r="C470" s="6">
        <f>IF('weather data'!C470&gt;'user input'!$C$3,'user input'!$C$3,'weather data'!C470)</f>
        <v>17.222222222222221</v>
      </c>
      <c r="D470" s="6">
        <f>IF('weather data'!D470&lt;'user input'!$C$2,'user input'!$C$2,'weather data'!D470)</f>
        <v>10</v>
      </c>
      <c r="E470">
        <f t="shared" si="8"/>
        <v>13.611111111111111</v>
      </c>
      <c r="F470">
        <f>IF((E470-'user input'!$C$2)&lt;0,0,E470-'user input'!$C$2)</f>
        <v>3.6111111111111107</v>
      </c>
      <c r="G470">
        <f>IF(B470&lt;'user input'!$C$5,0,(F470+G469))</f>
        <v>0</v>
      </c>
      <c r="H470">
        <f>G470/'user input'!$C$4</f>
        <v>0</v>
      </c>
    </row>
    <row r="471" spans="1:8" x14ac:dyDescent="0.2">
      <c r="A471" s="1">
        <v>40647</v>
      </c>
      <c r="B471">
        <v>104</v>
      </c>
      <c r="C471" s="6">
        <f>IF('weather data'!C471&gt;'user input'!$C$3,'user input'!$C$3,'weather data'!C471)</f>
        <v>22.222222222222221</v>
      </c>
      <c r="D471" s="6">
        <f>IF('weather data'!D471&lt;'user input'!$C$2,'user input'!$C$2,'weather data'!D471)</f>
        <v>10</v>
      </c>
      <c r="E471">
        <f t="shared" si="8"/>
        <v>16.111111111111111</v>
      </c>
      <c r="F471">
        <f>IF((E471-'user input'!$C$2)&lt;0,0,E471-'user input'!$C$2)</f>
        <v>6.1111111111111107</v>
      </c>
      <c r="G471">
        <f>IF(B471&lt;'user input'!$C$5,0,(F471+G470))</f>
        <v>0</v>
      </c>
      <c r="H471">
        <f>G471/'user input'!$C$4</f>
        <v>0</v>
      </c>
    </row>
    <row r="472" spans="1:8" x14ac:dyDescent="0.2">
      <c r="A472" s="1">
        <v>40648</v>
      </c>
      <c r="B472">
        <v>105</v>
      </c>
      <c r="C472" s="6">
        <f>IF('weather data'!C472&gt;'user input'!$C$3,'user input'!$C$3,'weather data'!C472)</f>
        <v>5</v>
      </c>
      <c r="D472" s="6">
        <f>IF('weather data'!D472&lt;'user input'!$C$2,'user input'!$C$2,'weather data'!D472)</f>
        <v>10</v>
      </c>
      <c r="E472">
        <f t="shared" si="8"/>
        <v>7.5</v>
      </c>
      <c r="F472">
        <f>IF((E472-'user input'!$C$2)&lt;0,0,E472-'user input'!$C$2)</f>
        <v>0</v>
      </c>
      <c r="G472">
        <f>IF(B472&lt;'user input'!$C$5,0,(F472+G471))</f>
        <v>0</v>
      </c>
      <c r="H472">
        <f>G472/'user input'!$C$4</f>
        <v>0</v>
      </c>
    </row>
    <row r="473" spans="1:8" x14ac:dyDescent="0.2">
      <c r="A473" s="1">
        <v>40649</v>
      </c>
      <c r="B473">
        <v>106</v>
      </c>
      <c r="C473" s="6">
        <f>IF('weather data'!C473&gt;'user input'!$C$3,'user input'!$C$3,'weather data'!C473)</f>
        <v>7.2222222222222223</v>
      </c>
      <c r="D473" s="6">
        <f>IF('weather data'!D473&lt;'user input'!$C$2,'user input'!$C$2,'weather data'!D473)</f>
        <v>10</v>
      </c>
      <c r="E473">
        <f t="shared" si="8"/>
        <v>8.6111111111111107</v>
      </c>
      <c r="F473">
        <f>IF((E473-'user input'!$C$2)&lt;0,0,E473-'user input'!$C$2)</f>
        <v>0</v>
      </c>
      <c r="G473">
        <f>IF(B473&lt;'user input'!$C$5,0,(F473+G472))</f>
        <v>0</v>
      </c>
      <c r="H473">
        <f>G473/'user input'!$C$4</f>
        <v>0</v>
      </c>
    </row>
    <row r="474" spans="1:8" x14ac:dyDescent="0.2">
      <c r="A474" s="1">
        <v>40650</v>
      </c>
      <c r="B474">
        <v>107</v>
      </c>
      <c r="C474" s="6">
        <f>IF('weather data'!C474&gt;'user input'!$C$3,'user input'!$C$3,'weather data'!C474)</f>
        <v>5.5555555555555554</v>
      </c>
      <c r="D474" s="6">
        <f>IF('weather data'!D474&lt;'user input'!$C$2,'user input'!$C$2,'weather data'!D474)</f>
        <v>10</v>
      </c>
      <c r="E474">
        <f t="shared" si="8"/>
        <v>7.7777777777777777</v>
      </c>
      <c r="F474">
        <f>IF((E474-'user input'!$C$2)&lt;0,0,E474-'user input'!$C$2)</f>
        <v>0</v>
      </c>
      <c r="G474">
        <f>IF(B474&lt;'user input'!$C$5,0,(F474+G473))</f>
        <v>0</v>
      </c>
      <c r="H474">
        <f>G474/'user input'!$C$4</f>
        <v>0</v>
      </c>
    </row>
    <row r="475" spans="1:8" x14ac:dyDescent="0.2">
      <c r="A475" s="1">
        <v>40651</v>
      </c>
      <c r="B475">
        <v>108</v>
      </c>
      <c r="C475" s="6">
        <f>IF('weather data'!C475&gt;'user input'!$C$3,'user input'!$C$3,'weather data'!C475)</f>
        <v>10.555555555555555</v>
      </c>
      <c r="D475" s="6">
        <f>IF('weather data'!D475&lt;'user input'!$C$2,'user input'!$C$2,'weather data'!D475)</f>
        <v>10</v>
      </c>
      <c r="E475">
        <f t="shared" si="8"/>
        <v>10.277777777777779</v>
      </c>
      <c r="F475">
        <f>IF((E475-'user input'!$C$2)&lt;0,0,E475-'user input'!$C$2)</f>
        <v>0.27777777777777857</v>
      </c>
      <c r="G475">
        <f>IF(B475&lt;'user input'!$C$5,0,(F475+G474))</f>
        <v>0</v>
      </c>
      <c r="H475">
        <f>G475/'user input'!$C$4</f>
        <v>0</v>
      </c>
    </row>
    <row r="476" spans="1:8" x14ac:dyDescent="0.2">
      <c r="A476" s="1">
        <v>40652</v>
      </c>
      <c r="B476">
        <v>109</v>
      </c>
      <c r="C476" s="6">
        <f>IF('weather data'!C476&gt;'user input'!$C$3,'user input'!$C$3,'weather data'!C476)</f>
        <v>8.8888888888888893</v>
      </c>
      <c r="D476" s="6">
        <f>IF('weather data'!D476&lt;'user input'!$C$2,'user input'!$C$2,'weather data'!D476)</f>
        <v>10</v>
      </c>
      <c r="E476">
        <f t="shared" si="8"/>
        <v>9.4444444444444446</v>
      </c>
      <c r="F476">
        <f>IF((E476-'user input'!$C$2)&lt;0,0,E476-'user input'!$C$2)</f>
        <v>0</v>
      </c>
      <c r="G476">
        <f>IF(B476&lt;'user input'!$C$5,0,(F476+G475))</f>
        <v>0</v>
      </c>
      <c r="H476">
        <f>G476/'user input'!$C$4</f>
        <v>0</v>
      </c>
    </row>
    <row r="477" spans="1:8" x14ac:dyDescent="0.2">
      <c r="A477" s="1">
        <v>40653</v>
      </c>
      <c r="B477">
        <v>110</v>
      </c>
      <c r="C477" s="6">
        <f>IF('weather data'!C477&gt;'user input'!$C$3,'user input'!$C$3,'weather data'!C477)</f>
        <v>1.1111111111111112</v>
      </c>
      <c r="D477" s="6">
        <f>IF('weather data'!D477&lt;'user input'!$C$2,'user input'!$C$2,'weather data'!D477)</f>
        <v>10</v>
      </c>
      <c r="E477">
        <f t="shared" si="8"/>
        <v>5.5555555555555554</v>
      </c>
      <c r="F477">
        <f>IF((E477-'user input'!$C$2)&lt;0,0,E477-'user input'!$C$2)</f>
        <v>0</v>
      </c>
      <c r="G477">
        <f>IF(B477&lt;'user input'!$C$5,0,(F477+G476))</f>
        <v>0</v>
      </c>
      <c r="H477">
        <f>G477/'user input'!$C$4</f>
        <v>0</v>
      </c>
    </row>
    <row r="478" spans="1:8" x14ac:dyDescent="0.2">
      <c r="A478" s="1">
        <v>40654</v>
      </c>
      <c r="B478">
        <v>111</v>
      </c>
      <c r="C478" s="6">
        <f>IF('weather data'!C478&gt;'user input'!$C$3,'user input'!$C$3,'weather data'!C478)</f>
        <v>5</v>
      </c>
      <c r="D478" s="6">
        <f>IF('weather data'!D478&lt;'user input'!$C$2,'user input'!$C$2,'weather data'!D478)</f>
        <v>10</v>
      </c>
      <c r="E478">
        <f t="shared" si="8"/>
        <v>7.5</v>
      </c>
      <c r="F478">
        <f>IF((E478-'user input'!$C$2)&lt;0,0,E478-'user input'!$C$2)</f>
        <v>0</v>
      </c>
      <c r="G478">
        <f>IF(B478&lt;'user input'!$C$5,0,(F478+G477))</f>
        <v>0</v>
      </c>
      <c r="H478">
        <f>G478/'user input'!$C$4</f>
        <v>0</v>
      </c>
    </row>
    <row r="479" spans="1:8" x14ac:dyDescent="0.2">
      <c r="A479" s="1">
        <v>40655</v>
      </c>
      <c r="B479">
        <v>112</v>
      </c>
      <c r="C479" s="6">
        <f>IF('weather data'!C479&gt;'user input'!$C$3,'user input'!$C$3,'weather data'!C479)</f>
        <v>11.666666666666668</v>
      </c>
      <c r="D479" s="6">
        <f>IF('weather data'!D479&lt;'user input'!$C$2,'user input'!$C$2,'weather data'!D479)</f>
        <v>10</v>
      </c>
      <c r="E479">
        <f t="shared" si="8"/>
        <v>10.833333333333334</v>
      </c>
      <c r="F479">
        <f>IF((E479-'user input'!$C$2)&lt;0,0,E479-'user input'!$C$2)</f>
        <v>0.83333333333333393</v>
      </c>
      <c r="G479">
        <f>IF(B479&lt;'user input'!$C$5,0,(F479+G478))</f>
        <v>0</v>
      </c>
      <c r="H479">
        <f>G479/'user input'!$C$4</f>
        <v>0</v>
      </c>
    </row>
    <row r="480" spans="1:8" x14ac:dyDescent="0.2">
      <c r="A480" s="1">
        <v>40656</v>
      </c>
      <c r="B480">
        <v>113</v>
      </c>
      <c r="C480" s="6">
        <f>IF('weather data'!C480&gt;'user input'!$C$3,'user input'!$C$3,'weather data'!C480)</f>
        <v>7.2222222222222223</v>
      </c>
      <c r="D480" s="6">
        <f>IF('weather data'!D480&lt;'user input'!$C$2,'user input'!$C$2,'weather data'!D480)</f>
        <v>10</v>
      </c>
      <c r="E480">
        <f t="shared" si="8"/>
        <v>8.6111111111111107</v>
      </c>
      <c r="F480">
        <f>IF((E480-'user input'!$C$2)&lt;0,0,E480-'user input'!$C$2)</f>
        <v>0</v>
      </c>
      <c r="G480">
        <f>IF(B480&lt;'user input'!$C$5,0,(F480+G479))</f>
        <v>0</v>
      </c>
      <c r="H480">
        <f>G480/'user input'!$C$4</f>
        <v>0</v>
      </c>
    </row>
    <row r="481" spans="1:8" x14ac:dyDescent="0.2">
      <c r="A481" s="1">
        <v>40657</v>
      </c>
      <c r="B481">
        <v>114</v>
      </c>
      <c r="C481" s="6">
        <f>IF('weather data'!C481&gt;'user input'!$C$3,'user input'!$C$3,'weather data'!C481)</f>
        <v>14.444444444444445</v>
      </c>
      <c r="D481" s="6">
        <f>IF('weather data'!D481&lt;'user input'!$C$2,'user input'!$C$2,'weather data'!D481)</f>
        <v>10</v>
      </c>
      <c r="E481">
        <f t="shared" si="8"/>
        <v>12.222222222222221</v>
      </c>
      <c r="F481">
        <f>IF((E481-'user input'!$C$2)&lt;0,0,E481-'user input'!$C$2)</f>
        <v>2.2222222222222214</v>
      </c>
      <c r="G481">
        <f>IF(B481&lt;'user input'!$C$5,0,(F481+G480))</f>
        <v>0</v>
      </c>
      <c r="H481">
        <f>G481/'user input'!$C$4</f>
        <v>0</v>
      </c>
    </row>
    <row r="482" spans="1:8" x14ac:dyDescent="0.2">
      <c r="A482" s="1">
        <v>40658</v>
      </c>
      <c r="B482">
        <v>115</v>
      </c>
      <c r="C482" s="6">
        <f>IF('weather data'!C482&gt;'user input'!$C$3,'user input'!$C$3,'weather data'!C482)</f>
        <v>14.444444444444445</v>
      </c>
      <c r="D482" s="6">
        <f>IF('weather data'!D482&lt;'user input'!$C$2,'user input'!$C$2,'weather data'!D482)</f>
        <v>10</v>
      </c>
      <c r="E482">
        <f t="shared" si="8"/>
        <v>12.222222222222221</v>
      </c>
      <c r="F482">
        <f>IF((E482-'user input'!$C$2)&lt;0,0,E482-'user input'!$C$2)</f>
        <v>2.2222222222222214</v>
      </c>
      <c r="G482">
        <f>IF(B482&lt;'user input'!$C$5,0,(F482+G481))</f>
        <v>0</v>
      </c>
      <c r="H482">
        <f>G482/'user input'!$C$4</f>
        <v>0</v>
      </c>
    </row>
    <row r="483" spans="1:8" x14ac:dyDescent="0.2">
      <c r="A483" s="1">
        <v>40659</v>
      </c>
      <c r="B483">
        <v>116</v>
      </c>
      <c r="C483" s="6">
        <f>IF('weather data'!C483&gt;'user input'!$C$3,'user input'!$C$3,'weather data'!C483)</f>
        <v>17.777777777777779</v>
      </c>
      <c r="D483" s="6">
        <f>IF('weather data'!D483&lt;'user input'!$C$2,'user input'!$C$2,'weather data'!D483)</f>
        <v>10</v>
      </c>
      <c r="E483">
        <f t="shared" si="8"/>
        <v>13.888888888888889</v>
      </c>
      <c r="F483">
        <f>IF((E483-'user input'!$C$2)&lt;0,0,E483-'user input'!$C$2)</f>
        <v>3.8888888888888893</v>
      </c>
      <c r="G483">
        <f>IF(B483&lt;'user input'!$C$5,0,(F483+G482))</f>
        <v>0</v>
      </c>
      <c r="H483">
        <f>G483/'user input'!$C$4</f>
        <v>0</v>
      </c>
    </row>
    <row r="484" spans="1:8" x14ac:dyDescent="0.2">
      <c r="A484" s="1">
        <v>40660</v>
      </c>
      <c r="B484">
        <v>117</v>
      </c>
      <c r="C484" s="6">
        <f>IF('weather data'!C484&gt;'user input'!$C$3,'user input'!$C$3,'weather data'!C484)</f>
        <v>11.666666666666668</v>
      </c>
      <c r="D484" s="6">
        <f>IF('weather data'!D484&lt;'user input'!$C$2,'user input'!$C$2,'weather data'!D484)</f>
        <v>10</v>
      </c>
      <c r="E484">
        <f t="shared" si="8"/>
        <v>10.833333333333334</v>
      </c>
      <c r="F484">
        <f>IF((E484-'user input'!$C$2)&lt;0,0,E484-'user input'!$C$2)</f>
        <v>0.83333333333333393</v>
      </c>
      <c r="G484">
        <f>IF(B484&lt;'user input'!$C$5,0,(F484+G483))</f>
        <v>0</v>
      </c>
      <c r="H484">
        <f>G484/'user input'!$C$4</f>
        <v>0</v>
      </c>
    </row>
    <row r="485" spans="1:8" x14ac:dyDescent="0.2">
      <c r="A485" s="1">
        <v>40661</v>
      </c>
      <c r="B485">
        <v>118</v>
      </c>
      <c r="C485" s="6">
        <f>IF('weather data'!C485&gt;'user input'!$C$3,'user input'!$C$3,'weather data'!C485)</f>
        <v>7.2222222222222223</v>
      </c>
      <c r="D485" s="6">
        <f>IF('weather data'!D485&lt;'user input'!$C$2,'user input'!$C$2,'weather data'!D485)</f>
        <v>10</v>
      </c>
      <c r="E485">
        <f t="shared" si="8"/>
        <v>8.6111111111111107</v>
      </c>
      <c r="F485">
        <f>IF((E485-'user input'!$C$2)&lt;0,0,E485-'user input'!$C$2)</f>
        <v>0</v>
      </c>
      <c r="G485">
        <f>IF(B485&lt;'user input'!$C$5,0,(F485+G484))</f>
        <v>0</v>
      </c>
      <c r="H485">
        <f>G485/'user input'!$C$4</f>
        <v>0</v>
      </c>
    </row>
    <row r="486" spans="1:8" x14ac:dyDescent="0.2">
      <c r="A486" s="1">
        <v>40662</v>
      </c>
      <c r="B486">
        <v>119</v>
      </c>
      <c r="C486" s="6">
        <f>IF('weather data'!C486&gt;'user input'!$C$3,'user input'!$C$3,'weather data'!C486)</f>
        <v>6.1111111111111116</v>
      </c>
      <c r="D486" s="6">
        <f>IF('weather data'!D486&lt;'user input'!$C$2,'user input'!$C$2,'weather data'!D486)</f>
        <v>10</v>
      </c>
      <c r="E486">
        <f t="shared" si="8"/>
        <v>8.0555555555555554</v>
      </c>
      <c r="F486">
        <f>IF((E486-'user input'!$C$2)&lt;0,0,E486-'user input'!$C$2)</f>
        <v>0</v>
      </c>
      <c r="G486">
        <f>IF(B486&lt;'user input'!$C$5,0,(F486+G485))</f>
        <v>0</v>
      </c>
      <c r="H486">
        <f>G486/'user input'!$C$4</f>
        <v>0</v>
      </c>
    </row>
    <row r="487" spans="1:8" x14ac:dyDescent="0.2">
      <c r="A487" s="1">
        <v>40663</v>
      </c>
      <c r="B487">
        <v>120</v>
      </c>
      <c r="C487" s="6">
        <f>IF('weather data'!C487&gt;'user input'!$C$3,'user input'!$C$3,'weather data'!C487)</f>
        <v>17.777777777777779</v>
      </c>
      <c r="D487" s="6">
        <f>IF('weather data'!D487&lt;'user input'!$C$2,'user input'!$C$2,'weather data'!D487)</f>
        <v>10</v>
      </c>
      <c r="E487">
        <f t="shared" si="8"/>
        <v>13.888888888888889</v>
      </c>
      <c r="F487">
        <f>IF((E487-'user input'!$C$2)&lt;0,0,E487-'user input'!$C$2)</f>
        <v>3.8888888888888893</v>
      </c>
      <c r="G487">
        <f>IF(B487&lt;'user input'!$C$5,0,(F487+G486))</f>
        <v>0</v>
      </c>
      <c r="H487">
        <f>G487/'user input'!$C$4</f>
        <v>0</v>
      </c>
    </row>
    <row r="488" spans="1:8" x14ac:dyDescent="0.2">
      <c r="A488" s="1">
        <v>40664</v>
      </c>
      <c r="B488">
        <v>121</v>
      </c>
      <c r="C488" s="6">
        <f>IF('weather data'!C488&gt;'user input'!$C$3,'user input'!$C$3,'weather data'!C488)</f>
        <v>20.555555555555554</v>
      </c>
      <c r="D488" s="6">
        <f>IF('weather data'!D488&lt;'user input'!$C$2,'user input'!$C$2,'weather data'!D488)</f>
        <v>10</v>
      </c>
      <c r="E488">
        <f t="shared" si="8"/>
        <v>15.277777777777777</v>
      </c>
      <c r="F488">
        <f>IF((E488-'user input'!$C$2)&lt;0,0,E488-'user input'!$C$2)</f>
        <v>5.2777777777777768</v>
      </c>
      <c r="G488">
        <f>IF(B488&lt;'user input'!$C$5,0,(F488+G487))</f>
        <v>5.2777777777777768</v>
      </c>
      <c r="H488">
        <f>G488/'user input'!$C$4</f>
        <v>4.3981481481481476E-3</v>
      </c>
    </row>
    <row r="489" spans="1:8" x14ac:dyDescent="0.2">
      <c r="A489" s="1">
        <v>40665</v>
      </c>
      <c r="B489">
        <v>122</v>
      </c>
      <c r="C489" s="6">
        <f>IF('weather data'!C489&gt;'user input'!$C$3,'user input'!$C$3,'weather data'!C489)</f>
        <v>11.111111111111111</v>
      </c>
      <c r="D489" s="6">
        <f>IF('weather data'!D489&lt;'user input'!$C$2,'user input'!$C$2,'weather data'!D489)</f>
        <v>10</v>
      </c>
      <c r="E489">
        <f t="shared" si="8"/>
        <v>10.555555555555555</v>
      </c>
      <c r="F489">
        <f>IF((E489-'user input'!$C$2)&lt;0,0,E489-'user input'!$C$2)</f>
        <v>0.55555555555555536</v>
      </c>
      <c r="G489">
        <f>IF(B489&lt;'user input'!$C$5,0,(F489+G488))</f>
        <v>5.8333333333333321</v>
      </c>
      <c r="H489">
        <f>G489/'user input'!$C$4</f>
        <v>4.8611111111111103E-3</v>
      </c>
    </row>
    <row r="490" spans="1:8" x14ac:dyDescent="0.2">
      <c r="A490" s="1">
        <v>40666</v>
      </c>
      <c r="B490">
        <v>123</v>
      </c>
      <c r="C490" s="6">
        <f>IF('weather data'!C490&gt;'user input'!$C$3,'user input'!$C$3,'weather data'!C490)</f>
        <v>11.111111111111111</v>
      </c>
      <c r="D490" s="6">
        <f>IF('weather data'!D490&lt;'user input'!$C$2,'user input'!$C$2,'weather data'!D490)</f>
        <v>10</v>
      </c>
      <c r="E490">
        <f t="shared" si="8"/>
        <v>10.555555555555555</v>
      </c>
      <c r="F490">
        <f>IF((E490-'user input'!$C$2)&lt;0,0,E490-'user input'!$C$2)</f>
        <v>0.55555555555555536</v>
      </c>
      <c r="G490">
        <f>IF(B490&lt;'user input'!$C$5,0,(F490+G489))</f>
        <v>6.3888888888888875</v>
      </c>
      <c r="H490">
        <f>G490/'user input'!$C$4</f>
        <v>5.3240740740740731E-3</v>
      </c>
    </row>
    <row r="491" spans="1:8" x14ac:dyDescent="0.2">
      <c r="A491" s="1">
        <v>40667</v>
      </c>
      <c r="B491">
        <v>124</v>
      </c>
      <c r="C491" s="6">
        <f>IF('weather data'!C491&gt;'user input'!$C$3,'user input'!$C$3,'weather data'!C491)</f>
        <v>7.2222222222222223</v>
      </c>
      <c r="D491" s="6">
        <f>IF('weather data'!D491&lt;'user input'!$C$2,'user input'!$C$2,'weather data'!D491)</f>
        <v>10</v>
      </c>
      <c r="E491">
        <f t="shared" si="8"/>
        <v>8.6111111111111107</v>
      </c>
      <c r="F491">
        <f>IF((E491-'user input'!$C$2)&lt;0,0,E491-'user input'!$C$2)</f>
        <v>0</v>
      </c>
      <c r="G491">
        <f>IF(B491&lt;'user input'!$C$5,0,(F491+G490))</f>
        <v>6.3888888888888875</v>
      </c>
      <c r="H491">
        <f>G491/'user input'!$C$4</f>
        <v>5.3240740740740731E-3</v>
      </c>
    </row>
    <row r="492" spans="1:8" x14ac:dyDescent="0.2">
      <c r="A492" s="1">
        <v>40668</v>
      </c>
      <c r="B492">
        <v>125</v>
      </c>
      <c r="C492" s="6">
        <f>IF('weather data'!C492&gt;'user input'!$C$3,'user input'!$C$3,'weather data'!C492)</f>
        <v>16.666666666666668</v>
      </c>
      <c r="D492" s="6">
        <f>IF('weather data'!D492&lt;'user input'!$C$2,'user input'!$C$2,'weather data'!D492)</f>
        <v>10</v>
      </c>
      <c r="E492">
        <f t="shared" si="8"/>
        <v>13.333333333333334</v>
      </c>
      <c r="F492">
        <f>IF((E492-'user input'!$C$2)&lt;0,0,E492-'user input'!$C$2)</f>
        <v>3.3333333333333339</v>
      </c>
      <c r="G492">
        <f>IF(B492&lt;'user input'!$C$5,0,(F492+G491))</f>
        <v>9.7222222222222214</v>
      </c>
      <c r="H492">
        <f>G492/'user input'!$C$4</f>
        <v>8.1018518518518514E-3</v>
      </c>
    </row>
    <row r="493" spans="1:8" x14ac:dyDescent="0.2">
      <c r="A493" s="1">
        <v>40669</v>
      </c>
      <c r="B493">
        <v>126</v>
      </c>
      <c r="C493" s="6">
        <f>IF('weather data'!C493&gt;'user input'!$C$3,'user input'!$C$3,'weather data'!C493)</f>
        <v>14.444444444444445</v>
      </c>
      <c r="D493" s="6">
        <f>IF('weather data'!D493&lt;'user input'!$C$2,'user input'!$C$2,'weather data'!D493)</f>
        <v>10</v>
      </c>
      <c r="E493">
        <f t="shared" si="8"/>
        <v>12.222222222222221</v>
      </c>
      <c r="F493">
        <f>IF((E493-'user input'!$C$2)&lt;0,0,E493-'user input'!$C$2)</f>
        <v>2.2222222222222214</v>
      </c>
      <c r="G493">
        <f>IF(B493&lt;'user input'!$C$5,0,(F493+G492))</f>
        <v>11.944444444444443</v>
      </c>
      <c r="H493">
        <f>G493/'user input'!$C$4</f>
        <v>9.9537037037037025E-3</v>
      </c>
    </row>
    <row r="494" spans="1:8" x14ac:dyDescent="0.2">
      <c r="A494" s="1">
        <v>40670</v>
      </c>
      <c r="B494">
        <v>127</v>
      </c>
      <c r="C494" s="6">
        <f>IF('weather data'!C494&gt;'user input'!$C$3,'user input'!$C$3,'weather data'!C494)</f>
        <v>20</v>
      </c>
      <c r="D494" s="6">
        <f>IF('weather data'!D494&lt;'user input'!$C$2,'user input'!$C$2,'weather data'!D494)</f>
        <v>10</v>
      </c>
      <c r="E494">
        <f t="shared" si="8"/>
        <v>15</v>
      </c>
      <c r="F494">
        <f>IF((E494-'user input'!$C$2)&lt;0,0,E494-'user input'!$C$2)</f>
        <v>5</v>
      </c>
      <c r="G494">
        <f>IF(B494&lt;'user input'!$C$5,0,(F494+G493))</f>
        <v>16.944444444444443</v>
      </c>
      <c r="H494">
        <f>G494/'user input'!$C$4</f>
        <v>1.4120370370370368E-2</v>
      </c>
    </row>
    <row r="495" spans="1:8" x14ac:dyDescent="0.2">
      <c r="A495" s="1">
        <v>40671</v>
      </c>
      <c r="B495">
        <v>128</v>
      </c>
      <c r="C495" s="6">
        <f>IF('weather data'!C495&gt;'user input'!$C$3,'user input'!$C$3,'weather data'!C495)</f>
        <v>18.888888888888889</v>
      </c>
      <c r="D495" s="6">
        <f>IF('weather data'!D495&lt;'user input'!$C$2,'user input'!$C$2,'weather data'!D495)</f>
        <v>10</v>
      </c>
      <c r="E495">
        <f t="shared" si="8"/>
        <v>14.444444444444445</v>
      </c>
      <c r="F495">
        <f>IF((E495-'user input'!$C$2)&lt;0,0,E495-'user input'!$C$2)</f>
        <v>4.4444444444444446</v>
      </c>
      <c r="G495">
        <f>IF(B495&lt;'user input'!$C$5,0,(F495+G494))</f>
        <v>21.388888888888886</v>
      </c>
      <c r="H495">
        <f>G495/'user input'!$C$4</f>
        <v>1.7824074074074072E-2</v>
      </c>
    </row>
    <row r="496" spans="1:8" x14ac:dyDescent="0.2">
      <c r="A496" s="1">
        <v>40672</v>
      </c>
      <c r="B496">
        <v>129</v>
      </c>
      <c r="C496" s="6">
        <f>IF('weather data'!C496&gt;'user input'!$C$3,'user input'!$C$3,'weather data'!C496)</f>
        <v>21.666666666666664</v>
      </c>
      <c r="D496" s="6">
        <f>IF('weather data'!D496&lt;'user input'!$C$2,'user input'!$C$2,'weather data'!D496)</f>
        <v>10</v>
      </c>
      <c r="E496">
        <f t="shared" si="8"/>
        <v>15.833333333333332</v>
      </c>
      <c r="F496">
        <f>IF((E496-'user input'!$C$2)&lt;0,0,E496-'user input'!$C$2)</f>
        <v>5.8333333333333321</v>
      </c>
      <c r="G496">
        <f>IF(B496&lt;'user input'!$C$5,0,(F496+G495))</f>
        <v>27.222222222222218</v>
      </c>
      <c r="H496">
        <f>G496/'user input'!$C$4</f>
        <v>2.2685185185185183E-2</v>
      </c>
    </row>
    <row r="497" spans="1:8" x14ac:dyDescent="0.2">
      <c r="A497" s="1">
        <v>40673</v>
      </c>
      <c r="B497">
        <v>130</v>
      </c>
      <c r="C497" s="6">
        <f>IF('weather data'!C497&gt;'user input'!$C$3,'user input'!$C$3,'weather data'!C497)</f>
        <v>19.444444444444443</v>
      </c>
      <c r="D497" s="6">
        <f>IF('weather data'!D497&lt;'user input'!$C$2,'user input'!$C$2,'weather data'!D497)</f>
        <v>10.555555555555555</v>
      </c>
      <c r="E497">
        <f t="shared" si="8"/>
        <v>15</v>
      </c>
      <c r="F497">
        <f>IF((E497-'user input'!$C$2)&lt;0,0,E497-'user input'!$C$2)</f>
        <v>5</v>
      </c>
      <c r="G497">
        <f>IF(B497&lt;'user input'!$C$5,0,(F497+G496))</f>
        <v>32.222222222222214</v>
      </c>
      <c r="H497">
        <f>G497/'user input'!$C$4</f>
        <v>2.6851851851851846E-2</v>
      </c>
    </row>
    <row r="498" spans="1:8" x14ac:dyDescent="0.2">
      <c r="A498" s="1">
        <v>40674</v>
      </c>
      <c r="B498">
        <v>131</v>
      </c>
      <c r="C498" s="6">
        <f>IF('weather data'!C498&gt;'user input'!$C$3,'user input'!$C$3,'weather data'!C498)</f>
        <v>30</v>
      </c>
      <c r="D498" s="6">
        <f>IF('weather data'!D498&lt;'user input'!$C$2,'user input'!$C$2,'weather data'!D498)</f>
        <v>13.333333333333332</v>
      </c>
      <c r="E498">
        <f t="shared" si="8"/>
        <v>21.666666666666664</v>
      </c>
      <c r="F498">
        <f>IF((E498-'user input'!$C$2)&lt;0,0,E498-'user input'!$C$2)</f>
        <v>11.666666666666664</v>
      </c>
      <c r="G498">
        <f>IF(B498&lt;'user input'!$C$5,0,(F498+G497))</f>
        <v>43.888888888888879</v>
      </c>
      <c r="H498">
        <f>G498/'user input'!$C$4</f>
        <v>3.6574074074074064E-2</v>
      </c>
    </row>
    <row r="499" spans="1:8" x14ac:dyDescent="0.2">
      <c r="A499" s="1">
        <v>40675</v>
      </c>
      <c r="B499">
        <v>132</v>
      </c>
      <c r="C499" s="6">
        <f>IF('weather data'!C499&gt;'user input'!$C$3,'user input'!$C$3,'weather data'!C499)</f>
        <v>27.777777777777779</v>
      </c>
      <c r="D499" s="6">
        <f>IF('weather data'!D499&lt;'user input'!$C$2,'user input'!$C$2,'weather data'!D499)</f>
        <v>13.888888888888889</v>
      </c>
      <c r="E499">
        <f t="shared" si="8"/>
        <v>20.833333333333336</v>
      </c>
      <c r="F499">
        <f>IF((E499-'user input'!$C$2)&lt;0,0,E499-'user input'!$C$2)</f>
        <v>10.833333333333336</v>
      </c>
      <c r="G499">
        <f>IF(B499&lt;'user input'!$C$5,0,(F499+G498))</f>
        <v>54.722222222222214</v>
      </c>
      <c r="H499">
        <f>G499/'user input'!$C$4</f>
        <v>4.5601851851851845E-2</v>
      </c>
    </row>
    <row r="500" spans="1:8" x14ac:dyDescent="0.2">
      <c r="A500" s="1">
        <v>40676</v>
      </c>
      <c r="B500">
        <v>133</v>
      </c>
      <c r="C500" s="6">
        <f>IF('weather data'!C500&gt;'user input'!$C$3,'user input'!$C$3,'weather data'!C500)</f>
        <v>29.444444444444446</v>
      </c>
      <c r="D500" s="6">
        <f>IF('weather data'!D500&lt;'user input'!$C$2,'user input'!$C$2,'weather data'!D500)</f>
        <v>13.333333333333332</v>
      </c>
      <c r="E500">
        <f t="shared" si="8"/>
        <v>21.388888888888889</v>
      </c>
      <c r="F500">
        <f>IF((E500-'user input'!$C$2)&lt;0,0,E500-'user input'!$C$2)</f>
        <v>11.388888888888889</v>
      </c>
      <c r="G500">
        <f>IF(B500&lt;'user input'!$C$5,0,(F500+G499))</f>
        <v>66.1111111111111</v>
      </c>
      <c r="H500">
        <f>G500/'user input'!$C$4</f>
        <v>5.5092592592592582E-2</v>
      </c>
    </row>
    <row r="501" spans="1:8" x14ac:dyDescent="0.2">
      <c r="A501" s="1">
        <v>40677</v>
      </c>
      <c r="B501">
        <v>134</v>
      </c>
      <c r="C501" s="6">
        <f>IF('weather data'!C501&gt;'user input'!$C$3,'user input'!$C$3,'weather data'!C501)</f>
        <v>17.222222222222221</v>
      </c>
      <c r="D501" s="6">
        <f>IF('weather data'!D501&lt;'user input'!$C$2,'user input'!$C$2,'weather data'!D501)</f>
        <v>10</v>
      </c>
      <c r="E501">
        <f t="shared" si="8"/>
        <v>13.611111111111111</v>
      </c>
      <c r="F501">
        <f>IF((E501-'user input'!$C$2)&lt;0,0,E501-'user input'!$C$2)</f>
        <v>3.6111111111111107</v>
      </c>
      <c r="G501">
        <f>IF(B501&lt;'user input'!$C$5,0,(F501+G500))</f>
        <v>69.722222222222214</v>
      </c>
      <c r="H501">
        <f>G501/'user input'!$C$4</f>
        <v>5.8101851851851842E-2</v>
      </c>
    </row>
    <row r="502" spans="1:8" x14ac:dyDescent="0.2">
      <c r="A502" s="1">
        <v>40678</v>
      </c>
      <c r="B502">
        <v>135</v>
      </c>
      <c r="C502" s="6">
        <f>IF('weather data'!C502&gt;'user input'!$C$3,'user input'!$C$3,'weather data'!C502)</f>
        <v>17.222222222222221</v>
      </c>
      <c r="D502" s="6">
        <f>IF('weather data'!D502&lt;'user input'!$C$2,'user input'!$C$2,'weather data'!D502)</f>
        <v>10</v>
      </c>
      <c r="E502">
        <f t="shared" si="8"/>
        <v>13.611111111111111</v>
      </c>
      <c r="F502">
        <f>IF((E502-'user input'!$C$2)&lt;0,0,E502-'user input'!$C$2)</f>
        <v>3.6111111111111107</v>
      </c>
      <c r="G502">
        <f>IF(B502&lt;'user input'!$C$5,0,(F502+G501))</f>
        <v>73.333333333333329</v>
      </c>
      <c r="H502">
        <f>G502/'user input'!$C$4</f>
        <v>6.1111111111111109E-2</v>
      </c>
    </row>
    <row r="503" spans="1:8" x14ac:dyDescent="0.2">
      <c r="A503" s="1">
        <v>40679</v>
      </c>
      <c r="B503">
        <v>136</v>
      </c>
      <c r="C503" s="6">
        <f>IF('weather data'!C503&gt;'user input'!$C$3,'user input'!$C$3,'weather data'!C503)</f>
        <v>17.222222222222221</v>
      </c>
      <c r="D503" s="6">
        <f>IF('weather data'!D503&lt;'user input'!$C$2,'user input'!$C$2,'weather data'!D503)</f>
        <v>10</v>
      </c>
      <c r="E503">
        <f t="shared" si="8"/>
        <v>13.611111111111111</v>
      </c>
      <c r="F503">
        <f>IF((E503-'user input'!$C$2)&lt;0,0,E503-'user input'!$C$2)</f>
        <v>3.6111111111111107</v>
      </c>
      <c r="G503">
        <f>IF(B503&lt;'user input'!$C$5,0,(F503+G502))</f>
        <v>76.944444444444443</v>
      </c>
      <c r="H503">
        <f>G503/'user input'!$C$4</f>
        <v>6.4120370370370369E-2</v>
      </c>
    </row>
    <row r="504" spans="1:8" x14ac:dyDescent="0.2">
      <c r="A504" s="1">
        <v>40680</v>
      </c>
      <c r="B504">
        <v>137</v>
      </c>
      <c r="C504" s="6">
        <f>IF('weather data'!C504&gt;'user input'!$C$3,'user input'!$C$3,'weather data'!C504)</f>
        <v>16.666666666666668</v>
      </c>
      <c r="D504" s="6">
        <f>IF('weather data'!D504&lt;'user input'!$C$2,'user input'!$C$2,'weather data'!D504)</f>
        <v>10</v>
      </c>
      <c r="E504">
        <f t="shared" si="8"/>
        <v>13.333333333333334</v>
      </c>
      <c r="F504">
        <f>IF((E504-'user input'!$C$2)&lt;0,0,E504-'user input'!$C$2)</f>
        <v>3.3333333333333339</v>
      </c>
      <c r="G504">
        <f>IF(B504&lt;'user input'!$C$5,0,(F504+G503))</f>
        <v>80.277777777777771</v>
      </c>
      <c r="H504">
        <f>G504/'user input'!$C$4</f>
        <v>6.6898148148148137E-2</v>
      </c>
    </row>
    <row r="505" spans="1:8" x14ac:dyDescent="0.2">
      <c r="A505" s="1">
        <v>40681</v>
      </c>
      <c r="B505">
        <v>138</v>
      </c>
      <c r="C505" s="6">
        <f>IF('weather data'!C505&gt;'user input'!$C$3,'user input'!$C$3,'weather data'!C505)</f>
        <v>18.333333333333332</v>
      </c>
      <c r="D505" s="6">
        <f>IF('weather data'!D505&lt;'user input'!$C$2,'user input'!$C$2,'weather data'!D505)</f>
        <v>10</v>
      </c>
      <c r="E505">
        <f t="shared" si="8"/>
        <v>14.166666666666666</v>
      </c>
      <c r="F505">
        <f>IF((E505-'user input'!$C$2)&lt;0,0,E505-'user input'!$C$2)</f>
        <v>4.1666666666666661</v>
      </c>
      <c r="G505">
        <f>IF(B505&lt;'user input'!$C$5,0,(F505+G504))</f>
        <v>84.444444444444443</v>
      </c>
      <c r="H505">
        <f>G505/'user input'!$C$4</f>
        <v>7.0370370370370375E-2</v>
      </c>
    </row>
    <row r="506" spans="1:8" x14ac:dyDescent="0.2">
      <c r="A506" s="1">
        <v>40682</v>
      </c>
      <c r="B506">
        <v>139</v>
      </c>
      <c r="C506" s="6">
        <f>IF('weather data'!C506&gt;'user input'!$C$3,'user input'!$C$3,'weather data'!C506)</f>
        <v>14.444444444444445</v>
      </c>
      <c r="D506" s="6">
        <f>IF('weather data'!D506&lt;'user input'!$C$2,'user input'!$C$2,'weather data'!D506)</f>
        <v>10</v>
      </c>
      <c r="E506">
        <f t="shared" si="8"/>
        <v>12.222222222222221</v>
      </c>
      <c r="F506">
        <f>IF((E506-'user input'!$C$2)&lt;0,0,E506-'user input'!$C$2)</f>
        <v>2.2222222222222214</v>
      </c>
      <c r="G506">
        <f>IF(B506&lt;'user input'!$C$5,0,(F506+G505))</f>
        <v>86.666666666666657</v>
      </c>
      <c r="H506">
        <f>G506/'user input'!$C$4</f>
        <v>7.2222222222222215E-2</v>
      </c>
    </row>
    <row r="507" spans="1:8" x14ac:dyDescent="0.2">
      <c r="A507" s="1">
        <v>40683</v>
      </c>
      <c r="B507">
        <v>140</v>
      </c>
      <c r="C507" s="6">
        <f>IF('weather data'!C507&gt;'user input'!$C$3,'user input'!$C$3,'weather data'!C507)</f>
        <v>22.222222222222221</v>
      </c>
      <c r="D507" s="6">
        <f>IF('weather data'!D507&lt;'user input'!$C$2,'user input'!$C$2,'weather data'!D507)</f>
        <v>10</v>
      </c>
      <c r="E507">
        <f t="shared" si="8"/>
        <v>16.111111111111111</v>
      </c>
      <c r="F507">
        <f>IF((E507-'user input'!$C$2)&lt;0,0,E507-'user input'!$C$2)</f>
        <v>6.1111111111111107</v>
      </c>
      <c r="G507">
        <f>IF(B507&lt;'user input'!$C$5,0,(F507+G506))</f>
        <v>92.777777777777771</v>
      </c>
      <c r="H507">
        <f>G507/'user input'!$C$4</f>
        <v>7.7314814814814808E-2</v>
      </c>
    </row>
    <row r="508" spans="1:8" x14ac:dyDescent="0.2">
      <c r="A508" s="1">
        <v>40684</v>
      </c>
      <c r="B508">
        <v>141</v>
      </c>
      <c r="C508" s="6">
        <f>IF('weather data'!C508&gt;'user input'!$C$3,'user input'!$C$3,'weather data'!C508)</f>
        <v>25.555555555555554</v>
      </c>
      <c r="D508" s="6">
        <f>IF('weather data'!D508&lt;'user input'!$C$2,'user input'!$C$2,'weather data'!D508)</f>
        <v>11.111111111111111</v>
      </c>
      <c r="E508">
        <f t="shared" si="8"/>
        <v>18.333333333333332</v>
      </c>
      <c r="F508">
        <f>IF((E508-'user input'!$C$2)&lt;0,0,E508-'user input'!$C$2)</f>
        <v>8.3333333333333321</v>
      </c>
      <c r="G508">
        <f>IF(B508&lt;'user input'!$C$5,0,(F508+G507))</f>
        <v>101.1111111111111</v>
      </c>
      <c r="H508">
        <f>G508/'user input'!$C$4</f>
        <v>8.4259259259259256E-2</v>
      </c>
    </row>
    <row r="509" spans="1:8" x14ac:dyDescent="0.2">
      <c r="A509" s="1">
        <v>40685</v>
      </c>
      <c r="B509">
        <v>142</v>
      </c>
      <c r="C509" s="6">
        <f>IF('weather data'!C509&gt;'user input'!$C$3,'user input'!$C$3,'weather data'!C509)</f>
        <v>23.888888888888889</v>
      </c>
      <c r="D509" s="6">
        <f>IF('weather data'!D509&lt;'user input'!$C$2,'user input'!$C$2,'weather data'!D509)</f>
        <v>15.555555555555555</v>
      </c>
      <c r="E509">
        <f t="shared" si="8"/>
        <v>19.722222222222221</v>
      </c>
      <c r="F509">
        <f>IF((E509-'user input'!$C$2)&lt;0,0,E509-'user input'!$C$2)</f>
        <v>9.7222222222222214</v>
      </c>
      <c r="G509">
        <f>IF(B509&lt;'user input'!$C$5,0,(F509+G508))</f>
        <v>110.83333333333331</v>
      </c>
      <c r="H509">
        <f>G509/'user input'!$C$4</f>
        <v>9.2361111111111102E-2</v>
      </c>
    </row>
    <row r="510" spans="1:8" x14ac:dyDescent="0.2">
      <c r="A510" s="1">
        <v>40686</v>
      </c>
      <c r="B510">
        <v>143</v>
      </c>
      <c r="C510" s="6">
        <f>IF('weather data'!C510&gt;'user input'!$C$3,'user input'!$C$3,'weather data'!C510)</f>
        <v>28.333333333333336</v>
      </c>
      <c r="D510" s="6">
        <f>IF('weather data'!D510&lt;'user input'!$C$2,'user input'!$C$2,'weather data'!D510)</f>
        <v>14.444444444444445</v>
      </c>
      <c r="E510">
        <f t="shared" si="8"/>
        <v>21.388888888888889</v>
      </c>
      <c r="F510">
        <f>IF((E510-'user input'!$C$2)&lt;0,0,E510-'user input'!$C$2)</f>
        <v>11.388888888888889</v>
      </c>
      <c r="G510">
        <f>IF(B510&lt;'user input'!$C$5,0,(F510+G509))</f>
        <v>122.2222222222222</v>
      </c>
      <c r="H510">
        <f>G510/'user input'!$C$4</f>
        <v>0.10185185185185183</v>
      </c>
    </row>
    <row r="511" spans="1:8" x14ac:dyDescent="0.2">
      <c r="A511" s="1">
        <v>40687</v>
      </c>
      <c r="B511">
        <v>144</v>
      </c>
      <c r="C511" s="6">
        <f>IF('weather data'!C511&gt;'user input'!$C$3,'user input'!$C$3,'weather data'!C511)</f>
        <v>23.333333333333336</v>
      </c>
      <c r="D511" s="6">
        <f>IF('weather data'!D511&lt;'user input'!$C$2,'user input'!$C$2,'weather data'!D511)</f>
        <v>10.555555555555555</v>
      </c>
      <c r="E511">
        <f t="shared" si="8"/>
        <v>16.944444444444446</v>
      </c>
      <c r="F511">
        <f>IF((E511-'user input'!$C$2)&lt;0,0,E511-'user input'!$C$2)</f>
        <v>6.9444444444444464</v>
      </c>
      <c r="G511">
        <f>IF(B511&lt;'user input'!$C$5,0,(F511+G510))</f>
        <v>129.16666666666666</v>
      </c>
      <c r="H511">
        <f>G511/'user input'!$C$4</f>
        <v>0.10763888888888888</v>
      </c>
    </row>
    <row r="512" spans="1:8" x14ac:dyDescent="0.2">
      <c r="A512" s="1">
        <v>40688</v>
      </c>
      <c r="B512">
        <v>145</v>
      </c>
      <c r="C512" s="6">
        <f>IF('weather data'!C512&gt;'user input'!$C$3,'user input'!$C$3,'weather data'!C512)</f>
        <v>18.888888888888889</v>
      </c>
      <c r="D512" s="6">
        <f>IF('weather data'!D512&lt;'user input'!$C$2,'user input'!$C$2,'weather data'!D512)</f>
        <v>10</v>
      </c>
      <c r="E512">
        <f t="shared" si="8"/>
        <v>14.444444444444445</v>
      </c>
      <c r="F512">
        <f>IF((E512-'user input'!$C$2)&lt;0,0,E512-'user input'!$C$2)</f>
        <v>4.4444444444444446</v>
      </c>
      <c r="G512">
        <f>IF(B512&lt;'user input'!$C$5,0,(F512+G511))</f>
        <v>133.61111111111111</v>
      </c>
      <c r="H512">
        <f>G512/'user input'!$C$4</f>
        <v>0.11134259259259259</v>
      </c>
    </row>
    <row r="513" spans="1:8" x14ac:dyDescent="0.2">
      <c r="A513" s="1">
        <v>40689</v>
      </c>
      <c r="B513">
        <v>146</v>
      </c>
      <c r="C513" s="6">
        <f>IF('weather data'!C513&gt;'user input'!$C$3,'user input'!$C$3,'weather data'!C513)</f>
        <v>10.555555555555555</v>
      </c>
      <c r="D513" s="6">
        <f>IF('weather data'!D513&lt;'user input'!$C$2,'user input'!$C$2,'weather data'!D513)</f>
        <v>10</v>
      </c>
      <c r="E513">
        <f t="shared" si="8"/>
        <v>10.277777777777779</v>
      </c>
      <c r="F513">
        <f>IF((E513-'user input'!$C$2)&lt;0,0,E513-'user input'!$C$2)</f>
        <v>0.27777777777777857</v>
      </c>
      <c r="G513">
        <f>IF(B513&lt;'user input'!$C$5,0,(F513+G512))</f>
        <v>133.88888888888889</v>
      </c>
      <c r="H513">
        <f>G513/'user input'!$C$4</f>
        <v>0.11157407407407408</v>
      </c>
    </row>
    <row r="514" spans="1:8" x14ac:dyDescent="0.2">
      <c r="A514" s="1">
        <v>40690</v>
      </c>
      <c r="B514">
        <v>147</v>
      </c>
      <c r="C514" s="6">
        <f>IF('weather data'!C514&gt;'user input'!$C$3,'user input'!$C$3,'weather data'!C514)</f>
        <v>17.222222222222221</v>
      </c>
      <c r="D514" s="6">
        <f>IF('weather data'!D514&lt;'user input'!$C$2,'user input'!$C$2,'weather data'!D514)</f>
        <v>10</v>
      </c>
      <c r="E514">
        <f t="shared" si="8"/>
        <v>13.611111111111111</v>
      </c>
      <c r="F514">
        <f>IF((E514-'user input'!$C$2)&lt;0,0,E514-'user input'!$C$2)</f>
        <v>3.6111111111111107</v>
      </c>
      <c r="G514">
        <f>IF(B514&lt;'user input'!$C$5,0,(F514+G513))</f>
        <v>137.5</v>
      </c>
      <c r="H514">
        <f>G514/'user input'!$C$4</f>
        <v>0.11458333333333333</v>
      </c>
    </row>
    <row r="515" spans="1:8" x14ac:dyDescent="0.2">
      <c r="A515" s="1">
        <v>40691</v>
      </c>
      <c r="B515">
        <v>148</v>
      </c>
      <c r="C515" s="6">
        <f>IF('weather data'!C515&gt;'user input'!$C$3,'user input'!$C$3,'weather data'!C515)</f>
        <v>17.777777777777779</v>
      </c>
      <c r="D515" s="6">
        <f>IF('weather data'!D515&lt;'user input'!$C$2,'user input'!$C$2,'weather data'!D515)</f>
        <v>10</v>
      </c>
      <c r="E515">
        <f t="shared" si="8"/>
        <v>13.888888888888889</v>
      </c>
      <c r="F515">
        <f>IF((E515-'user input'!$C$2)&lt;0,0,E515-'user input'!$C$2)</f>
        <v>3.8888888888888893</v>
      </c>
      <c r="G515">
        <f>IF(B515&lt;'user input'!$C$5,0,(F515+G514))</f>
        <v>141.38888888888889</v>
      </c>
      <c r="H515">
        <f>G515/'user input'!$C$4</f>
        <v>0.11782407407407407</v>
      </c>
    </row>
    <row r="516" spans="1:8" x14ac:dyDescent="0.2">
      <c r="A516" s="1">
        <v>40692</v>
      </c>
      <c r="B516">
        <v>149</v>
      </c>
      <c r="C516" s="6">
        <f>IF('weather data'!C516&gt;'user input'!$C$3,'user input'!$C$3,'weather data'!C516)</f>
        <v>21.111111111111111</v>
      </c>
      <c r="D516" s="6">
        <f>IF('weather data'!D516&lt;'user input'!$C$2,'user input'!$C$2,'weather data'!D516)</f>
        <v>10</v>
      </c>
      <c r="E516">
        <f t="shared" si="8"/>
        <v>15.555555555555555</v>
      </c>
      <c r="F516">
        <f>IF((E516-'user input'!$C$2)&lt;0,0,E516-'user input'!$C$2)</f>
        <v>5.5555555555555554</v>
      </c>
      <c r="G516">
        <f>IF(B516&lt;'user input'!$C$5,0,(F516+G515))</f>
        <v>146.94444444444443</v>
      </c>
      <c r="H516">
        <f>G516/'user input'!$C$4</f>
        <v>0.12245370370370369</v>
      </c>
    </row>
    <row r="517" spans="1:8" x14ac:dyDescent="0.2">
      <c r="A517" s="1">
        <v>40693</v>
      </c>
      <c r="B517">
        <v>150</v>
      </c>
      <c r="C517" s="6">
        <f>IF('weather data'!C517&gt;'user input'!$C$3,'user input'!$C$3,'weather data'!C517)</f>
        <v>19.444444444444443</v>
      </c>
      <c r="D517" s="6">
        <f>IF('weather data'!D517&lt;'user input'!$C$2,'user input'!$C$2,'weather data'!D517)</f>
        <v>13.888888888888889</v>
      </c>
      <c r="E517">
        <f t="shared" si="8"/>
        <v>16.666666666666664</v>
      </c>
      <c r="F517">
        <f>IF((E517-'user input'!$C$2)&lt;0,0,E517-'user input'!$C$2)</f>
        <v>6.6666666666666643</v>
      </c>
      <c r="G517">
        <f>IF(B517&lt;'user input'!$C$5,0,(F517+G516))</f>
        <v>153.61111111111109</v>
      </c>
      <c r="H517">
        <f>G517/'user input'!$C$4</f>
        <v>0.12800925925925924</v>
      </c>
    </row>
    <row r="518" spans="1:8" x14ac:dyDescent="0.2">
      <c r="A518" s="1">
        <v>40694</v>
      </c>
      <c r="B518">
        <v>151</v>
      </c>
      <c r="C518" s="6">
        <f>IF('weather data'!C518&gt;'user input'!$C$3,'user input'!$C$3,'weather data'!C518)</f>
        <v>30</v>
      </c>
      <c r="D518" s="6">
        <f>IF('weather data'!D518&lt;'user input'!$C$2,'user input'!$C$2,'weather data'!D518)</f>
        <v>15</v>
      </c>
      <c r="E518">
        <f t="shared" si="8"/>
        <v>22.5</v>
      </c>
      <c r="F518">
        <f>IF((E518-'user input'!$C$2)&lt;0,0,E518-'user input'!$C$2)</f>
        <v>12.5</v>
      </c>
      <c r="G518">
        <f>IF(B518&lt;'user input'!$C$5,0,(F518+G517))</f>
        <v>166.11111111111109</v>
      </c>
      <c r="H518">
        <f>G518/'user input'!$C$4</f>
        <v>0.1384259259259259</v>
      </c>
    </row>
    <row r="519" spans="1:8" x14ac:dyDescent="0.2">
      <c r="A519" s="1">
        <v>40695</v>
      </c>
      <c r="B519">
        <v>152</v>
      </c>
      <c r="C519" s="6">
        <f>IF('weather data'!C519&gt;'user input'!$C$3,'user input'!$C$3,'weather data'!C519)</f>
        <v>27.777777777777779</v>
      </c>
      <c r="D519" s="6">
        <f>IF('weather data'!D519&lt;'user input'!$C$2,'user input'!$C$2,'weather data'!D519)</f>
        <v>11.666666666666668</v>
      </c>
      <c r="E519">
        <f t="shared" si="8"/>
        <v>19.722222222222221</v>
      </c>
      <c r="F519">
        <f>IF((E519-'user input'!$C$2)&lt;0,0,E519-'user input'!$C$2)</f>
        <v>9.7222222222222214</v>
      </c>
      <c r="G519">
        <f>IF(B519&lt;'user input'!$C$5,0,(F519+G518))</f>
        <v>175.83333333333331</v>
      </c>
      <c r="H519">
        <f>G519/'user input'!$C$4</f>
        <v>0.14652777777777776</v>
      </c>
    </row>
    <row r="520" spans="1:8" x14ac:dyDescent="0.2">
      <c r="A520" s="1">
        <v>40696</v>
      </c>
      <c r="B520">
        <v>153</v>
      </c>
      <c r="C520" s="6">
        <f>IF('weather data'!C520&gt;'user input'!$C$3,'user input'!$C$3,'weather data'!C520)</f>
        <v>25</v>
      </c>
      <c r="D520" s="6">
        <f>IF('weather data'!D520&lt;'user input'!$C$2,'user input'!$C$2,'weather data'!D520)</f>
        <v>11.666666666666668</v>
      </c>
      <c r="E520">
        <f t="shared" si="8"/>
        <v>18.333333333333336</v>
      </c>
      <c r="F520">
        <f>IF((E520-'user input'!$C$2)&lt;0,0,E520-'user input'!$C$2)</f>
        <v>8.3333333333333357</v>
      </c>
      <c r="G520">
        <f>IF(B520&lt;'user input'!$C$5,0,(F520+G519))</f>
        <v>184.16666666666666</v>
      </c>
      <c r="H520">
        <f>G520/'user input'!$C$4</f>
        <v>0.1534722222222222</v>
      </c>
    </row>
    <row r="521" spans="1:8" x14ac:dyDescent="0.2">
      <c r="A521" s="1">
        <v>40697</v>
      </c>
      <c r="B521">
        <v>154</v>
      </c>
      <c r="C521" s="6">
        <f>IF('weather data'!C521&gt;'user input'!$C$3,'user input'!$C$3,'weather data'!C521)</f>
        <v>22.777777777777779</v>
      </c>
      <c r="D521" s="6">
        <f>IF('weather data'!D521&lt;'user input'!$C$2,'user input'!$C$2,'weather data'!D521)</f>
        <v>12.777777777777777</v>
      </c>
      <c r="E521">
        <f t="shared" si="8"/>
        <v>17.777777777777779</v>
      </c>
      <c r="F521">
        <f>IF((E521-'user input'!$C$2)&lt;0,0,E521-'user input'!$C$2)</f>
        <v>7.7777777777777786</v>
      </c>
      <c r="G521">
        <f>IF(B521&lt;'user input'!$C$5,0,(F521+G520))</f>
        <v>191.94444444444443</v>
      </c>
      <c r="H521">
        <f>G521/'user input'!$C$4</f>
        <v>0.15995370370370368</v>
      </c>
    </row>
    <row r="522" spans="1:8" x14ac:dyDescent="0.2">
      <c r="A522" s="1">
        <v>40698</v>
      </c>
      <c r="B522">
        <v>155</v>
      </c>
      <c r="C522" s="6">
        <f>IF('weather data'!C522&gt;'user input'!$C$3,'user input'!$C$3,'weather data'!C522)</f>
        <v>30</v>
      </c>
      <c r="D522" s="6">
        <f>IF('weather data'!D522&lt;'user input'!$C$2,'user input'!$C$2,'weather data'!D522)</f>
        <v>20</v>
      </c>
      <c r="E522">
        <f t="shared" si="8"/>
        <v>25</v>
      </c>
      <c r="F522">
        <f>IF((E522-'user input'!$C$2)&lt;0,0,E522-'user input'!$C$2)</f>
        <v>15</v>
      </c>
      <c r="G522">
        <f>IF(B522&lt;'user input'!$C$5,0,(F522+G521))</f>
        <v>206.94444444444443</v>
      </c>
      <c r="H522">
        <f>G522/'user input'!$C$4</f>
        <v>0.17245370370370369</v>
      </c>
    </row>
    <row r="523" spans="1:8" x14ac:dyDescent="0.2">
      <c r="A523" s="1">
        <v>40699</v>
      </c>
      <c r="B523">
        <v>156</v>
      </c>
      <c r="C523" s="6">
        <f>IF('weather data'!C523&gt;'user input'!$C$3,'user input'!$C$3,'weather data'!C523)</f>
        <v>30</v>
      </c>
      <c r="D523" s="6">
        <f>IF('weather data'!D523&lt;'user input'!$C$2,'user input'!$C$2,'weather data'!D523)</f>
        <v>12.777777777777777</v>
      </c>
      <c r="E523">
        <f t="shared" si="8"/>
        <v>21.388888888888889</v>
      </c>
      <c r="F523">
        <f>IF((E523-'user input'!$C$2)&lt;0,0,E523-'user input'!$C$2)</f>
        <v>11.388888888888889</v>
      </c>
      <c r="G523">
        <f>IF(B523&lt;'user input'!$C$5,0,(F523+G522))</f>
        <v>218.33333333333331</v>
      </c>
      <c r="H523">
        <f>G523/'user input'!$C$4</f>
        <v>0.18194444444444444</v>
      </c>
    </row>
    <row r="524" spans="1:8" x14ac:dyDescent="0.2">
      <c r="A524" s="1">
        <v>40700</v>
      </c>
      <c r="B524">
        <v>157</v>
      </c>
      <c r="C524" s="6">
        <f>IF('weather data'!C524&gt;'user input'!$C$3,'user input'!$C$3,'weather data'!C524)</f>
        <v>30</v>
      </c>
      <c r="D524" s="6">
        <f>IF('weather data'!D524&lt;'user input'!$C$2,'user input'!$C$2,'weather data'!D524)</f>
        <v>16.111111111111111</v>
      </c>
      <c r="E524">
        <f t="shared" si="8"/>
        <v>23.055555555555557</v>
      </c>
      <c r="F524">
        <f>IF((E524-'user input'!$C$2)&lt;0,0,E524-'user input'!$C$2)</f>
        <v>13.055555555555557</v>
      </c>
      <c r="G524">
        <f>IF(B524&lt;'user input'!$C$5,0,(F524+G523))</f>
        <v>231.38888888888886</v>
      </c>
      <c r="H524">
        <f>G524/'user input'!$C$4</f>
        <v>0.19282407407407404</v>
      </c>
    </row>
    <row r="525" spans="1:8" x14ac:dyDescent="0.2">
      <c r="A525" s="1">
        <v>40701</v>
      </c>
      <c r="B525">
        <v>158</v>
      </c>
      <c r="C525" s="6">
        <f>IF('weather data'!C525&gt;'user input'!$C$3,'user input'!$C$3,'weather data'!C525)</f>
        <v>30</v>
      </c>
      <c r="D525" s="6">
        <f>IF('weather data'!D525&lt;'user input'!$C$2,'user input'!$C$2,'weather data'!D525)</f>
        <v>16.666666666666668</v>
      </c>
      <c r="E525">
        <f t="shared" si="8"/>
        <v>23.333333333333336</v>
      </c>
      <c r="F525">
        <f>IF((E525-'user input'!$C$2)&lt;0,0,E525-'user input'!$C$2)</f>
        <v>13.333333333333336</v>
      </c>
      <c r="G525">
        <f>IF(B525&lt;'user input'!$C$5,0,(F525+G524))</f>
        <v>244.7222222222222</v>
      </c>
      <c r="H525">
        <f>G525/'user input'!$C$4</f>
        <v>0.20393518518518516</v>
      </c>
    </row>
    <row r="526" spans="1:8" x14ac:dyDescent="0.2">
      <c r="A526" s="1">
        <v>40702</v>
      </c>
      <c r="B526">
        <v>159</v>
      </c>
      <c r="C526" s="6">
        <f>IF('weather data'!C526&gt;'user input'!$C$3,'user input'!$C$3,'weather data'!C526)</f>
        <v>30</v>
      </c>
      <c r="D526" s="6">
        <f>IF('weather data'!D526&lt;'user input'!$C$2,'user input'!$C$2,'weather data'!D526)</f>
        <v>22.777777777777779</v>
      </c>
      <c r="E526">
        <f t="shared" si="8"/>
        <v>26.388888888888889</v>
      </c>
      <c r="F526">
        <f>IF((E526-'user input'!$C$2)&lt;0,0,E526-'user input'!$C$2)</f>
        <v>16.388888888888889</v>
      </c>
      <c r="G526">
        <f>IF(B526&lt;'user input'!$C$5,0,(F526+G525))</f>
        <v>261.11111111111109</v>
      </c>
      <c r="H526">
        <f>G526/'user input'!$C$4</f>
        <v>0.21759259259259256</v>
      </c>
    </row>
    <row r="527" spans="1:8" x14ac:dyDescent="0.2">
      <c r="A527" s="1">
        <v>40703</v>
      </c>
      <c r="B527">
        <v>160</v>
      </c>
      <c r="C527" s="6">
        <f>IF('weather data'!C527&gt;'user input'!$C$3,'user input'!$C$3,'weather data'!C527)</f>
        <v>30</v>
      </c>
      <c r="D527" s="6">
        <f>IF('weather data'!D527&lt;'user input'!$C$2,'user input'!$C$2,'weather data'!D527)</f>
        <v>16.111111111111111</v>
      </c>
      <c r="E527">
        <f t="shared" si="8"/>
        <v>23.055555555555557</v>
      </c>
      <c r="F527">
        <f>IF((E527-'user input'!$C$2)&lt;0,0,E527-'user input'!$C$2)</f>
        <v>13.055555555555557</v>
      </c>
      <c r="G527">
        <f>IF(B527&lt;'user input'!$C$5,0,(F527+G526))</f>
        <v>274.16666666666663</v>
      </c>
      <c r="H527">
        <f>G527/'user input'!$C$4</f>
        <v>0.22847222222222219</v>
      </c>
    </row>
    <row r="528" spans="1:8" x14ac:dyDescent="0.2">
      <c r="A528" s="1">
        <v>40704</v>
      </c>
      <c r="B528">
        <v>161</v>
      </c>
      <c r="C528" s="6">
        <f>IF('weather data'!C528&gt;'user input'!$C$3,'user input'!$C$3,'weather data'!C528)</f>
        <v>16.666666666666668</v>
      </c>
      <c r="D528" s="6">
        <f>IF('weather data'!D528&lt;'user input'!$C$2,'user input'!$C$2,'weather data'!D528)</f>
        <v>10</v>
      </c>
      <c r="E528">
        <f t="shared" si="8"/>
        <v>13.333333333333334</v>
      </c>
      <c r="F528">
        <f>IF((E528-'user input'!$C$2)&lt;0,0,E528-'user input'!$C$2)</f>
        <v>3.3333333333333339</v>
      </c>
      <c r="G528">
        <f>IF(B528&lt;'user input'!$C$5,0,(F528+G527))</f>
        <v>277.49999999999994</v>
      </c>
      <c r="H528">
        <f>G528/'user input'!$C$4</f>
        <v>0.23124999999999996</v>
      </c>
    </row>
    <row r="529" spans="1:8" x14ac:dyDescent="0.2">
      <c r="A529" s="1">
        <v>40705</v>
      </c>
      <c r="B529">
        <v>162</v>
      </c>
      <c r="C529" s="6">
        <f>IF('weather data'!C529&gt;'user input'!$C$3,'user input'!$C$3,'weather data'!C529)</f>
        <v>16.666666666666668</v>
      </c>
      <c r="D529" s="6">
        <f>IF('weather data'!D529&lt;'user input'!$C$2,'user input'!$C$2,'weather data'!D529)</f>
        <v>10</v>
      </c>
      <c r="E529">
        <f t="shared" si="8"/>
        <v>13.333333333333334</v>
      </c>
      <c r="F529">
        <f>IF((E529-'user input'!$C$2)&lt;0,0,E529-'user input'!$C$2)</f>
        <v>3.3333333333333339</v>
      </c>
      <c r="G529">
        <f>IF(B529&lt;'user input'!$C$5,0,(F529+G528))</f>
        <v>280.83333333333326</v>
      </c>
      <c r="H529">
        <f>G529/'user input'!$C$4</f>
        <v>0.23402777777777772</v>
      </c>
    </row>
    <row r="530" spans="1:8" x14ac:dyDescent="0.2">
      <c r="A530" s="1">
        <v>40706</v>
      </c>
      <c r="B530">
        <v>163</v>
      </c>
      <c r="C530" s="6">
        <f>IF('weather data'!C530&gt;'user input'!$C$3,'user input'!$C$3,'weather data'!C530)</f>
        <v>17.777777777777779</v>
      </c>
      <c r="D530" s="6">
        <f>IF('weather data'!D530&lt;'user input'!$C$2,'user input'!$C$2,'weather data'!D530)</f>
        <v>10</v>
      </c>
      <c r="E530">
        <f t="shared" ref="E530:E593" si="9">(C530+D530)/2</f>
        <v>13.888888888888889</v>
      </c>
      <c r="F530">
        <f>IF((E530-'user input'!$C$2)&lt;0,0,E530-'user input'!$C$2)</f>
        <v>3.8888888888888893</v>
      </c>
      <c r="G530">
        <f>IF(B530&lt;'user input'!$C$5,0,(F530+G529))</f>
        <v>284.72222222222217</v>
      </c>
      <c r="H530">
        <f>G530/'user input'!$C$4</f>
        <v>0.23726851851851849</v>
      </c>
    </row>
    <row r="531" spans="1:8" x14ac:dyDescent="0.2">
      <c r="A531" s="1">
        <v>40707</v>
      </c>
      <c r="B531">
        <v>164</v>
      </c>
      <c r="C531" s="6">
        <f>IF('weather data'!C531&gt;'user input'!$C$3,'user input'!$C$3,'weather data'!C531)</f>
        <v>20</v>
      </c>
      <c r="D531" s="6">
        <f>IF('weather data'!D531&lt;'user input'!$C$2,'user input'!$C$2,'weather data'!D531)</f>
        <v>12.777777777777777</v>
      </c>
      <c r="E531">
        <f t="shared" si="9"/>
        <v>16.388888888888889</v>
      </c>
      <c r="F531">
        <f>IF((E531-'user input'!$C$2)&lt;0,0,E531-'user input'!$C$2)</f>
        <v>6.3888888888888893</v>
      </c>
      <c r="G531">
        <f>IF(B531&lt;'user input'!$C$5,0,(F531+G530))</f>
        <v>291.11111111111109</v>
      </c>
      <c r="H531">
        <f>G531/'user input'!$C$4</f>
        <v>0.24259259259259258</v>
      </c>
    </row>
    <row r="532" spans="1:8" x14ac:dyDescent="0.2">
      <c r="A532" s="1">
        <v>40708</v>
      </c>
      <c r="B532">
        <v>165</v>
      </c>
      <c r="C532" s="6">
        <f>IF('weather data'!C532&gt;'user input'!$C$3,'user input'!$C$3,'weather data'!C532)</f>
        <v>23.888888888888889</v>
      </c>
      <c r="D532" s="6">
        <f>IF('weather data'!D532&lt;'user input'!$C$2,'user input'!$C$2,'weather data'!D532)</f>
        <v>10</v>
      </c>
      <c r="E532">
        <f t="shared" si="9"/>
        <v>16.944444444444443</v>
      </c>
      <c r="F532">
        <f>IF((E532-'user input'!$C$2)&lt;0,0,E532-'user input'!$C$2)</f>
        <v>6.9444444444444429</v>
      </c>
      <c r="G532">
        <f>IF(B532&lt;'user input'!$C$5,0,(F532+G531))</f>
        <v>298.05555555555554</v>
      </c>
      <c r="H532">
        <f>G532/'user input'!$C$4</f>
        <v>0.24837962962962962</v>
      </c>
    </row>
    <row r="533" spans="1:8" x14ac:dyDescent="0.2">
      <c r="A533" s="1">
        <v>40709</v>
      </c>
      <c r="B533">
        <v>166</v>
      </c>
      <c r="C533" s="6">
        <f>IF('weather data'!C533&gt;'user input'!$C$3,'user input'!$C$3,'weather data'!C533)</f>
        <v>25.555555555555554</v>
      </c>
      <c r="D533" s="6">
        <f>IF('weather data'!D533&lt;'user input'!$C$2,'user input'!$C$2,'weather data'!D533)</f>
        <v>11.111111111111111</v>
      </c>
      <c r="E533">
        <f t="shared" si="9"/>
        <v>18.333333333333332</v>
      </c>
      <c r="F533">
        <f>IF((E533-'user input'!$C$2)&lt;0,0,E533-'user input'!$C$2)</f>
        <v>8.3333333333333321</v>
      </c>
      <c r="G533">
        <f>IF(B533&lt;'user input'!$C$5,0,(F533+G532))</f>
        <v>306.38888888888886</v>
      </c>
      <c r="H533">
        <f>G533/'user input'!$C$4</f>
        <v>0.25532407407407404</v>
      </c>
    </row>
    <row r="534" spans="1:8" x14ac:dyDescent="0.2">
      <c r="A534" s="1">
        <v>40710</v>
      </c>
      <c r="B534">
        <v>167</v>
      </c>
      <c r="C534" s="6">
        <f>IF('weather data'!C534&gt;'user input'!$C$3,'user input'!$C$3,'weather data'!C534)</f>
        <v>18.888888888888889</v>
      </c>
      <c r="D534" s="6">
        <f>IF('weather data'!D534&lt;'user input'!$C$2,'user input'!$C$2,'weather data'!D534)</f>
        <v>11.111111111111111</v>
      </c>
      <c r="E534">
        <f t="shared" si="9"/>
        <v>15</v>
      </c>
      <c r="F534">
        <f>IF((E534-'user input'!$C$2)&lt;0,0,E534-'user input'!$C$2)</f>
        <v>5</v>
      </c>
      <c r="G534">
        <f>IF(B534&lt;'user input'!$C$5,0,(F534+G533))</f>
        <v>311.38888888888886</v>
      </c>
      <c r="H534">
        <f>G534/'user input'!$C$4</f>
        <v>0.25949074074074069</v>
      </c>
    </row>
    <row r="535" spans="1:8" x14ac:dyDescent="0.2">
      <c r="A535" s="1">
        <v>40711</v>
      </c>
      <c r="B535">
        <v>168</v>
      </c>
      <c r="C535" s="6">
        <f>IF('weather data'!C535&gt;'user input'!$C$3,'user input'!$C$3,'weather data'!C535)</f>
        <v>27.777777777777779</v>
      </c>
      <c r="D535" s="6">
        <f>IF('weather data'!D535&lt;'user input'!$C$2,'user input'!$C$2,'weather data'!D535)</f>
        <v>13.333333333333332</v>
      </c>
      <c r="E535">
        <f t="shared" si="9"/>
        <v>20.555555555555557</v>
      </c>
      <c r="F535">
        <f>IF((E535-'user input'!$C$2)&lt;0,0,E535-'user input'!$C$2)</f>
        <v>10.555555555555557</v>
      </c>
      <c r="G535">
        <f>IF(B535&lt;'user input'!$C$5,0,(F535+G534))</f>
        <v>321.9444444444444</v>
      </c>
      <c r="H535">
        <f>G535/'user input'!$C$4</f>
        <v>0.26828703703703699</v>
      </c>
    </row>
    <row r="536" spans="1:8" x14ac:dyDescent="0.2">
      <c r="A536" s="1">
        <v>40712</v>
      </c>
      <c r="B536">
        <v>169</v>
      </c>
      <c r="C536" s="6">
        <f>IF('weather data'!C536&gt;'user input'!$C$3,'user input'!$C$3,'weather data'!C536)</f>
        <v>27.777777777777779</v>
      </c>
      <c r="D536" s="6">
        <f>IF('weather data'!D536&lt;'user input'!$C$2,'user input'!$C$2,'weather data'!D536)</f>
        <v>17.222222222222221</v>
      </c>
      <c r="E536">
        <f t="shared" si="9"/>
        <v>22.5</v>
      </c>
      <c r="F536">
        <f>IF((E536-'user input'!$C$2)&lt;0,0,E536-'user input'!$C$2)</f>
        <v>12.5</v>
      </c>
      <c r="G536">
        <f>IF(B536&lt;'user input'!$C$5,0,(F536+G535))</f>
        <v>334.4444444444444</v>
      </c>
      <c r="H536">
        <f>G536/'user input'!$C$4</f>
        <v>0.27870370370370368</v>
      </c>
    </row>
    <row r="537" spans="1:8" x14ac:dyDescent="0.2">
      <c r="A537" s="1">
        <v>40713</v>
      </c>
      <c r="B537">
        <v>170</v>
      </c>
      <c r="C537" s="6">
        <f>IF('weather data'!C537&gt;'user input'!$C$3,'user input'!$C$3,'weather data'!C537)</f>
        <v>27.222222222222221</v>
      </c>
      <c r="D537" s="6">
        <f>IF('weather data'!D537&lt;'user input'!$C$2,'user input'!$C$2,'weather data'!D537)</f>
        <v>16.666666666666668</v>
      </c>
      <c r="E537">
        <f t="shared" si="9"/>
        <v>21.944444444444443</v>
      </c>
      <c r="F537">
        <f>IF((E537-'user input'!$C$2)&lt;0,0,E537-'user input'!$C$2)</f>
        <v>11.944444444444443</v>
      </c>
      <c r="G537">
        <f>IF(B537&lt;'user input'!$C$5,0,(F537+G536))</f>
        <v>346.38888888888886</v>
      </c>
      <c r="H537">
        <f>G537/'user input'!$C$4</f>
        <v>0.28865740740740736</v>
      </c>
    </row>
    <row r="538" spans="1:8" x14ac:dyDescent="0.2">
      <c r="A538" s="1">
        <v>40714</v>
      </c>
      <c r="B538">
        <v>171</v>
      </c>
      <c r="C538" s="6">
        <f>IF('weather data'!C538&gt;'user input'!$C$3,'user input'!$C$3,'weather data'!C538)</f>
        <v>26.111111111111111</v>
      </c>
      <c r="D538" s="6">
        <f>IF('weather data'!D538&lt;'user input'!$C$2,'user input'!$C$2,'weather data'!D538)</f>
        <v>17.222222222222221</v>
      </c>
      <c r="E538">
        <f t="shared" si="9"/>
        <v>21.666666666666664</v>
      </c>
      <c r="F538">
        <f>IF((E538-'user input'!$C$2)&lt;0,0,E538-'user input'!$C$2)</f>
        <v>11.666666666666664</v>
      </c>
      <c r="G538">
        <f>IF(B538&lt;'user input'!$C$5,0,(F538+G537))</f>
        <v>358.05555555555554</v>
      </c>
      <c r="H538">
        <f>G538/'user input'!$C$4</f>
        <v>0.29837962962962961</v>
      </c>
    </row>
    <row r="539" spans="1:8" x14ac:dyDescent="0.2">
      <c r="A539" s="1">
        <v>40715</v>
      </c>
      <c r="B539">
        <v>172</v>
      </c>
      <c r="C539" s="6">
        <f>IF('weather data'!C539&gt;'user input'!$C$3,'user input'!$C$3,'weather data'!C539)</f>
        <v>22.777777777777779</v>
      </c>
      <c r="D539" s="6">
        <f>IF('weather data'!D539&lt;'user input'!$C$2,'user input'!$C$2,'weather data'!D539)</f>
        <v>17.222222222222221</v>
      </c>
      <c r="E539">
        <f t="shared" si="9"/>
        <v>20</v>
      </c>
      <c r="F539">
        <f>IF((E539-'user input'!$C$2)&lt;0,0,E539-'user input'!$C$2)</f>
        <v>10</v>
      </c>
      <c r="G539">
        <f>IF(B539&lt;'user input'!$C$5,0,(F539+G538))</f>
        <v>368.05555555555554</v>
      </c>
      <c r="H539">
        <f>G539/'user input'!$C$4</f>
        <v>0.30671296296296297</v>
      </c>
    </row>
    <row r="540" spans="1:8" x14ac:dyDescent="0.2">
      <c r="A540" s="1">
        <v>40716</v>
      </c>
      <c r="B540">
        <v>173</v>
      </c>
      <c r="C540" s="6">
        <f>IF('weather data'!C540&gt;'user input'!$C$3,'user input'!$C$3,'weather data'!C540)</f>
        <v>30</v>
      </c>
      <c r="D540" s="6">
        <f>IF('weather data'!D540&lt;'user input'!$C$2,'user input'!$C$2,'weather data'!D540)</f>
        <v>18.888888888888889</v>
      </c>
      <c r="E540">
        <f t="shared" si="9"/>
        <v>24.444444444444443</v>
      </c>
      <c r="F540">
        <f>IF((E540-'user input'!$C$2)&lt;0,0,E540-'user input'!$C$2)</f>
        <v>14.444444444444443</v>
      </c>
      <c r="G540">
        <f>IF(B540&lt;'user input'!$C$5,0,(F540+G539))</f>
        <v>382.5</v>
      </c>
      <c r="H540">
        <f>G540/'user input'!$C$4</f>
        <v>0.31874999999999998</v>
      </c>
    </row>
    <row r="541" spans="1:8" x14ac:dyDescent="0.2">
      <c r="A541" s="1">
        <v>40717</v>
      </c>
      <c r="B541">
        <v>174</v>
      </c>
      <c r="C541" s="6">
        <f>IF('weather data'!C541&gt;'user input'!$C$3,'user input'!$C$3,'weather data'!C541)</f>
        <v>23.333333333333336</v>
      </c>
      <c r="D541" s="6">
        <f>IF('weather data'!D541&lt;'user input'!$C$2,'user input'!$C$2,'weather data'!D541)</f>
        <v>17.222222222222221</v>
      </c>
      <c r="E541">
        <f t="shared" si="9"/>
        <v>20.277777777777779</v>
      </c>
      <c r="F541">
        <f>IF((E541-'user input'!$C$2)&lt;0,0,E541-'user input'!$C$2)</f>
        <v>10.277777777777779</v>
      </c>
      <c r="G541">
        <f>IF(B541&lt;'user input'!$C$5,0,(F541+G540))</f>
        <v>392.77777777777777</v>
      </c>
      <c r="H541">
        <f>G541/'user input'!$C$4</f>
        <v>0.32731481481481484</v>
      </c>
    </row>
    <row r="542" spans="1:8" x14ac:dyDescent="0.2">
      <c r="A542" s="1">
        <v>40718</v>
      </c>
      <c r="B542">
        <v>175</v>
      </c>
      <c r="C542" s="6">
        <f>IF('weather data'!C542&gt;'user input'!$C$3,'user input'!$C$3,'weather data'!C542)</f>
        <v>17.222222222222221</v>
      </c>
      <c r="D542" s="6">
        <f>IF('weather data'!D542&lt;'user input'!$C$2,'user input'!$C$2,'weather data'!D542)</f>
        <v>13.888888888888889</v>
      </c>
      <c r="E542">
        <f t="shared" si="9"/>
        <v>15.555555555555555</v>
      </c>
      <c r="F542">
        <f>IF((E542-'user input'!$C$2)&lt;0,0,E542-'user input'!$C$2)</f>
        <v>5.5555555555555554</v>
      </c>
      <c r="G542">
        <f>IF(B542&lt;'user input'!$C$5,0,(F542+G541))</f>
        <v>398.33333333333331</v>
      </c>
      <c r="H542">
        <f>G542/'user input'!$C$4</f>
        <v>0.33194444444444443</v>
      </c>
    </row>
    <row r="543" spans="1:8" x14ac:dyDescent="0.2">
      <c r="A543" s="1">
        <v>40719</v>
      </c>
      <c r="B543">
        <v>176</v>
      </c>
      <c r="C543" s="6">
        <f>IF('weather data'!C543&gt;'user input'!$C$3,'user input'!$C$3,'weather data'!C543)</f>
        <v>22.777777777777779</v>
      </c>
      <c r="D543" s="6">
        <f>IF('weather data'!D543&lt;'user input'!$C$2,'user input'!$C$2,'weather data'!D543)</f>
        <v>11.666666666666668</v>
      </c>
      <c r="E543">
        <f t="shared" si="9"/>
        <v>17.222222222222221</v>
      </c>
      <c r="F543">
        <f>IF((E543-'user input'!$C$2)&lt;0,0,E543-'user input'!$C$2)</f>
        <v>7.2222222222222214</v>
      </c>
      <c r="G543">
        <f>IF(B543&lt;'user input'!$C$5,0,(F543+G542))</f>
        <v>405.55555555555554</v>
      </c>
      <c r="H543">
        <f>G543/'user input'!$C$4</f>
        <v>0.33796296296296297</v>
      </c>
    </row>
    <row r="544" spans="1:8" x14ac:dyDescent="0.2">
      <c r="A544" s="1">
        <v>40720</v>
      </c>
      <c r="B544">
        <v>177</v>
      </c>
      <c r="C544" s="6">
        <f>IF('weather data'!C544&gt;'user input'!$C$3,'user input'!$C$3,'weather data'!C544)</f>
        <v>24.444444444444446</v>
      </c>
      <c r="D544" s="6">
        <f>IF('weather data'!D544&lt;'user input'!$C$2,'user input'!$C$2,'weather data'!D544)</f>
        <v>12.777777777777777</v>
      </c>
      <c r="E544">
        <f t="shared" si="9"/>
        <v>18.611111111111111</v>
      </c>
      <c r="F544">
        <f>IF((E544-'user input'!$C$2)&lt;0,0,E544-'user input'!$C$2)</f>
        <v>8.6111111111111107</v>
      </c>
      <c r="G544">
        <f>IF(B544&lt;'user input'!$C$5,0,(F544+G543))</f>
        <v>414.16666666666663</v>
      </c>
      <c r="H544">
        <f>G544/'user input'!$C$4</f>
        <v>0.34513888888888888</v>
      </c>
    </row>
    <row r="545" spans="1:8" x14ac:dyDescent="0.2">
      <c r="A545" s="1">
        <v>40721</v>
      </c>
      <c r="B545">
        <v>178</v>
      </c>
      <c r="C545" s="6">
        <f>IF('weather data'!C545&gt;'user input'!$C$3,'user input'!$C$3,'weather data'!C545)</f>
        <v>27.222222222222221</v>
      </c>
      <c r="D545" s="6">
        <f>IF('weather data'!D545&lt;'user input'!$C$2,'user input'!$C$2,'weather data'!D545)</f>
        <v>18.888888888888889</v>
      </c>
      <c r="E545">
        <f t="shared" si="9"/>
        <v>23.055555555555557</v>
      </c>
      <c r="F545">
        <f>IF((E545-'user input'!$C$2)&lt;0,0,E545-'user input'!$C$2)</f>
        <v>13.055555555555557</v>
      </c>
      <c r="G545">
        <f>IF(B545&lt;'user input'!$C$5,0,(F545+G544))</f>
        <v>427.22222222222217</v>
      </c>
      <c r="H545">
        <f>G545/'user input'!$C$4</f>
        <v>0.35601851851851846</v>
      </c>
    </row>
    <row r="546" spans="1:8" x14ac:dyDescent="0.2">
      <c r="A546" s="1">
        <v>40722</v>
      </c>
      <c r="B546">
        <v>179</v>
      </c>
      <c r="C546" s="6">
        <f>IF('weather data'!C546&gt;'user input'!$C$3,'user input'!$C$3,'weather data'!C546)</f>
        <v>28.333333333333336</v>
      </c>
      <c r="D546" s="6">
        <f>IF('weather data'!D546&lt;'user input'!$C$2,'user input'!$C$2,'weather data'!D546)</f>
        <v>12.777777777777777</v>
      </c>
      <c r="E546">
        <f t="shared" si="9"/>
        <v>20.555555555555557</v>
      </c>
      <c r="F546">
        <f>IF((E546-'user input'!$C$2)&lt;0,0,E546-'user input'!$C$2)</f>
        <v>10.555555555555557</v>
      </c>
      <c r="G546">
        <f>IF(B546&lt;'user input'!$C$5,0,(F546+G545))</f>
        <v>437.77777777777771</v>
      </c>
      <c r="H546">
        <f>G546/'user input'!$C$4</f>
        <v>0.36481481481481476</v>
      </c>
    </row>
    <row r="547" spans="1:8" x14ac:dyDescent="0.2">
      <c r="A547" s="1">
        <v>40723</v>
      </c>
      <c r="B547">
        <v>180</v>
      </c>
      <c r="C547" s="6">
        <f>IF('weather data'!C547&gt;'user input'!$C$3,'user input'!$C$3,'weather data'!C547)</f>
        <v>26.111111111111111</v>
      </c>
      <c r="D547" s="6">
        <f>IF('weather data'!D547&lt;'user input'!$C$2,'user input'!$C$2,'weather data'!D547)</f>
        <v>11.111111111111111</v>
      </c>
      <c r="E547">
        <f t="shared" si="9"/>
        <v>18.611111111111111</v>
      </c>
      <c r="F547">
        <f>IF((E547-'user input'!$C$2)&lt;0,0,E547-'user input'!$C$2)</f>
        <v>8.6111111111111107</v>
      </c>
      <c r="G547">
        <f>IF(B547&lt;'user input'!$C$5,0,(F547+G546))</f>
        <v>446.3888888888888</v>
      </c>
      <c r="H547">
        <f>G547/'user input'!$C$4</f>
        <v>0.37199074074074068</v>
      </c>
    </row>
    <row r="548" spans="1:8" x14ac:dyDescent="0.2">
      <c r="A548" s="1">
        <v>40724</v>
      </c>
      <c r="B548">
        <v>181</v>
      </c>
      <c r="C548" s="6">
        <f>IF('weather data'!C548&gt;'user input'!$C$3,'user input'!$C$3,'weather data'!C548)</f>
        <v>27.777777777777779</v>
      </c>
      <c r="D548" s="6">
        <f>IF('weather data'!D548&lt;'user input'!$C$2,'user input'!$C$2,'weather data'!D548)</f>
        <v>13.333333333333332</v>
      </c>
      <c r="E548">
        <f t="shared" si="9"/>
        <v>20.555555555555557</v>
      </c>
      <c r="F548">
        <f>IF((E548-'user input'!$C$2)&lt;0,0,E548-'user input'!$C$2)</f>
        <v>10.555555555555557</v>
      </c>
      <c r="G548">
        <f>IF(B548&lt;'user input'!$C$5,0,(F548+G547))</f>
        <v>456.94444444444434</v>
      </c>
      <c r="H548">
        <f>G548/'user input'!$C$4</f>
        <v>0.38078703703703698</v>
      </c>
    </row>
    <row r="549" spans="1:8" x14ac:dyDescent="0.2">
      <c r="A549" s="1">
        <v>40725</v>
      </c>
      <c r="B549">
        <v>182</v>
      </c>
      <c r="C549" s="6">
        <f>IF('weather data'!C549&gt;'user input'!$C$3,'user input'!$C$3,'weather data'!C549)</f>
        <v>30</v>
      </c>
      <c r="D549" s="6">
        <f>IF('weather data'!D549&lt;'user input'!$C$2,'user input'!$C$2,'weather data'!D549)</f>
        <v>22.777777777777779</v>
      </c>
      <c r="E549">
        <f t="shared" si="9"/>
        <v>26.388888888888889</v>
      </c>
      <c r="F549">
        <f>IF((E549-'user input'!$C$2)&lt;0,0,E549-'user input'!$C$2)</f>
        <v>16.388888888888889</v>
      </c>
      <c r="G549">
        <f>IF(B549&lt;'user input'!$C$5,0,(F549+G548))</f>
        <v>473.33333333333326</v>
      </c>
      <c r="H549">
        <f>G549/'user input'!$C$4</f>
        <v>0.39444444444444438</v>
      </c>
    </row>
    <row r="550" spans="1:8" x14ac:dyDescent="0.2">
      <c r="A550" s="1">
        <v>40726</v>
      </c>
      <c r="B550">
        <v>183</v>
      </c>
      <c r="C550" s="6">
        <f>IF('weather data'!C550&gt;'user input'!$C$3,'user input'!$C$3,'weather data'!C550)</f>
        <v>30</v>
      </c>
      <c r="D550" s="6">
        <f>IF('weather data'!D550&lt;'user input'!$C$2,'user input'!$C$2,'weather data'!D550)</f>
        <v>22.222222222222221</v>
      </c>
      <c r="E550">
        <f t="shared" si="9"/>
        <v>26.111111111111111</v>
      </c>
      <c r="F550">
        <f>IF((E550-'user input'!$C$2)&lt;0,0,E550-'user input'!$C$2)</f>
        <v>16.111111111111111</v>
      </c>
      <c r="G550">
        <f>IF(B550&lt;'user input'!$C$5,0,(F550+G549))</f>
        <v>489.44444444444434</v>
      </c>
      <c r="H550">
        <f>G550/'user input'!$C$4</f>
        <v>0.40787037037037027</v>
      </c>
    </row>
    <row r="551" spans="1:8" x14ac:dyDescent="0.2">
      <c r="A551" s="1">
        <v>40727</v>
      </c>
      <c r="B551">
        <v>184</v>
      </c>
      <c r="C551" s="6">
        <f>IF('weather data'!C551&gt;'user input'!$C$3,'user input'!$C$3,'weather data'!C551)</f>
        <v>30</v>
      </c>
      <c r="D551" s="6">
        <f>IF('weather data'!D551&lt;'user input'!$C$2,'user input'!$C$2,'weather data'!D551)</f>
        <v>13.888888888888889</v>
      </c>
      <c r="E551">
        <f t="shared" si="9"/>
        <v>21.944444444444443</v>
      </c>
      <c r="F551">
        <f>IF((E551-'user input'!$C$2)&lt;0,0,E551-'user input'!$C$2)</f>
        <v>11.944444444444443</v>
      </c>
      <c r="G551">
        <f>IF(B551&lt;'user input'!$C$5,0,(F551+G550))</f>
        <v>501.3888888888888</v>
      </c>
      <c r="H551">
        <f>G551/'user input'!$C$4</f>
        <v>0.41782407407407401</v>
      </c>
    </row>
    <row r="552" spans="1:8" x14ac:dyDescent="0.2">
      <c r="A552" s="1">
        <v>40728</v>
      </c>
      <c r="B552">
        <v>185</v>
      </c>
      <c r="C552" s="6">
        <f>IF('weather data'!C552&gt;'user input'!$C$3,'user input'!$C$3,'weather data'!C552)</f>
        <v>28.333333333333336</v>
      </c>
      <c r="D552" s="6">
        <f>IF('weather data'!D552&lt;'user input'!$C$2,'user input'!$C$2,'weather data'!D552)</f>
        <v>15</v>
      </c>
      <c r="E552">
        <f t="shared" si="9"/>
        <v>21.666666666666668</v>
      </c>
      <c r="F552">
        <f>IF((E552-'user input'!$C$2)&lt;0,0,E552-'user input'!$C$2)</f>
        <v>11.666666666666668</v>
      </c>
      <c r="G552">
        <f>IF(B552&lt;'user input'!$C$5,0,(F552+G551))</f>
        <v>513.05555555555543</v>
      </c>
      <c r="H552">
        <f>G552/'user input'!$C$4</f>
        <v>0.4275462962962962</v>
      </c>
    </row>
    <row r="553" spans="1:8" x14ac:dyDescent="0.2">
      <c r="A553" s="1">
        <v>40729</v>
      </c>
      <c r="B553">
        <v>186</v>
      </c>
      <c r="C553" s="6">
        <f>IF('weather data'!C553&gt;'user input'!$C$3,'user input'!$C$3,'weather data'!C553)</f>
        <v>30</v>
      </c>
      <c r="D553" s="6">
        <f>IF('weather data'!D553&lt;'user input'!$C$2,'user input'!$C$2,'weather data'!D553)</f>
        <v>15</v>
      </c>
      <c r="E553">
        <f t="shared" si="9"/>
        <v>22.5</v>
      </c>
      <c r="F553">
        <f>IF((E553-'user input'!$C$2)&lt;0,0,E553-'user input'!$C$2)</f>
        <v>12.5</v>
      </c>
      <c r="G553">
        <f>IF(B553&lt;'user input'!$C$5,0,(F553+G552))</f>
        <v>525.55555555555543</v>
      </c>
      <c r="H553">
        <f>G553/'user input'!$C$4</f>
        <v>0.43796296296296283</v>
      </c>
    </row>
    <row r="554" spans="1:8" x14ac:dyDescent="0.2">
      <c r="A554" s="1">
        <v>40730</v>
      </c>
      <c r="B554">
        <v>187</v>
      </c>
      <c r="C554" s="6">
        <f>IF('weather data'!C554&gt;'user input'!$C$3,'user input'!$C$3,'weather data'!C554)</f>
        <v>30</v>
      </c>
      <c r="D554" s="6">
        <f>IF('weather data'!D554&lt;'user input'!$C$2,'user input'!$C$2,'weather data'!D554)</f>
        <v>17.777777777777779</v>
      </c>
      <c r="E554">
        <f t="shared" si="9"/>
        <v>23.888888888888889</v>
      </c>
      <c r="F554">
        <f>IF((E554-'user input'!$C$2)&lt;0,0,E554-'user input'!$C$2)</f>
        <v>13.888888888888889</v>
      </c>
      <c r="G554">
        <f>IF(B554&lt;'user input'!$C$5,0,(F554+G553))</f>
        <v>539.44444444444434</v>
      </c>
      <c r="H554">
        <f>G554/'user input'!$C$4</f>
        <v>0.44953703703703696</v>
      </c>
    </row>
    <row r="555" spans="1:8" x14ac:dyDescent="0.2">
      <c r="A555" s="1">
        <v>40731</v>
      </c>
      <c r="B555">
        <v>188</v>
      </c>
      <c r="C555" s="6">
        <f>IF('weather data'!C555&gt;'user input'!$C$3,'user input'!$C$3,'weather data'!C555)</f>
        <v>29.444444444444446</v>
      </c>
      <c r="D555" s="6">
        <f>IF('weather data'!D555&lt;'user input'!$C$2,'user input'!$C$2,'weather data'!D555)</f>
        <v>15</v>
      </c>
      <c r="E555">
        <f t="shared" si="9"/>
        <v>22.222222222222221</v>
      </c>
      <c r="F555">
        <f>IF((E555-'user input'!$C$2)&lt;0,0,E555-'user input'!$C$2)</f>
        <v>12.222222222222221</v>
      </c>
      <c r="G555">
        <f>IF(B555&lt;'user input'!$C$5,0,(F555+G554))</f>
        <v>551.66666666666652</v>
      </c>
      <c r="H555">
        <f>G555/'user input'!$C$4</f>
        <v>0.45972222222222209</v>
      </c>
    </row>
    <row r="556" spans="1:8" x14ac:dyDescent="0.2">
      <c r="A556" s="1">
        <v>40732</v>
      </c>
      <c r="B556">
        <v>189</v>
      </c>
      <c r="C556" s="6">
        <f>IF('weather data'!C556&gt;'user input'!$C$3,'user input'!$C$3,'weather data'!C556)</f>
        <v>28.888888888888889</v>
      </c>
      <c r="D556" s="6">
        <f>IF('weather data'!D556&lt;'user input'!$C$2,'user input'!$C$2,'weather data'!D556)</f>
        <v>14.444444444444445</v>
      </c>
      <c r="E556">
        <f t="shared" si="9"/>
        <v>21.666666666666668</v>
      </c>
      <c r="F556">
        <f>IF((E556-'user input'!$C$2)&lt;0,0,E556-'user input'!$C$2)</f>
        <v>11.666666666666668</v>
      </c>
      <c r="G556">
        <f>IF(B556&lt;'user input'!$C$5,0,(F556+G555))</f>
        <v>563.33333333333314</v>
      </c>
      <c r="H556">
        <f>G556/'user input'!$C$4</f>
        <v>0.46944444444444428</v>
      </c>
    </row>
    <row r="557" spans="1:8" x14ac:dyDescent="0.2">
      <c r="A557" s="1">
        <v>40733</v>
      </c>
      <c r="B557">
        <v>190</v>
      </c>
      <c r="C557" s="6">
        <f>IF('weather data'!C557&gt;'user input'!$C$3,'user input'!$C$3,'weather data'!C557)</f>
        <v>30</v>
      </c>
      <c r="D557" s="6">
        <f>IF('weather data'!D557&lt;'user input'!$C$2,'user input'!$C$2,'weather data'!D557)</f>
        <v>15.555555555555555</v>
      </c>
      <c r="E557">
        <f t="shared" si="9"/>
        <v>22.777777777777779</v>
      </c>
      <c r="F557">
        <f>IF((E557-'user input'!$C$2)&lt;0,0,E557-'user input'!$C$2)</f>
        <v>12.777777777777779</v>
      </c>
      <c r="G557">
        <f>IF(B557&lt;'user input'!$C$5,0,(F557+G556))</f>
        <v>576.11111111111097</v>
      </c>
      <c r="H557">
        <f>G557/'user input'!$C$4</f>
        <v>0.48009259259259246</v>
      </c>
    </row>
    <row r="558" spans="1:8" x14ac:dyDescent="0.2">
      <c r="A558" s="1">
        <v>40734</v>
      </c>
      <c r="B558">
        <v>191</v>
      </c>
      <c r="C558" s="6">
        <f>IF('weather data'!C558&gt;'user input'!$C$3,'user input'!$C$3,'weather data'!C558)</f>
        <v>30</v>
      </c>
      <c r="D558" s="6">
        <f>IF('weather data'!D558&lt;'user input'!$C$2,'user input'!$C$2,'weather data'!D558)</f>
        <v>19.444444444444443</v>
      </c>
      <c r="E558">
        <f t="shared" si="9"/>
        <v>24.722222222222221</v>
      </c>
      <c r="F558">
        <f>IF((E558-'user input'!$C$2)&lt;0,0,E558-'user input'!$C$2)</f>
        <v>14.722222222222221</v>
      </c>
      <c r="G558">
        <f>IF(B558&lt;'user input'!$C$5,0,(F558+G557))</f>
        <v>590.83333333333314</v>
      </c>
      <c r="H558">
        <f>G558/'user input'!$C$4</f>
        <v>0.49236111111111097</v>
      </c>
    </row>
    <row r="559" spans="1:8" x14ac:dyDescent="0.2">
      <c r="A559" s="1">
        <v>40735</v>
      </c>
      <c r="B559">
        <v>192</v>
      </c>
      <c r="C559" s="6">
        <f>IF('weather data'!C559&gt;'user input'!$C$3,'user input'!$C$3,'weather data'!C559)</f>
        <v>30</v>
      </c>
      <c r="D559" s="6">
        <f>IF('weather data'!D559&lt;'user input'!$C$2,'user input'!$C$2,'weather data'!D559)</f>
        <v>21.111111111111111</v>
      </c>
      <c r="E559">
        <f t="shared" si="9"/>
        <v>25.555555555555557</v>
      </c>
      <c r="F559">
        <f>IF((E559-'user input'!$C$2)&lt;0,0,E559-'user input'!$C$2)</f>
        <v>15.555555555555557</v>
      </c>
      <c r="G559">
        <f>IF(B559&lt;'user input'!$C$5,0,(F559+G558))</f>
        <v>606.38888888888869</v>
      </c>
      <c r="H559">
        <f>G559/'user input'!$C$4</f>
        <v>0.50532407407407387</v>
      </c>
    </row>
    <row r="560" spans="1:8" x14ac:dyDescent="0.2">
      <c r="A560" s="1">
        <v>40736</v>
      </c>
      <c r="B560">
        <v>193</v>
      </c>
      <c r="C560" s="6">
        <f>IF('weather data'!C560&gt;'user input'!$C$3,'user input'!$C$3,'weather data'!C560)</f>
        <v>30</v>
      </c>
      <c r="D560" s="6">
        <f>IF('weather data'!D560&lt;'user input'!$C$2,'user input'!$C$2,'weather data'!D560)</f>
        <v>17.222222222222221</v>
      </c>
      <c r="E560">
        <f t="shared" si="9"/>
        <v>23.611111111111111</v>
      </c>
      <c r="F560">
        <f>IF((E560-'user input'!$C$2)&lt;0,0,E560-'user input'!$C$2)</f>
        <v>13.611111111111111</v>
      </c>
      <c r="G560">
        <f>IF(B560&lt;'user input'!$C$5,0,(F560+G559))</f>
        <v>619.99999999999977</v>
      </c>
      <c r="H560">
        <f>G560/'user input'!$C$4</f>
        <v>0.5166666666666665</v>
      </c>
    </row>
    <row r="561" spans="1:8" x14ac:dyDescent="0.2">
      <c r="A561" s="1">
        <v>40737</v>
      </c>
      <c r="B561">
        <v>194</v>
      </c>
      <c r="C561" s="6">
        <f>IF('weather data'!C561&gt;'user input'!$C$3,'user input'!$C$3,'weather data'!C561)</f>
        <v>27.222222222222221</v>
      </c>
      <c r="D561" s="6">
        <f>IF('weather data'!D561&lt;'user input'!$C$2,'user input'!$C$2,'weather data'!D561)</f>
        <v>14.444444444444445</v>
      </c>
      <c r="E561">
        <f t="shared" si="9"/>
        <v>20.833333333333332</v>
      </c>
      <c r="F561">
        <f>IF((E561-'user input'!$C$2)&lt;0,0,E561-'user input'!$C$2)</f>
        <v>10.833333333333332</v>
      </c>
      <c r="G561">
        <f>IF(B561&lt;'user input'!$C$5,0,(F561+G560))</f>
        <v>630.83333333333314</v>
      </c>
      <c r="H561">
        <f>G561/'user input'!$C$4</f>
        <v>0.52569444444444424</v>
      </c>
    </row>
    <row r="562" spans="1:8" x14ac:dyDescent="0.2">
      <c r="A562" s="1">
        <v>40738</v>
      </c>
      <c r="B562">
        <v>195</v>
      </c>
      <c r="C562" s="6">
        <f>IF('weather data'!C562&gt;'user input'!$C$3,'user input'!$C$3,'weather data'!C562)</f>
        <v>23.888888888888889</v>
      </c>
      <c r="D562" s="6">
        <f>IF('weather data'!D562&lt;'user input'!$C$2,'user input'!$C$2,'weather data'!D562)</f>
        <v>11.666666666666668</v>
      </c>
      <c r="E562">
        <f t="shared" si="9"/>
        <v>17.777777777777779</v>
      </c>
      <c r="F562">
        <f>IF((E562-'user input'!$C$2)&lt;0,0,E562-'user input'!$C$2)</f>
        <v>7.7777777777777786</v>
      </c>
      <c r="G562">
        <f>IF(B562&lt;'user input'!$C$5,0,(F562+G561))</f>
        <v>638.61111111111097</v>
      </c>
      <c r="H562">
        <f>G562/'user input'!$C$4</f>
        <v>0.53217592592592577</v>
      </c>
    </row>
    <row r="563" spans="1:8" x14ac:dyDescent="0.2">
      <c r="A563" s="1">
        <v>40739</v>
      </c>
      <c r="B563">
        <v>196</v>
      </c>
      <c r="C563" s="6">
        <f>IF('weather data'!C563&gt;'user input'!$C$3,'user input'!$C$3,'weather data'!C563)</f>
        <v>26.666666666666664</v>
      </c>
      <c r="D563" s="6">
        <f>IF('weather data'!D563&lt;'user input'!$C$2,'user input'!$C$2,'weather data'!D563)</f>
        <v>14.444444444444445</v>
      </c>
      <c r="E563">
        <f t="shared" si="9"/>
        <v>20.555555555555554</v>
      </c>
      <c r="F563">
        <f>IF((E563-'user input'!$C$2)&lt;0,0,E563-'user input'!$C$2)</f>
        <v>10.555555555555554</v>
      </c>
      <c r="G563">
        <f>IF(B563&lt;'user input'!$C$5,0,(F563+G562))</f>
        <v>649.16666666666652</v>
      </c>
      <c r="H563">
        <f>G563/'user input'!$C$4</f>
        <v>0.54097222222222208</v>
      </c>
    </row>
    <row r="564" spans="1:8" x14ac:dyDescent="0.2">
      <c r="A564" s="1">
        <v>40740</v>
      </c>
      <c r="B564">
        <v>197</v>
      </c>
      <c r="C564" s="6">
        <f>IF('weather data'!C564&gt;'user input'!$C$3,'user input'!$C$3,'weather data'!C564)</f>
        <v>27.777777777777779</v>
      </c>
      <c r="D564" s="6">
        <f>IF('weather data'!D564&lt;'user input'!$C$2,'user input'!$C$2,'weather data'!D564)</f>
        <v>20.555555555555554</v>
      </c>
      <c r="E564">
        <f t="shared" si="9"/>
        <v>24.166666666666664</v>
      </c>
      <c r="F564">
        <f>IF((E564-'user input'!$C$2)&lt;0,0,E564-'user input'!$C$2)</f>
        <v>14.166666666666664</v>
      </c>
      <c r="G564">
        <f>IF(B564&lt;'user input'!$C$5,0,(F564+G563))</f>
        <v>663.33333333333314</v>
      </c>
      <c r="H564">
        <f>G564/'user input'!$C$4</f>
        <v>0.55277777777777759</v>
      </c>
    </row>
    <row r="565" spans="1:8" x14ac:dyDescent="0.2">
      <c r="A565" s="1">
        <v>40741</v>
      </c>
      <c r="B565">
        <v>198</v>
      </c>
      <c r="C565" s="6">
        <f>IF('weather data'!C565&gt;'user input'!$C$3,'user input'!$C$3,'weather data'!C565)</f>
        <v>30</v>
      </c>
      <c r="D565" s="6">
        <f>IF('weather data'!D565&lt;'user input'!$C$2,'user input'!$C$2,'weather data'!D565)</f>
        <v>20.555555555555554</v>
      </c>
      <c r="E565">
        <f t="shared" si="9"/>
        <v>25.277777777777779</v>
      </c>
      <c r="F565">
        <f>IF((E565-'user input'!$C$2)&lt;0,0,E565-'user input'!$C$2)</f>
        <v>15.277777777777779</v>
      </c>
      <c r="G565">
        <f>IF(B565&lt;'user input'!$C$5,0,(F565+G564))</f>
        <v>678.61111111111097</v>
      </c>
      <c r="H565">
        <f>G565/'user input'!$C$4</f>
        <v>0.5655092592592591</v>
      </c>
    </row>
    <row r="566" spans="1:8" x14ac:dyDescent="0.2">
      <c r="A566" s="1">
        <v>40742</v>
      </c>
      <c r="B566">
        <v>199</v>
      </c>
      <c r="C566" s="6">
        <f>IF('weather data'!C566&gt;'user input'!$C$3,'user input'!$C$3,'weather data'!C566)</f>
        <v>30</v>
      </c>
      <c r="D566" s="6">
        <f>IF('weather data'!D566&lt;'user input'!$C$2,'user input'!$C$2,'weather data'!D566)</f>
        <v>22.777777777777779</v>
      </c>
      <c r="E566">
        <f t="shared" si="9"/>
        <v>26.388888888888889</v>
      </c>
      <c r="F566">
        <f>IF((E566-'user input'!$C$2)&lt;0,0,E566-'user input'!$C$2)</f>
        <v>16.388888888888889</v>
      </c>
      <c r="G566">
        <f>IF(B566&lt;'user input'!$C$5,0,(F566+G565))</f>
        <v>694.99999999999989</v>
      </c>
      <c r="H566">
        <f>G566/'user input'!$C$4</f>
        <v>0.57916666666666661</v>
      </c>
    </row>
    <row r="567" spans="1:8" x14ac:dyDescent="0.2">
      <c r="A567" s="1">
        <v>40743</v>
      </c>
      <c r="B567">
        <v>200</v>
      </c>
      <c r="C567" s="6">
        <f>IF('weather data'!C567&gt;'user input'!$C$3,'user input'!$C$3,'weather data'!C567)</f>
        <v>30</v>
      </c>
      <c r="D567" s="6">
        <f>IF('weather data'!D567&lt;'user input'!$C$2,'user input'!$C$2,'weather data'!D567)</f>
        <v>22.222222222222221</v>
      </c>
      <c r="E567">
        <f t="shared" si="9"/>
        <v>26.111111111111111</v>
      </c>
      <c r="F567">
        <f>IF((E567-'user input'!$C$2)&lt;0,0,E567-'user input'!$C$2)</f>
        <v>16.111111111111111</v>
      </c>
      <c r="G567">
        <f>IF(B567&lt;'user input'!$C$5,0,(F567+G566))</f>
        <v>711.11111111111097</v>
      </c>
      <c r="H567">
        <f>G567/'user input'!$C$4</f>
        <v>0.59259259259259245</v>
      </c>
    </row>
    <row r="568" spans="1:8" x14ac:dyDescent="0.2">
      <c r="A568" s="1">
        <v>40744</v>
      </c>
      <c r="B568">
        <v>201</v>
      </c>
      <c r="C568" s="6">
        <f>IF('weather data'!C568&gt;'user input'!$C$3,'user input'!$C$3,'weather data'!C568)</f>
        <v>30</v>
      </c>
      <c r="D568" s="6">
        <f>IF('weather data'!D568&lt;'user input'!$C$2,'user input'!$C$2,'weather data'!D568)</f>
        <v>21.666666666666664</v>
      </c>
      <c r="E568">
        <f t="shared" si="9"/>
        <v>25.833333333333332</v>
      </c>
      <c r="F568">
        <f>IF((E568-'user input'!$C$2)&lt;0,0,E568-'user input'!$C$2)</f>
        <v>15.833333333333332</v>
      </c>
      <c r="G568">
        <f>IF(B568&lt;'user input'!$C$5,0,(F568+G567))</f>
        <v>726.94444444444434</v>
      </c>
      <c r="H568">
        <f>G568/'user input'!$C$4</f>
        <v>0.60578703703703696</v>
      </c>
    </row>
    <row r="569" spans="1:8" x14ac:dyDescent="0.2">
      <c r="A569" s="1">
        <v>40745</v>
      </c>
      <c r="B569">
        <v>202</v>
      </c>
      <c r="C569" s="6">
        <f>IF('weather data'!C569&gt;'user input'!$C$3,'user input'!$C$3,'weather data'!C569)</f>
        <v>30</v>
      </c>
      <c r="D569" s="6">
        <f>IF('weather data'!D569&lt;'user input'!$C$2,'user input'!$C$2,'weather data'!D569)</f>
        <v>23.888888888888889</v>
      </c>
      <c r="E569">
        <f t="shared" si="9"/>
        <v>26.944444444444443</v>
      </c>
      <c r="F569">
        <f>IF((E569-'user input'!$C$2)&lt;0,0,E569-'user input'!$C$2)</f>
        <v>16.944444444444443</v>
      </c>
      <c r="G569">
        <f>IF(B569&lt;'user input'!$C$5,0,(F569+G568))</f>
        <v>743.8888888888888</v>
      </c>
      <c r="H569">
        <f>G569/'user input'!$C$4</f>
        <v>0.61990740740740735</v>
      </c>
    </row>
    <row r="570" spans="1:8" x14ac:dyDescent="0.2">
      <c r="A570" s="1">
        <v>40746</v>
      </c>
      <c r="B570">
        <v>203</v>
      </c>
      <c r="C570" s="6">
        <f>IF('weather data'!C570&gt;'user input'!$C$3,'user input'!$C$3,'weather data'!C570)</f>
        <v>30</v>
      </c>
      <c r="D570" s="6">
        <f>IF('weather data'!D570&lt;'user input'!$C$2,'user input'!$C$2,'weather data'!D570)</f>
        <v>18.888888888888889</v>
      </c>
      <c r="E570">
        <f t="shared" si="9"/>
        <v>24.444444444444443</v>
      </c>
      <c r="F570">
        <f>IF((E570-'user input'!$C$2)&lt;0,0,E570-'user input'!$C$2)</f>
        <v>14.444444444444443</v>
      </c>
      <c r="G570">
        <f>IF(B570&lt;'user input'!$C$5,0,(F570+G569))</f>
        <v>758.33333333333326</v>
      </c>
      <c r="H570">
        <f>G570/'user input'!$C$4</f>
        <v>0.63194444444444442</v>
      </c>
    </row>
    <row r="571" spans="1:8" x14ac:dyDescent="0.2">
      <c r="A571" s="1">
        <v>40747</v>
      </c>
      <c r="B571">
        <v>204</v>
      </c>
      <c r="C571" s="6">
        <f>IF('weather data'!C571&gt;'user input'!$C$3,'user input'!$C$3,'weather data'!C571)</f>
        <v>30</v>
      </c>
      <c r="D571" s="6">
        <f>IF('weather data'!D571&lt;'user input'!$C$2,'user input'!$C$2,'weather data'!D571)</f>
        <v>20</v>
      </c>
      <c r="E571">
        <f t="shared" si="9"/>
        <v>25</v>
      </c>
      <c r="F571">
        <f>IF((E571-'user input'!$C$2)&lt;0,0,E571-'user input'!$C$2)</f>
        <v>15</v>
      </c>
      <c r="G571">
        <f>IF(B571&lt;'user input'!$C$5,0,(F571+G570))</f>
        <v>773.33333333333326</v>
      </c>
      <c r="H571">
        <f>G571/'user input'!$C$4</f>
        <v>0.64444444444444438</v>
      </c>
    </row>
    <row r="572" spans="1:8" x14ac:dyDescent="0.2">
      <c r="A572" s="1">
        <v>40748</v>
      </c>
      <c r="B572">
        <v>205</v>
      </c>
      <c r="C572" s="6">
        <f>IF('weather data'!C572&gt;'user input'!$C$3,'user input'!$C$3,'weather data'!C572)</f>
        <v>30</v>
      </c>
      <c r="D572" s="6">
        <f>IF('weather data'!D572&lt;'user input'!$C$2,'user input'!$C$2,'weather data'!D572)</f>
        <v>20.555555555555554</v>
      </c>
      <c r="E572">
        <f t="shared" si="9"/>
        <v>25.277777777777779</v>
      </c>
      <c r="F572">
        <f>IF((E572-'user input'!$C$2)&lt;0,0,E572-'user input'!$C$2)</f>
        <v>15.277777777777779</v>
      </c>
      <c r="G572">
        <f>IF(B572&lt;'user input'!$C$5,0,(F572+G571))</f>
        <v>788.61111111111109</v>
      </c>
      <c r="H572">
        <f>G572/'user input'!$C$4</f>
        <v>0.65717592592592589</v>
      </c>
    </row>
    <row r="573" spans="1:8" x14ac:dyDescent="0.2">
      <c r="A573" s="1">
        <v>40749</v>
      </c>
      <c r="B573">
        <v>206</v>
      </c>
      <c r="C573" s="6">
        <f>IF('weather data'!C573&gt;'user input'!$C$3,'user input'!$C$3,'weather data'!C573)</f>
        <v>28.888888888888889</v>
      </c>
      <c r="D573" s="6">
        <f>IF('weather data'!D573&lt;'user input'!$C$2,'user input'!$C$2,'weather data'!D573)</f>
        <v>15.555555555555555</v>
      </c>
      <c r="E573">
        <f t="shared" si="9"/>
        <v>22.222222222222221</v>
      </c>
      <c r="F573">
        <f>IF((E573-'user input'!$C$2)&lt;0,0,E573-'user input'!$C$2)</f>
        <v>12.222222222222221</v>
      </c>
      <c r="G573">
        <f>IF(B573&lt;'user input'!$C$5,0,(F573+G572))</f>
        <v>800.83333333333326</v>
      </c>
      <c r="H573">
        <f>G573/'user input'!$C$4</f>
        <v>0.66736111111111107</v>
      </c>
    </row>
    <row r="574" spans="1:8" x14ac:dyDescent="0.2">
      <c r="A574" s="1">
        <v>40750</v>
      </c>
      <c r="B574">
        <v>207</v>
      </c>
      <c r="C574" s="6">
        <f>IF('weather data'!C574&gt;'user input'!$C$3,'user input'!$C$3,'weather data'!C574)</f>
        <v>30</v>
      </c>
      <c r="D574" s="6">
        <f>IF('weather data'!D574&lt;'user input'!$C$2,'user input'!$C$2,'weather data'!D574)</f>
        <v>17.777777777777779</v>
      </c>
      <c r="E574">
        <f t="shared" si="9"/>
        <v>23.888888888888889</v>
      </c>
      <c r="F574">
        <f>IF((E574-'user input'!$C$2)&lt;0,0,E574-'user input'!$C$2)</f>
        <v>13.888888888888889</v>
      </c>
      <c r="G574">
        <f>IF(B574&lt;'user input'!$C$5,0,(F574+G573))</f>
        <v>814.72222222222217</v>
      </c>
      <c r="H574">
        <f>G574/'user input'!$C$4</f>
        <v>0.67893518518518514</v>
      </c>
    </row>
    <row r="575" spans="1:8" x14ac:dyDescent="0.2">
      <c r="A575" s="1">
        <v>40751</v>
      </c>
      <c r="B575">
        <v>208</v>
      </c>
      <c r="C575" s="6">
        <f>IF('weather data'!C575&gt;'user input'!$C$3,'user input'!$C$3,'weather data'!C575)</f>
        <v>30</v>
      </c>
      <c r="D575" s="6">
        <f>IF('weather data'!D575&lt;'user input'!$C$2,'user input'!$C$2,'weather data'!D575)</f>
        <v>16.666666666666668</v>
      </c>
      <c r="E575">
        <f t="shared" si="9"/>
        <v>23.333333333333336</v>
      </c>
      <c r="F575">
        <f>IF((E575-'user input'!$C$2)&lt;0,0,E575-'user input'!$C$2)</f>
        <v>13.333333333333336</v>
      </c>
      <c r="G575">
        <f>IF(B575&lt;'user input'!$C$5,0,(F575+G574))</f>
        <v>828.05555555555554</v>
      </c>
      <c r="H575">
        <f>G575/'user input'!$C$4</f>
        <v>0.69004629629629632</v>
      </c>
    </row>
    <row r="576" spans="1:8" x14ac:dyDescent="0.2">
      <c r="A576" s="1">
        <v>40752</v>
      </c>
      <c r="B576">
        <v>209</v>
      </c>
      <c r="C576" s="6">
        <f>IF('weather data'!C576&gt;'user input'!$C$3,'user input'!$C$3,'weather data'!C576)</f>
        <v>24.444444444444446</v>
      </c>
      <c r="D576" s="6">
        <f>IF('weather data'!D576&lt;'user input'!$C$2,'user input'!$C$2,'weather data'!D576)</f>
        <v>17.777777777777779</v>
      </c>
      <c r="E576">
        <f t="shared" si="9"/>
        <v>21.111111111111114</v>
      </c>
      <c r="F576">
        <f>IF((E576-'user input'!$C$2)&lt;0,0,E576-'user input'!$C$2)</f>
        <v>11.111111111111114</v>
      </c>
      <c r="G576">
        <f>IF(B576&lt;'user input'!$C$5,0,(F576+G575))</f>
        <v>839.16666666666663</v>
      </c>
      <c r="H576">
        <f>G576/'user input'!$C$4</f>
        <v>0.69930555555555551</v>
      </c>
    </row>
    <row r="577" spans="1:8" x14ac:dyDescent="0.2">
      <c r="A577" s="1">
        <v>40753</v>
      </c>
      <c r="B577">
        <v>210</v>
      </c>
      <c r="C577" s="6">
        <f>IF('weather data'!C577&gt;'user input'!$C$3,'user input'!$C$3,'weather data'!C577)</f>
        <v>27.777777777777779</v>
      </c>
      <c r="D577" s="6">
        <f>IF('weather data'!D577&lt;'user input'!$C$2,'user input'!$C$2,'weather data'!D577)</f>
        <v>17.222222222222221</v>
      </c>
      <c r="E577">
        <f t="shared" si="9"/>
        <v>22.5</v>
      </c>
      <c r="F577">
        <f>IF((E577-'user input'!$C$2)&lt;0,0,E577-'user input'!$C$2)</f>
        <v>12.5</v>
      </c>
      <c r="G577">
        <f>IF(B577&lt;'user input'!$C$5,0,(F577+G576))</f>
        <v>851.66666666666663</v>
      </c>
      <c r="H577">
        <f>G577/'user input'!$C$4</f>
        <v>0.70972222222222214</v>
      </c>
    </row>
    <row r="578" spans="1:8" x14ac:dyDescent="0.2">
      <c r="A578" s="1">
        <v>40754</v>
      </c>
      <c r="B578">
        <v>211</v>
      </c>
      <c r="C578" s="6">
        <f>IF('weather data'!C578&gt;'user input'!$C$3,'user input'!$C$3,'weather data'!C578)</f>
        <v>30</v>
      </c>
      <c r="D578" s="6">
        <f>IF('weather data'!D578&lt;'user input'!$C$2,'user input'!$C$2,'weather data'!D578)</f>
        <v>17.222222222222221</v>
      </c>
      <c r="E578">
        <f t="shared" si="9"/>
        <v>23.611111111111111</v>
      </c>
      <c r="F578">
        <f>IF((E578-'user input'!$C$2)&lt;0,0,E578-'user input'!$C$2)</f>
        <v>13.611111111111111</v>
      </c>
      <c r="G578">
        <f>IF(B578&lt;'user input'!$C$5,0,(F578+G577))</f>
        <v>865.27777777777771</v>
      </c>
      <c r="H578">
        <f>G578/'user input'!$C$4</f>
        <v>0.72106481481481477</v>
      </c>
    </row>
    <row r="579" spans="1:8" x14ac:dyDescent="0.2">
      <c r="A579" s="1">
        <v>40755</v>
      </c>
      <c r="B579">
        <v>212</v>
      </c>
      <c r="C579" s="6">
        <f>IF('weather data'!C579&gt;'user input'!$C$3,'user input'!$C$3,'weather data'!C579)</f>
        <v>30</v>
      </c>
      <c r="D579" s="6">
        <f>IF('weather data'!D579&lt;'user input'!$C$2,'user input'!$C$2,'weather data'!D579)</f>
        <v>17.777777777777779</v>
      </c>
      <c r="E579">
        <f t="shared" si="9"/>
        <v>23.888888888888889</v>
      </c>
      <c r="F579">
        <f>IF((E579-'user input'!$C$2)&lt;0,0,E579-'user input'!$C$2)</f>
        <v>13.888888888888889</v>
      </c>
      <c r="G579">
        <f>IF(B579&lt;'user input'!$C$5,0,(F579+G578))</f>
        <v>879.16666666666663</v>
      </c>
      <c r="H579">
        <f>G579/'user input'!$C$4</f>
        <v>0.73263888888888884</v>
      </c>
    </row>
    <row r="580" spans="1:8" x14ac:dyDescent="0.2">
      <c r="A580" s="1">
        <v>40756</v>
      </c>
      <c r="B580">
        <v>213</v>
      </c>
      <c r="C580" s="6">
        <f>IF('weather data'!C580&gt;'user input'!$C$3,'user input'!$C$3,'weather data'!C580)</f>
        <v>30</v>
      </c>
      <c r="D580" s="6">
        <f>IF('weather data'!D580&lt;'user input'!$C$2,'user input'!$C$2,'weather data'!D580)</f>
        <v>19.444444444444443</v>
      </c>
      <c r="E580">
        <f t="shared" si="9"/>
        <v>24.722222222222221</v>
      </c>
      <c r="F580">
        <f>IF((E580-'user input'!$C$2)&lt;0,0,E580-'user input'!$C$2)</f>
        <v>14.722222222222221</v>
      </c>
      <c r="G580">
        <f>IF(B580&lt;'user input'!$C$5,0,(F580+G579))</f>
        <v>893.8888888888888</v>
      </c>
      <c r="H580">
        <f>G580/'user input'!$C$4</f>
        <v>0.74490740740740735</v>
      </c>
    </row>
    <row r="581" spans="1:8" x14ac:dyDescent="0.2">
      <c r="A581" s="1">
        <v>40757</v>
      </c>
      <c r="B581">
        <v>214</v>
      </c>
      <c r="C581" s="6">
        <f>IF('weather data'!C581&gt;'user input'!$C$3,'user input'!$C$3,'weather data'!C581)</f>
        <v>30</v>
      </c>
      <c r="D581" s="6">
        <f>IF('weather data'!D581&lt;'user input'!$C$2,'user input'!$C$2,'weather data'!D581)</f>
        <v>21.666666666666664</v>
      </c>
      <c r="E581">
        <f t="shared" si="9"/>
        <v>25.833333333333332</v>
      </c>
      <c r="F581">
        <f>IF((E581-'user input'!$C$2)&lt;0,0,E581-'user input'!$C$2)</f>
        <v>15.833333333333332</v>
      </c>
      <c r="G581">
        <f>IF(B581&lt;'user input'!$C$5,0,(F581+G580))</f>
        <v>909.72222222222217</v>
      </c>
      <c r="H581">
        <f>G581/'user input'!$C$4</f>
        <v>0.75810185185185186</v>
      </c>
    </row>
    <row r="582" spans="1:8" x14ac:dyDescent="0.2">
      <c r="A582" s="1">
        <v>40758</v>
      </c>
      <c r="B582">
        <v>215</v>
      </c>
      <c r="C582" s="6">
        <f>IF('weather data'!C582&gt;'user input'!$C$3,'user input'!$C$3,'weather data'!C582)</f>
        <v>30</v>
      </c>
      <c r="D582" s="6">
        <f>IF('weather data'!D582&lt;'user input'!$C$2,'user input'!$C$2,'weather data'!D582)</f>
        <v>20.555555555555554</v>
      </c>
      <c r="E582">
        <f t="shared" si="9"/>
        <v>25.277777777777779</v>
      </c>
      <c r="F582">
        <f>IF((E582-'user input'!$C$2)&lt;0,0,E582-'user input'!$C$2)</f>
        <v>15.277777777777779</v>
      </c>
      <c r="G582">
        <f>IF(B582&lt;'user input'!$C$5,0,(F582+G581))</f>
        <v>925</v>
      </c>
      <c r="H582">
        <f>G582/'user input'!$C$4</f>
        <v>0.77083333333333337</v>
      </c>
    </row>
    <row r="583" spans="1:8" x14ac:dyDescent="0.2">
      <c r="A583" s="1">
        <v>40759</v>
      </c>
      <c r="B583">
        <v>216</v>
      </c>
      <c r="C583" s="6">
        <f>IF('weather data'!C583&gt;'user input'!$C$3,'user input'!$C$3,'weather data'!C583)</f>
        <v>30</v>
      </c>
      <c r="D583" s="6">
        <f>IF('weather data'!D583&lt;'user input'!$C$2,'user input'!$C$2,'weather data'!D583)</f>
        <v>15.555555555555555</v>
      </c>
      <c r="E583">
        <f t="shared" si="9"/>
        <v>22.777777777777779</v>
      </c>
      <c r="F583">
        <f>IF((E583-'user input'!$C$2)&lt;0,0,E583-'user input'!$C$2)</f>
        <v>12.777777777777779</v>
      </c>
      <c r="G583">
        <f>IF(B583&lt;'user input'!$C$5,0,(F583+G582))</f>
        <v>937.77777777777783</v>
      </c>
      <c r="H583">
        <f>G583/'user input'!$C$4</f>
        <v>0.78148148148148155</v>
      </c>
    </row>
    <row r="584" spans="1:8" x14ac:dyDescent="0.2">
      <c r="A584" s="1">
        <v>40760</v>
      </c>
      <c r="B584">
        <v>217</v>
      </c>
      <c r="C584" s="6">
        <f>IF('weather data'!C584&gt;'user input'!$C$3,'user input'!$C$3,'weather data'!C584)</f>
        <v>29.444444444444446</v>
      </c>
      <c r="D584" s="6">
        <f>IF('weather data'!D584&lt;'user input'!$C$2,'user input'!$C$2,'weather data'!D584)</f>
        <v>16.666666666666668</v>
      </c>
      <c r="E584">
        <f t="shared" si="9"/>
        <v>23.055555555555557</v>
      </c>
      <c r="F584">
        <f>IF((E584-'user input'!$C$2)&lt;0,0,E584-'user input'!$C$2)</f>
        <v>13.055555555555557</v>
      </c>
      <c r="G584">
        <f>IF(B584&lt;'user input'!$C$5,0,(F584+G583))</f>
        <v>950.83333333333337</v>
      </c>
      <c r="H584">
        <f>G584/'user input'!$C$4</f>
        <v>0.79236111111111118</v>
      </c>
    </row>
    <row r="585" spans="1:8" x14ac:dyDescent="0.2">
      <c r="A585" s="1">
        <v>40761</v>
      </c>
      <c r="B585">
        <v>218</v>
      </c>
      <c r="C585" s="6">
        <f>IF('weather data'!C585&gt;'user input'!$C$3,'user input'!$C$3,'weather data'!C585)</f>
        <v>30</v>
      </c>
      <c r="D585" s="6">
        <f>IF('weather data'!D585&lt;'user input'!$C$2,'user input'!$C$2,'weather data'!D585)</f>
        <v>18.333333333333332</v>
      </c>
      <c r="E585">
        <f t="shared" si="9"/>
        <v>24.166666666666664</v>
      </c>
      <c r="F585">
        <f>IF((E585-'user input'!$C$2)&lt;0,0,E585-'user input'!$C$2)</f>
        <v>14.166666666666664</v>
      </c>
      <c r="G585">
        <f>IF(B585&lt;'user input'!$C$5,0,(F585+G584))</f>
        <v>965</v>
      </c>
      <c r="H585">
        <f>G585/'user input'!$C$4</f>
        <v>0.8041666666666667</v>
      </c>
    </row>
    <row r="586" spans="1:8" x14ac:dyDescent="0.2">
      <c r="A586" s="1">
        <v>40762</v>
      </c>
      <c r="B586">
        <v>219</v>
      </c>
      <c r="C586" s="6">
        <f>IF('weather data'!C586&gt;'user input'!$C$3,'user input'!$C$3,'weather data'!C586)</f>
        <v>30</v>
      </c>
      <c r="D586" s="6">
        <f>IF('weather data'!D586&lt;'user input'!$C$2,'user input'!$C$2,'weather data'!D586)</f>
        <v>20</v>
      </c>
      <c r="E586">
        <f t="shared" si="9"/>
        <v>25</v>
      </c>
      <c r="F586">
        <f>IF((E586-'user input'!$C$2)&lt;0,0,E586-'user input'!$C$2)</f>
        <v>15</v>
      </c>
      <c r="G586">
        <f>IF(B586&lt;'user input'!$C$5,0,(F586+G585))</f>
        <v>980</v>
      </c>
      <c r="H586">
        <f>G586/'user input'!$C$4</f>
        <v>0.81666666666666665</v>
      </c>
    </row>
    <row r="587" spans="1:8" x14ac:dyDescent="0.2">
      <c r="A587" s="1">
        <v>40763</v>
      </c>
      <c r="B587">
        <v>220</v>
      </c>
      <c r="C587" s="6">
        <f>IF('weather data'!C587&gt;'user input'!$C$3,'user input'!$C$3,'weather data'!C587)</f>
        <v>30</v>
      </c>
      <c r="D587" s="6">
        <f>IF('weather data'!D587&lt;'user input'!$C$2,'user input'!$C$2,'weather data'!D587)</f>
        <v>16.666666666666668</v>
      </c>
      <c r="E587">
        <f t="shared" si="9"/>
        <v>23.333333333333336</v>
      </c>
      <c r="F587">
        <f>IF((E587-'user input'!$C$2)&lt;0,0,E587-'user input'!$C$2)</f>
        <v>13.333333333333336</v>
      </c>
      <c r="G587">
        <f>IF(B587&lt;'user input'!$C$5,0,(F587+G586))</f>
        <v>993.33333333333337</v>
      </c>
      <c r="H587">
        <f>G587/'user input'!$C$4</f>
        <v>0.82777777777777783</v>
      </c>
    </row>
    <row r="588" spans="1:8" x14ac:dyDescent="0.2">
      <c r="A588" s="1">
        <v>40764</v>
      </c>
      <c r="B588">
        <v>221</v>
      </c>
      <c r="C588" s="6">
        <f>IF('weather data'!C588&gt;'user input'!$C$3,'user input'!$C$3,'weather data'!C588)</f>
        <v>25.555555555555554</v>
      </c>
      <c r="D588" s="6">
        <f>IF('weather data'!D588&lt;'user input'!$C$2,'user input'!$C$2,'weather data'!D588)</f>
        <v>17.222222222222221</v>
      </c>
      <c r="E588">
        <f t="shared" si="9"/>
        <v>21.388888888888886</v>
      </c>
      <c r="F588">
        <f>IF((E588-'user input'!$C$2)&lt;0,0,E588-'user input'!$C$2)</f>
        <v>11.388888888888886</v>
      </c>
      <c r="G588">
        <f>IF(B588&lt;'user input'!$C$5,0,(F588+G587))</f>
        <v>1004.7222222222223</v>
      </c>
      <c r="H588">
        <f>G588/'user input'!$C$4</f>
        <v>0.83726851851851858</v>
      </c>
    </row>
    <row r="589" spans="1:8" x14ac:dyDescent="0.2">
      <c r="A589" s="1">
        <v>40765</v>
      </c>
      <c r="B589">
        <v>222</v>
      </c>
      <c r="C589" s="6">
        <f>IF('weather data'!C589&gt;'user input'!$C$3,'user input'!$C$3,'weather data'!C589)</f>
        <v>26.666666666666664</v>
      </c>
      <c r="D589" s="6">
        <f>IF('weather data'!D589&lt;'user input'!$C$2,'user input'!$C$2,'weather data'!D589)</f>
        <v>11.111111111111111</v>
      </c>
      <c r="E589">
        <f t="shared" si="9"/>
        <v>18.888888888888886</v>
      </c>
      <c r="F589">
        <f>IF((E589-'user input'!$C$2)&lt;0,0,E589-'user input'!$C$2)</f>
        <v>8.8888888888888857</v>
      </c>
      <c r="G589">
        <f>IF(B589&lt;'user input'!$C$5,0,(F589+G588))</f>
        <v>1013.6111111111112</v>
      </c>
      <c r="H589">
        <f>G589/'user input'!$C$4</f>
        <v>0.844675925925926</v>
      </c>
    </row>
    <row r="590" spans="1:8" x14ac:dyDescent="0.2">
      <c r="A590" s="1">
        <v>40766</v>
      </c>
      <c r="B590">
        <v>223</v>
      </c>
      <c r="C590" s="6">
        <f>IF('weather data'!C590&gt;'user input'!$C$3,'user input'!$C$3,'weather data'!C590)</f>
        <v>26.111111111111111</v>
      </c>
      <c r="D590" s="6">
        <f>IF('weather data'!D590&lt;'user input'!$C$2,'user input'!$C$2,'weather data'!D590)</f>
        <v>10</v>
      </c>
      <c r="E590">
        <f t="shared" si="9"/>
        <v>18.055555555555557</v>
      </c>
      <c r="F590">
        <f>IF((E590-'user input'!$C$2)&lt;0,0,E590-'user input'!$C$2)</f>
        <v>8.0555555555555571</v>
      </c>
      <c r="G590">
        <f>IF(B590&lt;'user input'!$C$5,0,(F590+G589))</f>
        <v>1021.6666666666667</v>
      </c>
      <c r="H590">
        <f>G590/'user input'!$C$4</f>
        <v>0.85138888888888897</v>
      </c>
    </row>
    <row r="591" spans="1:8" x14ac:dyDescent="0.2">
      <c r="A591" s="1">
        <v>40767</v>
      </c>
      <c r="B591">
        <v>224</v>
      </c>
      <c r="C591" s="6">
        <f>IF('weather data'!C591&gt;'user input'!$C$3,'user input'!$C$3,'weather data'!C591)</f>
        <v>28.888888888888889</v>
      </c>
      <c r="D591" s="6">
        <f>IF('weather data'!D591&lt;'user input'!$C$2,'user input'!$C$2,'weather data'!D591)</f>
        <v>11.111111111111111</v>
      </c>
      <c r="E591">
        <f t="shared" si="9"/>
        <v>20</v>
      </c>
      <c r="F591">
        <f>IF((E591-'user input'!$C$2)&lt;0,0,E591-'user input'!$C$2)</f>
        <v>10</v>
      </c>
      <c r="G591">
        <f>IF(B591&lt;'user input'!$C$5,0,(F591+G590))</f>
        <v>1031.6666666666667</v>
      </c>
      <c r="H591">
        <f>G591/'user input'!$C$4</f>
        <v>0.85972222222222228</v>
      </c>
    </row>
    <row r="592" spans="1:8" x14ac:dyDescent="0.2">
      <c r="A592" s="1">
        <v>40768</v>
      </c>
      <c r="B592">
        <v>225</v>
      </c>
      <c r="C592" s="6">
        <f>IF('weather data'!C592&gt;'user input'!$C$3,'user input'!$C$3,'weather data'!C592)</f>
        <v>26.666666666666664</v>
      </c>
      <c r="D592" s="6">
        <f>IF('weather data'!D592&lt;'user input'!$C$2,'user input'!$C$2,'weather data'!D592)</f>
        <v>13.888888888888889</v>
      </c>
      <c r="E592">
        <f t="shared" si="9"/>
        <v>20.277777777777779</v>
      </c>
      <c r="F592">
        <f>IF((E592-'user input'!$C$2)&lt;0,0,E592-'user input'!$C$2)</f>
        <v>10.277777777777779</v>
      </c>
      <c r="G592">
        <f>IF(B592&lt;'user input'!$C$5,0,(F592+G591))</f>
        <v>1041.9444444444446</v>
      </c>
      <c r="H592">
        <f>G592/'user input'!$C$4</f>
        <v>0.86828703703703713</v>
      </c>
    </row>
    <row r="593" spans="1:8" x14ac:dyDescent="0.2">
      <c r="A593" s="1">
        <v>40769</v>
      </c>
      <c r="B593">
        <v>226</v>
      </c>
      <c r="C593" s="6">
        <f>IF('weather data'!C593&gt;'user input'!$C$3,'user input'!$C$3,'weather data'!C593)</f>
        <v>24.444444444444446</v>
      </c>
      <c r="D593" s="6">
        <f>IF('weather data'!D593&lt;'user input'!$C$2,'user input'!$C$2,'weather data'!D593)</f>
        <v>13.333333333333332</v>
      </c>
      <c r="E593">
        <f t="shared" si="9"/>
        <v>18.888888888888889</v>
      </c>
      <c r="F593">
        <f>IF((E593-'user input'!$C$2)&lt;0,0,E593-'user input'!$C$2)</f>
        <v>8.8888888888888893</v>
      </c>
      <c r="G593">
        <f>IF(B593&lt;'user input'!$C$5,0,(F593+G592))</f>
        <v>1050.8333333333335</v>
      </c>
      <c r="H593">
        <f>G593/'user input'!$C$4</f>
        <v>0.87569444444444455</v>
      </c>
    </row>
    <row r="594" spans="1:8" x14ac:dyDescent="0.2">
      <c r="A594" s="1">
        <v>40770</v>
      </c>
      <c r="B594">
        <v>227</v>
      </c>
      <c r="C594" s="6">
        <f>IF('weather data'!C594&gt;'user input'!$C$3,'user input'!$C$3,'weather data'!C594)</f>
        <v>26.666666666666664</v>
      </c>
      <c r="D594" s="6">
        <f>IF('weather data'!D594&lt;'user input'!$C$2,'user input'!$C$2,'weather data'!D594)</f>
        <v>11.111111111111111</v>
      </c>
      <c r="E594">
        <f t="shared" ref="E594:E657" si="10">(C594+D594)/2</f>
        <v>18.888888888888886</v>
      </c>
      <c r="F594">
        <f>IF((E594-'user input'!$C$2)&lt;0,0,E594-'user input'!$C$2)</f>
        <v>8.8888888888888857</v>
      </c>
      <c r="G594">
        <f>IF(B594&lt;'user input'!$C$5,0,(F594+G593))</f>
        <v>1059.7222222222224</v>
      </c>
      <c r="H594">
        <f>G594/'user input'!$C$4</f>
        <v>0.88310185185185197</v>
      </c>
    </row>
    <row r="595" spans="1:8" x14ac:dyDescent="0.2">
      <c r="A595" s="1">
        <v>40771</v>
      </c>
      <c r="B595">
        <v>228</v>
      </c>
      <c r="C595" s="6">
        <f>IF('weather data'!C595&gt;'user input'!$C$3,'user input'!$C$3,'weather data'!C595)</f>
        <v>28.888888888888889</v>
      </c>
      <c r="D595" s="6">
        <f>IF('weather data'!D595&lt;'user input'!$C$2,'user input'!$C$2,'weather data'!D595)</f>
        <v>11.666666666666668</v>
      </c>
      <c r="E595">
        <f t="shared" si="10"/>
        <v>20.277777777777779</v>
      </c>
      <c r="F595">
        <f>IF((E595-'user input'!$C$2)&lt;0,0,E595-'user input'!$C$2)</f>
        <v>10.277777777777779</v>
      </c>
      <c r="G595">
        <f>IF(B595&lt;'user input'!$C$5,0,(F595+G594))</f>
        <v>1070.0000000000002</v>
      </c>
      <c r="H595">
        <f>G595/'user input'!$C$4</f>
        <v>0.89166666666666683</v>
      </c>
    </row>
    <row r="596" spans="1:8" x14ac:dyDescent="0.2">
      <c r="A596" s="1">
        <v>40772</v>
      </c>
      <c r="B596">
        <v>229</v>
      </c>
      <c r="C596" s="6">
        <f>IF('weather data'!C596&gt;'user input'!$C$3,'user input'!$C$3,'weather data'!C596)</f>
        <v>28.888888888888889</v>
      </c>
      <c r="D596" s="6">
        <f>IF('weather data'!D596&lt;'user input'!$C$2,'user input'!$C$2,'weather data'!D596)</f>
        <v>13.888888888888889</v>
      </c>
      <c r="E596">
        <f t="shared" si="10"/>
        <v>21.388888888888889</v>
      </c>
      <c r="F596">
        <f>IF((E596-'user input'!$C$2)&lt;0,0,E596-'user input'!$C$2)</f>
        <v>11.388888888888889</v>
      </c>
      <c r="G596">
        <f>IF(B596&lt;'user input'!$C$5,0,(F596+G595))</f>
        <v>1081.3888888888891</v>
      </c>
      <c r="H596">
        <f>G596/'user input'!$C$4</f>
        <v>0.90115740740740757</v>
      </c>
    </row>
    <row r="597" spans="1:8" x14ac:dyDescent="0.2">
      <c r="A597" s="1">
        <v>40773</v>
      </c>
      <c r="B597">
        <v>230</v>
      </c>
      <c r="C597" s="6">
        <f>IF('weather data'!C597&gt;'user input'!$C$3,'user input'!$C$3,'weather data'!C597)</f>
        <v>30</v>
      </c>
      <c r="D597" s="6">
        <f>IF('weather data'!D597&lt;'user input'!$C$2,'user input'!$C$2,'weather data'!D597)</f>
        <v>10.555555555555555</v>
      </c>
      <c r="E597">
        <f t="shared" si="10"/>
        <v>20.277777777777779</v>
      </c>
      <c r="F597">
        <f>IF((E597-'user input'!$C$2)&lt;0,0,E597-'user input'!$C$2)</f>
        <v>10.277777777777779</v>
      </c>
      <c r="G597">
        <f>IF(B597&lt;'user input'!$C$5,0,(F597+G596))</f>
        <v>1091.666666666667</v>
      </c>
      <c r="H597">
        <f>G597/'user input'!$C$4</f>
        <v>0.90972222222222243</v>
      </c>
    </row>
    <row r="598" spans="1:8" x14ac:dyDescent="0.2">
      <c r="A598" s="1">
        <v>40774</v>
      </c>
      <c r="B598">
        <v>231</v>
      </c>
      <c r="C598" s="6">
        <f>IF('weather data'!C598&gt;'user input'!$C$3,'user input'!$C$3,'weather data'!C598)</f>
        <v>28.888888888888889</v>
      </c>
      <c r="D598" s="6">
        <f>IF('weather data'!D598&lt;'user input'!$C$2,'user input'!$C$2,'weather data'!D598)</f>
        <v>11.111111111111111</v>
      </c>
      <c r="E598">
        <f t="shared" si="10"/>
        <v>20</v>
      </c>
      <c r="F598">
        <f>IF((E598-'user input'!$C$2)&lt;0,0,E598-'user input'!$C$2)</f>
        <v>10</v>
      </c>
      <c r="G598">
        <f>IF(B598&lt;'user input'!$C$5,0,(F598+G597))</f>
        <v>1101.666666666667</v>
      </c>
      <c r="H598">
        <f>G598/'user input'!$C$4</f>
        <v>0.91805555555555585</v>
      </c>
    </row>
    <row r="599" spans="1:8" x14ac:dyDescent="0.2">
      <c r="A599" s="1">
        <v>40775</v>
      </c>
      <c r="B599">
        <v>232</v>
      </c>
      <c r="C599" s="6">
        <f>IF('weather data'!C599&gt;'user input'!$C$3,'user input'!$C$3,'weather data'!C599)</f>
        <v>30</v>
      </c>
      <c r="D599" s="6">
        <f>IF('weather data'!D599&lt;'user input'!$C$2,'user input'!$C$2,'weather data'!D599)</f>
        <v>12.777777777777777</v>
      </c>
      <c r="E599">
        <f t="shared" si="10"/>
        <v>21.388888888888889</v>
      </c>
      <c r="F599">
        <f>IF((E599-'user input'!$C$2)&lt;0,0,E599-'user input'!$C$2)</f>
        <v>11.388888888888889</v>
      </c>
      <c r="G599">
        <f>IF(B599&lt;'user input'!$C$5,0,(F599+G598))</f>
        <v>1113.0555555555559</v>
      </c>
      <c r="H599">
        <f>G599/'user input'!$C$4</f>
        <v>0.92754629629629659</v>
      </c>
    </row>
    <row r="600" spans="1:8" x14ac:dyDescent="0.2">
      <c r="A600" s="1">
        <v>40776</v>
      </c>
      <c r="B600">
        <v>233</v>
      </c>
      <c r="C600" s="6">
        <f>IF('weather data'!C600&gt;'user input'!$C$3,'user input'!$C$3,'weather data'!C600)</f>
        <v>27.222222222222221</v>
      </c>
      <c r="D600" s="6">
        <f>IF('weather data'!D600&lt;'user input'!$C$2,'user input'!$C$2,'weather data'!D600)</f>
        <v>17.222222222222221</v>
      </c>
      <c r="E600">
        <f t="shared" si="10"/>
        <v>22.222222222222221</v>
      </c>
      <c r="F600">
        <f>IF((E600-'user input'!$C$2)&lt;0,0,E600-'user input'!$C$2)</f>
        <v>12.222222222222221</v>
      </c>
      <c r="G600">
        <f>IF(B600&lt;'user input'!$C$5,0,(F600+G599))</f>
        <v>1125.2777777777781</v>
      </c>
      <c r="H600">
        <f>G600/'user input'!$C$4</f>
        <v>0.93773148148148167</v>
      </c>
    </row>
    <row r="601" spans="1:8" x14ac:dyDescent="0.2">
      <c r="A601" s="1">
        <v>40777</v>
      </c>
      <c r="B601">
        <v>234</v>
      </c>
      <c r="C601" s="6">
        <f>IF('weather data'!C601&gt;'user input'!$C$3,'user input'!$C$3,'weather data'!C601)</f>
        <v>25.555555555555554</v>
      </c>
      <c r="D601" s="6">
        <f>IF('weather data'!D601&lt;'user input'!$C$2,'user input'!$C$2,'weather data'!D601)</f>
        <v>11.111111111111111</v>
      </c>
      <c r="E601">
        <f t="shared" si="10"/>
        <v>18.333333333333332</v>
      </c>
      <c r="F601">
        <f>IF((E601-'user input'!$C$2)&lt;0,0,E601-'user input'!$C$2)</f>
        <v>8.3333333333333321</v>
      </c>
      <c r="G601">
        <f>IF(B601&lt;'user input'!$C$5,0,(F601+G600))</f>
        <v>1133.6111111111113</v>
      </c>
      <c r="H601">
        <f>G601/'user input'!$C$4</f>
        <v>0.94467592592592609</v>
      </c>
    </row>
    <row r="602" spans="1:8" x14ac:dyDescent="0.2">
      <c r="A602" s="1">
        <v>40778</v>
      </c>
      <c r="B602">
        <v>235</v>
      </c>
      <c r="C602" s="6">
        <f>IF('weather data'!C602&gt;'user input'!$C$3,'user input'!$C$3,'weather data'!C602)</f>
        <v>30</v>
      </c>
      <c r="D602" s="6">
        <f>IF('weather data'!D602&lt;'user input'!$C$2,'user input'!$C$2,'weather data'!D602)</f>
        <v>12.777777777777777</v>
      </c>
      <c r="E602">
        <f t="shared" si="10"/>
        <v>21.388888888888889</v>
      </c>
      <c r="F602">
        <f>IF((E602-'user input'!$C$2)&lt;0,0,E602-'user input'!$C$2)</f>
        <v>11.388888888888889</v>
      </c>
      <c r="G602">
        <f>IF(B602&lt;'user input'!$C$5,0,(F602+G601))</f>
        <v>1145.0000000000002</v>
      </c>
      <c r="H602">
        <f>G602/'user input'!$C$4</f>
        <v>0.95416666666666683</v>
      </c>
    </row>
    <row r="603" spans="1:8" x14ac:dyDescent="0.2">
      <c r="A603" s="1">
        <v>40779</v>
      </c>
      <c r="B603">
        <v>236</v>
      </c>
      <c r="C603" s="6">
        <f>IF('weather data'!C603&gt;'user input'!$C$3,'user input'!$C$3,'weather data'!C603)</f>
        <v>26.666666666666664</v>
      </c>
      <c r="D603" s="6">
        <f>IF('weather data'!D603&lt;'user input'!$C$2,'user input'!$C$2,'weather data'!D603)</f>
        <v>17.777777777777779</v>
      </c>
      <c r="E603">
        <f t="shared" si="10"/>
        <v>22.222222222222221</v>
      </c>
      <c r="F603">
        <f>IF((E603-'user input'!$C$2)&lt;0,0,E603-'user input'!$C$2)</f>
        <v>12.222222222222221</v>
      </c>
      <c r="G603">
        <f>IF(B603&lt;'user input'!$C$5,0,(F603+G602))</f>
        <v>1157.2222222222224</v>
      </c>
      <c r="H603">
        <f>G603/'user input'!$C$4</f>
        <v>0.96435185185185202</v>
      </c>
    </row>
    <row r="604" spans="1:8" x14ac:dyDescent="0.2">
      <c r="A604" s="1">
        <v>40780</v>
      </c>
      <c r="B604">
        <v>237</v>
      </c>
      <c r="C604" s="6">
        <f>IF('weather data'!C604&gt;'user input'!$C$3,'user input'!$C$3,'weather data'!C604)</f>
        <v>30</v>
      </c>
      <c r="D604" s="6">
        <f>IF('weather data'!D604&lt;'user input'!$C$2,'user input'!$C$2,'weather data'!D604)</f>
        <v>12.777777777777777</v>
      </c>
      <c r="E604">
        <f t="shared" si="10"/>
        <v>21.388888888888889</v>
      </c>
      <c r="F604">
        <f>IF((E604-'user input'!$C$2)&lt;0,0,E604-'user input'!$C$2)</f>
        <v>11.388888888888889</v>
      </c>
      <c r="G604">
        <f>IF(B604&lt;'user input'!$C$5,0,(F604+G603))</f>
        <v>1168.6111111111113</v>
      </c>
      <c r="H604">
        <f>G604/'user input'!$C$4</f>
        <v>0.97384259259259276</v>
      </c>
    </row>
    <row r="605" spans="1:8" x14ac:dyDescent="0.2">
      <c r="A605" s="1">
        <v>40781</v>
      </c>
      <c r="B605">
        <v>238</v>
      </c>
      <c r="C605" s="6">
        <f>IF('weather data'!C605&gt;'user input'!$C$3,'user input'!$C$3,'weather data'!C605)</f>
        <v>27.777777777777779</v>
      </c>
      <c r="D605" s="6">
        <f>IF('weather data'!D605&lt;'user input'!$C$2,'user input'!$C$2,'weather data'!D605)</f>
        <v>10.555555555555555</v>
      </c>
      <c r="E605">
        <f t="shared" si="10"/>
        <v>19.166666666666668</v>
      </c>
      <c r="F605">
        <f>IF((E605-'user input'!$C$2)&lt;0,0,E605-'user input'!$C$2)</f>
        <v>9.1666666666666679</v>
      </c>
      <c r="G605">
        <f>IF(B605&lt;'user input'!$C$5,0,(F605+G604))</f>
        <v>1177.7777777777781</v>
      </c>
      <c r="H605">
        <f>G605/'user input'!$C$4</f>
        <v>0.98148148148148173</v>
      </c>
    </row>
    <row r="606" spans="1:8" x14ac:dyDescent="0.2">
      <c r="A606" s="1">
        <v>40782</v>
      </c>
      <c r="B606">
        <v>239</v>
      </c>
      <c r="C606" s="6">
        <f>IF('weather data'!C606&gt;'user input'!$C$3,'user input'!$C$3,'weather data'!C606)</f>
        <v>28.333333333333336</v>
      </c>
      <c r="D606" s="6">
        <f>IF('weather data'!D606&lt;'user input'!$C$2,'user input'!$C$2,'weather data'!D606)</f>
        <v>10.555555555555555</v>
      </c>
      <c r="E606">
        <f t="shared" si="10"/>
        <v>19.444444444444446</v>
      </c>
      <c r="F606">
        <f>IF((E606-'user input'!$C$2)&lt;0,0,E606-'user input'!$C$2)</f>
        <v>9.4444444444444464</v>
      </c>
      <c r="G606">
        <f>IF(B606&lt;'user input'!$C$5,0,(F606+G605))</f>
        <v>1187.2222222222224</v>
      </c>
      <c r="H606">
        <f>G606/'user input'!$C$4</f>
        <v>0.98935185185185204</v>
      </c>
    </row>
    <row r="607" spans="1:8" x14ac:dyDescent="0.2">
      <c r="A607" s="1">
        <v>40783</v>
      </c>
      <c r="B607">
        <v>240</v>
      </c>
      <c r="C607" s="6">
        <f>IF('weather data'!C607&gt;'user input'!$C$3,'user input'!$C$3,'weather data'!C607)</f>
        <v>27.777777777777779</v>
      </c>
      <c r="D607" s="6">
        <f>IF('weather data'!D607&lt;'user input'!$C$2,'user input'!$C$2,'weather data'!D607)</f>
        <v>10.555555555555555</v>
      </c>
      <c r="E607">
        <f t="shared" si="10"/>
        <v>19.166666666666668</v>
      </c>
      <c r="F607">
        <f>IF((E607-'user input'!$C$2)&lt;0,0,E607-'user input'!$C$2)</f>
        <v>9.1666666666666679</v>
      </c>
      <c r="G607">
        <f>IF(B607&lt;'user input'!$C$5,0,(F607+G606))</f>
        <v>1196.3888888888891</v>
      </c>
      <c r="H607">
        <f>G607/'user input'!$C$4</f>
        <v>0.9969907407407409</v>
      </c>
    </row>
    <row r="608" spans="1:8" x14ac:dyDescent="0.2">
      <c r="A608" s="1">
        <v>40784</v>
      </c>
      <c r="B608">
        <v>241</v>
      </c>
      <c r="C608" s="6">
        <f>IF('weather data'!C608&gt;'user input'!$C$3,'user input'!$C$3,'weather data'!C608)</f>
        <v>25</v>
      </c>
      <c r="D608" s="6">
        <f>IF('weather data'!D608&lt;'user input'!$C$2,'user input'!$C$2,'weather data'!D608)</f>
        <v>10</v>
      </c>
      <c r="E608">
        <f t="shared" si="10"/>
        <v>17.5</v>
      </c>
      <c r="F608">
        <f>IF((E608-'user input'!$C$2)&lt;0,0,E608-'user input'!$C$2)</f>
        <v>7.5</v>
      </c>
      <c r="G608">
        <f>IF(B608&lt;'user input'!$C$5,0,(F608+G607))</f>
        <v>1203.8888888888891</v>
      </c>
      <c r="H608">
        <f>G608/'user input'!$C$4</f>
        <v>1.0032407407407409</v>
      </c>
    </row>
    <row r="609" spans="1:8" x14ac:dyDescent="0.2">
      <c r="A609" s="1">
        <v>40785</v>
      </c>
      <c r="B609">
        <v>242</v>
      </c>
      <c r="C609" s="6">
        <f>IF('weather data'!C609&gt;'user input'!$C$3,'user input'!$C$3,'weather data'!C609)</f>
        <v>27.222222222222221</v>
      </c>
      <c r="D609" s="6">
        <f>IF('weather data'!D609&lt;'user input'!$C$2,'user input'!$C$2,'weather data'!D609)</f>
        <v>10.555555555555555</v>
      </c>
      <c r="E609">
        <f t="shared" si="10"/>
        <v>18.888888888888889</v>
      </c>
      <c r="F609">
        <f>IF((E609-'user input'!$C$2)&lt;0,0,E609-'user input'!$C$2)</f>
        <v>8.8888888888888893</v>
      </c>
      <c r="G609">
        <f>IF(B609&lt;'user input'!$C$5,0,(F609+G608))</f>
        <v>1212.7777777777781</v>
      </c>
      <c r="H609">
        <f>G609/'user input'!$C$4</f>
        <v>1.0106481481481484</v>
      </c>
    </row>
    <row r="610" spans="1:8" x14ac:dyDescent="0.2">
      <c r="A610" s="1">
        <v>40786</v>
      </c>
      <c r="B610">
        <v>243</v>
      </c>
      <c r="C610" s="6">
        <f>IF('weather data'!C610&gt;'user input'!$C$3,'user input'!$C$3,'weather data'!C610)</f>
        <v>21.111111111111111</v>
      </c>
      <c r="D610" s="6">
        <f>IF('weather data'!D610&lt;'user input'!$C$2,'user input'!$C$2,'weather data'!D610)</f>
        <v>13.888888888888889</v>
      </c>
      <c r="E610">
        <f t="shared" si="10"/>
        <v>17.5</v>
      </c>
      <c r="F610">
        <f>IF((E610-'user input'!$C$2)&lt;0,0,E610-'user input'!$C$2)</f>
        <v>7.5</v>
      </c>
      <c r="G610">
        <f>IF(B610&lt;'user input'!$C$5,0,(F610+G609))</f>
        <v>1220.2777777777781</v>
      </c>
      <c r="H610">
        <f>G610/'user input'!$C$4</f>
        <v>1.0168981481481483</v>
      </c>
    </row>
    <row r="611" spans="1:8" x14ac:dyDescent="0.2">
      <c r="A611" s="1">
        <v>40787</v>
      </c>
      <c r="B611">
        <v>244</v>
      </c>
      <c r="C611" s="6">
        <f>IF('weather data'!C611&gt;'user input'!$C$3,'user input'!$C$3,'weather data'!C611)</f>
        <v>28.888888888888889</v>
      </c>
      <c r="D611" s="6">
        <f>IF('weather data'!D611&lt;'user input'!$C$2,'user input'!$C$2,'weather data'!D611)</f>
        <v>15.555555555555555</v>
      </c>
      <c r="E611">
        <f t="shared" si="10"/>
        <v>22.222222222222221</v>
      </c>
      <c r="F611">
        <f>IF((E611-'user input'!$C$2)&lt;0,0,E611-'user input'!$C$2)</f>
        <v>12.222222222222221</v>
      </c>
      <c r="G611">
        <f>IF(B611&lt;'user input'!$C$5,0,(F611+G610))</f>
        <v>1232.5000000000002</v>
      </c>
      <c r="H611">
        <f>G611/'user input'!$C$4</f>
        <v>1.0270833333333336</v>
      </c>
    </row>
    <row r="612" spans="1:8" x14ac:dyDescent="0.2">
      <c r="A612" s="1">
        <v>40788</v>
      </c>
      <c r="B612">
        <v>245</v>
      </c>
      <c r="C612" s="6">
        <f>IF('weather data'!C612&gt;'user input'!$C$3,'user input'!$C$3,'weather data'!C612)</f>
        <v>30</v>
      </c>
      <c r="D612" s="6">
        <f>IF('weather data'!D612&lt;'user input'!$C$2,'user input'!$C$2,'weather data'!D612)</f>
        <v>17.222222222222221</v>
      </c>
      <c r="E612">
        <f t="shared" si="10"/>
        <v>23.611111111111111</v>
      </c>
      <c r="F612">
        <f>IF((E612-'user input'!$C$2)&lt;0,0,E612-'user input'!$C$2)</f>
        <v>13.611111111111111</v>
      </c>
      <c r="G612">
        <f>IF(B612&lt;'user input'!$C$5,0,(F612+G611))</f>
        <v>1246.1111111111113</v>
      </c>
      <c r="H612">
        <f>G612/'user input'!$C$4</f>
        <v>1.0384259259259261</v>
      </c>
    </row>
    <row r="613" spans="1:8" x14ac:dyDescent="0.2">
      <c r="A613" s="1">
        <v>40789</v>
      </c>
      <c r="B613">
        <v>246</v>
      </c>
      <c r="C613" s="6">
        <f>IF('weather data'!C613&gt;'user input'!$C$3,'user input'!$C$3,'weather data'!C613)</f>
        <v>30</v>
      </c>
      <c r="D613" s="6">
        <f>IF('weather data'!D613&lt;'user input'!$C$2,'user input'!$C$2,'weather data'!D613)</f>
        <v>20</v>
      </c>
      <c r="E613">
        <f t="shared" si="10"/>
        <v>25</v>
      </c>
      <c r="F613">
        <f>IF((E613-'user input'!$C$2)&lt;0,0,E613-'user input'!$C$2)</f>
        <v>15</v>
      </c>
      <c r="G613">
        <f>IF(B613&lt;'user input'!$C$5,0,(F613+G612))</f>
        <v>1261.1111111111113</v>
      </c>
      <c r="H613">
        <f>G613/'user input'!$C$4</f>
        <v>1.050925925925926</v>
      </c>
    </row>
    <row r="614" spans="1:8" x14ac:dyDescent="0.2">
      <c r="A614" s="1">
        <v>40790</v>
      </c>
      <c r="B614">
        <v>247</v>
      </c>
      <c r="C614" s="6">
        <f>IF('weather data'!C614&gt;'user input'!$C$3,'user input'!$C$3,'weather data'!C614)</f>
        <v>23.888888888888889</v>
      </c>
      <c r="D614" s="6">
        <f>IF('weather data'!D614&lt;'user input'!$C$2,'user input'!$C$2,'weather data'!D614)</f>
        <v>11.111111111111111</v>
      </c>
      <c r="E614">
        <f t="shared" si="10"/>
        <v>17.5</v>
      </c>
      <c r="F614">
        <f>IF((E614-'user input'!$C$2)&lt;0,0,E614-'user input'!$C$2)</f>
        <v>7.5</v>
      </c>
      <c r="G614">
        <f>IF(B614&lt;'user input'!$C$5,0,(F614+G613))</f>
        <v>1268.6111111111113</v>
      </c>
      <c r="H614">
        <f>G614/'user input'!$C$4</f>
        <v>1.0571759259259261</v>
      </c>
    </row>
    <row r="615" spans="1:8" x14ac:dyDescent="0.2">
      <c r="A615" s="1">
        <v>40791</v>
      </c>
      <c r="B615">
        <v>248</v>
      </c>
      <c r="C615" s="6">
        <f>IF('weather data'!C615&gt;'user input'!$C$3,'user input'!$C$3,'weather data'!C615)</f>
        <v>21.666666666666664</v>
      </c>
      <c r="D615" s="6">
        <f>IF('weather data'!D615&lt;'user input'!$C$2,'user input'!$C$2,'weather data'!D615)</f>
        <v>10</v>
      </c>
      <c r="E615">
        <f t="shared" si="10"/>
        <v>15.833333333333332</v>
      </c>
      <c r="F615">
        <f>IF((E615-'user input'!$C$2)&lt;0,0,E615-'user input'!$C$2)</f>
        <v>5.8333333333333321</v>
      </c>
      <c r="G615">
        <f>IF(B615&lt;'user input'!$C$5,0,(F615+G614))</f>
        <v>1274.4444444444446</v>
      </c>
      <c r="H615">
        <f>G615/'user input'!$C$4</f>
        <v>1.0620370370370371</v>
      </c>
    </row>
    <row r="616" spans="1:8" x14ac:dyDescent="0.2">
      <c r="A616" s="1">
        <v>40792</v>
      </c>
      <c r="B616">
        <v>249</v>
      </c>
      <c r="C616" s="6">
        <f>IF('weather data'!C616&gt;'user input'!$C$3,'user input'!$C$3,'weather data'!C616)</f>
        <v>20.555555555555554</v>
      </c>
      <c r="D616" s="6">
        <f>IF('weather data'!D616&lt;'user input'!$C$2,'user input'!$C$2,'weather data'!D616)</f>
        <v>10</v>
      </c>
      <c r="E616">
        <f t="shared" si="10"/>
        <v>15.277777777777777</v>
      </c>
      <c r="F616">
        <f>IF((E616-'user input'!$C$2)&lt;0,0,E616-'user input'!$C$2)</f>
        <v>5.2777777777777768</v>
      </c>
      <c r="G616">
        <f>IF(B616&lt;'user input'!$C$5,0,(F616+G615))</f>
        <v>1279.7222222222224</v>
      </c>
      <c r="H616">
        <f>G616/'user input'!$C$4</f>
        <v>1.0664351851851854</v>
      </c>
    </row>
    <row r="617" spans="1:8" x14ac:dyDescent="0.2">
      <c r="A617" s="1">
        <v>40793</v>
      </c>
      <c r="B617">
        <v>250</v>
      </c>
      <c r="C617" s="6">
        <f>IF('weather data'!C617&gt;'user input'!$C$3,'user input'!$C$3,'weather data'!C617)</f>
        <v>20.555555555555554</v>
      </c>
      <c r="D617" s="6">
        <f>IF('weather data'!D617&lt;'user input'!$C$2,'user input'!$C$2,'weather data'!D617)</f>
        <v>10</v>
      </c>
      <c r="E617">
        <f t="shared" si="10"/>
        <v>15.277777777777777</v>
      </c>
      <c r="F617">
        <f>IF((E617-'user input'!$C$2)&lt;0,0,E617-'user input'!$C$2)</f>
        <v>5.2777777777777768</v>
      </c>
      <c r="G617">
        <f>IF(B617&lt;'user input'!$C$5,0,(F617+G616))</f>
        <v>1285.0000000000002</v>
      </c>
      <c r="H617">
        <f>G617/'user input'!$C$4</f>
        <v>1.0708333333333335</v>
      </c>
    </row>
    <row r="618" spans="1:8" x14ac:dyDescent="0.2">
      <c r="A618" s="1">
        <v>40794</v>
      </c>
      <c r="B618">
        <v>251</v>
      </c>
      <c r="C618" s="6">
        <f>IF('weather data'!C618&gt;'user input'!$C$3,'user input'!$C$3,'weather data'!C618)</f>
        <v>22.777777777777779</v>
      </c>
      <c r="D618" s="6">
        <f>IF('weather data'!D618&lt;'user input'!$C$2,'user input'!$C$2,'weather data'!D618)</f>
        <v>10</v>
      </c>
      <c r="E618">
        <f t="shared" si="10"/>
        <v>16.388888888888889</v>
      </c>
      <c r="F618">
        <f>IF((E618-'user input'!$C$2)&lt;0,0,E618-'user input'!$C$2)</f>
        <v>6.3888888888888893</v>
      </c>
      <c r="G618">
        <f>IF(B618&lt;'user input'!$C$5,0,(F618+G617))</f>
        <v>1291.3888888888891</v>
      </c>
      <c r="H618">
        <f>G618/'user input'!$C$4</f>
        <v>1.0761574074074076</v>
      </c>
    </row>
    <row r="619" spans="1:8" x14ac:dyDescent="0.2">
      <c r="A619" s="1">
        <v>40795</v>
      </c>
      <c r="B619">
        <v>252</v>
      </c>
      <c r="C619" s="6">
        <f>IF('weather data'!C619&gt;'user input'!$C$3,'user input'!$C$3,'weather data'!C619)</f>
        <v>26.111111111111111</v>
      </c>
      <c r="D619" s="6">
        <f>IF('weather data'!D619&lt;'user input'!$C$2,'user input'!$C$2,'weather data'!D619)</f>
        <v>10</v>
      </c>
      <c r="E619">
        <f t="shared" si="10"/>
        <v>18.055555555555557</v>
      </c>
      <c r="F619">
        <f>IF((E619-'user input'!$C$2)&lt;0,0,E619-'user input'!$C$2)</f>
        <v>8.0555555555555571</v>
      </c>
      <c r="G619">
        <f>IF(B619&lt;'user input'!$C$5,0,(F619+G618))</f>
        <v>1299.4444444444448</v>
      </c>
      <c r="H619">
        <f>G619/'user input'!$C$4</f>
        <v>1.0828703703703706</v>
      </c>
    </row>
    <row r="620" spans="1:8" x14ac:dyDescent="0.2">
      <c r="A620" s="1">
        <v>40796</v>
      </c>
      <c r="B620">
        <v>253</v>
      </c>
      <c r="C620" s="6">
        <f>IF('weather data'!C620&gt;'user input'!$C$3,'user input'!$C$3,'weather data'!C620)</f>
        <v>25.555555555555554</v>
      </c>
      <c r="D620" s="6">
        <f>IF('weather data'!D620&lt;'user input'!$C$2,'user input'!$C$2,'weather data'!D620)</f>
        <v>10</v>
      </c>
      <c r="E620">
        <f t="shared" si="10"/>
        <v>17.777777777777779</v>
      </c>
      <c r="F620">
        <f>IF((E620-'user input'!$C$2)&lt;0,0,E620-'user input'!$C$2)</f>
        <v>7.7777777777777786</v>
      </c>
      <c r="G620">
        <f>IF(B620&lt;'user input'!$C$5,0,(F620+G619))</f>
        <v>1307.2222222222226</v>
      </c>
      <c r="H620">
        <f>G620/'user input'!$C$4</f>
        <v>1.0893518518518521</v>
      </c>
    </row>
    <row r="621" spans="1:8" x14ac:dyDescent="0.2">
      <c r="A621" s="1">
        <v>40797</v>
      </c>
      <c r="B621">
        <v>254</v>
      </c>
      <c r="C621" s="6">
        <f>IF('weather data'!C621&gt;'user input'!$C$3,'user input'!$C$3,'weather data'!C621)</f>
        <v>27.777777777777779</v>
      </c>
      <c r="D621" s="6">
        <f>IF('weather data'!D621&lt;'user input'!$C$2,'user input'!$C$2,'weather data'!D621)</f>
        <v>11.111111111111111</v>
      </c>
      <c r="E621">
        <f t="shared" si="10"/>
        <v>19.444444444444443</v>
      </c>
      <c r="F621">
        <f>IF((E621-'user input'!$C$2)&lt;0,0,E621-'user input'!$C$2)</f>
        <v>9.4444444444444429</v>
      </c>
      <c r="G621">
        <f>IF(B621&lt;'user input'!$C$5,0,(F621+G620))</f>
        <v>1316.666666666667</v>
      </c>
      <c r="H621">
        <f>G621/'user input'!$C$4</f>
        <v>1.0972222222222225</v>
      </c>
    </row>
    <row r="622" spans="1:8" x14ac:dyDescent="0.2">
      <c r="A622" s="1">
        <v>40798</v>
      </c>
      <c r="B622">
        <v>255</v>
      </c>
      <c r="C622" s="6">
        <f>IF('weather data'!C622&gt;'user input'!$C$3,'user input'!$C$3,'weather data'!C622)</f>
        <v>29.444444444444446</v>
      </c>
      <c r="D622" s="6">
        <f>IF('weather data'!D622&lt;'user input'!$C$2,'user input'!$C$2,'weather data'!D622)</f>
        <v>11.111111111111111</v>
      </c>
      <c r="E622">
        <f t="shared" si="10"/>
        <v>20.277777777777779</v>
      </c>
      <c r="F622">
        <f>IF((E622-'user input'!$C$2)&lt;0,0,E622-'user input'!$C$2)</f>
        <v>10.277777777777779</v>
      </c>
      <c r="G622">
        <f>IF(B622&lt;'user input'!$C$5,0,(F622+G621))</f>
        <v>1326.9444444444448</v>
      </c>
      <c r="H622">
        <f>G622/'user input'!$C$4</f>
        <v>1.1057870370370373</v>
      </c>
    </row>
    <row r="623" spans="1:8" x14ac:dyDescent="0.2">
      <c r="A623" s="1">
        <v>40799</v>
      </c>
      <c r="B623">
        <v>256</v>
      </c>
      <c r="C623" s="6">
        <f>IF('weather data'!C623&gt;'user input'!$C$3,'user input'!$C$3,'weather data'!C623)</f>
        <v>30</v>
      </c>
      <c r="D623" s="6">
        <f>IF('weather data'!D623&lt;'user input'!$C$2,'user input'!$C$2,'weather data'!D623)</f>
        <v>11.111111111111111</v>
      </c>
      <c r="E623">
        <f t="shared" si="10"/>
        <v>20.555555555555557</v>
      </c>
      <c r="F623">
        <f>IF((E623-'user input'!$C$2)&lt;0,0,E623-'user input'!$C$2)</f>
        <v>10.555555555555557</v>
      </c>
      <c r="G623">
        <f>IF(B623&lt;'user input'!$C$5,0,(F623+G622))</f>
        <v>1337.5000000000005</v>
      </c>
      <c r="H623">
        <f>G623/'user input'!$C$4</f>
        <v>1.1145833333333337</v>
      </c>
    </row>
    <row r="624" spans="1:8" x14ac:dyDescent="0.2">
      <c r="A624" s="1">
        <v>40800</v>
      </c>
      <c r="B624">
        <v>257</v>
      </c>
      <c r="C624" s="6">
        <f>IF('weather data'!C624&gt;'user input'!$C$3,'user input'!$C$3,'weather data'!C624)</f>
        <v>21.666666666666664</v>
      </c>
      <c r="D624" s="6">
        <f>IF('weather data'!D624&lt;'user input'!$C$2,'user input'!$C$2,'weather data'!D624)</f>
        <v>10</v>
      </c>
      <c r="E624">
        <f t="shared" si="10"/>
        <v>15.833333333333332</v>
      </c>
      <c r="F624">
        <f>IF((E624-'user input'!$C$2)&lt;0,0,E624-'user input'!$C$2)</f>
        <v>5.8333333333333321</v>
      </c>
      <c r="G624">
        <f>IF(B624&lt;'user input'!$C$5,0,(F624+G623))</f>
        <v>1343.3333333333337</v>
      </c>
      <c r="H624">
        <f>G624/'user input'!$C$4</f>
        <v>1.1194444444444447</v>
      </c>
    </row>
    <row r="625" spans="1:8" x14ac:dyDescent="0.2">
      <c r="A625" s="1">
        <v>40801</v>
      </c>
      <c r="B625">
        <v>258</v>
      </c>
      <c r="C625" s="6">
        <f>IF('weather data'!C625&gt;'user input'!$C$3,'user input'!$C$3,'weather data'!C625)</f>
        <v>15</v>
      </c>
      <c r="D625" s="6">
        <f>IF('weather data'!D625&lt;'user input'!$C$2,'user input'!$C$2,'weather data'!D625)</f>
        <v>10</v>
      </c>
      <c r="E625">
        <f t="shared" si="10"/>
        <v>12.5</v>
      </c>
      <c r="F625">
        <f>IF((E625-'user input'!$C$2)&lt;0,0,E625-'user input'!$C$2)</f>
        <v>2.5</v>
      </c>
      <c r="G625">
        <f>IF(B625&lt;'user input'!$C$5,0,(F625+G624))</f>
        <v>1345.8333333333337</v>
      </c>
      <c r="H625">
        <f>G625/'user input'!$C$4</f>
        <v>1.1215277777777781</v>
      </c>
    </row>
    <row r="626" spans="1:8" x14ac:dyDescent="0.2">
      <c r="A626" s="1">
        <v>40802</v>
      </c>
      <c r="B626">
        <v>259</v>
      </c>
      <c r="C626" s="6">
        <f>IF('weather data'!C626&gt;'user input'!$C$3,'user input'!$C$3,'weather data'!C626)</f>
        <v>15.555555555555555</v>
      </c>
      <c r="D626" s="6">
        <f>IF('weather data'!D626&lt;'user input'!$C$2,'user input'!$C$2,'weather data'!D626)</f>
        <v>10</v>
      </c>
      <c r="E626">
        <f t="shared" si="10"/>
        <v>12.777777777777779</v>
      </c>
      <c r="F626">
        <f>IF((E626-'user input'!$C$2)&lt;0,0,E626-'user input'!$C$2)</f>
        <v>2.7777777777777786</v>
      </c>
      <c r="G626">
        <f>IF(B626&lt;'user input'!$C$5,0,(F626+G625))</f>
        <v>1348.6111111111115</v>
      </c>
      <c r="H626">
        <f>G626/'user input'!$C$4</f>
        <v>1.123842592592593</v>
      </c>
    </row>
    <row r="627" spans="1:8" x14ac:dyDescent="0.2">
      <c r="A627" s="1">
        <v>40803</v>
      </c>
      <c r="B627">
        <v>260</v>
      </c>
      <c r="C627" s="6">
        <f>IF('weather data'!C627&gt;'user input'!$C$3,'user input'!$C$3,'weather data'!C627)</f>
        <v>13.888888888888889</v>
      </c>
      <c r="D627" s="6">
        <f>IF('weather data'!D627&lt;'user input'!$C$2,'user input'!$C$2,'weather data'!D627)</f>
        <v>10</v>
      </c>
      <c r="E627">
        <f t="shared" si="10"/>
        <v>11.944444444444445</v>
      </c>
      <c r="F627">
        <f>IF((E627-'user input'!$C$2)&lt;0,0,E627-'user input'!$C$2)</f>
        <v>1.9444444444444446</v>
      </c>
      <c r="G627">
        <f>IF(B627&lt;'user input'!$C$5,0,(F627+G626))</f>
        <v>1350.5555555555559</v>
      </c>
      <c r="H627">
        <f>G627/'user input'!$C$4</f>
        <v>1.1254629629629633</v>
      </c>
    </row>
    <row r="628" spans="1:8" x14ac:dyDescent="0.2">
      <c r="A628" s="1">
        <v>40804</v>
      </c>
      <c r="B628">
        <v>261</v>
      </c>
      <c r="C628" s="6">
        <f>IF('weather data'!C628&gt;'user input'!$C$3,'user input'!$C$3,'weather data'!C628)</f>
        <v>20</v>
      </c>
      <c r="D628" s="6">
        <f>IF('weather data'!D628&lt;'user input'!$C$2,'user input'!$C$2,'weather data'!D628)</f>
        <v>10.555555555555555</v>
      </c>
      <c r="E628">
        <f t="shared" si="10"/>
        <v>15.277777777777779</v>
      </c>
      <c r="F628">
        <f>IF((E628-'user input'!$C$2)&lt;0,0,E628-'user input'!$C$2)</f>
        <v>5.2777777777777786</v>
      </c>
      <c r="G628">
        <f>IF(B628&lt;'user input'!$C$5,0,(F628+G627))</f>
        <v>1355.8333333333337</v>
      </c>
      <c r="H628">
        <f>G628/'user input'!$C$4</f>
        <v>1.1298611111111114</v>
      </c>
    </row>
    <row r="629" spans="1:8" x14ac:dyDescent="0.2">
      <c r="A629" s="1">
        <v>40805</v>
      </c>
      <c r="B629">
        <v>262</v>
      </c>
      <c r="C629" s="6">
        <f>IF('weather data'!C629&gt;'user input'!$C$3,'user input'!$C$3,'weather data'!C629)</f>
        <v>15</v>
      </c>
      <c r="D629" s="6">
        <f>IF('weather data'!D629&lt;'user input'!$C$2,'user input'!$C$2,'weather data'!D629)</f>
        <v>14.444444444444445</v>
      </c>
      <c r="E629">
        <f t="shared" si="10"/>
        <v>14.722222222222221</v>
      </c>
      <c r="F629">
        <f>IF((E629-'user input'!$C$2)&lt;0,0,E629-'user input'!$C$2)</f>
        <v>4.7222222222222214</v>
      </c>
      <c r="G629">
        <f>IF(B629&lt;'user input'!$C$5,0,(F629+G628))</f>
        <v>1360.5555555555559</v>
      </c>
      <c r="H629">
        <f>G629/'user input'!$C$4</f>
        <v>1.1337962962962966</v>
      </c>
    </row>
    <row r="630" spans="1:8" x14ac:dyDescent="0.2">
      <c r="A630" s="1">
        <v>40806</v>
      </c>
      <c r="B630">
        <v>263</v>
      </c>
      <c r="C630" s="6">
        <f>IF('weather data'!C630&gt;'user input'!$C$3,'user input'!$C$3,'weather data'!C630)</f>
        <v>21.666666666666664</v>
      </c>
      <c r="D630" s="6">
        <f>IF('weather data'!D630&lt;'user input'!$C$2,'user input'!$C$2,'weather data'!D630)</f>
        <v>10</v>
      </c>
      <c r="E630">
        <f t="shared" si="10"/>
        <v>15.833333333333332</v>
      </c>
      <c r="F630">
        <f>IF((E630-'user input'!$C$2)&lt;0,0,E630-'user input'!$C$2)</f>
        <v>5.8333333333333321</v>
      </c>
      <c r="G630">
        <f>IF(B630&lt;'user input'!$C$5,0,(F630+G629))</f>
        <v>1366.3888888888891</v>
      </c>
      <c r="H630">
        <f>G630/'user input'!$C$4</f>
        <v>1.1386574074074076</v>
      </c>
    </row>
    <row r="631" spans="1:8" x14ac:dyDescent="0.2">
      <c r="A631" s="1">
        <v>40807</v>
      </c>
      <c r="B631">
        <v>264</v>
      </c>
      <c r="C631" s="6">
        <f>IF('weather data'!C631&gt;'user input'!$C$3,'user input'!$C$3,'weather data'!C631)</f>
        <v>23.888888888888889</v>
      </c>
      <c r="D631" s="6">
        <f>IF('weather data'!D631&lt;'user input'!$C$2,'user input'!$C$2,'weather data'!D631)</f>
        <v>10</v>
      </c>
      <c r="E631">
        <f t="shared" si="10"/>
        <v>16.944444444444443</v>
      </c>
      <c r="F631">
        <f>IF((E631-'user input'!$C$2)&lt;0,0,E631-'user input'!$C$2)</f>
        <v>6.9444444444444429</v>
      </c>
      <c r="G631">
        <f>IF(B631&lt;'user input'!$C$5,0,(F631+G630))</f>
        <v>1373.3333333333335</v>
      </c>
      <c r="H631">
        <f>G631/'user input'!$C$4</f>
        <v>1.1444444444444446</v>
      </c>
    </row>
    <row r="632" spans="1:8" x14ac:dyDescent="0.2">
      <c r="A632" s="1">
        <v>40808</v>
      </c>
      <c r="B632">
        <v>265</v>
      </c>
      <c r="C632" s="6">
        <f>IF('weather data'!C632&gt;'user input'!$C$3,'user input'!$C$3,'weather data'!C632)</f>
        <v>16.666666666666668</v>
      </c>
      <c r="D632" s="6">
        <f>IF('weather data'!D632&lt;'user input'!$C$2,'user input'!$C$2,'weather data'!D632)</f>
        <v>10</v>
      </c>
      <c r="E632">
        <f t="shared" si="10"/>
        <v>13.333333333333334</v>
      </c>
      <c r="F632">
        <f>IF((E632-'user input'!$C$2)&lt;0,0,E632-'user input'!$C$2)</f>
        <v>3.3333333333333339</v>
      </c>
      <c r="G632">
        <f>IF(B632&lt;'user input'!$C$5,0,(F632+G631))</f>
        <v>1376.6666666666667</v>
      </c>
      <c r="H632">
        <f>G632/'user input'!$C$4</f>
        <v>1.1472222222222224</v>
      </c>
    </row>
    <row r="633" spans="1:8" x14ac:dyDescent="0.2">
      <c r="A633" s="1">
        <v>40809</v>
      </c>
      <c r="B633">
        <v>266</v>
      </c>
      <c r="C633" s="6">
        <f>IF('weather data'!C633&gt;'user input'!$C$3,'user input'!$C$3,'weather data'!C633)</f>
        <v>16.666666666666668</v>
      </c>
      <c r="D633" s="6">
        <f>IF('weather data'!D633&lt;'user input'!$C$2,'user input'!$C$2,'weather data'!D633)</f>
        <v>10</v>
      </c>
      <c r="E633">
        <f t="shared" si="10"/>
        <v>13.333333333333334</v>
      </c>
      <c r="F633">
        <f>IF((E633-'user input'!$C$2)&lt;0,0,E633-'user input'!$C$2)</f>
        <v>3.3333333333333339</v>
      </c>
      <c r="G633">
        <f>IF(B633&lt;'user input'!$C$5,0,(F633+G632))</f>
        <v>1380</v>
      </c>
      <c r="H633">
        <f>G633/'user input'!$C$4</f>
        <v>1.1499999999999999</v>
      </c>
    </row>
    <row r="634" spans="1:8" x14ac:dyDescent="0.2">
      <c r="A634" s="1">
        <v>40810</v>
      </c>
      <c r="B634">
        <v>267</v>
      </c>
      <c r="C634" s="6">
        <f>IF('weather data'!C634&gt;'user input'!$C$3,'user input'!$C$3,'weather data'!C634)</f>
        <v>13.333333333333332</v>
      </c>
      <c r="D634" s="6">
        <f>IF('weather data'!D634&lt;'user input'!$C$2,'user input'!$C$2,'weather data'!D634)</f>
        <v>10</v>
      </c>
      <c r="E634">
        <f t="shared" si="10"/>
        <v>11.666666666666666</v>
      </c>
      <c r="F634">
        <f>IF((E634-'user input'!$C$2)&lt;0,0,E634-'user input'!$C$2)</f>
        <v>1.6666666666666661</v>
      </c>
      <c r="G634">
        <f>IF(B634&lt;'user input'!$C$5,0,(F634+G633))</f>
        <v>1381.6666666666667</v>
      </c>
      <c r="H634">
        <f>G634/'user input'!$C$4</f>
        <v>1.151388888888889</v>
      </c>
    </row>
    <row r="635" spans="1:8" x14ac:dyDescent="0.2">
      <c r="A635" s="1">
        <v>40811</v>
      </c>
      <c r="B635">
        <v>268</v>
      </c>
      <c r="C635" s="6">
        <f>IF('weather data'!C635&gt;'user input'!$C$3,'user input'!$C$3,'weather data'!C635)</f>
        <v>16.111111111111111</v>
      </c>
      <c r="D635" s="6">
        <f>IF('weather data'!D635&lt;'user input'!$C$2,'user input'!$C$2,'weather data'!D635)</f>
        <v>10</v>
      </c>
      <c r="E635">
        <f t="shared" si="10"/>
        <v>13.055555555555555</v>
      </c>
      <c r="F635">
        <f>IF((E635-'user input'!$C$2)&lt;0,0,E635-'user input'!$C$2)</f>
        <v>3.0555555555555554</v>
      </c>
      <c r="G635">
        <f>IF(B635&lt;'user input'!$C$5,0,(F635+G634))</f>
        <v>1384.7222222222224</v>
      </c>
      <c r="H635">
        <f>G635/'user input'!$C$4</f>
        <v>1.1539351851851853</v>
      </c>
    </row>
    <row r="636" spans="1:8" x14ac:dyDescent="0.2">
      <c r="A636" s="1">
        <v>40812</v>
      </c>
      <c r="B636">
        <v>269</v>
      </c>
      <c r="C636" s="6">
        <f>IF('weather data'!C636&gt;'user input'!$C$3,'user input'!$C$3,'weather data'!C636)</f>
        <v>16.666666666666668</v>
      </c>
      <c r="D636" s="6">
        <f>IF('weather data'!D636&lt;'user input'!$C$2,'user input'!$C$2,'weather data'!D636)</f>
        <v>10</v>
      </c>
      <c r="E636">
        <f t="shared" si="10"/>
        <v>13.333333333333334</v>
      </c>
      <c r="F636">
        <f>IF((E636-'user input'!$C$2)&lt;0,0,E636-'user input'!$C$2)</f>
        <v>3.3333333333333339</v>
      </c>
      <c r="G636">
        <f>IF(B636&lt;'user input'!$C$5,0,(F636+G635))</f>
        <v>1388.0555555555557</v>
      </c>
      <c r="H636">
        <f>G636/'user input'!$C$4</f>
        <v>1.1567129629629631</v>
      </c>
    </row>
    <row r="637" spans="1:8" x14ac:dyDescent="0.2">
      <c r="A637" s="1">
        <v>40813</v>
      </c>
      <c r="B637">
        <v>270</v>
      </c>
      <c r="C637" s="6">
        <f>IF('weather data'!C637&gt;'user input'!$C$3,'user input'!$C$3,'weather data'!C637)</f>
        <v>16.666666666666668</v>
      </c>
      <c r="D637" s="6">
        <f>IF('weather data'!D637&lt;'user input'!$C$2,'user input'!$C$2,'weather data'!D637)</f>
        <v>11.111111111111111</v>
      </c>
      <c r="E637">
        <f t="shared" si="10"/>
        <v>13.888888888888889</v>
      </c>
      <c r="F637">
        <f>IF((E637-'user input'!$C$2)&lt;0,0,E637-'user input'!$C$2)</f>
        <v>3.8888888888888893</v>
      </c>
      <c r="G637">
        <f>IF(B637&lt;'user input'!$C$5,0,(F637+G636))</f>
        <v>1391.9444444444446</v>
      </c>
      <c r="H637">
        <f>G637/'user input'!$C$4</f>
        <v>1.1599537037037038</v>
      </c>
    </row>
    <row r="638" spans="1:8" x14ac:dyDescent="0.2">
      <c r="A638" s="1">
        <v>40814</v>
      </c>
      <c r="B638">
        <v>271</v>
      </c>
      <c r="C638" s="6">
        <f>IF('weather data'!C638&gt;'user input'!$C$3,'user input'!$C$3,'weather data'!C638)</f>
        <v>17.777777777777779</v>
      </c>
      <c r="D638" s="6">
        <f>IF('weather data'!D638&lt;'user input'!$C$2,'user input'!$C$2,'weather data'!D638)</f>
        <v>10</v>
      </c>
      <c r="E638">
        <f t="shared" si="10"/>
        <v>13.888888888888889</v>
      </c>
      <c r="F638">
        <f>IF((E638-'user input'!$C$2)&lt;0,0,E638-'user input'!$C$2)</f>
        <v>3.8888888888888893</v>
      </c>
      <c r="G638">
        <f>IF(B638&lt;'user input'!$C$5,0,(F638+G637))</f>
        <v>1395.8333333333335</v>
      </c>
      <c r="H638">
        <f>G638/'user input'!$C$4</f>
        <v>1.1631944444444446</v>
      </c>
    </row>
    <row r="639" spans="1:8" x14ac:dyDescent="0.2">
      <c r="A639" s="1">
        <v>40815</v>
      </c>
      <c r="B639">
        <v>272</v>
      </c>
      <c r="C639" s="6">
        <f>IF('weather data'!C639&gt;'user input'!$C$3,'user input'!$C$3,'weather data'!C639)</f>
        <v>21.666666666666664</v>
      </c>
      <c r="D639" s="6">
        <f>IF('weather data'!D639&lt;'user input'!$C$2,'user input'!$C$2,'weather data'!D639)</f>
        <v>10</v>
      </c>
      <c r="E639">
        <f t="shared" si="10"/>
        <v>15.833333333333332</v>
      </c>
      <c r="F639">
        <f>IF((E639-'user input'!$C$2)&lt;0,0,E639-'user input'!$C$2)</f>
        <v>5.8333333333333321</v>
      </c>
      <c r="G639">
        <f>IF(B639&lt;'user input'!$C$5,0,(F639+G638))</f>
        <v>1401.6666666666667</v>
      </c>
      <c r="H639">
        <f>G639/'user input'!$C$4</f>
        <v>1.1680555555555556</v>
      </c>
    </row>
    <row r="640" spans="1:8" x14ac:dyDescent="0.2">
      <c r="A640" s="1">
        <v>40816</v>
      </c>
      <c r="B640">
        <v>273</v>
      </c>
      <c r="C640" s="6">
        <f>IF('weather data'!C640&gt;'user input'!$C$3,'user input'!$C$3,'weather data'!C640)</f>
        <v>21.111111111111111</v>
      </c>
      <c r="D640" s="6">
        <f>IF('weather data'!D640&lt;'user input'!$C$2,'user input'!$C$2,'weather data'!D640)</f>
        <v>10</v>
      </c>
      <c r="E640">
        <f t="shared" si="10"/>
        <v>15.555555555555555</v>
      </c>
      <c r="F640">
        <f>IF((E640-'user input'!$C$2)&lt;0,0,E640-'user input'!$C$2)</f>
        <v>5.5555555555555554</v>
      </c>
      <c r="G640">
        <f>IF(B640&lt;'user input'!$C$5,0,(F640+G639))</f>
        <v>1407.2222222222224</v>
      </c>
      <c r="H640">
        <f>G640/'user input'!$C$4</f>
        <v>1.1726851851851854</v>
      </c>
    </row>
    <row r="641" spans="1:8" x14ac:dyDescent="0.2">
      <c r="A641" s="1">
        <v>40817</v>
      </c>
      <c r="B641">
        <v>274</v>
      </c>
      <c r="C641" s="6">
        <f>IF('weather data'!C641&gt;'user input'!$C$3,'user input'!$C$3,'weather data'!C641)</f>
        <v>16.111111111111111</v>
      </c>
      <c r="D641" s="6">
        <f>IF('weather data'!D641&lt;'user input'!$C$2,'user input'!$C$2,'weather data'!D641)</f>
        <v>10</v>
      </c>
      <c r="E641">
        <f t="shared" si="10"/>
        <v>13.055555555555555</v>
      </c>
      <c r="F641">
        <f>IF((E641-'user input'!$C$2)&lt;0,0,E641-'user input'!$C$2)</f>
        <v>3.0555555555555554</v>
      </c>
      <c r="G641">
        <f>IF(B641&lt;'user input'!$C$5,0,(F641+G640))</f>
        <v>1410.2777777777781</v>
      </c>
      <c r="H641">
        <f>G641/'user input'!$C$4</f>
        <v>1.1752314814814817</v>
      </c>
    </row>
    <row r="642" spans="1:8" x14ac:dyDescent="0.2">
      <c r="A642" s="1">
        <v>40818</v>
      </c>
      <c r="B642">
        <v>275</v>
      </c>
      <c r="C642" s="6">
        <f>IF('weather data'!C642&gt;'user input'!$C$3,'user input'!$C$3,'weather data'!C642)</f>
        <v>15</v>
      </c>
      <c r="D642" s="6">
        <f>IF('weather data'!D642&lt;'user input'!$C$2,'user input'!$C$2,'weather data'!D642)</f>
        <v>10</v>
      </c>
      <c r="E642">
        <f t="shared" si="10"/>
        <v>12.5</v>
      </c>
      <c r="F642">
        <f>IF((E642-'user input'!$C$2)&lt;0,0,E642-'user input'!$C$2)</f>
        <v>2.5</v>
      </c>
      <c r="G642">
        <f>IF(B642&lt;'user input'!$C$5,0,(F642+G641))</f>
        <v>1412.7777777777781</v>
      </c>
      <c r="H642">
        <f>G642/'user input'!$C$4</f>
        <v>1.1773148148148151</v>
      </c>
    </row>
    <row r="643" spans="1:8" x14ac:dyDescent="0.2">
      <c r="A643" s="1">
        <v>40819</v>
      </c>
      <c r="B643">
        <v>276</v>
      </c>
      <c r="C643" s="6">
        <f>IF('weather data'!C643&gt;'user input'!$C$3,'user input'!$C$3,'weather data'!C643)</f>
        <v>20.555555555555554</v>
      </c>
      <c r="D643" s="6">
        <f>IF('weather data'!D643&lt;'user input'!$C$2,'user input'!$C$2,'weather data'!D643)</f>
        <v>10</v>
      </c>
      <c r="E643">
        <f t="shared" si="10"/>
        <v>15.277777777777777</v>
      </c>
      <c r="F643">
        <f>IF((E643-'user input'!$C$2)&lt;0,0,E643-'user input'!$C$2)</f>
        <v>5.2777777777777768</v>
      </c>
      <c r="G643">
        <f>IF(B643&lt;'user input'!$C$5,0,(F643+G642))</f>
        <v>1418.0555555555559</v>
      </c>
      <c r="H643">
        <f>G643/'user input'!$C$4</f>
        <v>1.1817129629629632</v>
      </c>
    </row>
    <row r="644" spans="1:8" x14ac:dyDescent="0.2">
      <c r="A644" s="1">
        <v>40820</v>
      </c>
      <c r="B644">
        <v>277</v>
      </c>
      <c r="C644" s="6">
        <f>IF('weather data'!C644&gt;'user input'!$C$3,'user input'!$C$3,'weather data'!C644)</f>
        <v>23.333333333333336</v>
      </c>
      <c r="D644" s="6">
        <f>IF('weather data'!D644&lt;'user input'!$C$2,'user input'!$C$2,'weather data'!D644)</f>
        <v>10</v>
      </c>
      <c r="E644">
        <f t="shared" si="10"/>
        <v>16.666666666666668</v>
      </c>
      <c r="F644">
        <f>IF((E644-'user input'!$C$2)&lt;0,0,E644-'user input'!$C$2)</f>
        <v>6.6666666666666679</v>
      </c>
      <c r="G644">
        <f>IF(B644&lt;'user input'!$C$5,0,(F644+G643))</f>
        <v>1424.7222222222226</v>
      </c>
      <c r="H644">
        <f>G644/'user input'!$C$4</f>
        <v>1.1872685185185188</v>
      </c>
    </row>
    <row r="645" spans="1:8" x14ac:dyDescent="0.2">
      <c r="A645" s="1">
        <v>40821</v>
      </c>
      <c r="B645">
        <v>278</v>
      </c>
      <c r="C645" s="6">
        <f>IF('weather data'!C645&gt;'user input'!$C$3,'user input'!$C$3,'weather data'!C645)</f>
        <v>25.555555555555554</v>
      </c>
      <c r="D645" s="6">
        <f>IF('weather data'!D645&lt;'user input'!$C$2,'user input'!$C$2,'weather data'!D645)</f>
        <v>10</v>
      </c>
      <c r="E645">
        <f t="shared" si="10"/>
        <v>17.777777777777779</v>
      </c>
      <c r="F645">
        <f>IF((E645-'user input'!$C$2)&lt;0,0,E645-'user input'!$C$2)</f>
        <v>7.7777777777777786</v>
      </c>
      <c r="G645">
        <f>IF(B645&lt;'user input'!$C$5,0,(F645+G644))</f>
        <v>1432.5000000000005</v>
      </c>
      <c r="H645">
        <f>G645/'user input'!$C$4</f>
        <v>1.1937500000000003</v>
      </c>
    </row>
    <row r="646" spans="1:8" x14ac:dyDescent="0.2">
      <c r="A646" s="1">
        <v>40822</v>
      </c>
      <c r="B646">
        <v>279</v>
      </c>
      <c r="C646" s="6">
        <f>IF('weather data'!C646&gt;'user input'!$C$3,'user input'!$C$3,'weather data'!C646)</f>
        <v>27.222222222222221</v>
      </c>
      <c r="D646" s="6">
        <f>IF('weather data'!D646&lt;'user input'!$C$2,'user input'!$C$2,'weather data'!D646)</f>
        <v>10</v>
      </c>
      <c r="E646">
        <f t="shared" si="10"/>
        <v>18.611111111111111</v>
      </c>
      <c r="F646">
        <f>IF((E646-'user input'!$C$2)&lt;0,0,E646-'user input'!$C$2)</f>
        <v>8.6111111111111107</v>
      </c>
      <c r="G646">
        <f>IF(B646&lt;'user input'!$C$5,0,(F646+G645))</f>
        <v>1441.1111111111115</v>
      </c>
      <c r="H646">
        <f>G646/'user input'!$C$4</f>
        <v>1.2009259259259262</v>
      </c>
    </row>
    <row r="647" spans="1:8" x14ac:dyDescent="0.2">
      <c r="A647" s="1">
        <v>40823</v>
      </c>
      <c r="B647">
        <v>280</v>
      </c>
      <c r="C647" s="6">
        <f>IF('weather data'!C647&gt;'user input'!$C$3,'user input'!$C$3,'weather data'!C647)</f>
        <v>26.666666666666664</v>
      </c>
      <c r="D647" s="6">
        <f>IF('weather data'!D647&lt;'user input'!$C$2,'user input'!$C$2,'weather data'!D647)</f>
        <v>11.666666666666668</v>
      </c>
      <c r="E647">
        <f t="shared" si="10"/>
        <v>19.166666666666664</v>
      </c>
      <c r="F647">
        <f>IF((E647-'user input'!$C$2)&lt;0,0,E647-'user input'!$C$2)</f>
        <v>9.1666666666666643</v>
      </c>
      <c r="G647">
        <f>IF(B647&lt;'user input'!$C$5,0,(F647+G646))</f>
        <v>1450.2777777777783</v>
      </c>
      <c r="H647">
        <f>G647/'user input'!$C$4</f>
        <v>1.2085648148148151</v>
      </c>
    </row>
    <row r="648" spans="1:8" x14ac:dyDescent="0.2">
      <c r="A648" s="1">
        <v>40824</v>
      </c>
      <c r="B648">
        <v>281</v>
      </c>
      <c r="C648" s="6">
        <f>IF('weather data'!C648&gt;'user input'!$C$3,'user input'!$C$3,'weather data'!C648)</f>
        <v>27.777777777777779</v>
      </c>
      <c r="D648" s="6">
        <f>IF('weather data'!D648&lt;'user input'!$C$2,'user input'!$C$2,'weather data'!D648)</f>
        <v>17.777777777777779</v>
      </c>
      <c r="E648">
        <f t="shared" si="10"/>
        <v>22.777777777777779</v>
      </c>
      <c r="F648">
        <f>IF((E648-'user input'!$C$2)&lt;0,0,E648-'user input'!$C$2)</f>
        <v>12.777777777777779</v>
      </c>
      <c r="G648">
        <f>IF(B648&lt;'user input'!$C$5,0,(F648+G647))</f>
        <v>1463.0555555555561</v>
      </c>
      <c r="H648">
        <f>G648/'user input'!$C$4</f>
        <v>1.2192129629629633</v>
      </c>
    </row>
    <row r="649" spans="1:8" x14ac:dyDescent="0.2">
      <c r="A649" s="1">
        <v>40825</v>
      </c>
      <c r="B649">
        <v>282</v>
      </c>
      <c r="C649" s="6">
        <f>IF('weather data'!C649&gt;'user input'!$C$3,'user input'!$C$3,'weather data'!C649)</f>
        <v>27.777777777777779</v>
      </c>
      <c r="D649" s="6">
        <f>IF('weather data'!D649&lt;'user input'!$C$2,'user input'!$C$2,'weather data'!D649)</f>
        <v>10</v>
      </c>
      <c r="E649">
        <f t="shared" si="10"/>
        <v>18.888888888888889</v>
      </c>
      <c r="F649">
        <f>IF((E649-'user input'!$C$2)&lt;0,0,E649-'user input'!$C$2)</f>
        <v>8.8888888888888893</v>
      </c>
      <c r="G649">
        <f>IF(B649&lt;'user input'!$C$5,0,(F649+G648))</f>
        <v>1471.944444444445</v>
      </c>
      <c r="H649">
        <f>G649/'user input'!$C$4</f>
        <v>1.2266203703703709</v>
      </c>
    </row>
    <row r="650" spans="1:8" x14ac:dyDescent="0.2">
      <c r="A650" s="1">
        <v>40826</v>
      </c>
      <c r="B650">
        <v>283</v>
      </c>
      <c r="C650" s="6">
        <f>IF('weather data'!C650&gt;'user input'!$C$3,'user input'!$C$3,'weather data'!C650)</f>
        <v>26.666666666666664</v>
      </c>
      <c r="D650" s="6">
        <f>IF('weather data'!D650&lt;'user input'!$C$2,'user input'!$C$2,'weather data'!D650)</f>
        <v>10</v>
      </c>
      <c r="E650">
        <f t="shared" si="10"/>
        <v>18.333333333333332</v>
      </c>
      <c r="F650">
        <f>IF((E650-'user input'!$C$2)&lt;0,0,E650-'user input'!$C$2)</f>
        <v>8.3333333333333321</v>
      </c>
      <c r="G650">
        <f>IF(B650&lt;'user input'!$C$5,0,(F650+G649))</f>
        <v>1480.2777777777783</v>
      </c>
      <c r="H650">
        <f>G650/'user input'!$C$4</f>
        <v>1.2335648148148153</v>
      </c>
    </row>
    <row r="651" spans="1:8" x14ac:dyDescent="0.2">
      <c r="A651" s="1">
        <v>40827</v>
      </c>
      <c r="B651">
        <v>284</v>
      </c>
      <c r="C651" s="6">
        <f>IF('weather data'!C651&gt;'user input'!$C$3,'user input'!$C$3,'weather data'!C651)</f>
        <v>25</v>
      </c>
      <c r="D651" s="6">
        <f>IF('weather data'!D651&lt;'user input'!$C$2,'user input'!$C$2,'weather data'!D651)</f>
        <v>10</v>
      </c>
      <c r="E651">
        <f t="shared" si="10"/>
        <v>17.5</v>
      </c>
      <c r="F651">
        <f>IF((E651-'user input'!$C$2)&lt;0,0,E651-'user input'!$C$2)</f>
        <v>7.5</v>
      </c>
      <c r="G651">
        <f>IF(B651&lt;'user input'!$C$5,0,(F651+G650))</f>
        <v>1487.7777777777783</v>
      </c>
      <c r="H651">
        <f>G651/'user input'!$C$4</f>
        <v>1.2398148148148151</v>
      </c>
    </row>
    <row r="652" spans="1:8" x14ac:dyDescent="0.2">
      <c r="A652" s="1">
        <v>40828</v>
      </c>
      <c r="B652">
        <v>285</v>
      </c>
      <c r="C652" s="6">
        <f>IF('weather data'!C652&gt;'user input'!$C$3,'user input'!$C$3,'weather data'!C652)</f>
        <v>22.222222222222221</v>
      </c>
      <c r="D652" s="6">
        <f>IF('weather data'!D652&lt;'user input'!$C$2,'user input'!$C$2,'weather data'!D652)</f>
        <v>10</v>
      </c>
      <c r="E652">
        <f t="shared" si="10"/>
        <v>16.111111111111111</v>
      </c>
      <c r="F652">
        <f>IF((E652-'user input'!$C$2)&lt;0,0,E652-'user input'!$C$2)</f>
        <v>6.1111111111111107</v>
      </c>
      <c r="G652">
        <f>IF(B652&lt;'user input'!$C$5,0,(F652+G651))</f>
        <v>1493.8888888888894</v>
      </c>
      <c r="H652">
        <f>G652/'user input'!$C$4</f>
        <v>1.2449074074074078</v>
      </c>
    </row>
    <row r="653" spans="1:8" x14ac:dyDescent="0.2">
      <c r="A653" s="1">
        <v>40829</v>
      </c>
      <c r="B653">
        <v>286</v>
      </c>
      <c r="C653" s="6">
        <f>IF('weather data'!C653&gt;'user input'!$C$3,'user input'!$C$3,'weather data'!C653)</f>
        <v>18.888888888888889</v>
      </c>
      <c r="D653" s="6">
        <f>IF('weather data'!D653&lt;'user input'!$C$2,'user input'!$C$2,'weather data'!D653)</f>
        <v>10</v>
      </c>
      <c r="E653">
        <f t="shared" si="10"/>
        <v>14.444444444444445</v>
      </c>
      <c r="F653">
        <f>IF((E653-'user input'!$C$2)&lt;0,0,E653-'user input'!$C$2)</f>
        <v>4.4444444444444446</v>
      </c>
      <c r="G653">
        <f>IF(B653&lt;'user input'!$C$5,0,(F653+G652))</f>
        <v>1498.3333333333337</v>
      </c>
      <c r="H653">
        <f>G653/'user input'!$C$4</f>
        <v>1.2486111111111113</v>
      </c>
    </row>
    <row r="654" spans="1:8" x14ac:dyDescent="0.2">
      <c r="A654" s="1">
        <v>40830</v>
      </c>
      <c r="B654">
        <v>287</v>
      </c>
      <c r="C654" s="6">
        <f>IF('weather data'!C654&gt;'user input'!$C$3,'user input'!$C$3,'weather data'!C654)</f>
        <v>18.333333333333332</v>
      </c>
      <c r="D654" s="6">
        <f>IF('weather data'!D654&lt;'user input'!$C$2,'user input'!$C$2,'weather data'!D654)</f>
        <v>10</v>
      </c>
      <c r="E654">
        <f t="shared" si="10"/>
        <v>14.166666666666666</v>
      </c>
      <c r="F654">
        <f>IF((E654-'user input'!$C$2)&lt;0,0,E654-'user input'!$C$2)</f>
        <v>4.1666666666666661</v>
      </c>
      <c r="G654">
        <f>IF(B654&lt;'user input'!$C$5,0,(F654+G653))</f>
        <v>1502.5000000000005</v>
      </c>
      <c r="H654">
        <f>G654/'user input'!$C$4</f>
        <v>1.2520833333333337</v>
      </c>
    </row>
    <row r="655" spans="1:8" x14ac:dyDescent="0.2">
      <c r="A655" s="1">
        <v>40831</v>
      </c>
      <c r="B655">
        <v>288</v>
      </c>
      <c r="C655" s="6">
        <f>IF('weather data'!C655&gt;'user input'!$C$3,'user input'!$C$3,'weather data'!C655)</f>
        <v>15.555555555555555</v>
      </c>
      <c r="D655" s="6">
        <f>IF('weather data'!D655&lt;'user input'!$C$2,'user input'!$C$2,'weather data'!D655)</f>
        <v>10</v>
      </c>
      <c r="E655">
        <f t="shared" si="10"/>
        <v>12.777777777777779</v>
      </c>
      <c r="F655">
        <f>IF((E655-'user input'!$C$2)&lt;0,0,E655-'user input'!$C$2)</f>
        <v>2.7777777777777786</v>
      </c>
      <c r="G655">
        <f>IF(B655&lt;'user input'!$C$5,0,(F655+G654))</f>
        <v>1505.2777777777783</v>
      </c>
      <c r="H655">
        <f>G655/'user input'!$C$4</f>
        <v>1.2543981481481485</v>
      </c>
    </row>
    <row r="656" spans="1:8" x14ac:dyDescent="0.2">
      <c r="A656" s="1">
        <v>40832</v>
      </c>
      <c r="B656">
        <v>289</v>
      </c>
      <c r="C656" s="6">
        <f>IF('weather data'!C656&gt;'user input'!$C$3,'user input'!$C$3,'weather data'!C656)</f>
        <v>15.555555555555555</v>
      </c>
      <c r="D656" s="6">
        <f>IF('weather data'!D656&lt;'user input'!$C$2,'user input'!$C$2,'weather data'!D656)</f>
        <v>10</v>
      </c>
      <c r="E656">
        <f t="shared" si="10"/>
        <v>12.777777777777779</v>
      </c>
      <c r="F656">
        <f>IF((E656-'user input'!$C$2)&lt;0,0,E656-'user input'!$C$2)</f>
        <v>2.7777777777777786</v>
      </c>
      <c r="G656">
        <f>IF(B656&lt;'user input'!$C$5,0,(F656+G655))</f>
        <v>1508.0555555555561</v>
      </c>
      <c r="H656">
        <f>G656/'user input'!$C$4</f>
        <v>1.2567129629629634</v>
      </c>
    </row>
    <row r="657" spans="1:8" x14ac:dyDescent="0.2">
      <c r="A657" s="1">
        <v>40833</v>
      </c>
      <c r="B657">
        <v>290</v>
      </c>
      <c r="C657" s="6">
        <f>IF('weather data'!C657&gt;'user input'!$C$3,'user input'!$C$3,'weather data'!C657)</f>
        <v>15.555555555555555</v>
      </c>
      <c r="D657" s="6">
        <f>IF('weather data'!D657&lt;'user input'!$C$2,'user input'!$C$2,'weather data'!D657)</f>
        <v>10</v>
      </c>
      <c r="E657">
        <f t="shared" si="10"/>
        <v>12.777777777777779</v>
      </c>
      <c r="F657">
        <f>IF((E657-'user input'!$C$2)&lt;0,0,E657-'user input'!$C$2)</f>
        <v>2.7777777777777786</v>
      </c>
      <c r="G657">
        <f>IF(B657&lt;'user input'!$C$5,0,(F657+G656))</f>
        <v>1510.8333333333339</v>
      </c>
      <c r="H657">
        <f>G657/'user input'!$C$4</f>
        <v>1.2590277777777783</v>
      </c>
    </row>
    <row r="658" spans="1:8" x14ac:dyDescent="0.2">
      <c r="A658" s="1">
        <v>40834</v>
      </c>
      <c r="B658">
        <v>291</v>
      </c>
      <c r="C658" s="6">
        <f>IF('weather data'!C658&gt;'user input'!$C$3,'user input'!$C$3,'weather data'!C658)</f>
        <v>15</v>
      </c>
      <c r="D658" s="6">
        <f>IF('weather data'!D658&lt;'user input'!$C$2,'user input'!$C$2,'weather data'!D658)</f>
        <v>10</v>
      </c>
      <c r="E658">
        <f t="shared" ref="E658:E721" si="11">(C658+D658)/2</f>
        <v>12.5</v>
      </c>
      <c r="F658">
        <f>IF((E658-'user input'!$C$2)&lt;0,0,E658-'user input'!$C$2)</f>
        <v>2.5</v>
      </c>
      <c r="G658">
        <f>IF(B658&lt;'user input'!$C$5,0,(F658+G657))</f>
        <v>1513.3333333333339</v>
      </c>
      <c r="H658">
        <f>G658/'user input'!$C$4</f>
        <v>1.2611111111111115</v>
      </c>
    </row>
    <row r="659" spans="1:8" x14ac:dyDescent="0.2">
      <c r="A659" s="1">
        <v>40835</v>
      </c>
      <c r="B659">
        <v>292</v>
      </c>
      <c r="C659" s="6">
        <f>IF('weather data'!C659&gt;'user input'!$C$3,'user input'!$C$3,'weather data'!C659)</f>
        <v>13.888888888888889</v>
      </c>
      <c r="D659" s="6">
        <f>IF('weather data'!D659&lt;'user input'!$C$2,'user input'!$C$2,'weather data'!D659)</f>
        <v>10</v>
      </c>
      <c r="E659">
        <f t="shared" si="11"/>
        <v>11.944444444444445</v>
      </c>
      <c r="F659">
        <f>IF((E659-'user input'!$C$2)&lt;0,0,E659-'user input'!$C$2)</f>
        <v>1.9444444444444446</v>
      </c>
      <c r="G659">
        <f>IF(B659&lt;'user input'!$C$5,0,(F659+G658))</f>
        <v>1515.2777777777783</v>
      </c>
      <c r="H659">
        <f>G659/'user input'!$C$4</f>
        <v>1.2627314814814818</v>
      </c>
    </row>
    <row r="660" spans="1:8" x14ac:dyDescent="0.2">
      <c r="A660" s="1">
        <v>40836</v>
      </c>
      <c r="B660">
        <v>293</v>
      </c>
      <c r="C660" s="6">
        <f>IF('weather data'!C660&gt;'user input'!$C$3,'user input'!$C$3,'weather data'!C660)</f>
        <v>8.8888888888888893</v>
      </c>
      <c r="D660" s="6">
        <f>IF('weather data'!D660&lt;'user input'!$C$2,'user input'!$C$2,'weather data'!D660)</f>
        <v>10</v>
      </c>
      <c r="E660">
        <f t="shared" si="11"/>
        <v>9.4444444444444446</v>
      </c>
      <c r="F660">
        <f>IF((E660-'user input'!$C$2)&lt;0,0,E660-'user input'!$C$2)</f>
        <v>0</v>
      </c>
      <c r="G660">
        <f>IF(B660&lt;'user input'!$C$5,0,(F660+G659))</f>
        <v>1515.2777777777783</v>
      </c>
      <c r="H660">
        <f>G660/'user input'!$C$4</f>
        <v>1.2627314814814818</v>
      </c>
    </row>
    <row r="661" spans="1:8" x14ac:dyDescent="0.2">
      <c r="A661" s="1">
        <v>40837</v>
      </c>
      <c r="B661">
        <v>294</v>
      </c>
      <c r="C661" s="6">
        <f>IF('weather data'!C661&gt;'user input'!$C$3,'user input'!$C$3,'weather data'!C661)</f>
        <v>11.111111111111111</v>
      </c>
      <c r="D661" s="6">
        <f>IF('weather data'!D661&lt;'user input'!$C$2,'user input'!$C$2,'weather data'!D661)</f>
        <v>10</v>
      </c>
      <c r="E661">
        <f t="shared" si="11"/>
        <v>10.555555555555555</v>
      </c>
      <c r="F661">
        <f>IF((E661-'user input'!$C$2)&lt;0,0,E661-'user input'!$C$2)</f>
        <v>0.55555555555555536</v>
      </c>
      <c r="G661">
        <f>IF(B661&lt;'user input'!$C$5,0,(F661+G660))</f>
        <v>1515.8333333333339</v>
      </c>
      <c r="H661">
        <f>G661/'user input'!$C$4</f>
        <v>1.263194444444445</v>
      </c>
    </row>
    <row r="662" spans="1:8" x14ac:dyDescent="0.2">
      <c r="A662" s="1">
        <v>40838</v>
      </c>
      <c r="B662">
        <v>295</v>
      </c>
      <c r="C662" s="6">
        <f>IF('weather data'!C662&gt;'user input'!$C$3,'user input'!$C$3,'weather data'!C662)</f>
        <v>13.888888888888889</v>
      </c>
      <c r="D662" s="6">
        <f>IF('weather data'!D662&lt;'user input'!$C$2,'user input'!$C$2,'weather data'!D662)</f>
        <v>10</v>
      </c>
      <c r="E662">
        <f t="shared" si="11"/>
        <v>11.944444444444445</v>
      </c>
      <c r="F662">
        <f>IF((E662-'user input'!$C$2)&lt;0,0,E662-'user input'!$C$2)</f>
        <v>1.9444444444444446</v>
      </c>
      <c r="G662">
        <f>IF(B662&lt;'user input'!$C$5,0,(F662+G661))</f>
        <v>1517.7777777777783</v>
      </c>
      <c r="H662">
        <f>G662/'user input'!$C$4</f>
        <v>1.2648148148148153</v>
      </c>
    </row>
    <row r="663" spans="1:8" x14ac:dyDescent="0.2">
      <c r="A663" s="1">
        <v>40839</v>
      </c>
      <c r="B663">
        <v>296</v>
      </c>
      <c r="C663" s="6">
        <f>IF('weather data'!C663&gt;'user input'!$C$3,'user input'!$C$3,'weather data'!C663)</f>
        <v>17.777777777777779</v>
      </c>
      <c r="D663" s="6">
        <f>IF('weather data'!D663&lt;'user input'!$C$2,'user input'!$C$2,'weather data'!D663)</f>
        <v>10</v>
      </c>
      <c r="E663">
        <f t="shared" si="11"/>
        <v>13.888888888888889</v>
      </c>
      <c r="F663">
        <f>IF((E663-'user input'!$C$2)&lt;0,0,E663-'user input'!$C$2)</f>
        <v>3.8888888888888893</v>
      </c>
      <c r="G663">
        <f>IF(B663&lt;'user input'!$C$5,0,(F663+G662))</f>
        <v>1521.6666666666672</v>
      </c>
      <c r="H663">
        <f>G663/'user input'!$C$4</f>
        <v>1.2680555555555559</v>
      </c>
    </row>
    <row r="664" spans="1:8" x14ac:dyDescent="0.2">
      <c r="A664" s="1">
        <v>40840</v>
      </c>
      <c r="B664">
        <v>297</v>
      </c>
      <c r="C664" s="6">
        <f>IF('weather data'!C664&gt;'user input'!$C$3,'user input'!$C$3,'weather data'!C664)</f>
        <v>17.777777777777779</v>
      </c>
      <c r="D664" s="6">
        <f>IF('weather data'!D664&lt;'user input'!$C$2,'user input'!$C$2,'weather data'!D664)</f>
        <v>10</v>
      </c>
      <c r="E664">
        <f t="shared" si="11"/>
        <v>13.888888888888889</v>
      </c>
      <c r="F664">
        <f>IF((E664-'user input'!$C$2)&lt;0,0,E664-'user input'!$C$2)</f>
        <v>3.8888888888888893</v>
      </c>
      <c r="G664">
        <f>IF(B664&lt;'user input'!$C$5,0,(F664+G663))</f>
        <v>1525.5555555555561</v>
      </c>
      <c r="H664">
        <f>G664/'user input'!$C$4</f>
        <v>1.2712962962962968</v>
      </c>
    </row>
    <row r="665" spans="1:8" x14ac:dyDescent="0.2">
      <c r="A665" s="1">
        <v>40841</v>
      </c>
      <c r="B665">
        <v>298</v>
      </c>
      <c r="C665" s="6">
        <f>IF('weather data'!C665&gt;'user input'!$C$3,'user input'!$C$3,'weather data'!C665)</f>
        <v>16.666666666666668</v>
      </c>
      <c r="D665" s="6">
        <f>IF('weather data'!D665&lt;'user input'!$C$2,'user input'!$C$2,'weather data'!D665)</f>
        <v>10</v>
      </c>
      <c r="E665">
        <f t="shared" si="11"/>
        <v>13.333333333333334</v>
      </c>
      <c r="F665">
        <f>IF((E665-'user input'!$C$2)&lt;0,0,E665-'user input'!$C$2)</f>
        <v>3.3333333333333339</v>
      </c>
      <c r="G665">
        <f>IF(B665&lt;'user input'!$C$5,0,(F665+G664))</f>
        <v>1528.8888888888894</v>
      </c>
      <c r="H665">
        <f>G665/'user input'!$C$4</f>
        <v>1.2740740740740746</v>
      </c>
    </row>
    <row r="666" spans="1:8" x14ac:dyDescent="0.2">
      <c r="A666" s="1">
        <v>40842</v>
      </c>
      <c r="B666">
        <v>299</v>
      </c>
      <c r="C666" s="6">
        <f>IF('weather data'!C666&gt;'user input'!$C$3,'user input'!$C$3,'weather data'!C666)</f>
        <v>19.444444444444443</v>
      </c>
      <c r="D666" s="6">
        <f>IF('weather data'!D666&lt;'user input'!$C$2,'user input'!$C$2,'weather data'!D666)</f>
        <v>10</v>
      </c>
      <c r="E666">
        <f t="shared" si="11"/>
        <v>14.722222222222221</v>
      </c>
      <c r="F666">
        <f>IF((E666-'user input'!$C$2)&lt;0,0,E666-'user input'!$C$2)</f>
        <v>4.7222222222222214</v>
      </c>
      <c r="G666">
        <f>IF(B666&lt;'user input'!$C$5,0,(F666+G665))</f>
        <v>1533.6111111111115</v>
      </c>
      <c r="H666">
        <f>G666/'user input'!$C$4</f>
        <v>1.2780092592592596</v>
      </c>
    </row>
    <row r="667" spans="1:8" x14ac:dyDescent="0.2">
      <c r="A667" s="1">
        <v>40843</v>
      </c>
      <c r="B667">
        <v>300</v>
      </c>
      <c r="C667" s="6">
        <f>IF('weather data'!C667&gt;'user input'!$C$3,'user input'!$C$3,'weather data'!C667)</f>
        <v>9.4444444444444446</v>
      </c>
      <c r="D667" s="6">
        <f>IF('weather data'!D667&lt;'user input'!$C$2,'user input'!$C$2,'weather data'!D667)</f>
        <v>10</v>
      </c>
      <c r="E667">
        <f t="shared" si="11"/>
        <v>9.7222222222222214</v>
      </c>
      <c r="F667">
        <f>IF((E667-'user input'!$C$2)&lt;0,0,E667-'user input'!$C$2)</f>
        <v>0</v>
      </c>
      <c r="G667">
        <f>IF(B667&lt;'user input'!$C$5,0,(F667+G666))</f>
        <v>1533.6111111111115</v>
      </c>
      <c r="H667">
        <f>G667/'user input'!$C$4</f>
        <v>1.2780092592592596</v>
      </c>
    </row>
    <row r="668" spans="1:8" x14ac:dyDescent="0.2">
      <c r="A668" s="1">
        <v>40844</v>
      </c>
      <c r="B668">
        <v>301</v>
      </c>
      <c r="C668" s="6">
        <f>IF('weather data'!C668&gt;'user input'!$C$3,'user input'!$C$3,'weather data'!C668)</f>
        <v>10.555555555555555</v>
      </c>
      <c r="D668" s="6">
        <f>IF('weather data'!D668&lt;'user input'!$C$2,'user input'!$C$2,'weather data'!D668)</f>
        <v>10</v>
      </c>
      <c r="E668">
        <f t="shared" si="11"/>
        <v>10.277777777777779</v>
      </c>
      <c r="F668">
        <f>IF((E668-'user input'!$C$2)&lt;0,0,E668-'user input'!$C$2)</f>
        <v>0.27777777777777857</v>
      </c>
      <c r="G668">
        <f>IF(B668&lt;'user input'!$C$5,0,(F668+G667))</f>
        <v>1533.8888888888894</v>
      </c>
      <c r="H668">
        <f>G668/'user input'!$C$4</f>
        <v>1.2782407407407412</v>
      </c>
    </row>
    <row r="669" spans="1:8" x14ac:dyDescent="0.2">
      <c r="A669" s="1">
        <v>40845</v>
      </c>
      <c r="B669">
        <v>302</v>
      </c>
      <c r="C669" s="6">
        <f>IF('weather data'!C669&gt;'user input'!$C$3,'user input'!$C$3,'weather data'!C669)</f>
        <v>12.222222222222223</v>
      </c>
      <c r="D669" s="6">
        <f>IF('weather data'!D669&lt;'user input'!$C$2,'user input'!$C$2,'weather data'!D669)</f>
        <v>10</v>
      </c>
      <c r="E669">
        <f t="shared" si="11"/>
        <v>11.111111111111111</v>
      </c>
      <c r="F669">
        <f>IF((E669-'user input'!$C$2)&lt;0,0,E669-'user input'!$C$2)</f>
        <v>1.1111111111111107</v>
      </c>
      <c r="G669">
        <f>IF(B669&lt;'user input'!$C$5,0,(F669+G668))</f>
        <v>1535.0000000000005</v>
      </c>
      <c r="H669">
        <f>G669/'user input'!$C$4</f>
        <v>1.279166666666667</v>
      </c>
    </row>
    <row r="670" spans="1:8" x14ac:dyDescent="0.2">
      <c r="A670" s="1">
        <v>40846</v>
      </c>
      <c r="B670">
        <v>303</v>
      </c>
      <c r="C670" s="6">
        <f>IF('weather data'!C670&gt;'user input'!$C$3,'user input'!$C$3,'weather data'!C670)</f>
        <v>11.666666666666668</v>
      </c>
      <c r="D670" s="6">
        <f>IF('weather data'!D670&lt;'user input'!$C$2,'user input'!$C$2,'weather data'!D670)</f>
        <v>10</v>
      </c>
      <c r="E670">
        <f t="shared" si="11"/>
        <v>10.833333333333334</v>
      </c>
      <c r="F670">
        <f>IF((E670-'user input'!$C$2)&lt;0,0,E670-'user input'!$C$2)</f>
        <v>0.83333333333333393</v>
      </c>
      <c r="G670">
        <f>IF(B670&lt;'user input'!$C$5,0,(F670+G669))</f>
        <v>1535.8333333333337</v>
      </c>
      <c r="H670">
        <f>G670/'user input'!$C$4</f>
        <v>1.2798611111111113</v>
      </c>
    </row>
    <row r="671" spans="1:8" x14ac:dyDescent="0.2">
      <c r="A671" s="1">
        <v>40847</v>
      </c>
      <c r="B671">
        <v>304</v>
      </c>
      <c r="C671" s="6">
        <f>IF('weather data'!C671&gt;'user input'!$C$3,'user input'!$C$3,'weather data'!C671)</f>
        <v>8.3333333333333339</v>
      </c>
      <c r="D671" s="6">
        <f>IF('weather data'!D671&lt;'user input'!$C$2,'user input'!$C$2,'weather data'!D671)</f>
        <v>10</v>
      </c>
      <c r="E671">
        <f t="shared" si="11"/>
        <v>9.1666666666666679</v>
      </c>
      <c r="F671">
        <f>IF((E671-'user input'!$C$2)&lt;0,0,E671-'user input'!$C$2)</f>
        <v>0</v>
      </c>
      <c r="G671">
        <f>IF(B671&lt;'user input'!$C$5,0,(F671+G670))</f>
        <v>1535.8333333333337</v>
      </c>
      <c r="H671">
        <f>G671/'user input'!$C$4</f>
        <v>1.2798611111111113</v>
      </c>
    </row>
    <row r="672" spans="1:8" x14ac:dyDescent="0.2">
      <c r="A672" s="1">
        <v>40848</v>
      </c>
      <c r="B672">
        <v>305</v>
      </c>
      <c r="C672" s="6">
        <f>IF('weather data'!C672&gt;'user input'!$C$3,'user input'!$C$3,'weather data'!C672)</f>
        <v>7.2222222222222223</v>
      </c>
      <c r="D672" s="6">
        <f>IF('weather data'!D672&lt;'user input'!$C$2,'user input'!$C$2,'weather data'!D672)</f>
        <v>10</v>
      </c>
      <c r="E672">
        <f t="shared" si="11"/>
        <v>8.6111111111111107</v>
      </c>
      <c r="F672">
        <f>IF((E672-'user input'!$C$2)&lt;0,0,E672-'user input'!$C$2)</f>
        <v>0</v>
      </c>
      <c r="G672">
        <f>IF(B672&lt;'user input'!$C$5,0,(F672+G671))</f>
        <v>1535.8333333333337</v>
      </c>
      <c r="H672">
        <f>G672/'user input'!$C$4</f>
        <v>1.2798611111111113</v>
      </c>
    </row>
    <row r="673" spans="1:8" x14ac:dyDescent="0.2">
      <c r="A673" s="1">
        <v>40849</v>
      </c>
      <c r="B673">
        <v>306</v>
      </c>
      <c r="C673" s="6">
        <f>IF('weather data'!C673&gt;'user input'!$C$3,'user input'!$C$3,'weather data'!C673)</f>
        <v>17.777777777777779</v>
      </c>
      <c r="D673" s="6">
        <f>IF('weather data'!D673&lt;'user input'!$C$2,'user input'!$C$2,'weather data'!D673)</f>
        <v>10</v>
      </c>
      <c r="E673">
        <f t="shared" si="11"/>
        <v>13.888888888888889</v>
      </c>
      <c r="F673">
        <f>IF((E673-'user input'!$C$2)&lt;0,0,E673-'user input'!$C$2)</f>
        <v>3.8888888888888893</v>
      </c>
      <c r="G673">
        <f>IF(B673&lt;'user input'!$C$5,0,(F673+G672))</f>
        <v>1539.7222222222226</v>
      </c>
      <c r="H673">
        <f>G673/'user input'!$C$4</f>
        <v>1.2831018518518522</v>
      </c>
    </row>
    <row r="674" spans="1:8" x14ac:dyDescent="0.2">
      <c r="A674" s="1">
        <v>40850</v>
      </c>
      <c r="B674">
        <v>307</v>
      </c>
      <c r="C674" s="6">
        <f>IF('weather data'!C674&gt;'user input'!$C$3,'user input'!$C$3,'weather data'!C674)</f>
        <v>10</v>
      </c>
      <c r="D674" s="6">
        <f>IF('weather data'!D674&lt;'user input'!$C$2,'user input'!$C$2,'weather data'!D674)</f>
        <v>10</v>
      </c>
      <c r="E674">
        <f t="shared" si="11"/>
        <v>10</v>
      </c>
      <c r="F674">
        <f>IF((E674-'user input'!$C$2)&lt;0,0,E674-'user input'!$C$2)</f>
        <v>0</v>
      </c>
      <c r="G674">
        <f>IF(B674&lt;'user input'!$C$5,0,(F674+G673))</f>
        <v>1539.7222222222226</v>
      </c>
      <c r="H674">
        <f>G674/'user input'!$C$4</f>
        <v>1.2831018518518522</v>
      </c>
    </row>
    <row r="675" spans="1:8" x14ac:dyDescent="0.2">
      <c r="A675" s="1">
        <v>40851</v>
      </c>
      <c r="B675">
        <v>308</v>
      </c>
      <c r="C675" s="6">
        <f>IF('weather data'!C675&gt;'user input'!$C$3,'user input'!$C$3,'weather data'!C675)</f>
        <v>9.4444444444444446</v>
      </c>
      <c r="D675" s="6">
        <f>IF('weather data'!D675&lt;'user input'!$C$2,'user input'!$C$2,'weather data'!D675)</f>
        <v>10</v>
      </c>
      <c r="E675">
        <f t="shared" si="11"/>
        <v>9.7222222222222214</v>
      </c>
      <c r="F675">
        <f>IF((E675-'user input'!$C$2)&lt;0,0,E675-'user input'!$C$2)</f>
        <v>0</v>
      </c>
      <c r="G675">
        <f>IF(B675&lt;'user input'!$C$5,0,(F675+G674))</f>
        <v>1539.7222222222226</v>
      </c>
      <c r="H675">
        <f>G675/'user input'!$C$4</f>
        <v>1.2831018518518522</v>
      </c>
    </row>
    <row r="676" spans="1:8" x14ac:dyDescent="0.2">
      <c r="A676" s="1">
        <v>40852</v>
      </c>
      <c r="B676">
        <v>309</v>
      </c>
      <c r="C676" s="6">
        <f>IF('weather data'!C676&gt;'user input'!$C$3,'user input'!$C$3,'weather data'!C676)</f>
        <v>11.666666666666668</v>
      </c>
      <c r="D676" s="6">
        <f>IF('weather data'!D676&lt;'user input'!$C$2,'user input'!$C$2,'weather data'!D676)</f>
        <v>10</v>
      </c>
      <c r="E676">
        <f t="shared" si="11"/>
        <v>10.833333333333334</v>
      </c>
      <c r="F676">
        <f>IF((E676-'user input'!$C$2)&lt;0,0,E676-'user input'!$C$2)</f>
        <v>0.83333333333333393</v>
      </c>
      <c r="G676">
        <f>IF(B676&lt;'user input'!$C$5,0,(F676+G675))</f>
        <v>1540.5555555555559</v>
      </c>
      <c r="H676">
        <f>G676/'user input'!$C$4</f>
        <v>1.2837962962962965</v>
      </c>
    </row>
    <row r="677" spans="1:8" x14ac:dyDescent="0.2">
      <c r="A677" s="1">
        <v>40853</v>
      </c>
      <c r="B677">
        <v>310</v>
      </c>
      <c r="C677" s="6">
        <f>IF('weather data'!C677&gt;'user input'!$C$3,'user input'!$C$3,'weather data'!C677)</f>
        <v>13.333333333333332</v>
      </c>
      <c r="D677" s="6">
        <f>IF('weather data'!D677&lt;'user input'!$C$2,'user input'!$C$2,'weather data'!D677)</f>
        <v>10</v>
      </c>
      <c r="E677">
        <f t="shared" si="11"/>
        <v>11.666666666666666</v>
      </c>
      <c r="F677">
        <f>IF((E677-'user input'!$C$2)&lt;0,0,E677-'user input'!$C$2)</f>
        <v>1.6666666666666661</v>
      </c>
      <c r="G677">
        <f>IF(B677&lt;'user input'!$C$5,0,(F677+G676))</f>
        <v>1542.2222222222226</v>
      </c>
      <c r="H677">
        <f>G677/'user input'!$C$4</f>
        <v>1.2851851851851854</v>
      </c>
    </row>
    <row r="678" spans="1:8" x14ac:dyDescent="0.2">
      <c r="A678" s="1">
        <v>40854</v>
      </c>
      <c r="B678">
        <v>311</v>
      </c>
      <c r="C678" s="6">
        <f>IF('weather data'!C678&gt;'user input'!$C$3,'user input'!$C$3,'weather data'!C678)</f>
        <v>16.111111111111111</v>
      </c>
      <c r="D678" s="6">
        <f>IF('weather data'!D678&lt;'user input'!$C$2,'user input'!$C$2,'weather data'!D678)</f>
        <v>10</v>
      </c>
      <c r="E678">
        <f t="shared" si="11"/>
        <v>13.055555555555555</v>
      </c>
      <c r="F678">
        <f>IF((E678-'user input'!$C$2)&lt;0,0,E678-'user input'!$C$2)</f>
        <v>3.0555555555555554</v>
      </c>
      <c r="G678">
        <f>IF(B678&lt;'user input'!$C$5,0,(F678+G677))</f>
        <v>1545.2777777777783</v>
      </c>
      <c r="H678">
        <f>G678/'user input'!$C$4</f>
        <v>1.287731481481482</v>
      </c>
    </row>
    <row r="679" spans="1:8" x14ac:dyDescent="0.2">
      <c r="A679" s="1">
        <v>40855</v>
      </c>
      <c r="B679">
        <v>312</v>
      </c>
      <c r="C679" s="6">
        <f>IF('weather data'!C679&gt;'user input'!$C$3,'user input'!$C$3,'weather data'!C679)</f>
        <v>14.444444444444445</v>
      </c>
      <c r="D679" s="6">
        <f>IF('weather data'!D679&lt;'user input'!$C$2,'user input'!$C$2,'weather data'!D679)</f>
        <v>10</v>
      </c>
      <c r="E679">
        <f t="shared" si="11"/>
        <v>12.222222222222221</v>
      </c>
      <c r="F679">
        <f>IF((E679-'user input'!$C$2)&lt;0,0,E679-'user input'!$C$2)</f>
        <v>2.2222222222222214</v>
      </c>
      <c r="G679">
        <f>IF(B679&lt;'user input'!$C$5,0,(F679+G678))</f>
        <v>1547.5000000000005</v>
      </c>
      <c r="H679">
        <f>G679/'user input'!$C$4</f>
        <v>1.2895833333333337</v>
      </c>
    </row>
    <row r="680" spans="1:8" x14ac:dyDescent="0.2">
      <c r="A680" s="1">
        <v>40856</v>
      </c>
      <c r="B680">
        <v>313</v>
      </c>
      <c r="C680" s="6">
        <f>IF('weather data'!C680&gt;'user input'!$C$3,'user input'!$C$3,'weather data'!C680)</f>
        <v>5.5555555555555554</v>
      </c>
      <c r="D680" s="6">
        <f>IF('weather data'!D680&lt;'user input'!$C$2,'user input'!$C$2,'weather data'!D680)</f>
        <v>10</v>
      </c>
      <c r="E680">
        <f t="shared" si="11"/>
        <v>7.7777777777777777</v>
      </c>
      <c r="F680">
        <f>IF((E680-'user input'!$C$2)&lt;0,0,E680-'user input'!$C$2)</f>
        <v>0</v>
      </c>
      <c r="G680">
        <f>IF(B680&lt;'user input'!$C$5,0,(F680+G679))</f>
        <v>1547.5000000000005</v>
      </c>
      <c r="H680">
        <f>G680/'user input'!$C$4</f>
        <v>1.2895833333333337</v>
      </c>
    </row>
    <row r="681" spans="1:8" x14ac:dyDescent="0.2">
      <c r="A681" s="1">
        <v>40857</v>
      </c>
      <c r="B681">
        <v>314</v>
      </c>
      <c r="C681" s="6">
        <f>IF('weather data'!C681&gt;'user input'!$C$3,'user input'!$C$3,'weather data'!C681)</f>
        <v>1.6666666666666665</v>
      </c>
      <c r="D681" s="6">
        <f>IF('weather data'!D681&lt;'user input'!$C$2,'user input'!$C$2,'weather data'!D681)</f>
        <v>10</v>
      </c>
      <c r="E681">
        <f t="shared" si="11"/>
        <v>5.833333333333333</v>
      </c>
      <c r="F681">
        <f>IF((E681-'user input'!$C$2)&lt;0,0,E681-'user input'!$C$2)</f>
        <v>0</v>
      </c>
      <c r="G681">
        <f>IF(B681&lt;'user input'!$C$5,0,(F681+G680))</f>
        <v>1547.5000000000005</v>
      </c>
      <c r="H681">
        <f>G681/'user input'!$C$4</f>
        <v>1.2895833333333337</v>
      </c>
    </row>
    <row r="682" spans="1:8" x14ac:dyDescent="0.2">
      <c r="A682" s="1">
        <v>40858</v>
      </c>
      <c r="B682">
        <v>315</v>
      </c>
      <c r="C682" s="6">
        <f>IF('weather data'!C682&gt;'user input'!$C$3,'user input'!$C$3,'weather data'!C682)</f>
        <v>3.333333333333333</v>
      </c>
      <c r="D682" s="6">
        <f>IF('weather data'!D682&lt;'user input'!$C$2,'user input'!$C$2,'weather data'!D682)</f>
        <v>10</v>
      </c>
      <c r="E682">
        <f t="shared" si="11"/>
        <v>6.6666666666666661</v>
      </c>
      <c r="F682">
        <f>IF((E682-'user input'!$C$2)&lt;0,0,E682-'user input'!$C$2)</f>
        <v>0</v>
      </c>
      <c r="G682">
        <f>IF(B682&lt;'user input'!$C$5,0,(F682+G681))</f>
        <v>1547.5000000000005</v>
      </c>
      <c r="H682">
        <f>G682/'user input'!$C$4</f>
        <v>1.2895833333333337</v>
      </c>
    </row>
    <row r="683" spans="1:8" x14ac:dyDescent="0.2">
      <c r="A683" s="1">
        <v>40859</v>
      </c>
      <c r="B683">
        <v>316</v>
      </c>
      <c r="C683" s="6">
        <f>IF('weather data'!C683&gt;'user input'!$C$3,'user input'!$C$3,'weather data'!C683)</f>
        <v>8.8888888888888893</v>
      </c>
      <c r="D683" s="6">
        <f>IF('weather data'!D683&lt;'user input'!$C$2,'user input'!$C$2,'weather data'!D683)</f>
        <v>10</v>
      </c>
      <c r="E683">
        <f t="shared" si="11"/>
        <v>9.4444444444444446</v>
      </c>
      <c r="F683">
        <f>IF((E683-'user input'!$C$2)&lt;0,0,E683-'user input'!$C$2)</f>
        <v>0</v>
      </c>
      <c r="G683">
        <f>IF(B683&lt;'user input'!$C$5,0,(F683+G682))</f>
        <v>1547.5000000000005</v>
      </c>
      <c r="H683">
        <f>G683/'user input'!$C$4</f>
        <v>1.2895833333333337</v>
      </c>
    </row>
    <row r="684" spans="1:8" x14ac:dyDescent="0.2">
      <c r="A684" s="1">
        <v>40860</v>
      </c>
      <c r="B684">
        <v>317</v>
      </c>
      <c r="C684" s="6">
        <f>IF('weather data'!C684&gt;'user input'!$C$3,'user input'!$C$3,'weather data'!C684)</f>
        <v>13.333333333333332</v>
      </c>
      <c r="D684" s="6">
        <f>IF('weather data'!D684&lt;'user input'!$C$2,'user input'!$C$2,'weather data'!D684)</f>
        <v>10</v>
      </c>
      <c r="E684">
        <f t="shared" si="11"/>
        <v>11.666666666666666</v>
      </c>
      <c r="F684">
        <f>IF((E684-'user input'!$C$2)&lt;0,0,E684-'user input'!$C$2)</f>
        <v>1.6666666666666661</v>
      </c>
      <c r="G684">
        <f>IF(B684&lt;'user input'!$C$5,0,(F684+G683))</f>
        <v>1549.1666666666672</v>
      </c>
      <c r="H684">
        <f>G684/'user input'!$C$4</f>
        <v>1.2909722222222226</v>
      </c>
    </row>
    <row r="685" spans="1:8" x14ac:dyDescent="0.2">
      <c r="A685" s="1">
        <v>40861</v>
      </c>
      <c r="B685">
        <v>318</v>
      </c>
      <c r="C685" s="6">
        <f>IF('weather data'!C685&gt;'user input'!$C$3,'user input'!$C$3,'weather data'!C685)</f>
        <v>15</v>
      </c>
      <c r="D685" s="6">
        <f>IF('weather data'!D685&lt;'user input'!$C$2,'user input'!$C$2,'weather data'!D685)</f>
        <v>10</v>
      </c>
      <c r="E685">
        <f t="shared" si="11"/>
        <v>12.5</v>
      </c>
      <c r="F685">
        <f>IF((E685-'user input'!$C$2)&lt;0,0,E685-'user input'!$C$2)</f>
        <v>2.5</v>
      </c>
      <c r="G685">
        <f>IF(B685&lt;'user input'!$C$5,0,(F685+G684))</f>
        <v>1551.6666666666672</v>
      </c>
      <c r="H685">
        <f>G685/'user input'!$C$4</f>
        <v>1.2930555555555561</v>
      </c>
    </row>
    <row r="686" spans="1:8" x14ac:dyDescent="0.2">
      <c r="A686" s="1">
        <v>40862</v>
      </c>
      <c r="B686">
        <v>319</v>
      </c>
      <c r="C686" s="6">
        <f>IF('weather data'!C686&gt;'user input'!$C$3,'user input'!$C$3,'weather data'!C686)</f>
        <v>12.777777777777777</v>
      </c>
      <c r="D686" s="6">
        <f>IF('weather data'!D686&lt;'user input'!$C$2,'user input'!$C$2,'weather data'!D686)</f>
        <v>10</v>
      </c>
      <c r="E686">
        <f t="shared" si="11"/>
        <v>11.388888888888889</v>
      </c>
      <c r="F686">
        <f>IF((E686-'user input'!$C$2)&lt;0,0,E686-'user input'!$C$2)</f>
        <v>1.3888888888888893</v>
      </c>
      <c r="G686">
        <f>IF(B686&lt;'user input'!$C$5,0,(F686+G685))</f>
        <v>1553.0555555555561</v>
      </c>
      <c r="H686">
        <f>G686/'user input'!$C$4</f>
        <v>1.2942129629629635</v>
      </c>
    </row>
    <row r="687" spans="1:8" x14ac:dyDescent="0.2">
      <c r="A687" s="1">
        <v>40863</v>
      </c>
      <c r="B687">
        <v>320</v>
      </c>
      <c r="C687" s="6">
        <f>IF('weather data'!C687&gt;'user input'!$C$3,'user input'!$C$3,'weather data'!C687)</f>
        <v>13.333333333333332</v>
      </c>
      <c r="D687" s="6">
        <f>IF('weather data'!D687&lt;'user input'!$C$2,'user input'!$C$2,'weather data'!D687)</f>
        <v>10</v>
      </c>
      <c r="E687">
        <f t="shared" si="11"/>
        <v>11.666666666666666</v>
      </c>
      <c r="F687">
        <f>IF((E687-'user input'!$C$2)&lt;0,0,E687-'user input'!$C$2)</f>
        <v>1.6666666666666661</v>
      </c>
      <c r="G687">
        <f>IF(B687&lt;'user input'!$C$5,0,(F687+G686))</f>
        <v>1554.7222222222229</v>
      </c>
      <c r="H687">
        <f>G687/'user input'!$C$4</f>
        <v>1.2956018518518524</v>
      </c>
    </row>
    <row r="688" spans="1:8" x14ac:dyDescent="0.2">
      <c r="A688" s="1">
        <v>40864</v>
      </c>
      <c r="B688">
        <v>321</v>
      </c>
      <c r="C688" s="6">
        <f>IF('weather data'!C688&gt;'user input'!$C$3,'user input'!$C$3,'weather data'!C688)</f>
        <v>3.8888888888888888</v>
      </c>
      <c r="D688" s="6">
        <f>IF('weather data'!D688&lt;'user input'!$C$2,'user input'!$C$2,'weather data'!D688)</f>
        <v>10</v>
      </c>
      <c r="E688">
        <f t="shared" si="11"/>
        <v>6.9444444444444446</v>
      </c>
      <c r="F688">
        <f>IF((E688-'user input'!$C$2)&lt;0,0,E688-'user input'!$C$2)</f>
        <v>0</v>
      </c>
      <c r="G688">
        <f>IF(B688&lt;'user input'!$C$5,0,(F688+G687))</f>
        <v>1554.7222222222229</v>
      </c>
      <c r="H688">
        <f>G688/'user input'!$C$4</f>
        <v>1.2956018518518524</v>
      </c>
    </row>
    <row r="689" spans="1:8" x14ac:dyDescent="0.2">
      <c r="A689" s="1">
        <v>40865</v>
      </c>
      <c r="B689">
        <v>322</v>
      </c>
      <c r="C689" s="6">
        <f>IF('weather data'!C689&gt;'user input'!$C$3,'user input'!$C$3,'weather data'!C689)</f>
        <v>6.1111111111111116</v>
      </c>
      <c r="D689" s="6">
        <f>IF('weather data'!D689&lt;'user input'!$C$2,'user input'!$C$2,'weather data'!D689)</f>
        <v>10</v>
      </c>
      <c r="E689">
        <f t="shared" si="11"/>
        <v>8.0555555555555554</v>
      </c>
      <c r="F689">
        <f>IF((E689-'user input'!$C$2)&lt;0,0,E689-'user input'!$C$2)</f>
        <v>0</v>
      </c>
      <c r="G689">
        <f>IF(B689&lt;'user input'!$C$5,0,(F689+G688))</f>
        <v>1554.7222222222229</v>
      </c>
      <c r="H689">
        <f>G689/'user input'!$C$4</f>
        <v>1.2956018518518524</v>
      </c>
    </row>
    <row r="690" spans="1:8" x14ac:dyDescent="0.2">
      <c r="A690" s="1">
        <v>40866</v>
      </c>
      <c r="B690">
        <v>323</v>
      </c>
      <c r="C690" s="6">
        <f>IF('weather data'!C690&gt;'user input'!$C$3,'user input'!$C$3,'weather data'!C690)</f>
        <v>9.4444444444444446</v>
      </c>
      <c r="D690" s="6">
        <f>IF('weather data'!D690&lt;'user input'!$C$2,'user input'!$C$2,'weather data'!D690)</f>
        <v>10</v>
      </c>
      <c r="E690">
        <f t="shared" si="11"/>
        <v>9.7222222222222214</v>
      </c>
      <c r="F690">
        <f>IF((E690-'user input'!$C$2)&lt;0,0,E690-'user input'!$C$2)</f>
        <v>0</v>
      </c>
      <c r="G690">
        <f>IF(B690&lt;'user input'!$C$5,0,(F690+G689))</f>
        <v>1554.7222222222229</v>
      </c>
      <c r="H690">
        <f>G690/'user input'!$C$4</f>
        <v>1.2956018518518524</v>
      </c>
    </row>
    <row r="691" spans="1:8" x14ac:dyDescent="0.2">
      <c r="A691" s="1">
        <v>40867</v>
      </c>
      <c r="B691">
        <v>324</v>
      </c>
      <c r="C691" s="6">
        <f>IF('weather data'!C691&gt;'user input'!$C$3,'user input'!$C$3,'weather data'!C691)</f>
        <v>7.2222222222222223</v>
      </c>
      <c r="D691" s="6">
        <f>IF('weather data'!D691&lt;'user input'!$C$2,'user input'!$C$2,'weather data'!D691)</f>
        <v>10</v>
      </c>
      <c r="E691">
        <f t="shared" si="11"/>
        <v>8.6111111111111107</v>
      </c>
      <c r="F691">
        <f>IF((E691-'user input'!$C$2)&lt;0,0,E691-'user input'!$C$2)</f>
        <v>0</v>
      </c>
      <c r="G691">
        <f>IF(B691&lt;'user input'!$C$5,0,(F691+G690))</f>
        <v>1554.7222222222229</v>
      </c>
      <c r="H691">
        <f>G691/'user input'!$C$4</f>
        <v>1.2956018518518524</v>
      </c>
    </row>
    <row r="692" spans="1:8" x14ac:dyDescent="0.2">
      <c r="A692" s="1">
        <v>40868</v>
      </c>
      <c r="B692">
        <v>325</v>
      </c>
      <c r="C692" s="6">
        <f>IF('weather data'!C692&gt;'user input'!$C$3,'user input'!$C$3,'weather data'!C692)</f>
        <v>3.333333333333333</v>
      </c>
      <c r="D692" s="6">
        <f>IF('weather data'!D692&lt;'user input'!$C$2,'user input'!$C$2,'weather data'!D692)</f>
        <v>10</v>
      </c>
      <c r="E692">
        <f t="shared" si="11"/>
        <v>6.6666666666666661</v>
      </c>
      <c r="F692">
        <f>IF((E692-'user input'!$C$2)&lt;0,0,E692-'user input'!$C$2)</f>
        <v>0</v>
      </c>
      <c r="G692">
        <f>IF(B692&lt;'user input'!$C$5,0,(F692+G691))</f>
        <v>1554.7222222222229</v>
      </c>
      <c r="H692">
        <f>G692/'user input'!$C$4</f>
        <v>1.2956018518518524</v>
      </c>
    </row>
    <row r="693" spans="1:8" x14ac:dyDescent="0.2">
      <c r="A693" s="1">
        <v>40869</v>
      </c>
      <c r="B693">
        <v>326</v>
      </c>
      <c r="C693" s="6">
        <f>IF('weather data'!C693&gt;'user input'!$C$3,'user input'!$C$3,'weather data'!C693)</f>
        <v>5.5555555555555554</v>
      </c>
      <c r="D693" s="6">
        <f>IF('weather data'!D693&lt;'user input'!$C$2,'user input'!$C$2,'weather data'!D693)</f>
        <v>10</v>
      </c>
      <c r="E693">
        <f t="shared" si="11"/>
        <v>7.7777777777777777</v>
      </c>
      <c r="F693">
        <f>IF((E693-'user input'!$C$2)&lt;0,0,E693-'user input'!$C$2)</f>
        <v>0</v>
      </c>
      <c r="G693">
        <f>IF(B693&lt;'user input'!$C$5,0,(F693+G692))</f>
        <v>1554.7222222222229</v>
      </c>
      <c r="H693">
        <f>G693/'user input'!$C$4</f>
        <v>1.2956018518518524</v>
      </c>
    </row>
    <row r="694" spans="1:8" x14ac:dyDescent="0.2">
      <c r="A694" s="1">
        <v>40870</v>
      </c>
      <c r="B694">
        <v>327</v>
      </c>
      <c r="C694" s="6">
        <f>IF('weather data'!C694&gt;'user input'!$C$3,'user input'!$C$3,'weather data'!C694)</f>
        <v>3.8888888888888888</v>
      </c>
      <c r="D694" s="6">
        <f>IF('weather data'!D694&lt;'user input'!$C$2,'user input'!$C$2,'weather data'!D694)</f>
        <v>10</v>
      </c>
      <c r="E694">
        <f t="shared" si="11"/>
        <v>6.9444444444444446</v>
      </c>
      <c r="F694">
        <f>IF((E694-'user input'!$C$2)&lt;0,0,E694-'user input'!$C$2)</f>
        <v>0</v>
      </c>
      <c r="G694">
        <f>IF(B694&lt;'user input'!$C$5,0,(F694+G693))</f>
        <v>1554.7222222222229</v>
      </c>
      <c r="H694">
        <f>G694/'user input'!$C$4</f>
        <v>1.2956018518518524</v>
      </c>
    </row>
    <row r="695" spans="1:8" x14ac:dyDescent="0.2">
      <c r="A695" s="1">
        <v>40871</v>
      </c>
      <c r="B695">
        <v>328</v>
      </c>
      <c r="C695" s="6">
        <f>IF('weather data'!C695&gt;'user input'!$C$3,'user input'!$C$3,'weather data'!C695)</f>
        <v>6.1111111111111116</v>
      </c>
      <c r="D695" s="6">
        <f>IF('weather data'!D695&lt;'user input'!$C$2,'user input'!$C$2,'weather data'!D695)</f>
        <v>10</v>
      </c>
      <c r="E695">
        <f t="shared" si="11"/>
        <v>8.0555555555555554</v>
      </c>
      <c r="F695">
        <f>IF((E695-'user input'!$C$2)&lt;0,0,E695-'user input'!$C$2)</f>
        <v>0</v>
      </c>
      <c r="G695">
        <f>IF(B695&lt;'user input'!$C$5,0,(F695+G694))</f>
        <v>1554.7222222222229</v>
      </c>
      <c r="H695">
        <f>G695/'user input'!$C$4</f>
        <v>1.2956018518518524</v>
      </c>
    </row>
    <row r="696" spans="1:8" x14ac:dyDescent="0.2">
      <c r="A696" s="1">
        <v>40872</v>
      </c>
      <c r="B696">
        <v>329</v>
      </c>
      <c r="C696" s="6">
        <f>IF('weather data'!C696&gt;'user input'!$C$3,'user input'!$C$3,'weather data'!C696)</f>
        <v>10</v>
      </c>
      <c r="D696" s="6">
        <f>IF('weather data'!D696&lt;'user input'!$C$2,'user input'!$C$2,'weather data'!D696)</f>
        <v>10</v>
      </c>
      <c r="E696">
        <f t="shared" si="11"/>
        <v>10</v>
      </c>
      <c r="F696">
        <f>IF((E696-'user input'!$C$2)&lt;0,0,E696-'user input'!$C$2)</f>
        <v>0</v>
      </c>
      <c r="G696">
        <f>IF(B696&lt;'user input'!$C$5,0,(F696+G695))</f>
        <v>1554.7222222222229</v>
      </c>
      <c r="H696">
        <f>G696/'user input'!$C$4</f>
        <v>1.2956018518518524</v>
      </c>
    </row>
    <row r="697" spans="1:8" x14ac:dyDescent="0.2">
      <c r="A697" s="1">
        <v>40873</v>
      </c>
      <c r="B697">
        <v>330</v>
      </c>
      <c r="C697" s="6">
        <f>IF('weather data'!C697&gt;'user input'!$C$3,'user input'!$C$3,'weather data'!C697)</f>
        <v>11.666666666666668</v>
      </c>
      <c r="D697" s="6">
        <f>IF('weather data'!D697&lt;'user input'!$C$2,'user input'!$C$2,'weather data'!D697)</f>
        <v>10</v>
      </c>
      <c r="E697">
        <f t="shared" si="11"/>
        <v>10.833333333333334</v>
      </c>
      <c r="F697">
        <f>IF((E697-'user input'!$C$2)&lt;0,0,E697-'user input'!$C$2)</f>
        <v>0.83333333333333393</v>
      </c>
      <c r="G697">
        <f>IF(B697&lt;'user input'!$C$5,0,(F697+G696))</f>
        <v>1555.5555555555561</v>
      </c>
      <c r="H697">
        <f>G697/'user input'!$C$4</f>
        <v>1.2962962962962967</v>
      </c>
    </row>
    <row r="698" spans="1:8" x14ac:dyDescent="0.2">
      <c r="A698" s="1">
        <v>40874</v>
      </c>
      <c r="B698">
        <v>331</v>
      </c>
      <c r="C698" s="6">
        <f>IF('weather data'!C698&gt;'user input'!$C$3,'user input'!$C$3,'weather data'!C698)</f>
        <v>11.111111111111111</v>
      </c>
      <c r="D698" s="6">
        <f>IF('weather data'!D698&lt;'user input'!$C$2,'user input'!$C$2,'weather data'!D698)</f>
        <v>10</v>
      </c>
      <c r="E698">
        <f t="shared" si="11"/>
        <v>10.555555555555555</v>
      </c>
      <c r="F698">
        <f>IF((E698-'user input'!$C$2)&lt;0,0,E698-'user input'!$C$2)</f>
        <v>0.55555555555555536</v>
      </c>
      <c r="G698">
        <f>IF(B698&lt;'user input'!$C$5,0,(F698+G697))</f>
        <v>1556.1111111111118</v>
      </c>
      <c r="H698">
        <f>G698/'user input'!$C$4</f>
        <v>1.2967592592592598</v>
      </c>
    </row>
    <row r="699" spans="1:8" x14ac:dyDescent="0.2">
      <c r="A699" s="1">
        <v>40875</v>
      </c>
      <c r="B699">
        <v>332</v>
      </c>
      <c r="C699" s="6">
        <f>IF('weather data'!C699&gt;'user input'!$C$3,'user input'!$C$3,'weather data'!C699)</f>
        <v>1.6666666666666665</v>
      </c>
      <c r="D699" s="6">
        <f>IF('weather data'!D699&lt;'user input'!$C$2,'user input'!$C$2,'weather data'!D699)</f>
        <v>10</v>
      </c>
      <c r="E699">
        <f t="shared" si="11"/>
        <v>5.833333333333333</v>
      </c>
      <c r="F699">
        <f>IF((E699-'user input'!$C$2)&lt;0,0,E699-'user input'!$C$2)</f>
        <v>0</v>
      </c>
      <c r="G699">
        <f>IF(B699&lt;'user input'!$C$5,0,(F699+G698))</f>
        <v>1556.1111111111118</v>
      </c>
      <c r="H699">
        <f>G699/'user input'!$C$4</f>
        <v>1.2967592592592598</v>
      </c>
    </row>
    <row r="700" spans="1:8" x14ac:dyDescent="0.2">
      <c r="A700" s="1">
        <v>40876</v>
      </c>
      <c r="B700">
        <v>333</v>
      </c>
      <c r="C700" s="6">
        <f>IF('weather data'!C700&gt;'user input'!$C$3,'user input'!$C$3,'weather data'!C700)</f>
        <v>2.2222222222222223</v>
      </c>
      <c r="D700" s="6">
        <f>IF('weather data'!D700&lt;'user input'!$C$2,'user input'!$C$2,'weather data'!D700)</f>
        <v>10</v>
      </c>
      <c r="E700">
        <f t="shared" si="11"/>
        <v>6.1111111111111107</v>
      </c>
      <c r="F700">
        <f>IF((E700-'user input'!$C$2)&lt;0,0,E700-'user input'!$C$2)</f>
        <v>0</v>
      </c>
      <c r="G700">
        <f>IF(B700&lt;'user input'!$C$5,0,(F700+G699))</f>
        <v>1556.1111111111118</v>
      </c>
      <c r="H700">
        <f>G700/'user input'!$C$4</f>
        <v>1.2967592592592598</v>
      </c>
    </row>
    <row r="701" spans="1:8" x14ac:dyDescent="0.2">
      <c r="A701" s="1">
        <v>40877</v>
      </c>
      <c r="B701">
        <v>334</v>
      </c>
      <c r="C701" s="6">
        <f>IF('weather data'!C701&gt;'user input'!$C$3,'user input'!$C$3,'weather data'!C701)</f>
        <v>3.333333333333333</v>
      </c>
      <c r="D701" s="6">
        <f>IF('weather data'!D701&lt;'user input'!$C$2,'user input'!$C$2,'weather data'!D701)</f>
        <v>10</v>
      </c>
      <c r="E701">
        <f t="shared" si="11"/>
        <v>6.6666666666666661</v>
      </c>
      <c r="F701">
        <f>IF((E701-'user input'!$C$2)&lt;0,0,E701-'user input'!$C$2)</f>
        <v>0</v>
      </c>
      <c r="G701">
        <f>IF(B701&lt;'user input'!$C$5,0,(F701+G700))</f>
        <v>1556.1111111111118</v>
      </c>
      <c r="H701">
        <f>G701/'user input'!$C$4</f>
        <v>1.2967592592592598</v>
      </c>
    </row>
    <row r="702" spans="1:8" x14ac:dyDescent="0.2">
      <c r="A702" s="1">
        <v>40878</v>
      </c>
      <c r="B702">
        <v>335</v>
      </c>
      <c r="C702" s="6">
        <f>IF('weather data'!C702&gt;'user input'!$C$3,'user input'!$C$3,'weather data'!C702)</f>
        <v>6.6666666666666661</v>
      </c>
      <c r="D702" s="6">
        <f>IF('weather data'!D702&lt;'user input'!$C$2,'user input'!$C$2,'weather data'!D702)</f>
        <v>10</v>
      </c>
      <c r="E702">
        <f t="shared" si="11"/>
        <v>8.3333333333333321</v>
      </c>
      <c r="F702">
        <f>IF((E702-'user input'!$C$2)&lt;0,0,E702-'user input'!$C$2)</f>
        <v>0</v>
      </c>
      <c r="G702">
        <f>IF(B702&lt;'user input'!$C$5,0,(F702+G701))</f>
        <v>1556.1111111111118</v>
      </c>
      <c r="H702">
        <f>G702/'user input'!$C$4</f>
        <v>1.2967592592592598</v>
      </c>
    </row>
    <row r="703" spans="1:8" x14ac:dyDescent="0.2">
      <c r="A703" s="1">
        <v>40879</v>
      </c>
      <c r="B703">
        <v>336</v>
      </c>
      <c r="C703" s="6">
        <f>IF('weather data'!C703&gt;'user input'!$C$3,'user input'!$C$3,'weather data'!C703)</f>
        <v>4.4444444444444446</v>
      </c>
      <c r="D703" s="6">
        <f>IF('weather data'!D703&lt;'user input'!$C$2,'user input'!$C$2,'weather data'!D703)</f>
        <v>10</v>
      </c>
      <c r="E703">
        <f t="shared" si="11"/>
        <v>7.2222222222222223</v>
      </c>
      <c r="F703">
        <f>IF((E703-'user input'!$C$2)&lt;0,0,E703-'user input'!$C$2)</f>
        <v>0</v>
      </c>
      <c r="G703">
        <f>IF(B703&lt;'user input'!$C$5,0,(F703+G702))</f>
        <v>1556.1111111111118</v>
      </c>
      <c r="H703">
        <f>G703/'user input'!$C$4</f>
        <v>1.2967592592592598</v>
      </c>
    </row>
    <row r="704" spans="1:8" x14ac:dyDescent="0.2">
      <c r="A704" s="1">
        <v>40880</v>
      </c>
      <c r="B704">
        <v>337</v>
      </c>
      <c r="C704" s="6">
        <f>IF('weather data'!C704&gt;'user input'!$C$3,'user input'!$C$3,'weather data'!C704)</f>
        <v>3.333333333333333</v>
      </c>
      <c r="D704" s="6">
        <f>IF('weather data'!D704&lt;'user input'!$C$2,'user input'!$C$2,'weather data'!D704)</f>
        <v>10</v>
      </c>
      <c r="E704">
        <f t="shared" si="11"/>
        <v>6.6666666666666661</v>
      </c>
      <c r="F704">
        <f>IF((E704-'user input'!$C$2)&lt;0,0,E704-'user input'!$C$2)</f>
        <v>0</v>
      </c>
      <c r="G704">
        <f>IF(B704&lt;'user input'!$C$5,0,(F704+G703))</f>
        <v>1556.1111111111118</v>
      </c>
      <c r="H704">
        <f>G704/'user input'!$C$4</f>
        <v>1.2967592592592598</v>
      </c>
    </row>
    <row r="705" spans="1:8" x14ac:dyDescent="0.2">
      <c r="A705" s="1">
        <v>40881</v>
      </c>
      <c r="B705">
        <v>338</v>
      </c>
      <c r="C705" s="6">
        <f>IF('weather data'!C705&gt;'user input'!$C$3,'user input'!$C$3,'weather data'!C705)</f>
        <v>7.7777777777777777</v>
      </c>
      <c r="D705" s="6">
        <f>IF('weather data'!D705&lt;'user input'!$C$2,'user input'!$C$2,'weather data'!D705)</f>
        <v>10</v>
      </c>
      <c r="E705">
        <f t="shared" si="11"/>
        <v>8.8888888888888893</v>
      </c>
      <c r="F705">
        <f>IF((E705-'user input'!$C$2)&lt;0,0,E705-'user input'!$C$2)</f>
        <v>0</v>
      </c>
      <c r="G705">
        <f>IF(B705&lt;'user input'!$C$5,0,(F705+G704))</f>
        <v>1556.1111111111118</v>
      </c>
      <c r="H705">
        <f>G705/'user input'!$C$4</f>
        <v>1.2967592592592598</v>
      </c>
    </row>
    <row r="706" spans="1:8" x14ac:dyDescent="0.2">
      <c r="A706" s="1">
        <v>40882</v>
      </c>
      <c r="B706">
        <v>339</v>
      </c>
      <c r="C706" s="6">
        <f>IF('weather data'!C706&gt;'user input'!$C$3,'user input'!$C$3,'weather data'!C706)</f>
        <v>2.7777777777777777</v>
      </c>
      <c r="D706" s="6">
        <f>IF('weather data'!D706&lt;'user input'!$C$2,'user input'!$C$2,'weather data'!D706)</f>
        <v>10</v>
      </c>
      <c r="E706">
        <f t="shared" si="11"/>
        <v>6.3888888888888893</v>
      </c>
      <c r="F706">
        <f>IF((E706-'user input'!$C$2)&lt;0,0,E706-'user input'!$C$2)</f>
        <v>0</v>
      </c>
      <c r="G706">
        <f>IF(B706&lt;'user input'!$C$5,0,(F706+G705))</f>
        <v>1556.1111111111118</v>
      </c>
      <c r="H706">
        <f>G706/'user input'!$C$4</f>
        <v>1.2967592592592598</v>
      </c>
    </row>
    <row r="707" spans="1:8" x14ac:dyDescent="0.2">
      <c r="A707" s="1">
        <v>40883</v>
      </c>
      <c r="B707">
        <v>340</v>
      </c>
      <c r="C707" s="6">
        <f>IF('weather data'!C707&gt;'user input'!$C$3,'user input'!$C$3,'weather data'!C707)</f>
        <v>0</v>
      </c>
      <c r="D707" s="6">
        <f>IF('weather data'!D707&lt;'user input'!$C$2,'user input'!$C$2,'weather data'!D707)</f>
        <v>10</v>
      </c>
      <c r="E707">
        <f t="shared" si="11"/>
        <v>5</v>
      </c>
      <c r="F707">
        <f>IF((E707-'user input'!$C$2)&lt;0,0,E707-'user input'!$C$2)</f>
        <v>0</v>
      </c>
      <c r="G707">
        <f>IF(B707&lt;'user input'!$C$5,0,(F707+G706))</f>
        <v>1556.1111111111118</v>
      </c>
      <c r="H707">
        <f>G707/'user input'!$C$4</f>
        <v>1.2967592592592598</v>
      </c>
    </row>
    <row r="708" spans="1:8" x14ac:dyDescent="0.2">
      <c r="A708" s="1">
        <v>40884</v>
      </c>
      <c r="B708">
        <v>341</v>
      </c>
      <c r="C708" s="6">
        <f>IF('weather data'!C708&gt;'user input'!$C$3,'user input'!$C$3,'weather data'!C708)</f>
        <v>-2.2222222222222223</v>
      </c>
      <c r="D708" s="6">
        <f>IF('weather data'!D708&lt;'user input'!$C$2,'user input'!$C$2,'weather data'!D708)</f>
        <v>10</v>
      </c>
      <c r="E708">
        <f t="shared" si="11"/>
        <v>3.8888888888888888</v>
      </c>
      <c r="F708">
        <f>IF((E708-'user input'!$C$2)&lt;0,0,E708-'user input'!$C$2)</f>
        <v>0</v>
      </c>
      <c r="G708">
        <f>IF(B708&lt;'user input'!$C$5,0,(F708+G707))</f>
        <v>1556.1111111111118</v>
      </c>
      <c r="H708">
        <f>G708/'user input'!$C$4</f>
        <v>1.2967592592592598</v>
      </c>
    </row>
    <row r="709" spans="1:8" x14ac:dyDescent="0.2">
      <c r="A709" s="1">
        <v>40885</v>
      </c>
      <c r="B709">
        <v>342</v>
      </c>
      <c r="C709" s="6">
        <f>IF('weather data'!C709&gt;'user input'!$C$3,'user input'!$C$3,'weather data'!C709)</f>
        <v>-1.1111111111111112</v>
      </c>
      <c r="D709" s="6">
        <f>IF('weather data'!D709&lt;'user input'!$C$2,'user input'!$C$2,'weather data'!D709)</f>
        <v>10</v>
      </c>
      <c r="E709">
        <f t="shared" si="11"/>
        <v>4.4444444444444446</v>
      </c>
      <c r="F709">
        <f>IF((E709-'user input'!$C$2)&lt;0,0,E709-'user input'!$C$2)</f>
        <v>0</v>
      </c>
      <c r="G709">
        <f>IF(B709&lt;'user input'!$C$5,0,(F709+G708))</f>
        <v>1556.1111111111118</v>
      </c>
      <c r="H709">
        <f>G709/'user input'!$C$4</f>
        <v>1.2967592592592598</v>
      </c>
    </row>
    <row r="710" spans="1:8" x14ac:dyDescent="0.2">
      <c r="A710" s="1">
        <v>40886</v>
      </c>
      <c r="B710">
        <v>343</v>
      </c>
      <c r="C710" s="6">
        <f>IF('weather data'!C710&gt;'user input'!$C$3,'user input'!$C$3,'weather data'!C710)</f>
        <v>1.1111111111111112</v>
      </c>
      <c r="D710" s="6">
        <f>IF('weather data'!D710&lt;'user input'!$C$2,'user input'!$C$2,'weather data'!D710)</f>
        <v>10</v>
      </c>
      <c r="E710">
        <f t="shared" si="11"/>
        <v>5.5555555555555554</v>
      </c>
      <c r="F710">
        <f>IF((E710-'user input'!$C$2)&lt;0,0,E710-'user input'!$C$2)</f>
        <v>0</v>
      </c>
      <c r="G710">
        <f>IF(B710&lt;'user input'!$C$5,0,(F710+G709))</f>
        <v>1556.1111111111118</v>
      </c>
      <c r="H710">
        <f>G710/'user input'!$C$4</f>
        <v>1.2967592592592598</v>
      </c>
    </row>
    <row r="711" spans="1:8" x14ac:dyDescent="0.2">
      <c r="A711" s="1">
        <v>40887</v>
      </c>
      <c r="B711">
        <v>344</v>
      </c>
      <c r="C711" s="6">
        <f>IF('weather data'!C711&gt;'user input'!$C$3,'user input'!$C$3,'weather data'!C711)</f>
        <v>-5</v>
      </c>
      <c r="D711" s="6">
        <f>IF('weather data'!D711&lt;'user input'!$C$2,'user input'!$C$2,'weather data'!D711)</f>
        <v>10</v>
      </c>
      <c r="E711">
        <f t="shared" si="11"/>
        <v>2.5</v>
      </c>
      <c r="F711">
        <f>IF((E711-'user input'!$C$2)&lt;0,0,E711-'user input'!$C$2)</f>
        <v>0</v>
      </c>
      <c r="G711">
        <f>IF(B711&lt;'user input'!$C$5,0,(F711+G710))</f>
        <v>1556.1111111111118</v>
      </c>
      <c r="H711">
        <f>G711/'user input'!$C$4</f>
        <v>1.2967592592592598</v>
      </c>
    </row>
    <row r="712" spans="1:8" x14ac:dyDescent="0.2">
      <c r="A712" s="1">
        <v>40888</v>
      </c>
      <c r="B712">
        <v>345</v>
      </c>
      <c r="C712" s="6">
        <f>IF('weather data'!C712&gt;'user input'!$C$3,'user input'!$C$3,'weather data'!C712)</f>
        <v>7.7777777777777777</v>
      </c>
      <c r="D712" s="6">
        <f>IF('weather data'!D712&lt;'user input'!$C$2,'user input'!$C$2,'weather data'!D712)</f>
        <v>10</v>
      </c>
      <c r="E712">
        <f t="shared" si="11"/>
        <v>8.8888888888888893</v>
      </c>
      <c r="F712">
        <f>IF((E712-'user input'!$C$2)&lt;0,0,E712-'user input'!$C$2)</f>
        <v>0</v>
      </c>
      <c r="G712">
        <f>IF(B712&lt;'user input'!$C$5,0,(F712+G711))</f>
        <v>1556.1111111111118</v>
      </c>
      <c r="H712">
        <f>G712/'user input'!$C$4</f>
        <v>1.2967592592592598</v>
      </c>
    </row>
    <row r="713" spans="1:8" x14ac:dyDescent="0.2">
      <c r="A713" s="1">
        <v>40889</v>
      </c>
      <c r="B713">
        <v>346</v>
      </c>
      <c r="C713" s="6">
        <f>IF('weather data'!C713&gt;'user input'!$C$3,'user input'!$C$3,'weather data'!C713)</f>
        <v>7.7777777777777777</v>
      </c>
      <c r="D713" s="6">
        <f>IF('weather data'!D713&lt;'user input'!$C$2,'user input'!$C$2,'weather data'!D713)</f>
        <v>10</v>
      </c>
      <c r="E713">
        <f t="shared" si="11"/>
        <v>8.8888888888888893</v>
      </c>
      <c r="F713">
        <f>IF((E713-'user input'!$C$2)&lt;0,0,E713-'user input'!$C$2)</f>
        <v>0</v>
      </c>
      <c r="G713">
        <f>IF(B713&lt;'user input'!$C$5,0,(F713+G712))</f>
        <v>1556.1111111111118</v>
      </c>
      <c r="H713">
        <f>G713/'user input'!$C$4</f>
        <v>1.2967592592592598</v>
      </c>
    </row>
    <row r="714" spans="1:8" x14ac:dyDescent="0.2">
      <c r="A714" s="1">
        <v>40890</v>
      </c>
      <c r="B714">
        <v>347</v>
      </c>
      <c r="C714" s="6">
        <f>IF('weather data'!C714&gt;'user input'!$C$3,'user input'!$C$3,'weather data'!C714)</f>
        <v>5.5555555555555554</v>
      </c>
      <c r="D714" s="6">
        <f>IF('weather data'!D714&lt;'user input'!$C$2,'user input'!$C$2,'weather data'!D714)</f>
        <v>10</v>
      </c>
      <c r="E714">
        <f t="shared" si="11"/>
        <v>7.7777777777777777</v>
      </c>
      <c r="F714">
        <f>IF((E714-'user input'!$C$2)&lt;0,0,E714-'user input'!$C$2)</f>
        <v>0</v>
      </c>
      <c r="G714">
        <f>IF(B714&lt;'user input'!$C$5,0,(F714+G713))</f>
        <v>1556.1111111111118</v>
      </c>
      <c r="H714">
        <f>G714/'user input'!$C$4</f>
        <v>1.2967592592592598</v>
      </c>
    </row>
    <row r="715" spans="1:8" x14ac:dyDescent="0.2">
      <c r="A715" s="1">
        <v>40891</v>
      </c>
      <c r="B715">
        <v>348</v>
      </c>
      <c r="C715" s="6">
        <f>IF('weather data'!C715&gt;'user input'!$C$3,'user input'!$C$3,'weather data'!C715)</f>
        <v>6.1111111111111116</v>
      </c>
      <c r="D715" s="6">
        <f>IF('weather data'!D715&lt;'user input'!$C$2,'user input'!$C$2,'weather data'!D715)</f>
        <v>10</v>
      </c>
      <c r="E715">
        <f t="shared" si="11"/>
        <v>8.0555555555555554</v>
      </c>
      <c r="F715">
        <f>IF((E715-'user input'!$C$2)&lt;0,0,E715-'user input'!$C$2)</f>
        <v>0</v>
      </c>
      <c r="G715">
        <f>IF(B715&lt;'user input'!$C$5,0,(F715+G714))</f>
        <v>1556.1111111111118</v>
      </c>
      <c r="H715">
        <f>G715/'user input'!$C$4</f>
        <v>1.2967592592592598</v>
      </c>
    </row>
    <row r="716" spans="1:8" x14ac:dyDescent="0.2">
      <c r="A716" s="1">
        <v>40892</v>
      </c>
      <c r="B716">
        <v>349</v>
      </c>
      <c r="C716" s="6">
        <f>IF('weather data'!C716&gt;'user input'!$C$3,'user input'!$C$3,'weather data'!C716)</f>
        <v>11.111111111111111</v>
      </c>
      <c r="D716" s="6">
        <f>IF('weather data'!D716&lt;'user input'!$C$2,'user input'!$C$2,'weather data'!D716)</f>
        <v>10</v>
      </c>
      <c r="E716">
        <f t="shared" si="11"/>
        <v>10.555555555555555</v>
      </c>
      <c r="F716">
        <f>IF((E716-'user input'!$C$2)&lt;0,0,E716-'user input'!$C$2)</f>
        <v>0.55555555555555536</v>
      </c>
      <c r="G716">
        <f>IF(B716&lt;'user input'!$C$5,0,(F716+G715))</f>
        <v>1556.6666666666674</v>
      </c>
      <c r="H716">
        <f>G716/'user input'!$C$4</f>
        <v>1.2972222222222229</v>
      </c>
    </row>
    <row r="717" spans="1:8" x14ac:dyDescent="0.2">
      <c r="A717" s="1">
        <v>40893</v>
      </c>
      <c r="B717">
        <v>350</v>
      </c>
      <c r="C717" s="6">
        <f>IF('weather data'!C717&gt;'user input'!$C$3,'user input'!$C$3,'weather data'!C717)</f>
        <v>4.4444444444444446</v>
      </c>
      <c r="D717" s="6">
        <f>IF('weather data'!D717&lt;'user input'!$C$2,'user input'!$C$2,'weather data'!D717)</f>
        <v>10</v>
      </c>
      <c r="E717">
        <f t="shared" si="11"/>
        <v>7.2222222222222223</v>
      </c>
      <c r="F717">
        <f>IF((E717-'user input'!$C$2)&lt;0,0,E717-'user input'!$C$2)</f>
        <v>0</v>
      </c>
      <c r="G717">
        <f>IF(B717&lt;'user input'!$C$5,0,(F717+G716))</f>
        <v>1556.6666666666674</v>
      </c>
      <c r="H717">
        <f>G717/'user input'!$C$4</f>
        <v>1.2972222222222229</v>
      </c>
    </row>
    <row r="718" spans="1:8" x14ac:dyDescent="0.2">
      <c r="A718" s="1">
        <v>40894</v>
      </c>
      <c r="B718">
        <v>351</v>
      </c>
      <c r="C718" s="6">
        <f>IF('weather data'!C718&gt;'user input'!$C$3,'user input'!$C$3,'weather data'!C718)</f>
        <v>-0.55555555555555558</v>
      </c>
      <c r="D718" s="6">
        <f>IF('weather data'!D718&lt;'user input'!$C$2,'user input'!$C$2,'weather data'!D718)</f>
        <v>10</v>
      </c>
      <c r="E718">
        <f t="shared" si="11"/>
        <v>4.7222222222222223</v>
      </c>
      <c r="F718">
        <f>IF((E718-'user input'!$C$2)&lt;0,0,E718-'user input'!$C$2)</f>
        <v>0</v>
      </c>
      <c r="G718">
        <f>IF(B718&lt;'user input'!$C$5,0,(F718+G717))</f>
        <v>1556.6666666666674</v>
      </c>
      <c r="H718">
        <f>G718/'user input'!$C$4</f>
        <v>1.2972222222222229</v>
      </c>
    </row>
    <row r="719" spans="1:8" x14ac:dyDescent="0.2">
      <c r="A719" s="1">
        <v>40895</v>
      </c>
      <c r="B719">
        <v>352</v>
      </c>
      <c r="C719" s="6">
        <f>IF('weather data'!C719&gt;'user input'!$C$3,'user input'!$C$3,'weather data'!C719)</f>
        <v>2.2222222222222223</v>
      </c>
      <c r="D719" s="6">
        <f>IF('weather data'!D719&lt;'user input'!$C$2,'user input'!$C$2,'weather data'!D719)</f>
        <v>10</v>
      </c>
      <c r="E719">
        <f t="shared" si="11"/>
        <v>6.1111111111111107</v>
      </c>
      <c r="F719">
        <f>IF((E719-'user input'!$C$2)&lt;0,0,E719-'user input'!$C$2)</f>
        <v>0</v>
      </c>
      <c r="G719">
        <f>IF(B719&lt;'user input'!$C$5,0,(F719+G718))</f>
        <v>1556.6666666666674</v>
      </c>
      <c r="H719">
        <f>G719/'user input'!$C$4</f>
        <v>1.2972222222222229</v>
      </c>
    </row>
    <row r="720" spans="1:8" x14ac:dyDescent="0.2">
      <c r="A720" s="1">
        <v>40896</v>
      </c>
      <c r="B720">
        <v>353</v>
      </c>
      <c r="C720" s="6">
        <f>IF('weather data'!C720&gt;'user input'!$C$3,'user input'!$C$3,'weather data'!C720)</f>
        <v>6.1111111111111116</v>
      </c>
      <c r="D720" s="6">
        <f>IF('weather data'!D720&lt;'user input'!$C$2,'user input'!$C$2,'weather data'!D720)</f>
        <v>10</v>
      </c>
      <c r="E720">
        <f t="shared" si="11"/>
        <v>8.0555555555555554</v>
      </c>
      <c r="F720">
        <f>IF((E720-'user input'!$C$2)&lt;0,0,E720-'user input'!$C$2)</f>
        <v>0</v>
      </c>
      <c r="G720">
        <f>IF(B720&lt;'user input'!$C$5,0,(F720+G719))</f>
        <v>1556.6666666666674</v>
      </c>
      <c r="H720">
        <f>G720/'user input'!$C$4</f>
        <v>1.2972222222222229</v>
      </c>
    </row>
    <row r="721" spans="1:8" x14ac:dyDescent="0.2">
      <c r="A721" s="1">
        <v>40897</v>
      </c>
      <c r="B721">
        <v>354</v>
      </c>
      <c r="C721" s="6">
        <f>IF('weather data'!C721&gt;'user input'!$C$3,'user input'!$C$3,'weather data'!C721)</f>
        <v>4.4444444444444446</v>
      </c>
      <c r="D721" s="6">
        <f>IF('weather data'!D721&lt;'user input'!$C$2,'user input'!$C$2,'weather data'!D721)</f>
        <v>10</v>
      </c>
      <c r="E721">
        <f t="shared" si="11"/>
        <v>7.2222222222222223</v>
      </c>
      <c r="F721">
        <f>IF((E721-'user input'!$C$2)&lt;0,0,E721-'user input'!$C$2)</f>
        <v>0</v>
      </c>
      <c r="G721">
        <f>IF(B721&lt;'user input'!$C$5,0,(F721+G720))</f>
        <v>1556.6666666666674</v>
      </c>
      <c r="H721">
        <f>G721/'user input'!$C$4</f>
        <v>1.2972222222222229</v>
      </c>
    </row>
    <row r="722" spans="1:8" x14ac:dyDescent="0.2">
      <c r="A722" s="1">
        <v>40898</v>
      </c>
      <c r="B722">
        <v>355</v>
      </c>
      <c r="C722" s="6">
        <f>IF('weather data'!C722&gt;'user input'!$C$3,'user input'!$C$3,'weather data'!C722)</f>
        <v>2.7777777777777777</v>
      </c>
      <c r="D722" s="6">
        <f>IF('weather data'!D722&lt;'user input'!$C$2,'user input'!$C$2,'weather data'!D722)</f>
        <v>10</v>
      </c>
      <c r="E722">
        <f t="shared" ref="E722:E785" si="12">(C722+D722)/2</f>
        <v>6.3888888888888893</v>
      </c>
      <c r="F722">
        <f>IF((E722-'user input'!$C$2)&lt;0,0,E722-'user input'!$C$2)</f>
        <v>0</v>
      </c>
      <c r="G722">
        <f>IF(B722&lt;'user input'!$C$5,0,(F722+G721))</f>
        <v>1556.6666666666674</v>
      </c>
      <c r="H722">
        <f>G722/'user input'!$C$4</f>
        <v>1.2972222222222229</v>
      </c>
    </row>
    <row r="723" spans="1:8" x14ac:dyDescent="0.2">
      <c r="A723" s="1">
        <v>40899</v>
      </c>
      <c r="B723">
        <v>356</v>
      </c>
      <c r="C723" s="6">
        <f>IF('weather data'!C723&gt;'user input'!$C$3,'user input'!$C$3,'weather data'!C723)</f>
        <v>4.4444444444444446</v>
      </c>
      <c r="D723" s="6">
        <f>IF('weather data'!D723&lt;'user input'!$C$2,'user input'!$C$2,'weather data'!D723)</f>
        <v>10</v>
      </c>
      <c r="E723">
        <f t="shared" si="12"/>
        <v>7.2222222222222223</v>
      </c>
      <c r="F723">
        <f>IF((E723-'user input'!$C$2)&lt;0,0,E723-'user input'!$C$2)</f>
        <v>0</v>
      </c>
      <c r="G723">
        <f>IF(B723&lt;'user input'!$C$5,0,(F723+G722))</f>
        <v>1556.6666666666674</v>
      </c>
      <c r="H723">
        <f>G723/'user input'!$C$4</f>
        <v>1.2972222222222229</v>
      </c>
    </row>
    <row r="724" spans="1:8" x14ac:dyDescent="0.2">
      <c r="A724" s="1">
        <v>40900</v>
      </c>
      <c r="B724">
        <v>357</v>
      </c>
      <c r="C724" s="6">
        <f>IF('weather data'!C724&gt;'user input'!$C$3,'user input'!$C$3,'weather data'!C724)</f>
        <v>0</v>
      </c>
      <c r="D724" s="6">
        <f>IF('weather data'!D724&lt;'user input'!$C$2,'user input'!$C$2,'weather data'!D724)</f>
        <v>10</v>
      </c>
      <c r="E724">
        <f t="shared" si="12"/>
        <v>5</v>
      </c>
      <c r="F724">
        <f>IF((E724-'user input'!$C$2)&lt;0,0,E724-'user input'!$C$2)</f>
        <v>0</v>
      </c>
      <c r="G724">
        <f>IF(B724&lt;'user input'!$C$5,0,(F724+G723))</f>
        <v>1556.6666666666674</v>
      </c>
      <c r="H724">
        <f>G724/'user input'!$C$4</f>
        <v>1.2972222222222229</v>
      </c>
    </row>
    <row r="725" spans="1:8" x14ac:dyDescent="0.2">
      <c r="A725" s="1">
        <v>40901</v>
      </c>
      <c r="B725">
        <v>358</v>
      </c>
      <c r="C725" s="6">
        <f>IF('weather data'!C725&gt;'user input'!$C$3,'user input'!$C$3,'weather data'!C725)</f>
        <v>-2.2222222222222223</v>
      </c>
      <c r="D725" s="6">
        <f>IF('weather data'!D725&lt;'user input'!$C$2,'user input'!$C$2,'weather data'!D725)</f>
        <v>10</v>
      </c>
      <c r="E725">
        <f t="shared" si="12"/>
        <v>3.8888888888888888</v>
      </c>
      <c r="F725">
        <f>IF((E725-'user input'!$C$2)&lt;0,0,E725-'user input'!$C$2)</f>
        <v>0</v>
      </c>
      <c r="G725">
        <f>IF(B725&lt;'user input'!$C$5,0,(F725+G724))</f>
        <v>1556.6666666666674</v>
      </c>
      <c r="H725">
        <f>G725/'user input'!$C$4</f>
        <v>1.2972222222222229</v>
      </c>
    </row>
    <row r="726" spans="1:8" x14ac:dyDescent="0.2">
      <c r="A726" s="1">
        <v>40902</v>
      </c>
      <c r="B726">
        <v>359</v>
      </c>
      <c r="C726" s="6">
        <f>IF('weather data'!C726&gt;'user input'!$C$3,'user input'!$C$3,'weather data'!C726)</f>
        <v>4.4444444444444446</v>
      </c>
      <c r="D726" s="6">
        <f>IF('weather data'!D726&lt;'user input'!$C$2,'user input'!$C$2,'weather data'!D726)</f>
        <v>10</v>
      </c>
      <c r="E726">
        <f t="shared" si="12"/>
        <v>7.2222222222222223</v>
      </c>
      <c r="F726">
        <f>IF((E726-'user input'!$C$2)&lt;0,0,E726-'user input'!$C$2)</f>
        <v>0</v>
      </c>
      <c r="G726">
        <f>IF(B726&lt;'user input'!$C$5,0,(F726+G725))</f>
        <v>1556.6666666666674</v>
      </c>
      <c r="H726">
        <f>G726/'user input'!$C$4</f>
        <v>1.2972222222222229</v>
      </c>
    </row>
    <row r="727" spans="1:8" x14ac:dyDescent="0.2">
      <c r="A727" s="1">
        <v>40903</v>
      </c>
      <c r="B727">
        <v>360</v>
      </c>
      <c r="C727" s="6">
        <f>IF('weather data'!C727&gt;'user input'!$C$3,'user input'!$C$3,'weather data'!C727)</f>
        <v>5</v>
      </c>
      <c r="D727" s="6">
        <f>IF('weather data'!D727&lt;'user input'!$C$2,'user input'!$C$2,'weather data'!D727)</f>
        <v>10</v>
      </c>
      <c r="E727">
        <f t="shared" si="12"/>
        <v>7.5</v>
      </c>
      <c r="F727">
        <f>IF((E727-'user input'!$C$2)&lt;0,0,E727-'user input'!$C$2)</f>
        <v>0</v>
      </c>
      <c r="G727">
        <f>IF(B727&lt;'user input'!$C$5,0,(F727+G726))</f>
        <v>1556.6666666666674</v>
      </c>
      <c r="H727">
        <f>G727/'user input'!$C$4</f>
        <v>1.2972222222222229</v>
      </c>
    </row>
    <row r="728" spans="1:8" x14ac:dyDescent="0.2">
      <c r="A728" s="1">
        <v>40904</v>
      </c>
      <c r="B728">
        <v>361</v>
      </c>
      <c r="C728" s="6">
        <f>IF('weather data'!C728&gt;'user input'!$C$3,'user input'!$C$3,'weather data'!C728)</f>
        <v>6.1111111111111116</v>
      </c>
      <c r="D728" s="6">
        <f>IF('weather data'!D728&lt;'user input'!$C$2,'user input'!$C$2,'weather data'!D728)</f>
        <v>10</v>
      </c>
      <c r="E728">
        <f t="shared" si="12"/>
        <v>8.0555555555555554</v>
      </c>
      <c r="F728">
        <f>IF((E728-'user input'!$C$2)&lt;0,0,E728-'user input'!$C$2)</f>
        <v>0</v>
      </c>
      <c r="G728">
        <f>IF(B728&lt;'user input'!$C$5,0,(F728+G727))</f>
        <v>1556.6666666666674</v>
      </c>
      <c r="H728">
        <f>G728/'user input'!$C$4</f>
        <v>1.2972222222222229</v>
      </c>
    </row>
    <row r="729" spans="1:8" x14ac:dyDescent="0.2">
      <c r="A729" s="1">
        <v>40905</v>
      </c>
      <c r="B729">
        <v>362</v>
      </c>
      <c r="C729" s="6">
        <f>IF('weather data'!C729&gt;'user input'!$C$3,'user input'!$C$3,'weather data'!C729)</f>
        <v>2.2222222222222223</v>
      </c>
      <c r="D729" s="6">
        <f>IF('weather data'!D729&lt;'user input'!$C$2,'user input'!$C$2,'weather data'!D729)</f>
        <v>10</v>
      </c>
      <c r="E729">
        <f t="shared" si="12"/>
        <v>6.1111111111111107</v>
      </c>
      <c r="F729">
        <f>IF((E729-'user input'!$C$2)&lt;0,0,E729-'user input'!$C$2)</f>
        <v>0</v>
      </c>
      <c r="G729">
        <f>IF(B729&lt;'user input'!$C$5,0,(F729+G728))</f>
        <v>1556.6666666666674</v>
      </c>
      <c r="H729">
        <f>G729/'user input'!$C$4</f>
        <v>1.2972222222222229</v>
      </c>
    </row>
    <row r="730" spans="1:8" x14ac:dyDescent="0.2">
      <c r="A730" s="1">
        <v>40906</v>
      </c>
      <c r="B730">
        <v>363</v>
      </c>
      <c r="C730" s="6">
        <f>IF('weather data'!C730&gt;'user input'!$C$3,'user input'!$C$3,'weather data'!C730)</f>
        <v>4.4444444444444446</v>
      </c>
      <c r="D730" s="6">
        <f>IF('weather data'!D730&lt;'user input'!$C$2,'user input'!$C$2,'weather data'!D730)</f>
        <v>10</v>
      </c>
      <c r="E730">
        <f t="shared" si="12"/>
        <v>7.2222222222222223</v>
      </c>
      <c r="F730">
        <f>IF((E730-'user input'!$C$2)&lt;0,0,E730-'user input'!$C$2)</f>
        <v>0</v>
      </c>
      <c r="G730">
        <f>IF(B730&lt;'user input'!$C$5,0,(F730+G729))</f>
        <v>1556.6666666666674</v>
      </c>
      <c r="H730">
        <f>G730/'user input'!$C$4</f>
        <v>1.2972222222222229</v>
      </c>
    </row>
    <row r="731" spans="1:8" x14ac:dyDescent="0.2">
      <c r="A731" s="1">
        <v>40907</v>
      </c>
      <c r="B731">
        <v>364</v>
      </c>
      <c r="C731" s="6">
        <f>IF('weather data'!C731&gt;'user input'!$C$3,'user input'!$C$3,'weather data'!C731)</f>
        <v>6.1111111111111116</v>
      </c>
      <c r="D731" s="6">
        <f>IF('weather data'!D731&lt;'user input'!$C$2,'user input'!$C$2,'weather data'!D731)</f>
        <v>10</v>
      </c>
      <c r="E731">
        <f t="shared" si="12"/>
        <v>8.0555555555555554</v>
      </c>
      <c r="F731">
        <f>IF((E731-'user input'!$C$2)&lt;0,0,E731-'user input'!$C$2)</f>
        <v>0</v>
      </c>
      <c r="G731">
        <f>IF(B731&lt;'user input'!$C$5,0,(F731+G730))</f>
        <v>1556.6666666666674</v>
      </c>
      <c r="H731">
        <f>G731/'user input'!$C$4</f>
        <v>1.2972222222222229</v>
      </c>
    </row>
    <row r="732" spans="1:8" x14ac:dyDescent="0.2">
      <c r="A732" s="1">
        <v>40908</v>
      </c>
      <c r="B732">
        <v>365</v>
      </c>
      <c r="C732" s="6">
        <f>IF('weather data'!C732&gt;'user input'!$C$3,'user input'!$C$3,'weather data'!C732)</f>
        <v>0.55555555555555558</v>
      </c>
      <c r="D732" s="6">
        <f>IF('weather data'!D732&lt;'user input'!$C$2,'user input'!$C$2,'weather data'!D732)</f>
        <v>10</v>
      </c>
      <c r="E732">
        <f t="shared" si="12"/>
        <v>5.2777777777777777</v>
      </c>
      <c r="F732">
        <f>IF((E732-'user input'!$C$2)&lt;0,0,E732-'user input'!$C$2)</f>
        <v>0</v>
      </c>
      <c r="G732">
        <f>IF(B732&lt;'user input'!$C$5,0,(F732+G731))</f>
        <v>1556.6666666666674</v>
      </c>
      <c r="H732">
        <f>G732/'user input'!$C$4</f>
        <v>1.2972222222222229</v>
      </c>
    </row>
    <row r="733" spans="1:8" x14ac:dyDescent="0.2">
      <c r="A733" s="1">
        <v>40909</v>
      </c>
      <c r="B733">
        <v>1</v>
      </c>
      <c r="C733" s="6">
        <f>IF('weather data'!C733&gt;'user input'!$C$3,'user input'!$C$3,'weather data'!C733)</f>
        <v>3.8888888888888888</v>
      </c>
      <c r="D733" s="6">
        <f>IF('weather data'!D733&lt;'user input'!$C$2,'user input'!$C$2,'weather data'!D733)</f>
        <v>10</v>
      </c>
      <c r="E733">
        <f t="shared" si="12"/>
        <v>6.9444444444444446</v>
      </c>
      <c r="F733">
        <f>IF((E733-'user input'!$C$2)&lt;0,0,E733-'user input'!$C$2)</f>
        <v>0</v>
      </c>
      <c r="G733">
        <f>IF(B733&lt;'user input'!$C$5,0,(F733+G732))</f>
        <v>0</v>
      </c>
      <c r="H733">
        <f>G733/'user input'!$C$4</f>
        <v>0</v>
      </c>
    </row>
    <row r="734" spans="1:8" x14ac:dyDescent="0.2">
      <c r="A734" s="1">
        <v>40910</v>
      </c>
      <c r="B734">
        <v>2</v>
      </c>
      <c r="C734" s="6">
        <f>IF('weather data'!C734&gt;'user input'!$C$3,'user input'!$C$3,'weather data'!C734)</f>
        <v>-1.6666666666666665</v>
      </c>
      <c r="D734" s="6">
        <f>IF('weather data'!D734&lt;'user input'!$C$2,'user input'!$C$2,'weather data'!D734)</f>
        <v>10</v>
      </c>
      <c r="E734">
        <f t="shared" si="12"/>
        <v>4.166666666666667</v>
      </c>
      <c r="F734">
        <f>IF((E734-'user input'!$C$2)&lt;0,0,E734-'user input'!$C$2)</f>
        <v>0</v>
      </c>
      <c r="G734">
        <f>IF(B734&lt;'user input'!$C$5,0,(F734+G733))</f>
        <v>0</v>
      </c>
      <c r="H734">
        <f>G734/'user input'!$C$4</f>
        <v>0</v>
      </c>
    </row>
    <row r="735" spans="1:8" x14ac:dyDescent="0.2">
      <c r="A735" s="1">
        <v>40911</v>
      </c>
      <c r="B735">
        <v>3</v>
      </c>
      <c r="C735" s="6">
        <f>IF('weather data'!C735&gt;'user input'!$C$3,'user input'!$C$3,'weather data'!C735)</f>
        <v>-6.6666666666666661</v>
      </c>
      <c r="D735" s="6">
        <f>IF('weather data'!D735&lt;'user input'!$C$2,'user input'!$C$2,'weather data'!D735)</f>
        <v>10</v>
      </c>
      <c r="E735">
        <f t="shared" si="12"/>
        <v>1.666666666666667</v>
      </c>
      <c r="F735">
        <f>IF((E735-'user input'!$C$2)&lt;0,0,E735-'user input'!$C$2)</f>
        <v>0</v>
      </c>
      <c r="G735">
        <f>IF(B735&lt;'user input'!$C$5,0,(F735+G734))</f>
        <v>0</v>
      </c>
      <c r="H735">
        <f>G735/'user input'!$C$4</f>
        <v>0</v>
      </c>
    </row>
    <row r="736" spans="1:8" x14ac:dyDescent="0.2">
      <c r="A736" s="1">
        <v>40912</v>
      </c>
      <c r="B736">
        <v>4</v>
      </c>
      <c r="C736" s="6">
        <f>IF('weather data'!C736&gt;'user input'!$C$3,'user input'!$C$3,'weather data'!C736)</f>
        <v>-2.7777777777777777</v>
      </c>
      <c r="D736" s="6">
        <f>IF('weather data'!D736&lt;'user input'!$C$2,'user input'!$C$2,'weather data'!D736)</f>
        <v>10</v>
      </c>
      <c r="E736">
        <f t="shared" si="12"/>
        <v>3.6111111111111112</v>
      </c>
      <c r="F736">
        <f>IF((E736-'user input'!$C$2)&lt;0,0,E736-'user input'!$C$2)</f>
        <v>0</v>
      </c>
      <c r="G736">
        <f>IF(B736&lt;'user input'!$C$5,0,(F736+G735))</f>
        <v>0</v>
      </c>
      <c r="H736">
        <f>G736/'user input'!$C$4</f>
        <v>0</v>
      </c>
    </row>
    <row r="737" spans="1:8" x14ac:dyDescent="0.2">
      <c r="A737" s="1">
        <v>40913</v>
      </c>
      <c r="B737">
        <v>5</v>
      </c>
      <c r="C737" s="6">
        <f>IF('weather data'!C737&gt;'user input'!$C$3,'user input'!$C$3,'weather data'!C737)</f>
        <v>1.6666666666666665</v>
      </c>
      <c r="D737" s="6">
        <f>IF('weather data'!D737&lt;'user input'!$C$2,'user input'!$C$2,'weather data'!D737)</f>
        <v>10</v>
      </c>
      <c r="E737">
        <f t="shared" si="12"/>
        <v>5.833333333333333</v>
      </c>
      <c r="F737">
        <f>IF((E737-'user input'!$C$2)&lt;0,0,E737-'user input'!$C$2)</f>
        <v>0</v>
      </c>
      <c r="G737">
        <f>IF(B737&lt;'user input'!$C$5,0,(F737+G736))</f>
        <v>0</v>
      </c>
      <c r="H737">
        <f>G737/'user input'!$C$4</f>
        <v>0</v>
      </c>
    </row>
    <row r="738" spans="1:8" x14ac:dyDescent="0.2">
      <c r="A738" s="1">
        <v>40914</v>
      </c>
      <c r="B738">
        <v>6</v>
      </c>
      <c r="C738" s="6">
        <f>IF('weather data'!C738&gt;'user input'!$C$3,'user input'!$C$3,'weather data'!C738)</f>
        <v>10.555555555555555</v>
      </c>
      <c r="D738" s="6">
        <f>IF('weather data'!D738&lt;'user input'!$C$2,'user input'!$C$2,'weather data'!D738)</f>
        <v>10</v>
      </c>
      <c r="E738">
        <f t="shared" si="12"/>
        <v>10.277777777777779</v>
      </c>
      <c r="F738">
        <f>IF((E738-'user input'!$C$2)&lt;0,0,E738-'user input'!$C$2)</f>
        <v>0.27777777777777857</v>
      </c>
      <c r="G738">
        <f>IF(B738&lt;'user input'!$C$5,0,(F738+G737))</f>
        <v>0</v>
      </c>
      <c r="H738">
        <f>G738/'user input'!$C$4</f>
        <v>0</v>
      </c>
    </row>
    <row r="739" spans="1:8" x14ac:dyDescent="0.2">
      <c r="A739" s="1">
        <v>40915</v>
      </c>
      <c r="B739">
        <v>7</v>
      </c>
      <c r="C739" s="6">
        <f>IF('weather data'!C739&gt;'user input'!$C$3,'user input'!$C$3,'weather data'!C739)</f>
        <v>7.7777777777777777</v>
      </c>
      <c r="D739" s="6">
        <f>IF('weather data'!D739&lt;'user input'!$C$2,'user input'!$C$2,'weather data'!D739)</f>
        <v>10</v>
      </c>
      <c r="E739">
        <f t="shared" si="12"/>
        <v>8.8888888888888893</v>
      </c>
      <c r="F739">
        <f>IF((E739-'user input'!$C$2)&lt;0,0,E739-'user input'!$C$2)</f>
        <v>0</v>
      </c>
      <c r="G739">
        <f>IF(B739&lt;'user input'!$C$5,0,(F739+G738))</f>
        <v>0</v>
      </c>
      <c r="H739">
        <f>G739/'user input'!$C$4</f>
        <v>0</v>
      </c>
    </row>
    <row r="740" spans="1:8" x14ac:dyDescent="0.2">
      <c r="A740" s="1">
        <v>40916</v>
      </c>
      <c r="B740">
        <v>8</v>
      </c>
      <c r="C740" s="6">
        <f>IF('weather data'!C740&gt;'user input'!$C$3,'user input'!$C$3,'weather data'!C740)</f>
        <v>5</v>
      </c>
      <c r="D740" s="6">
        <f>IF('weather data'!D740&lt;'user input'!$C$2,'user input'!$C$2,'weather data'!D740)</f>
        <v>10</v>
      </c>
      <c r="E740">
        <f t="shared" si="12"/>
        <v>7.5</v>
      </c>
      <c r="F740">
        <f>IF((E740-'user input'!$C$2)&lt;0,0,E740-'user input'!$C$2)</f>
        <v>0</v>
      </c>
      <c r="G740">
        <f>IF(B740&lt;'user input'!$C$5,0,(F740+G739))</f>
        <v>0</v>
      </c>
      <c r="H740">
        <f>G740/'user input'!$C$4</f>
        <v>0</v>
      </c>
    </row>
    <row r="741" spans="1:8" x14ac:dyDescent="0.2">
      <c r="A741" s="1">
        <v>40917</v>
      </c>
      <c r="B741">
        <v>9</v>
      </c>
      <c r="C741" s="6">
        <f>IF('weather data'!C741&gt;'user input'!$C$3,'user input'!$C$3,'weather data'!C741)</f>
        <v>5</v>
      </c>
      <c r="D741" s="6">
        <f>IF('weather data'!D741&lt;'user input'!$C$2,'user input'!$C$2,'weather data'!D741)</f>
        <v>10</v>
      </c>
      <c r="E741">
        <f t="shared" si="12"/>
        <v>7.5</v>
      </c>
      <c r="F741">
        <f>IF((E741-'user input'!$C$2)&lt;0,0,E741-'user input'!$C$2)</f>
        <v>0</v>
      </c>
      <c r="G741">
        <f>IF(B741&lt;'user input'!$C$5,0,(F741+G740))</f>
        <v>0</v>
      </c>
      <c r="H741">
        <f>G741/'user input'!$C$4</f>
        <v>0</v>
      </c>
    </row>
    <row r="742" spans="1:8" x14ac:dyDescent="0.2">
      <c r="A742" s="1">
        <v>40918</v>
      </c>
      <c r="B742">
        <v>10</v>
      </c>
      <c r="C742" s="6">
        <f>IF('weather data'!C742&gt;'user input'!$C$3,'user input'!$C$3,'weather data'!C742)</f>
        <v>7.7777777777777777</v>
      </c>
      <c r="D742" s="6">
        <f>IF('weather data'!D742&lt;'user input'!$C$2,'user input'!$C$2,'weather data'!D742)</f>
        <v>10</v>
      </c>
      <c r="E742">
        <f t="shared" si="12"/>
        <v>8.8888888888888893</v>
      </c>
      <c r="F742">
        <f>IF((E742-'user input'!$C$2)&lt;0,0,E742-'user input'!$C$2)</f>
        <v>0</v>
      </c>
      <c r="G742">
        <f>IF(B742&lt;'user input'!$C$5,0,(F742+G741))</f>
        <v>0</v>
      </c>
      <c r="H742">
        <f>G742/'user input'!$C$4</f>
        <v>0</v>
      </c>
    </row>
    <row r="743" spans="1:8" x14ac:dyDescent="0.2">
      <c r="A743" s="1">
        <v>40919</v>
      </c>
      <c r="B743">
        <v>11</v>
      </c>
      <c r="C743" s="6">
        <f>IF('weather data'!C743&gt;'user input'!$C$3,'user input'!$C$3,'weather data'!C743)</f>
        <v>10.555555555555555</v>
      </c>
      <c r="D743" s="6">
        <f>IF('weather data'!D743&lt;'user input'!$C$2,'user input'!$C$2,'weather data'!D743)</f>
        <v>10</v>
      </c>
      <c r="E743">
        <f t="shared" si="12"/>
        <v>10.277777777777779</v>
      </c>
      <c r="F743">
        <f>IF((E743-'user input'!$C$2)&lt;0,0,E743-'user input'!$C$2)</f>
        <v>0.27777777777777857</v>
      </c>
      <c r="G743">
        <f>IF(B743&lt;'user input'!$C$5,0,(F743+G742))</f>
        <v>0</v>
      </c>
      <c r="H743">
        <f>G743/'user input'!$C$4</f>
        <v>0</v>
      </c>
    </row>
    <row r="744" spans="1:8" x14ac:dyDescent="0.2">
      <c r="A744" s="1">
        <v>40920</v>
      </c>
      <c r="B744">
        <v>12</v>
      </c>
      <c r="C744" s="6">
        <f>IF('weather data'!C744&gt;'user input'!$C$3,'user input'!$C$3,'weather data'!C744)</f>
        <v>11.666666666666668</v>
      </c>
      <c r="D744" s="6">
        <f>IF('weather data'!D744&lt;'user input'!$C$2,'user input'!$C$2,'weather data'!D744)</f>
        <v>10</v>
      </c>
      <c r="E744">
        <f t="shared" si="12"/>
        <v>10.833333333333334</v>
      </c>
      <c r="F744">
        <f>IF((E744-'user input'!$C$2)&lt;0,0,E744-'user input'!$C$2)</f>
        <v>0.83333333333333393</v>
      </c>
      <c r="G744">
        <f>IF(B744&lt;'user input'!$C$5,0,(F744+G743))</f>
        <v>0</v>
      </c>
      <c r="H744">
        <f>G744/'user input'!$C$4</f>
        <v>0</v>
      </c>
    </row>
    <row r="745" spans="1:8" x14ac:dyDescent="0.2">
      <c r="A745" s="1">
        <v>40921</v>
      </c>
      <c r="B745">
        <v>13</v>
      </c>
      <c r="C745" s="6">
        <f>IF('weather data'!C745&gt;'user input'!$C$3,'user input'!$C$3,'weather data'!C745)</f>
        <v>-5</v>
      </c>
      <c r="D745" s="6">
        <f>IF('weather data'!D745&lt;'user input'!$C$2,'user input'!$C$2,'weather data'!D745)</f>
        <v>10</v>
      </c>
      <c r="E745">
        <f t="shared" si="12"/>
        <v>2.5</v>
      </c>
      <c r="F745">
        <f>IF((E745-'user input'!$C$2)&lt;0,0,E745-'user input'!$C$2)</f>
        <v>0</v>
      </c>
      <c r="G745">
        <f>IF(B745&lt;'user input'!$C$5,0,(F745+G744))</f>
        <v>0</v>
      </c>
      <c r="H745">
        <f>G745/'user input'!$C$4</f>
        <v>0</v>
      </c>
    </row>
    <row r="746" spans="1:8" x14ac:dyDescent="0.2">
      <c r="A746" s="1">
        <v>40922</v>
      </c>
      <c r="B746">
        <v>14</v>
      </c>
      <c r="C746" s="6">
        <f>IF('weather data'!C746&gt;'user input'!$C$3,'user input'!$C$3,'weather data'!C746)</f>
        <v>-7.2222222222222223</v>
      </c>
      <c r="D746" s="6">
        <f>IF('weather data'!D746&lt;'user input'!$C$2,'user input'!$C$2,'weather data'!D746)</f>
        <v>10</v>
      </c>
      <c r="E746">
        <f t="shared" si="12"/>
        <v>1.3888888888888888</v>
      </c>
      <c r="F746">
        <f>IF((E746-'user input'!$C$2)&lt;0,0,E746-'user input'!$C$2)</f>
        <v>0</v>
      </c>
      <c r="G746">
        <f>IF(B746&lt;'user input'!$C$5,0,(F746+G745))</f>
        <v>0</v>
      </c>
      <c r="H746">
        <f>G746/'user input'!$C$4</f>
        <v>0</v>
      </c>
    </row>
    <row r="747" spans="1:8" x14ac:dyDescent="0.2">
      <c r="A747" s="1">
        <v>40923</v>
      </c>
      <c r="B747">
        <v>15</v>
      </c>
      <c r="C747" s="6">
        <f>IF('weather data'!C747&gt;'user input'!$C$3,'user input'!$C$3,'weather data'!C747)</f>
        <v>-5.5555555555555554</v>
      </c>
      <c r="D747" s="6">
        <f>IF('weather data'!D747&lt;'user input'!$C$2,'user input'!$C$2,'weather data'!D747)</f>
        <v>10</v>
      </c>
      <c r="E747">
        <f t="shared" si="12"/>
        <v>2.2222222222222223</v>
      </c>
      <c r="F747">
        <f>IF((E747-'user input'!$C$2)&lt;0,0,E747-'user input'!$C$2)</f>
        <v>0</v>
      </c>
      <c r="G747">
        <f>IF(B747&lt;'user input'!$C$5,0,(F747+G746))</f>
        <v>0</v>
      </c>
      <c r="H747">
        <f>G747/'user input'!$C$4</f>
        <v>0</v>
      </c>
    </row>
    <row r="748" spans="1:8" x14ac:dyDescent="0.2">
      <c r="A748" s="1">
        <v>40924</v>
      </c>
      <c r="B748">
        <v>16</v>
      </c>
      <c r="C748" s="6">
        <f>IF('weather data'!C748&gt;'user input'!$C$3,'user input'!$C$3,'weather data'!C748)</f>
        <v>0.55555555555555558</v>
      </c>
      <c r="D748" s="6">
        <f>IF('weather data'!D748&lt;'user input'!$C$2,'user input'!$C$2,'weather data'!D748)</f>
        <v>10</v>
      </c>
      <c r="E748">
        <f t="shared" si="12"/>
        <v>5.2777777777777777</v>
      </c>
      <c r="F748">
        <f>IF((E748-'user input'!$C$2)&lt;0,0,E748-'user input'!$C$2)</f>
        <v>0</v>
      </c>
      <c r="G748">
        <f>IF(B748&lt;'user input'!$C$5,0,(F748+G747))</f>
        <v>0</v>
      </c>
      <c r="H748">
        <f>G748/'user input'!$C$4</f>
        <v>0</v>
      </c>
    </row>
    <row r="749" spans="1:8" x14ac:dyDescent="0.2">
      <c r="A749" s="1">
        <v>40925</v>
      </c>
      <c r="B749">
        <v>17</v>
      </c>
      <c r="C749" s="6">
        <f>IF('weather data'!C749&gt;'user input'!$C$3,'user input'!$C$3,'weather data'!C749)</f>
        <v>6.1111111111111116</v>
      </c>
      <c r="D749" s="6">
        <f>IF('weather data'!D749&lt;'user input'!$C$2,'user input'!$C$2,'weather data'!D749)</f>
        <v>10</v>
      </c>
      <c r="E749">
        <f t="shared" si="12"/>
        <v>8.0555555555555554</v>
      </c>
      <c r="F749">
        <f>IF((E749-'user input'!$C$2)&lt;0,0,E749-'user input'!$C$2)</f>
        <v>0</v>
      </c>
      <c r="G749">
        <f>IF(B749&lt;'user input'!$C$5,0,(F749+G748))</f>
        <v>0</v>
      </c>
      <c r="H749">
        <f>G749/'user input'!$C$4</f>
        <v>0</v>
      </c>
    </row>
    <row r="750" spans="1:8" x14ac:dyDescent="0.2">
      <c r="A750" s="1">
        <v>40926</v>
      </c>
      <c r="B750">
        <v>18</v>
      </c>
      <c r="C750" s="6">
        <f>IF('weather data'!C750&gt;'user input'!$C$3,'user input'!$C$3,'weather data'!C750)</f>
        <v>-2.2222222222222223</v>
      </c>
      <c r="D750" s="6">
        <f>IF('weather data'!D750&lt;'user input'!$C$2,'user input'!$C$2,'weather data'!D750)</f>
        <v>10</v>
      </c>
      <c r="E750">
        <f t="shared" si="12"/>
        <v>3.8888888888888888</v>
      </c>
      <c r="F750">
        <f>IF((E750-'user input'!$C$2)&lt;0,0,E750-'user input'!$C$2)</f>
        <v>0</v>
      </c>
      <c r="G750">
        <f>IF(B750&lt;'user input'!$C$5,0,(F750+G749))</f>
        <v>0</v>
      </c>
      <c r="H750">
        <f>G750/'user input'!$C$4</f>
        <v>0</v>
      </c>
    </row>
    <row r="751" spans="1:8" x14ac:dyDescent="0.2">
      <c r="A751" s="1">
        <v>40927</v>
      </c>
      <c r="B751">
        <v>19</v>
      </c>
      <c r="C751" s="6">
        <f>IF('weather data'!C751&gt;'user input'!$C$3,'user input'!$C$3,'weather data'!C751)</f>
        <v>-5</v>
      </c>
      <c r="D751" s="6">
        <f>IF('weather data'!D751&lt;'user input'!$C$2,'user input'!$C$2,'weather data'!D751)</f>
        <v>10</v>
      </c>
      <c r="E751">
        <f t="shared" si="12"/>
        <v>2.5</v>
      </c>
      <c r="F751">
        <f>IF((E751-'user input'!$C$2)&lt;0,0,E751-'user input'!$C$2)</f>
        <v>0</v>
      </c>
      <c r="G751">
        <f>IF(B751&lt;'user input'!$C$5,0,(F751+G750))</f>
        <v>0</v>
      </c>
      <c r="H751">
        <f>G751/'user input'!$C$4</f>
        <v>0</v>
      </c>
    </row>
    <row r="752" spans="1:8" x14ac:dyDescent="0.2">
      <c r="A752" s="1">
        <v>40928</v>
      </c>
      <c r="B752">
        <v>20</v>
      </c>
      <c r="C752" s="6">
        <f>IF('weather data'!C752&gt;'user input'!$C$3,'user input'!$C$3,'weather data'!C752)</f>
        <v>-15.555555555555555</v>
      </c>
      <c r="D752" s="6">
        <f>IF('weather data'!D752&lt;'user input'!$C$2,'user input'!$C$2,'weather data'!D752)</f>
        <v>10</v>
      </c>
      <c r="E752">
        <f t="shared" si="12"/>
        <v>-2.7777777777777777</v>
      </c>
      <c r="F752">
        <f>IF((E752-'user input'!$C$2)&lt;0,0,E752-'user input'!$C$2)</f>
        <v>0</v>
      </c>
      <c r="G752">
        <f>IF(B752&lt;'user input'!$C$5,0,(F752+G751))</f>
        <v>0</v>
      </c>
      <c r="H752">
        <f>G752/'user input'!$C$4</f>
        <v>0</v>
      </c>
    </row>
    <row r="753" spans="1:8" x14ac:dyDescent="0.2">
      <c r="A753" s="1">
        <v>40929</v>
      </c>
      <c r="B753">
        <v>21</v>
      </c>
      <c r="C753" s="6">
        <f>IF('weather data'!C753&gt;'user input'!$C$3,'user input'!$C$3,'weather data'!C753)</f>
        <v>-15</v>
      </c>
      <c r="D753" s="6">
        <f>IF('weather data'!D753&lt;'user input'!$C$2,'user input'!$C$2,'weather data'!D753)</f>
        <v>10</v>
      </c>
      <c r="E753">
        <f t="shared" si="12"/>
        <v>-2.5</v>
      </c>
      <c r="F753">
        <f>IF((E753-'user input'!$C$2)&lt;0,0,E753-'user input'!$C$2)</f>
        <v>0</v>
      </c>
      <c r="G753">
        <f>IF(B753&lt;'user input'!$C$5,0,(F753+G752))</f>
        <v>0</v>
      </c>
      <c r="H753">
        <f>G753/'user input'!$C$4</f>
        <v>0</v>
      </c>
    </row>
    <row r="754" spans="1:8" x14ac:dyDescent="0.2">
      <c r="A754" s="1">
        <v>40930</v>
      </c>
      <c r="B754">
        <v>22</v>
      </c>
      <c r="C754" s="6">
        <f>IF('weather data'!C754&gt;'user input'!$C$3,'user input'!$C$3,'weather data'!C754)</f>
        <v>-4.4444444444444446</v>
      </c>
      <c r="D754" s="6">
        <f>IF('weather data'!D754&lt;'user input'!$C$2,'user input'!$C$2,'weather data'!D754)</f>
        <v>10</v>
      </c>
      <c r="E754">
        <f t="shared" si="12"/>
        <v>2.7777777777777777</v>
      </c>
      <c r="F754">
        <f>IF((E754-'user input'!$C$2)&lt;0,0,E754-'user input'!$C$2)</f>
        <v>0</v>
      </c>
      <c r="G754">
        <f>IF(B754&lt;'user input'!$C$5,0,(F754+G753))</f>
        <v>0</v>
      </c>
      <c r="H754">
        <f>G754/'user input'!$C$4</f>
        <v>0</v>
      </c>
    </row>
    <row r="755" spans="1:8" x14ac:dyDescent="0.2">
      <c r="A755" s="1">
        <v>40931</v>
      </c>
      <c r="B755">
        <v>23</v>
      </c>
      <c r="C755" s="6">
        <f>IF('weather data'!C755&gt;'user input'!$C$3,'user input'!$C$3,'weather data'!C755)</f>
        <v>0.55555555555555558</v>
      </c>
      <c r="D755" s="6">
        <f>IF('weather data'!D755&lt;'user input'!$C$2,'user input'!$C$2,'weather data'!D755)</f>
        <v>10</v>
      </c>
      <c r="E755">
        <f t="shared" si="12"/>
        <v>5.2777777777777777</v>
      </c>
      <c r="F755">
        <f>IF((E755-'user input'!$C$2)&lt;0,0,E755-'user input'!$C$2)</f>
        <v>0</v>
      </c>
      <c r="G755">
        <f>IF(B755&lt;'user input'!$C$5,0,(F755+G754))</f>
        <v>0</v>
      </c>
      <c r="H755">
        <f>G755/'user input'!$C$4</f>
        <v>0</v>
      </c>
    </row>
    <row r="756" spans="1:8" x14ac:dyDescent="0.2">
      <c r="A756" s="1">
        <v>40932</v>
      </c>
      <c r="B756">
        <v>24</v>
      </c>
      <c r="C756" s="6">
        <f>IF('weather data'!C756&gt;'user input'!$C$3,'user input'!$C$3,'weather data'!C756)</f>
        <v>0</v>
      </c>
      <c r="D756" s="6">
        <f>IF('weather data'!D756&lt;'user input'!$C$2,'user input'!$C$2,'weather data'!D756)</f>
        <v>10</v>
      </c>
      <c r="E756">
        <f t="shared" si="12"/>
        <v>5</v>
      </c>
      <c r="F756">
        <f>IF((E756-'user input'!$C$2)&lt;0,0,E756-'user input'!$C$2)</f>
        <v>0</v>
      </c>
      <c r="G756">
        <f>IF(B756&lt;'user input'!$C$5,0,(F756+G755))</f>
        <v>0</v>
      </c>
      <c r="H756">
        <f>G756/'user input'!$C$4</f>
        <v>0</v>
      </c>
    </row>
    <row r="757" spans="1:8" x14ac:dyDescent="0.2">
      <c r="A757" s="1">
        <v>40933</v>
      </c>
      <c r="B757">
        <v>25</v>
      </c>
      <c r="C757" s="6">
        <f>IF('weather data'!C757&gt;'user input'!$C$3,'user input'!$C$3,'weather data'!C757)</f>
        <v>-1.1111111111111112</v>
      </c>
      <c r="D757" s="6">
        <f>IF('weather data'!D757&lt;'user input'!$C$2,'user input'!$C$2,'weather data'!D757)</f>
        <v>10</v>
      </c>
      <c r="E757">
        <f t="shared" si="12"/>
        <v>4.4444444444444446</v>
      </c>
      <c r="F757">
        <f>IF((E757-'user input'!$C$2)&lt;0,0,E757-'user input'!$C$2)</f>
        <v>0</v>
      </c>
      <c r="G757">
        <f>IF(B757&lt;'user input'!$C$5,0,(F757+G756))</f>
        <v>0</v>
      </c>
      <c r="H757">
        <f>G757/'user input'!$C$4</f>
        <v>0</v>
      </c>
    </row>
    <row r="758" spans="1:8" x14ac:dyDescent="0.2">
      <c r="A758" s="1">
        <v>40934</v>
      </c>
      <c r="B758">
        <v>26</v>
      </c>
      <c r="C758" s="6">
        <f>IF('weather data'!C758&gt;'user input'!$C$3,'user input'!$C$3,'weather data'!C758)</f>
        <v>0.55555555555555558</v>
      </c>
      <c r="D758" s="6">
        <f>IF('weather data'!D758&lt;'user input'!$C$2,'user input'!$C$2,'weather data'!D758)</f>
        <v>10</v>
      </c>
      <c r="E758">
        <f t="shared" si="12"/>
        <v>5.2777777777777777</v>
      </c>
      <c r="F758">
        <f>IF((E758-'user input'!$C$2)&lt;0,0,E758-'user input'!$C$2)</f>
        <v>0</v>
      </c>
      <c r="G758">
        <f>IF(B758&lt;'user input'!$C$5,0,(F758+G757))</f>
        <v>0</v>
      </c>
      <c r="H758">
        <f>G758/'user input'!$C$4</f>
        <v>0</v>
      </c>
    </row>
    <row r="759" spans="1:8" x14ac:dyDescent="0.2">
      <c r="A759" s="1">
        <v>40935</v>
      </c>
      <c r="B759">
        <v>27</v>
      </c>
      <c r="C759" s="6">
        <f>IF('weather data'!C759&gt;'user input'!$C$3,'user input'!$C$3,'weather data'!C759)</f>
        <v>1.1111111111111112</v>
      </c>
      <c r="D759" s="6">
        <f>IF('weather data'!D759&lt;'user input'!$C$2,'user input'!$C$2,'weather data'!D759)</f>
        <v>10</v>
      </c>
      <c r="E759">
        <f t="shared" si="12"/>
        <v>5.5555555555555554</v>
      </c>
      <c r="F759">
        <f>IF((E759-'user input'!$C$2)&lt;0,0,E759-'user input'!$C$2)</f>
        <v>0</v>
      </c>
      <c r="G759">
        <f>IF(B759&lt;'user input'!$C$5,0,(F759+G758))</f>
        <v>0</v>
      </c>
      <c r="H759">
        <f>G759/'user input'!$C$4</f>
        <v>0</v>
      </c>
    </row>
    <row r="760" spans="1:8" x14ac:dyDescent="0.2">
      <c r="A760" s="1">
        <v>40936</v>
      </c>
      <c r="B760">
        <v>28</v>
      </c>
      <c r="C760" s="6">
        <f>IF('weather data'!C760&gt;'user input'!$C$3,'user input'!$C$3,'weather data'!C760)</f>
        <v>3.333333333333333</v>
      </c>
      <c r="D760" s="6">
        <f>IF('weather data'!D760&lt;'user input'!$C$2,'user input'!$C$2,'weather data'!D760)</f>
        <v>10</v>
      </c>
      <c r="E760">
        <f t="shared" si="12"/>
        <v>6.6666666666666661</v>
      </c>
      <c r="F760">
        <f>IF((E760-'user input'!$C$2)&lt;0,0,E760-'user input'!$C$2)</f>
        <v>0</v>
      </c>
      <c r="G760">
        <f>IF(B760&lt;'user input'!$C$5,0,(F760+G759))</f>
        <v>0</v>
      </c>
      <c r="H760">
        <f>G760/'user input'!$C$4</f>
        <v>0</v>
      </c>
    </row>
    <row r="761" spans="1:8" x14ac:dyDescent="0.2">
      <c r="A761" s="1">
        <v>40937</v>
      </c>
      <c r="B761">
        <v>29</v>
      </c>
      <c r="C761" s="6">
        <f>IF('weather data'!C761&gt;'user input'!$C$3,'user input'!$C$3,'weather data'!C761)</f>
        <v>-5</v>
      </c>
      <c r="D761" s="6">
        <f>IF('weather data'!D761&lt;'user input'!$C$2,'user input'!$C$2,'weather data'!D761)</f>
        <v>10</v>
      </c>
      <c r="E761">
        <f t="shared" si="12"/>
        <v>2.5</v>
      </c>
      <c r="F761">
        <f>IF((E761-'user input'!$C$2)&lt;0,0,E761-'user input'!$C$2)</f>
        <v>0</v>
      </c>
      <c r="G761">
        <f>IF(B761&lt;'user input'!$C$5,0,(F761+G760))</f>
        <v>0</v>
      </c>
      <c r="H761">
        <f>G761/'user input'!$C$4</f>
        <v>0</v>
      </c>
    </row>
    <row r="762" spans="1:8" x14ac:dyDescent="0.2">
      <c r="A762" s="1">
        <v>40938</v>
      </c>
      <c r="B762">
        <v>30</v>
      </c>
      <c r="C762" s="6">
        <f>IF('weather data'!C762&gt;'user input'!$C$3,'user input'!$C$3,'weather data'!C762)</f>
        <v>-2.2222222222222223</v>
      </c>
      <c r="D762" s="6">
        <f>IF('weather data'!D762&lt;'user input'!$C$2,'user input'!$C$2,'weather data'!D762)</f>
        <v>10</v>
      </c>
      <c r="E762">
        <f t="shared" si="12"/>
        <v>3.8888888888888888</v>
      </c>
      <c r="F762">
        <f>IF((E762-'user input'!$C$2)&lt;0,0,E762-'user input'!$C$2)</f>
        <v>0</v>
      </c>
      <c r="G762">
        <f>IF(B762&lt;'user input'!$C$5,0,(F762+G761))</f>
        <v>0</v>
      </c>
      <c r="H762">
        <f>G762/'user input'!$C$4</f>
        <v>0</v>
      </c>
    </row>
    <row r="763" spans="1:8" x14ac:dyDescent="0.2">
      <c r="A763" s="1">
        <v>40939</v>
      </c>
      <c r="B763">
        <v>31</v>
      </c>
      <c r="C763" s="6">
        <f>IF('weather data'!C763&gt;'user input'!$C$3,'user input'!$C$3,'weather data'!C763)</f>
        <v>6.1111111111111116</v>
      </c>
      <c r="D763" s="6">
        <f>IF('weather data'!D763&lt;'user input'!$C$2,'user input'!$C$2,'weather data'!D763)</f>
        <v>10</v>
      </c>
      <c r="E763">
        <f t="shared" si="12"/>
        <v>8.0555555555555554</v>
      </c>
      <c r="F763">
        <f>IF((E763-'user input'!$C$2)&lt;0,0,E763-'user input'!$C$2)</f>
        <v>0</v>
      </c>
      <c r="G763">
        <f>IF(B763&lt;'user input'!$C$5,0,(F763+G762))</f>
        <v>0</v>
      </c>
      <c r="H763">
        <f>G763/'user input'!$C$4</f>
        <v>0</v>
      </c>
    </row>
    <row r="764" spans="1:8" x14ac:dyDescent="0.2">
      <c r="A764" s="1">
        <v>40940</v>
      </c>
      <c r="B764">
        <v>32</v>
      </c>
      <c r="C764" s="6">
        <f>IF('weather data'!C764&gt;'user input'!$C$3,'user input'!$C$3,'weather data'!C764)</f>
        <v>8.3333333333333339</v>
      </c>
      <c r="D764" s="6">
        <f>IF('weather data'!D764&lt;'user input'!$C$2,'user input'!$C$2,'weather data'!D764)</f>
        <v>10</v>
      </c>
      <c r="E764">
        <f t="shared" si="12"/>
        <v>9.1666666666666679</v>
      </c>
      <c r="F764">
        <f>IF((E764-'user input'!$C$2)&lt;0,0,E764-'user input'!$C$2)</f>
        <v>0</v>
      </c>
      <c r="G764">
        <f>IF(B764&lt;'user input'!$C$5,0,(F764+G763))</f>
        <v>0</v>
      </c>
      <c r="H764">
        <f>G764/'user input'!$C$4</f>
        <v>0</v>
      </c>
    </row>
    <row r="765" spans="1:8" x14ac:dyDescent="0.2">
      <c r="A765" s="1">
        <v>40941</v>
      </c>
      <c r="B765">
        <v>33</v>
      </c>
      <c r="C765" s="6">
        <f>IF('weather data'!C765&gt;'user input'!$C$3,'user input'!$C$3,'weather data'!C765)</f>
        <v>3.8888888888888888</v>
      </c>
      <c r="D765" s="6">
        <f>IF('weather data'!D765&lt;'user input'!$C$2,'user input'!$C$2,'weather data'!D765)</f>
        <v>10</v>
      </c>
      <c r="E765">
        <f t="shared" si="12"/>
        <v>6.9444444444444446</v>
      </c>
      <c r="F765">
        <f>IF((E765-'user input'!$C$2)&lt;0,0,E765-'user input'!$C$2)</f>
        <v>0</v>
      </c>
      <c r="G765">
        <f>IF(B765&lt;'user input'!$C$5,0,(F765+G764))</f>
        <v>0</v>
      </c>
      <c r="H765">
        <f>G765/'user input'!$C$4</f>
        <v>0</v>
      </c>
    </row>
    <row r="766" spans="1:8" x14ac:dyDescent="0.2">
      <c r="A766" s="1">
        <v>40942</v>
      </c>
      <c r="B766">
        <v>34</v>
      </c>
      <c r="C766" s="6">
        <f>IF('weather data'!C766&gt;'user input'!$C$3,'user input'!$C$3,'weather data'!C766)</f>
        <v>0.55555555555555558</v>
      </c>
      <c r="D766" s="6">
        <f>IF('weather data'!D766&lt;'user input'!$C$2,'user input'!$C$2,'weather data'!D766)</f>
        <v>10</v>
      </c>
      <c r="E766">
        <f t="shared" si="12"/>
        <v>5.2777777777777777</v>
      </c>
      <c r="F766">
        <f>IF((E766-'user input'!$C$2)&lt;0,0,E766-'user input'!$C$2)</f>
        <v>0</v>
      </c>
      <c r="G766">
        <f>IF(B766&lt;'user input'!$C$5,0,(F766+G765))</f>
        <v>0</v>
      </c>
      <c r="H766">
        <f>G766/'user input'!$C$4</f>
        <v>0</v>
      </c>
    </row>
    <row r="767" spans="1:8" x14ac:dyDescent="0.2">
      <c r="A767" s="1">
        <v>40943</v>
      </c>
      <c r="B767">
        <v>35</v>
      </c>
      <c r="C767" s="6">
        <f>IF('weather data'!C767&gt;'user input'!$C$3,'user input'!$C$3,'weather data'!C767)</f>
        <v>2.2222222222222223</v>
      </c>
      <c r="D767" s="6">
        <f>IF('weather data'!D767&lt;'user input'!$C$2,'user input'!$C$2,'weather data'!D767)</f>
        <v>10</v>
      </c>
      <c r="E767">
        <f t="shared" si="12"/>
        <v>6.1111111111111107</v>
      </c>
      <c r="F767">
        <f>IF((E767-'user input'!$C$2)&lt;0,0,E767-'user input'!$C$2)</f>
        <v>0</v>
      </c>
      <c r="G767">
        <f>IF(B767&lt;'user input'!$C$5,0,(F767+G766))</f>
        <v>0</v>
      </c>
      <c r="H767">
        <f>G767/'user input'!$C$4</f>
        <v>0</v>
      </c>
    </row>
    <row r="768" spans="1:8" x14ac:dyDescent="0.2">
      <c r="A768" s="1">
        <v>40944</v>
      </c>
      <c r="B768">
        <v>36</v>
      </c>
      <c r="C768" s="6">
        <f>IF('weather data'!C768&gt;'user input'!$C$3,'user input'!$C$3,'weather data'!C768)</f>
        <v>5.5555555555555554</v>
      </c>
      <c r="D768" s="6">
        <f>IF('weather data'!D768&lt;'user input'!$C$2,'user input'!$C$2,'weather data'!D768)</f>
        <v>10</v>
      </c>
      <c r="E768">
        <f t="shared" si="12"/>
        <v>7.7777777777777777</v>
      </c>
      <c r="F768">
        <f>IF((E768-'user input'!$C$2)&lt;0,0,E768-'user input'!$C$2)</f>
        <v>0</v>
      </c>
      <c r="G768">
        <f>IF(B768&lt;'user input'!$C$5,0,(F768+G767))</f>
        <v>0</v>
      </c>
      <c r="H768">
        <f>G768/'user input'!$C$4</f>
        <v>0</v>
      </c>
    </row>
    <row r="769" spans="1:8" x14ac:dyDescent="0.2">
      <c r="A769" s="1">
        <v>40945</v>
      </c>
      <c r="B769">
        <v>37</v>
      </c>
      <c r="C769" s="6">
        <f>IF('weather data'!C769&gt;'user input'!$C$3,'user input'!$C$3,'weather data'!C769)</f>
        <v>2.7777777777777777</v>
      </c>
      <c r="D769" s="6">
        <f>IF('weather data'!D769&lt;'user input'!$C$2,'user input'!$C$2,'weather data'!D769)</f>
        <v>10</v>
      </c>
      <c r="E769">
        <f t="shared" si="12"/>
        <v>6.3888888888888893</v>
      </c>
      <c r="F769">
        <f>IF((E769-'user input'!$C$2)&lt;0,0,E769-'user input'!$C$2)</f>
        <v>0</v>
      </c>
      <c r="G769">
        <f>IF(B769&lt;'user input'!$C$5,0,(F769+G768))</f>
        <v>0</v>
      </c>
      <c r="H769">
        <f>G769/'user input'!$C$4</f>
        <v>0</v>
      </c>
    </row>
    <row r="770" spans="1:8" x14ac:dyDescent="0.2">
      <c r="A770" s="1">
        <v>40946</v>
      </c>
      <c r="B770">
        <v>38</v>
      </c>
      <c r="C770" s="6">
        <f>IF('weather data'!C770&gt;'user input'!$C$3,'user input'!$C$3,'weather data'!C770)</f>
        <v>2.2222222222222223</v>
      </c>
      <c r="D770" s="6">
        <f>IF('weather data'!D770&lt;'user input'!$C$2,'user input'!$C$2,'weather data'!D770)</f>
        <v>10</v>
      </c>
      <c r="E770">
        <f t="shared" si="12"/>
        <v>6.1111111111111107</v>
      </c>
      <c r="F770">
        <f>IF((E770-'user input'!$C$2)&lt;0,0,E770-'user input'!$C$2)</f>
        <v>0</v>
      </c>
      <c r="G770">
        <f>IF(B770&lt;'user input'!$C$5,0,(F770+G769))</f>
        <v>0</v>
      </c>
      <c r="H770">
        <f>G770/'user input'!$C$4</f>
        <v>0</v>
      </c>
    </row>
    <row r="771" spans="1:8" x14ac:dyDescent="0.2">
      <c r="A771" s="1">
        <v>40947</v>
      </c>
      <c r="B771">
        <v>39</v>
      </c>
      <c r="C771" s="6">
        <f>IF('weather data'!C771&gt;'user input'!$C$3,'user input'!$C$3,'weather data'!C771)</f>
        <v>0</v>
      </c>
      <c r="D771" s="6">
        <f>IF('weather data'!D771&lt;'user input'!$C$2,'user input'!$C$2,'weather data'!D771)</f>
        <v>10</v>
      </c>
      <c r="E771">
        <f t="shared" si="12"/>
        <v>5</v>
      </c>
      <c r="F771">
        <f>IF((E771-'user input'!$C$2)&lt;0,0,E771-'user input'!$C$2)</f>
        <v>0</v>
      </c>
      <c r="G771">
        <f>IF(B771&lt;'user input'!$C$5,0,(F771+G770))</f>
        <v>0</v>
      </c>
      <c r="H771">
        <f>G771/'user input'!$C$4</f>
        <v>0</v>
      </c>
    </row>
    <row r="772" spans="1:8" x14ac:dyDescent="0.2">
      <c r="A772" s="1">
        <v>40948</v>
      </c>
      <c r="B772">
        <v>40</v>
      </c>
      <c r="C772" s="6">
        <f>IF('weather data'!C772&gt;'user input'!$C$3,'user input'!$C$3,'weather data'!C772)</f>
        <v>0.55555555555555558</v>
      </c>
      <c r="D772" s="6">
        <f>IF('weather data'!D772&lt;'user input'!$C$2,'user input'!$C$2,'weather data'!D772)</f>
        <v>10</v>
      </c>
      <c r="E772">
        <f t="shared" si="12"/>
        <v>5.2777777777777777</v>
      </c>
      <c r="F772">
        <f>IF((E772-'user input'!$C$2)&lt;0,0,E772-'user input'!$C$2)</f>
        <v>0</v>
      </c>
      <c r="G772">
        <f>IF(B772&lt;'user input'!$C$5,0,(F772+G771))</f>
        <v>0</v>
      </c>
      <c r="H772">
        <f>G772/'user input'!$C$4</f>
        <v>0</v>
      </c>
    </row>
    <row r="773" spans="1:8" x14ac:dyDescent="0.2">
      <c r="A773" s="1">
        <v>40949</v>
      </c>
      <c r="B773">
        <v>41</v>
      </c>
      <c r="C773" s="6">
        <f>IF('weather data'!C773&gt;'user input'!$C$3,'user input'!$C$3,'weather data'!C773)</f>
        <v>1.1111111111111112</v>
      </c>
      <c r="D773" s="6">
        <f>IF('weather data'!D773&lt;'user input'!$C$2,'user input'!$C$2,'weather data'!D773)</f>
        <v>10</v>
      </c>
      <c r="E773">
        <f t="shared" si="12"/>
        <v>5.5555555555555554</v>
      </c>
      <c r="F773">
        <f>IF((E773-'user input'!$C$2)&lt;0,0,E773-'user input'!$C$2)</f>
        <v>0</v>
      </c>
      <c r="G773">
        <f>IF(B773&lt;'user input'!$C$5,0,(F773+G772))</f>
        <v>0</v>
      </c>
      <c r="H773">
        <f>G773/'user input'!$C$4</f>
        <v>0</v>
      </c>
    </row>
    <row r="774" spans="1:8" x14ac:dyDescent="0.2">
      <c r="A774" s="1">
        <v>40950</v>
      </c>
      <c r="B774">
        <v>42</v>
      </c>
      <c r="C774" s="6">
        <f>IF('weather data'!C774&gt;'user input'!$C$3,'user input'!$C$3,'weather data'!C774)</f>
        <v>-0.55555555555555558</v>
      </c>
      <c r="D774" s="6">
        <f>IF('weather data'!D774&lt;'user input'!$C$2,'user input'!$C$2,'weather data'!D774)</f>
        <v>10</v>
      </c>
      <c r="E774">
        <f t="shared" si="12"/>
        <v>4.7222222222222223</v>
      </c>
      <c r="F774">
        <f>IF((E774-'user input'!$C$2)&lt;0,0,E774-'user input'!$C$2)</f>
        <v>0</v>
      </c>
      <c r="G774">
        <f>IF(B774&lt;'user input'!$C$5,0,(F774+G773))</f>
        <v>0</v>
      </c>
      <c r="H774">
        <f>G774/'user input'!$C$4</f>
        <v>0</v>
      </c>
    </row>
    <row r="775" spans="1:8" x14ac:dyDescent="0.2">
      <c r="A775" s="1">
        <v>40951</v>
      </c>
      <c r="B775">
        <v>43</v>
      </c>
      <c r="C775" s="6">
        <f>IF('weather data'!C775&gt;'user input'!$C$3,'user input'!$C$3,'weather data'!C775)</f>
        <v>-2.7777777777777777</v>
      </c>
      <c r="D775" s="6">
        <f>IF('weather data'!D775&lt;'user input'!$C$2,'user input'!$C$2,'weather data'!D775)</f>
        <v>10</v>
      </c>
      <c r="E775">
        <f t="shared" si="12"/>
        <v>3.6111111111111112</v>
      </c>
      <c r="F775">
        <f>IF((E775-'user input'!$C$2)&lt;0,0,E775-'user input'!$C$2)</f>
        <v>0</v>
      </c>
      <c r="G775">
        <f>IF(B775&lt;'user input'!$C$5,0,(F775+G774))</f>
        <v>0</v>
      </c>
      <c r="H775">
        <f>G775/'user input'!$C$4</f>
        <v>0</v>
      </c>
    </row>
    <row r="776" spans="1:8" x14ac:dyDescent="0.2">
      <c r="A776" s="1">
        <v>40952</v>
      </c>
      <c r="B776">
        <v>44</v>
      </c>
      <c r="C776" s="6">
        <f>IF('weather data'!C776&gt;'user input'!$C$3,'user input'!$C$3,'weather data'!C776)</f>
        <v>0</v>
      </c>
      <c r="D776" s="6">
        <f>IF('weather data'!D776&lt;'user input'!$C$2,'user input'!$C$2,'weather data'!D776)</f>
        <v>10</v>
      </c>
      <c r="E776">
        <f t="shared" si="12"/>
        <v>5</v>
      </c>
      <c r="F776">
        <f>IF((E776-'user input'!$C$2)&lt;0,0,E776-'user input'!$C$2)</f>
        <v>0</v>
      </c>
      <c r="G776">
        <f>IF(B776&lt;'user input'!$C$5,0,(F776+G775))</f>
        <v>0</v>
      </c>
      <c r="H776">
        <f>G776/'user input'!$C$4</f>
        <v>0</v>
      </c>
    </row>
    <row r="777" spans="1:8" x14ac:dyDescent="0.2">
      <c r="A777" s="1">
        <v>40953</v>
      </c>
      <c r="B777">
        <v>45</v>
      </c>
      <c r="C777" s="6">
        <f>IF('weather data'!C777&gt;'user input'!$C$3,'user input'!$C$3,'weather data'!C777)</f>
        <v>-0.55555555555555558</v>
      </c>
      <c r="D777" s="6">
        <f>IF('weather data'!D777&lt;'user input'!$C$2,'user input'!$C$2,'weather data'!D777)</f>
        <v>10</v>
      </c>
      <c r="E777">
        <f t="shared" si="12"/>
        <v>4.7222222222222223</v>
      </c>
      <c r="F777">
        <f>IF((E777-'user input'!$C$2)&lt;0,0,E777-'user input'!$C$2)</f>
        <v>0</v>
      </c>
      <c r="G777">
        <f>IF(B777&lt;'user input'!$C$5,0,(F777+G776))</f>
        <v>0</v>
      </c>
      <c r="H777">
        <f>G777/'user input'!$C$4</f>
        <v>0</v>
      </c>
    </row>
    <row r="778" spans="1:8" x14ac:dyDescent="0.2">
      <c r="A778" s="1">
        <v>40954</v>
      </c>
      <c r="B778">
        <v>46</v>
      </c>
      <c r="C778" s="6">
        <f>IF('weather data'!C778&gt;'user input'!$C$3,'user input'!$C$3,'weather data'!C778)</f>
        <v>0.55555555555555558</v>
      </c>
      <c r="D778" s="6">
        <f>IF('weather data'!D778&lt;'user input'!$C$2,'user input'!$C$2,'weather data'!D778)</f>
        <v>10</v>
      </c>
      <c r="E778">
        <f t="shared" si="12"/>
        <v>5.2777777777777777</v>
      </c>
      <c r="F778">
        <f>IF((E778-'user input'!$C$2)&lt;0,0,E778-'user input'!$C$2)</f>
        <v>0</v>
      </c>
      <c r="G778">
        <f>IF(B778&lt;'user input'!$C$5,0,(F778+G777))</f>
        <v>0</v>
      </c>
      <c r="H778">
        <f>G778/'user input'!$C$4</f>
        <v>0</v>
      </c>
    </row>
    <row r="779" spans="1:8" x14ac:dyDescent="0.2">
      <c r="A779" s="1">
        <v>40955</v>
      </c>
      <c r="B779">
        <v>47</v>
      </c>
      <c r="C779" s="6">
        <f>IF('weather data'!C779&gt;'user input'!$C$3,'user input'!$C$3,'weather data'!C779)</f>
        <v>8.3333333333333339</v>
      </c>
      <c r="D779" s="6">
        <f>IF('weather data'!D779&lt;'user input'!$C$2,'user input'!$C$2,'weather data'!D779)</f>
        <v>10</v>
      </c>
      <c r="E779">
        <f t="shared" si="12"/>
        <v>9.1666666666666679</v>
      </c>
      <c r="F779">
        <f>IF((E779-'user input'!$C$2)&lt;0,0,E779-'user input'!$C$2)</f>
        <v>0</v>
      </c>
      <c r="G779">
        <f>IF(B779&lt;'user input'!$C$5,0,(F779+G778))</f>
        <v>0</v>
      </c>
      <c r="H779">
        <f>G779/'user input'!$C$4</f>
        <v>0</v>
      </c>
    </row>
    <row r="780" spans="1:8" x14ac:dyDescent="0.2">
      <c r="A780" s="1">
        <v>40956</v>
      </c>
      <c r="B780">
        <v>48</v>
      </c>
      <c r="C780" s="6">
        <f>IF('weather data'!C780&gt;'user input'!$C$3,'user input'!$C$3,'weather data'!C780)</f>
        <v>7.2222222222222223</v>
      </c>
      <c r="D780" s="6">
        <f>IF('weather data'!D780&lt;'user input'!$C$2,'user input'!$C$2,'weather data'!D780)</f>
        <v>10</v>
      </c>
      <c r="E780">
        <f t="shared" si="12"/>
        <v>8.6111111111111107</v>
      </c>
      <c r="F780">
        <f>IF((E780-'user input'!$C$2)&lt;0,0,E780-'user input'!$C$2)</f>
        <v>0</v>
      </c>
      <c r="G780">
        <f>IF(B780&lt;'user input'!$C$5,0,(F780+G779))</f>
        <v>0</v>
      </c>
      <c r="H780">
        <f>G780/'user input'!$C$4</f>
        <v>0</v>
      </c>
    </row>
    <row r="781" spans="1:8" x14ac:dyDescent="0.2">
      <c r="A781" s="1">
        <v>40957</v>
      </c>
      <c r="B781">
        <v>49</v>
      </c>
      <c r="C781" s="6">
        <f>IF('weather data'!C781&gt;'user input'!$C$3,'user input'!$C$3,'weather data'!C781)</f>
        <v>6.1111111111111116</v>
      </c>
      <c r="D781" s="6">
        <f>IF('weather data'!D781&lt;'user input'!$C$2,'user input'!$C$2,'weather data'!D781)</f>
        <v>10</v>
      </c>
      <c r="E781">
        <f t="shared" si="12"/>
        <v>8.0555555555555554</v>
      </c>
      <c r="F781">
        <f>IF((E781-'user input'!$C$2)&lt;0,0,E781-'user input'!$C$2)</f>
        <v>0</v>
      </c>
      <c r="G781">
        <f>IF(B781&lt;'user input'!$C$5,0,(F781+G780))</f>
        <v>0</v>
      </c>
      <c r="H781">
        <f>G781/'user input'!$C$4</f>
        <v>0</v>
      </c>
    </row>
    <row r="782" spans="1:8" x14ac:dyDescent="0.2">
      <c r="A782" s="1">
        <v>40958</v>
      </c>
      <c r="B782">
        <v>50</v>
      </c>
      <c r="C782" s="6">
        <f>IF('weather data'!C782&gt;'user input'!$C$3,'user input'!$C$3,'weather data'!C782)</f>
        <v>2.7777777777777777</v>
      </c>
      <c r="D782" s="6">
        <f>IF('weather data'!D782&lt;'user input'!$C$2,'user input'!$C$2,'weather data'!D782)</f>
        <v>10</v>
      </c>
      <c r="E782">
        <f t="shared" si="12"/>
        <v>6.3888888888888893</v>
      </c>
      <c r="F782">
        <f>IF((E782-'user input'!$C$2)&lt;0,0,E782-'user input'!$C$2)</f>
        <v>0</v>
      </c>
      <c r="G782">
        <f>IF(B782&lt;'user input'!$C$5,0,(F782+G781))</f>
        <v>0</v>
      </c>
      <c r="H782">
        <f>G782/'user input'!$C$4</f>
        <v>0</v>
      </c>
    </row>
    <row r="783" spans="1:8" x14ac:dyDescent="0.2">
      <c r="A783" s="1">
        <v>40959</v>
      </c>
      <c r="B783">
        <v>51</v>
      </c>
      <c r="C783" s="6">
        <f>IF('weather data'!C783&gt;'user input'!$C$3,'user input'!$C$3,'weather data'!C783)</f>
        <v>5</v>
      </c>
      <c r="D783" s="6">
        <f>IF('weather data'!D783&lt;'user input'!$C$2,'user input'!$C$2,'weather data'!D783)</f>
        <v>10</v>
      </c>
      <c r="E783">
        <f t="shared" si="12"/>
        <v>7.5</v>
      </c>
      <c r="F783">
        <f>IF((E783-'user input'!$C$2)&lt;0,0,E783-'user input'!$C$2)</f>
        <v>0</v>
      </c>
      <c r="G783">
        <f>IF(B783&lt;'user input'!$C$5,0,(F783+G782))</f>
        <v>0</v>
      </c>
      <c r="H783">
        <f>G783/'user input'!$C$4</f>
        <v>0</v>
      </c>
    </row>
    <row r="784" spans="1:8" x14ac:dyDescent="0.2">
      <c r="A784" s="1">
        <v>40960</v>
      </c>
      <c r="B784">
        <v>52</v>
      </c>
      <c r="C784" s="6">
        <f>IF('weather data'!C784&gt;'user input'!$C$3,'user input'!$C$3,'weather data'!C784)</f>
        <v>5.5555555555555554</v>
      </c>
      <c r="D784" s="6">
        <f>IF('weather data'!D784&lt;'user input'!$C$2,'user input'!$C$2,'weather data'!D784)</f>
        <v>10</v>
      </c>
      <c r="E784">
        <f t="shared" si="12"/>
        <v>7.7777777777777777</v>
      </c>
      <c r="F784">
        <f>IF((E784-'user input'!$C$2)&lt;0,0,E784-'user input'!$C$2)</f>
        <v>0</v>
      </c>
      <c r="G784">
        <f>IF(B784&lt;'user input'!$C$5,0,(F784+G783))</f>
        <v>0</v>
      </c>
      <c r="H784">
        <f>G784/'user input'!$C$4</f>
        <v>0</v>
      </c>
    </row>
    <row r="785" spans="1:8" x14ac:dyDescent="0.2">
      <c r="A785" s="1">
        <v>40961</v>
      </c>
      <c r="B785">
        <v>53</v>
      </c>
      <c r="C785" s="6">
        <f>IF('weather data'!C785&gt;'user input'!$C$3,'user input'!$C$3,'weather data'!C785)</f>
        <v>6.6666666666666661</v>
      </c>
      <c r="D785" s="6">
        <f>IF('weather data'!D785&lt;'user input'!$C$2,'user input'!$C$2,'weather data'!D785)</f>
        <v>10</v>
      </c>
      <c r="E785">
        <f t="shared" si="12"/>
        <v>8.3333333333333321</v>
      </c>
      <c r="F785">
        <f>IF((E785-'user input'!$C$2)&lt;0,0,E785-'user input'!$C$2)</f>
        <v>0</v>
      </c>
      <c r="G785">
        <f>IF(B785&lt;'user input'!$C$5,0,(F785+G784))</f>
        <v>0</v>
      </c>
      <c r="H785">
        <f>G785/'user input'!$C$4</f>
        <v>0</v>
      </c>
    </row>
    <row r="786" spans="1:8" x14ac:dyDescent="0.2">
      <c r="A786" s="1">
        <v>40962</v>
      </c>
      <c r="B786">
        <v>54</v>
      </c>
      <c r="C786" s="6">
        <f>IF('weather data'!C786&gt;'user input'!$C$3,'user input'!$C$3,'weather data'!C786)</f>
        <v>3.8888888888888888</v>
      </c>
      <c r="D786" s="6">
        <f>IF('weather data'!D786&lt;'user input'!$C$2,'user input'!$C$2,'weather data'!D786)</f>
        <v>10</v>
      </c>
      <c r="E786">
        <f t="shared" ref="E786:E849" si="13">(C786+D786)/2</f>
        <v>6.9444444444444446</v>
      </c>
      <c r="F786">
        <f>IF((E786-'user input'!$C$2)&lt;0,0,E786-'user input'!$C$2)</f>
        <v>0</v>
      </c>
      <c r="G786">
        <f>IF(B786&lt;'user input'!$C$5,0,(F786+G785))</f>
        <v>0</v>
      </c>
      <c r="H786">
        <f>G786/'user input'!$C$4</f>
        <v>0</v>
      </c>
    </row>
    <row r="787" spans="1:8" x14ac:dyDescent="0.2">
      <c r="A787" s="1">
        <v>40963</v>
      </c>
      <c r="B787">
        <v>55</v>
      </c>
      <c r="C787" s="6">
        <f>IF('weather data'!C787&gt;'user input'!$C$3,'user input'!$C$3,'weather data'!C787)</f>
        <v>5</v>
      </c>
      <c r="D787" s="6">
        <f>IF('weather data'!D787&lt;'user input'!$C$2,'user input'!$C$2,'weather data'!D787)</f>
        <v>10</v>
      </c>
      <c r="E787">
        <f t="shared" si="13"/>
        <v>7.5</v>
      </c>
      <c r="F787">
        <f>IF((E787-'user input'!$C$2)&lt;0,0,E787-'user input'!$C$2)</f>
        <v>0</v>
      </c>
      <c r="G787">
        <f>IF(B787&lt;'user input'!$C$5,0,(F787+G786))</f>
        <v>0</v>
      </c>
      <c r="H787">
        <f>G787/'user input'!$C$4</f>
        <v>0</v>
      </c>
    </row>
    <row r="788" spans="1:8" x14ac:dyDescent="0.2">
      <c r="A788" s="1">
        <v>40964</v>
      </c>
      <c r="B788">
        <v>56</v>
      </c>
      <c r="C788" s="6">
        <f>IF('weather data'!C788&gt;'user input'!$C$3,'user input'!$C$3,'weather data'!C788)</f>
        <v>0.55555555555555558</v>
      </c>
      <c r="D788" s="6">
        <f>IF('weather data'!D788&lt;'user input'!$C$2,'user input'!$C$2,'weather data'!D788)</f>
        <v>10</v>
      </c>
      <c r="E788">
        <f t="shared" si="13"/>
        <v>5.2777777777777777</v>
      </c>
      <c r="F788">
        <f>IF((E788-'user input'!$C$2)&lt;0,0,E788-'user input'!$C$2)</f>
        <v>0</v>
      </c>
      <c r="G788">
        <f>IF(B788&lt;'user input'!$C$5,0,(F788+G787))</f>
        <v>0</v>
      </c>
      <c r="H788">
        <f>G788/'user input'!$C$4</f>
        <v>0</v>
      </c>
    </row>
    <row r="789" spans="1:8" x14ac:dyDescent="0.2">
      <c r="A789" s="1">
        <v>40965</v>
      </c>
      <c r="B789">
        <v>57</v>
      </c>
      <c r="C789" s="6">
        <f>IF('weather data'!C789&gt;'user input'!$C$3,'user input'!$C$3,'weather data'!C789)</f>
        <v>3.8888888888888888</v>
      </c>
      <c r="D789" s="6">
        <f>IF('weather data'!D789&lt;'user input'!$C$2,'user input'!$C$2,'weather data'!D789)</f>
        <v>10</v>
      </c>
      <c r="E789">
        <f t="shared" si="13"/>
        <v>6.9444444444444446</v>
      </c>
      <c r="F789">
        <f>IF((E789-'user input'!$C$2)&lt;0,0,E789-'user input'!$C$2)</f>
        <v>0</v>
      </c>
      <c r="G789">
        <f>IF(B789&lt;'user input'!$C$5,0,(F789+G788))</f>
        <v>0</v>
      </c>
      <c r="H789">
        <f>G789/'user input'!$C$4</f>
        <v>0</v>
      </c>
    </row>
    <row r="790" spans="1:8" x14ac:dyDescent="0.2">
      <c r="A790" s="1">
        <v>40966</v>
      </c>
      <c r="B790">
        <v>58</v>
      </c>
      <c r="C790" s="6">
        <f>IF('weather data'!C790&gt;'user input'!$C$3,'user input'!$C$3,'weather data'!C790)</f>
        <v>7.7777777777777777</v>
      </c>
      <c r="D790" s="6">
        <f>IF('weather data'!D790&lt;'user input'!$C$2,'user input'!$C$2,'weather data'!D790)</f>
        <v>10</v>
      </c>
      <c r="E790">
        <f t="shared" si="13"/>
        <v>8.8888888888888893</v>
      </c>
      <c r="F790">
        <f>IF((E790-'user input'!$C$2)&lt;0,0,E790-'user input'!$C$2)</f>
        <v>0</v>
      </c>
      <c r="G790">
        <f>IF(B790&lt;'user input'!$C$5,0,(F790+G789))</f>
        <v>0</v>
      </c>
      <c r="H790">
        <f>G790/'user input'!$C$4</f>
        <v>0</v>
      </c>
    </row>
    <row r="791" spans="1:8" x14ac:dyDescent="0.2">
      <c r="A791" s="1">
        <v>40967</v>
      </c>
      <c r="B791">
        <v>59</v>
      </c>
      <c r="C791" s="6">
        <f>IF('weather data'!C791&gt;'user input'!$C$3,'user input'!$C$3,'weather data'!C791)</f>
        <v>2.2222222222222223</v>
      </c>
      <c r="D791" s="6">
        <f>IF('weather data'!D791&lt;'user input'!$C$2,'user input'!$C$2,'weather data'!D791)</f>
        <v>10</v>
      </c>
      <c r="E791">
        <f t="shared" si="13"/>
        <v>6.1111111111111107</v>
      </c>
      <c r="F791">
        <f>IF((E791-'user input'!$C$2)&lt;0,0,E791-'user input'!$C$2)</f>
        <v>0</v>
      </c>
      <c r="G791">
        <f>IF(B791&lt;'user input'!$C$5,0,(F791+G790))</f>
        <v>0</v>
      </c>
      <c r="H791">
        <f>G791/'user input'!$C$4</f>
        <v>0</v>
      </c>
    </row>
    <row r="792" spans="1:8" x14ac:dyDescent="0.2">
      <c r="A792" s="1">
        <v>40968</v>
      </c>
      <c r="B792">
        <v>60</v>
      </c>
      <c r="C792" s="6">
        <f>IF('weather data'!C792&gt;'user input'!$C$3,'user input'!$C$3,'weather data'!C792)</f>
        <v>3.8888888888888888</v>
      </c>
      <c r="D792" s="6">
        <f>IF('weather data'!D792&lt;'user input'!$C$2,'user input'!$C$2,'weather data'!D792)</f>
        <v>10</v>
      </c>
      <c r="E792">
        <f t="shared" si="13"/>
        <v>6.9444444444444446</v>
      </c>
      <c r="F792">
        <f>IF((E792-'user input'!$C$2)&lt;0,0,E792-'user input'!$C$2)</f>
        <v>0</v>
      </c>
      <c r="G792">
        <f>IF(B792&lt;'user input'!$C$5,0,(F792+G791))</f>
        <v>0</v>
      </c>
      <c r="H792">
        <f>G792/'user input'!$C$4</f>
        <v>0</v>
      </c>
    </row>
    <row r="793" spans="1:8" x14ac:dyDescent="0.2">
      <c r="A793" s="1">
        <v>40969</v>
      </c>
      <c r="B793">
        <v>61</v>
      </c>
      <c r="C793" s="6">
        <f>IF('weather data'!C793&gt;'user input'!$C$3,'user input'!$C$3,'weather data'!C793)</f>
        <v>7.7777777777777777</v>
      </c>
      <c r="D793" s="6">
        <f>IF('weather data'!D793&lt;'user input'!$C$2,'user input'!$C$2,'weather data'!D793)</f>
        <v>10</v>
      </c>
      <c r="E793">
        <f t="shared" si="13"/>
        <v>8.8888888888888893</v>
      </c>
      <c r="F793">
        <f>IF((E793-'user input'!$C$2)&lt;0,0,E793-'user input'!$C$2)</f>
        <v>0</v>
      </c>
      <c r="G793">
        <f>IF(B793&lt;'user input'!$C$5,0,(F793+G792))</f>
        <v>0</v>
      </c>
      <c r="H793">
        <f>G793/'user input'!$C$4</f>
        <v>0</v>
      </c>
    </row>
    <row r="794" spans="1:8" x14ac:dyDescent="0.2">
      <c r="A794" s="1">
        <v>40970</v>
      </c>
      <c r="B794">
        <v>62</v>
      </c>
      <c r="C794" s="6">
        <f>IF('weather data'!C794&gt;'user input'!$C$3,'user input'!$C$3,'weather data'!C794)</f>
        <v>2.7777777777777777</v>
      </c>
      <c r="D794" s="6">
        <f>IF('weather data'!D794&lt;'user input'!$C$2,'user input'!$C$2,'weather data'!D794)</f>
        <v>10</v>
      </c>
      <c r="E794">
        <f t="shared" si="13"/>
        <v>6.3888888888888893</v>
      </c>
      <c r="F794">
        <f>IF((E794-'user input'!$C$2)&lt;0,0,E794-'user input'!$C$2)</f>
        <v>0</v>
      </c>
      <c r="G794">
        <f>IF(B794&lt;'user input'!$C$5,0,(F794+G793))</f>
        <v>0</v>
      </c>
      <c r="H794">
        <f>G794/'user input'!$C$4</f>
        <v>0</v>
      </c>
    </row>
    <row r="795" spans="1:8" x14ac:dyDescent="0.2">
      <c r="A795" s="1">
        <v>40971</v>
      </c>
      <c r="B795">
        <v>63</v>
      </c>
      <c r="C795" s="6">
        <f>IF('weather data'!C795&gt;'user input'!$C$3,'user input'!$C$3,'weather data'!C795)</f>
        <v>1.1111111111111112</v>
      </c>
      <c r="D795" s="6">
        <f>IF('weather data'!D795&lt;'user input'!$C$2,'user input'!$C$2,'weather data'!D795)</f>
        <v>10</v>
      </c>
      <c r="E795">
        <f t="shared" si="13"/>
        <v>5.5555555555555554</v>
      </c>
      <c r="F795">
        <f>IF((E795-'user input'!$C$2)&lt;0,0,E795-'user input'!$C$2)</f>
        <v>0</v>
      </c>
      <c r="G795">
        <f>IF(B795&lt;'user input'!$C$5,0,(F795+G794))</f>
        <v>0</v>
      </c>
      <c r="H795">
        <f>G795/'user input'!$C$4</f>
        <v>0</v>
      </c>
    </row>
    <row r="796" spans="1:8" x14ac:dyDescent="0.2">
      <c r="A796" s="1">
        <v>40972</v>
      </c>
      <c r="B796">
        <v>64</v>
      </c>
      <c r="C796" s="6">
        <f>IF('weather data'!C796&gt;'user input'!$C$3,'user input'!$C$3,'weather data'!C796)</f>
        <v>-1.1111111111111112</v>
      </c>
      <c r="D796" s="6">
        <f>IF('weather data'!D796&lt;'user input'!$C$2,'user input'!$C$2,'weather data'!D796)</f>
        <v>10</v>
      </c>
      <c r="E796">
        <f t="shared" si="13"/>
        <v>4.4444444444444446</v>
      </c>
      <c r="F796">
        <f>IF((E796-'user input'!$C$2)&lt;0,0,E796-'user input'!$C$2)</f>
        <v>0</v>
      </c>
      <c r="G796">
        <f>IF(B796&lt;'user input'!$C$5,0,(F796+G795))</f>
        <v>0</v>
      </c>
      <c r="H796">
        <f>G796/'user input'!$C$4</f>
        <v>0</v>
      </c>
    </row>
    <row r="797" spans="1:8" x14ac:dyDescent="0.2">
      <c r="A797" s="1">
        <v>40973</v>
      </c>
      <c r="B797">
        <v>65</v>
      </c>
      <c r="C797" s="6">
        <f>IF('weather data'!C797&gt;'user input'!$C$3,'user input'!$C$3,'weather data'!C797)</f>
        <v>-2.2222222222222223</v>
      </c>
      <c r="D797" s="6">
        <f>IF('weather data'!D797&lt;'user input'!$C$2,'user input'!$C$2,'weather data'!D797)</f>
        <v>10</v>
      </c>
      <c r="E797">
        <f t="shared" si="13"/>
        <v>3.8888888888888888</v>
      </c>
      <c r="F797">
        <f>IF((E797-'user input'!$C$2)&lt;0,0,E797-'user input'!$C$2)</f>
        <v>0</v>
      </c>
      <c r="G797">
        <f>IF(B797&lt;'user input'!$C$5,0,(F797+G796))</f>
        <v>0</v>
      </c>
      <c r="H797">
        <f>G797/'user input'!$C$4</f>
        <v>0</v>
      </c>
    </row>
    <row r="798" spans="1:8" x14ac:dyDescent="0.2">
      <c r="A798" s="1">
        <v>40974</v>
      </c>
      <c r="B798">
        <v>66</v>
      </c>
      <c r="C798" s="6">
        <f>IF('weather data'!C798&gt;'user input'!$C$3,'user input'!$C$3,'weather data'!C798)</f>
        <v>1.1111111111111112</v>
      </c>
      <c r="D798" s="6">
        <f>IF('weather data'!D798&lt;'user input'!$C$2,'user input'!$C$2,'weather data'!D798)</f>
        <v>10</v>
      </c>
      <c r="E798">
        <f t="shared" si="13"/>
        <v>5.5555555555555554</v>
      </c>
      <c r="F798">
        <f>IF((E798-'user input'!$C$2)&lt;0,0,E798-'user input'!$C$2)</f>
        <v>0</v>
      </c>
      <c r="G798">
        <f>IF(B798&lt;'user input'!$C$5,0,(F798+G797))</f>
        <v>0</v>
      </c>
      <c r="H798">
        <f>G798/'user input'!$C$4</f>
        <v>0</v>
      </c>
    </row>
    <row r="799" spans="1:8" x14ac:dyDescent="0.2">
      <c r="A799" s="1">
        <v>40975</v>
      </c>
      <c r="B799">
        <v>67</v>
      </c>
      <c r="C799" s="6">
        <f>IF('weather data'!C799&gt;'user input'!$C$3,'user input'!$C$3,'weather data'!C799)</f>
        <v>18.333333333333332</v>
      </c>
      <c r="D799" s="6">
        <f>IF('weather data'!D799&lt;'user input'!$C$2,'user input'!$C$2,'weather data'!D799)</f>
        <v>10</v>
      </c>
      <c r="E799">
        <f t="shared" si="13"/>
        <v>14.166666666666666</v>
      </c>
      <c r="F799">
        <f>IF((E799-'user input'!$C$2)&lt;0,0,E799-'user input'!$C$2)</f>
        <v>4.1666666666666661</v>
      </c>
      <c r="G799">
        <f>IF(B799&lt;'user input'!$C$5,0,(F799+G798))</f>
        <v>0</v>
      </c>
      <c r="H799">
        <f>G799/'user input'!$C$4</f>
        <v>0</v>
      </c>
    </row>
    <row r="800" spans="1:8" x14ac:dyDescent="0.2">
      <c r="A800" s="1">
        <v>40976</v>
      </c>
      <c r="B800">
        <v>68</v>
      </c>
      <c r="C800" s="6">
        <f>IF('weather data'!C800&gt;'user input'!$C$3,'user input'!$C$3,'weather data'!C800)</f>
        <v>17.222222222222221</v>
      </c>
      <c r="D800" s="6">
        <f>IF('weather data'!D800&lt;'user input'!$C$2,'user input'!$C$2,'weather data'!D800)</f>
        <v>10</v>
      </c>
      <c r="E800">
        <f t="shared" si="13"/>
        <v>13.611111111111111</v>
      </c>
      <c r="F800">
        <f>IF((E800-'user input'!$C$2)&lt;0,0,E800-'user input'!$C$2)</f>
        <v>3.6111111111111107</v>
      </c>
      <c r="G800">
        <f>IF(B800&lt;'user input'!$C$5,0,(F800+G799))</f>
        <v>0</v>
      </c>
      <c r="H800">
        <f>G800/'user input'!$C$4</f>
        <v>0</v>
      </c>
    </row>
    <row r="801" spans="1:8" x14ac:dyDescent="0.2">
      <c r="A801" s="1">
        <v>40977</v>
      </c>
      <c r="B801">
        <v>69</v>
      </c>
      <c r="C801" s="6">
        <f>IF('weather data'!C801&gt;'user input'!$C$3,'user input'!$C$3,'weather data'!C801)</f>
        <v>5</v>
      </c>
      <c r="D801" s="6">
        <f>IF('weather data'!D801&lt;'user input'!$C$2,'user input'!$C$2,'weather data'!D801)</f>
        <v>10</v>
      </c>
      <c r="E801">
        <f t="shared" si="13"/>
        <v>7.5</v>
      </c>
      <c r="F801">
        <f>IF((E801-'user input'!$C$2)&lt;0,0,E801-'user input'!$C$2)</f>
        <v>0</v>
      </c>
      <c r="G801">
        <f>IF(B801&lt;'user input'!$C$5,0,(F801+G800))</f>
        <v>0</v>
      </c>
      <c r="H801">
        <f>G801/'user input'!$C$4</f>
        <v>0</v>
      </c>
    </row>
    <row r="802" spans="1:8" x14ac:dyDescent="0.2">
      <c r="A802" s="1">
        <v>40978</v>
      </c>
      <c r="B802">
        <v>70</v>
      </c>
      <c r="C802" s="6">
        <f>IF('weather data'!C802&gt;'user input'!$C$3,'user input'!$C$3,'weather data'!C802)</f>
        <v>10.555555555555555</v>
      </c>
      <c r="D802" s="6">
        <f>IF('weather data'!D802&lt;'user input'!$C$2,'user input'!$C$2,'weather data'!D802)</f>
        <v>10</v>
      </c>
      <c r="E802">
        <f t="shared" si="13"/>
        <v>10.277777777777779</v>
      </c>
      <c r="F802">
        <f>IF((E802-'user input'!$C$2)&lt;0,0,E802-'user input'!$C$2)</f>
        <v>0.27777777777777857</v>
      </c>
      <c r="G802">
        <f>IF(B802&lt;'user input'!$C$5,0,(F802+G801))</f>
        <v>0</v>
      </c>
      <c r="H802">
        <f>G802/'user input'!$C$4</f>
        <v>0</v>
      </c>
    </row>
    <row r="803" spans="1:8" x14ac:dyDescent="0.2">
      <c r="A803" s="1">
        <v>40979</v>
      </c>
      <c r="B803">
        <v>71</v>
      </c>
      <c r="C803" s="6">
        <f>IF('weather data'!C803&gt;'user input'!$C$3,'user input'!$C$3,'weather data'!C803)</f>
        <v>18.333333333333332</v>
      </c>
      <c r="D803" s="6">
        <f>IF('weather data'!D803&lt;'user input'!$C$2,'user input'!$C$2,'weather data'!D803)</f>
        <v>10</v>
      </c>
      <c r="E803">
        <f t="shared" si="13"/>
        <v>14.166666666666666</v>
      </c>
      <c r="F803">
        <f>IF((E803-'user input'!$C$2)&lt;0,0,E803-'user input'!$C$2)</f>
        <v>4.1666666666666661</v>
      </c>
      <c r="G803">
        <f>IF(B803&lt;'user input'!$C$5,0,(F803+G802))</f>
        <v>0</v>
      </c>
      <c r="H803">
        <f>G803/'user input'!$C$4</f>
        <v>0</v>
      </c>
    </row>
    <row r="804" spans="1:8" x14ac:dyDescent="0.2">
      <c r="A804" s="1">
        <v>40980</v>
      </c>
      <c r="B804">
        <v>72</v>
      </c>
      <c r="C804" s="6">
        <f>IF('weather data'!C804&gt;'user input'!$C$3,'user input'!$C$3,'weather data'!C804)</f>
        <v>19.444444444444443</v>
      </c>
      <c r="D804" s="6">
        <f>IF('weather data'!D804&lt;'user input'!$C$2,'user input'!$C$2,'weather data'!D804)</f>
        <v>10</v>
      </c>
      <c r="E804">
        <f t="shared" si="13"/>
        <v>14.722222222222221</v>
      </c>
      <c r="F804">
        <f>IF((E804-'user input'!$C$2)&lt;0,0,E804-'user input'!$C$2)</f>
        <v>4.7222222222222214</v>
      </c>
      <c r="G804">
        <f>IF(B804&lt;'user input'!$C$5,0,(F804+G803))</f>
        <v>0</v>
      </c>
      <c r="H804">
        <f>G804/'user input'!$C$4</f>
        <v>0</v>
      </c>
    </row>
    <row r="805" spans="1:8" x14ac:dyDescent="0.2">
      <c r="A805" s="1">
        <v>40981</v>
      </c>
      <c r="B805">
        <v>73</v>
      </c>
      <c r="C805" s="6">
        <f>IF('weather data'!C805&gt;'user input'!$C$3,'user input'!$C$3,'weather data'!C805)</f>
        <v>15.555555555555555</v>
      </c>
      <c r="D805" s="6">
        <f>IF('weather data'!D805&lt;'user input'!$C$2,'user input'!$C$2,'weather data'!D805)</f>
        <v>10</v>
      </c>
      <c r="E805">
        <f t="shared" si="13"/>
        <v>12.777777777777779</v>
      </c>
      <c r="F805">
        <f>IF((E805-'user input'!$C$2)&lt;0,0,E805-'user input'!$C$2)</f>
        <v>2.7777777777777786</v>
      </c>
      <c r="G805">
        <f>IF(B805&lt;'user input'!$C$5,0,(F805+G804))</f>
        <v>0</v>
      </c>
      <c r="H805">
        <f>G805/'user input'!$C$4</f>
        <v>0</v>
      </c>
    </row>
    <row r="806" spans="1:8" x14ac:dyDescent="0.2">
      <c r="A806" s="1">
        <v>40982</v>
      </c>
      <c r="B806">
        <v>74</v>
      </c>
      <c r="C806" s="6">
        <f>IF('weather data'!C806&gt;'user input'!$C$3,'user input'!$C$3,'weather data'!C806)</f>
        <v>20</v>
      </c>
      <c r="D806" s="6">
        <f>IF('weather data'!D806&lt;'user input'!$C$2,'user input'!$C$2,'weather data'!D806)</f>
        <v>10</v>
      </c>
      <c r="E806">
        <f t="shared" si="13"/>
        <v>15</v>
      </c>
      <c r="F806">
        <f>IF((E806-'user input'!$C$2)&lt;0,0,E806-'user input'!$C$2)</f>
        <v>5</v>
      </c>
      <c r="G806">
        <f>IF(B806&lt;'user input'!$C$5,0,(F806+G805))</f>
        <v>0</v>
      </c>
      <c r="H806">
        <f>G806/'user input'!$C$4</f>
        <v>0</v>
      </c>
    </row>
    <row r="807" spans="1:8" x14ac:dyDescent="0.2">
      <c r="A807" s="1">
        <v>40983</v>
      </c>
      <c r="B807">
        <v>75</v>
      </c>
      <c r="C807" s="6">
        <f>IF('weather data'!C807&gt;'user input'!$C$3,'user input'!$C$3,'weather data'!C807)</f>
        <v>25</v>
      </c>
      <c r="D807" s="6">
        <f>IF('weather data'!D807&lt;'user input'!$C$2,'user input'!$C$2,'weather data'!D807)</f>
        <v>10</v>
      </c>
      <c r="E807">
        <f t="shared" si="13"/>
        <v>17.5</v>
      </c>
      <c r="F807">
        <f>IF((E807-'user input'!$C$2)&lt;0,0,E807-'user input'!$C$2)</f>
        <v>7.5</v>
      </c>
      <c r="G807">
        <f>IF(B807&lt;'user input'!$C$5,0,(F807+G806))</f>
        <v>0</v>
      </c>
      <c r="H807">
        <f>G807/'user input'!$C$4</f>
        <v>0</v>
      </c>
    </row>
    <row r="808" spans="1:8" x14ac:dyDescent="0.2">
      <c r="A808" s="1">
        <v>40984</v>
      </c>
      <c r="B808">
        <v>76</v>
      </c>
      <c r="C808" s="6">
        <f>IF('weather data'!C808&gt;'user input'!$C$3,'user input'!$C$3,'weather data'!C808)</f>
        <v>26.666666666666664</v>
      </c>
      <c r="D808" s="6">
        <f>IF('weather data'!D808&lt;'user input'!$C$2,'user input'!$C$2,'weather data'!D808)</f>
        <v>10</v>
      </c>
      <c r="E808">
        <f t="shared" si="13"/>
        <v>18.333333333333332</v>
      </c>
      <c r="F808">
        <f>IF((E808-'user input'!$C$2)&lt;0,0,E808-'user input'!$C$2)</f>
        <v>8.3333333333333321</v>
      </c>
      <c r="G808">
        <f>IF(B808&lt;'user input'!$C$5,0,(F808+G807))</f>
        <v>0</v>
      </c>
      <c r="H808">
        <f>G808/'user input'!$C$4</f>
        <v>0</v>
      </c>
    </row>
    <row r="809" spans="1:8" x14ac:dyDescent="0.2">
      <c r="A809" s="1">
        <v>40985</v>
      </c>
      <c r="B809">
        <v>77</v>
      </c>
      <c r="C809" s="6">
        <f>IF('weather data'!C809&gt;'user input'!$C$3,'user input'!$C$3,'weather data'!C809)</f>
        <v>26.666666666666664</v>
      </c>
      <c r="D809" s="6">
        <f>IF('weather data'!D809&lt;'user input'!$C$2,'user input'!$C$2,'weather data'!D809)</f>
        <v>10</v>
      </c>
      <c r="E809">
        <f t="shared" si="13"/>
        <v>18.333333333333332</v>
      </c>
      <c r="F809">
        <f>IF((E809-'user input'!$C$2)&lt;0,0,E809-'user input'!$C$2)</f>
        <v>8.3333333333333321</v>
      </c>
      <c r="G809">
        <f>IF(B809&lt;'user input'!$C$5,0,(F809+G808))</f>
        <v>0</v>
      </c>
      <c r="H809">
        <f>G809/'user input'!$C$4</f>
        <v>0</v>
      </c>
    </row>
    <row r="810" spans="1:8" x14ac:dyDescent="0.2">
      <c r="A810" s="1">
        <v>40986</v>
      </c>
      <c r="B810">
        <v>78</v>
      </c>
      <c r="C810" s="6">
        <f>IF('weather data'!C810&gt;'user input'!$C$3,'user input'!$C$3,'weather data'!C810)</f>
        <v>26.666666666666664</v>
      </c>
      <c r="D810" s="6">
        <f>IF('weather data'!D810&lt;'user input'!$C$2,'user input'!$C$2,'weather data'!D810)</f>
        <v>13.333333333333332</v>
      </c>
      <c r="E810">
        <f t="shared" si="13"/>
        <v>20</v>
      </c>
      <c r="F810">
        <f>IF((E810-'user input'!$C$2)&lt;0,0,E810-'user input'!$C$2)</f>
        <v>10</v>
      </c>
      <c r="G810">
        <f>IF(B810&lt;'user input'!$C$5,0,(F810+G809))</f>
        <v>0</v>
      </c>
      <c r="H810">
        <f>G810/'user input'!$C$4</f>
        <v>0</v>
      </c>
    </row>
    <row r="811" spans="1:8" x14ac:dyDescent="0.2">
      <c r="A811" s="1">
        <v>40987</v>
      </c>
      <c r="B811">
        <v>79</v>
      </c>
      <c r="C811" s="6">
        <f>IF('weather data'!C811&gt;'user input'!$C$3,'user input'!$C$3,'weather data'!C811)</f>
        <v>26.666666666666664</v>
      </c>
      <c r="D811" s="6">
        <f>IF('weather data'!D811&lt;'user input'!$C$2,'user input'!$C$2,'weather data'!D811)</f>
        <v>17.222222222222221</v>
      </c>
      <c r="E811">
        <f t="shared" si="13"/>
        <v>21.944444444444443</v>
      </c>
      <c r="F811">
        <f>IF((E811-'user input'!$C$2)&lt;0,0,E811-'user input'!$C$2)</f>
        <v>11.944444444444443</v>
      </c>
      <c r="G811">
        <f>IF(B811&lt;'user input'!$C$5,0,(F811+G810))</f>
        <v>0</v>
      </c>
      <c r="H811">
        <f>G811/'user input'!$C$4</f>
        <v>0</v>
      </c>
    </row>
    <row r="812" spans="1:8" x14ac:dyDescent="0.2">
      <c r="A812" s="1">
        <v>40988</v>
      </c>
      <c r="B812">
        <v>80</v>
      </c>
      <c r="C812" s="6">
        <f>IF('weather data'!C812&gt;'user input'!$C$3,'user input'!$C$3,'weather data'!C812)</f>
        <v>23.888888888888889</v>
      </c>
      <c r="D812" s="6">
        <f>IF('weather data'!D812&lt;'user input'!$C$2,'user input'!$C$2,'weather data'!D812)</f>
        <v>15.555555555555555</v>
      </c>
      <c r="E812">
        <f t="shared" si="13"/>
        <v>19.722222222222221</v>
      </c>
      <c r="F812">
        <f>IF((E812-'user input'!$C$2)&lt;0,0,E812-'user input'!$C$2)</f>
        <v>9.7222222222222214</v>
      </c>
      <c r="G812">
        <f>IF(B812&lt;'user input'!$C$5,0,(F812+G811))</f>
        <v>0</v>
      </c>
      <c r="H812">
        <f>G812/'user input'!$C$4</f>
        <v>0</v>
      </c>
    </row>
    <row r="813" spans="1:8" x14ac:dyDescent="0.2">
      <c r="A813" s="1">
        <v>40989</v>
      </c>
      <c r="B813">
        <v>81</v>
      </c>
      <c r="C813" s="6">
        <f>IF('weather data'!C813&gt;'user input'!$C$3,'user input'!$C$3,'weather data'!C813)</f>
        <v>27.222222222222221</v>
      </c>
      <c r="D813" s="6">
        <f>IF('weather data'!D813&lt;'user input'!$C$2,'user input'!$C$2,'weather data'!D813)</f>
        <v>15</v>
      </c>
      <c r="E813">
        <f t="shared" si="13"/>
        <v>21.111111111111111</v>
      </c>
      <c r="F813">
        <f>IF((E813-'user input'!$C$2)&lt;0,0,E813-'user input'!$C$2)</f>
        <v>11.111111111111111</v>
      </c>
      <c r="G813">
        <f>IF(B813&lt;'user input'!$C$5,0,(F813+G812))</f>
        <v>0</v>
      </c>
      <c r="H813">
        <f>G813/'user input'!$C$4</f>
        <v>0</v>
      </c>
    </row>
    <row r="814" spans="1:8" x14ac:dyDescent="0.2">
      <c r="A814" s="1">
        <v>40990</v>
      </c>
      <c r="B814">
        <v>82</v>
      </c>
      <c r="C814" s="6">
        <f>IF('weather data'!C814&gt;'user input'!$C$3,'user input'!$C$3,'weather data'!C814)</f>
        <v>27.777777777777779</v>
      </c>
      <c r="D814" s="6">
        <f>IF('weather data'!D814&lt;'user input'!$C$2,'user input'!$C$2,'weather data'!D814)</f>
        <v>14.444444444444445</v>
      </c>
      <c r="E814">
        <f t="shared" si="13"/>
        <v>21.111111111111111</v>
      </c>
      <c r="F814">
        <f>IF((E814-'user input'!$C$2)&lt;0,0,E814-'user input'!$C$2)</f>
        <v>11.111111111111111</v>
      </c>
      <c r="G814">
        <f>IF(B814&lt;'user input'!$C$5,0,(F814+G813))</f>
        <v>0</v>
      </c>
      <c r="H814">
        <f>G814/'user input'!$C$4</f>
        <v>0</v>
      </c>
    </row>
    <row r="815" spans="1:8" x14ac:dyDescent="0.2">
      <c r="A815" s="1">
        <v>40991</v>
      </c>
      <c r="B815">
        <v>83</v>
      </c>
      <c r="C815" s="6">
        <f>IF('weather data'!C815&gt;'user input'!$C$3,'user input'!$C$3,'weather data'!C815)</f>
        <v>26.111111111111111</v>
      </c>
      <c r="D815" s="6">
        <f>IF('weather data'!D815&lt;'user input'!$C$2,'user input'!$C$2,'weather data'!D815)</f>
        <v>13.888888888888889</v>
      </c>
      <c r="E815">
        <f t="shared" si="13"/>
        <v>20</v>
      </c>
      <c r="F815">
        <f>IF((E815-'user input'!$C$2)&lt;0,0,E815-'user input'!$C$2)</f>
        <v>10</v>
      </c>
      <c r="G815">
        <f>IF(B815&lt;'user input'!$C$5,0,(F815+G814))</f>
        <v>0</v>
      </c>
      <c r="H815">
        <f>G815/'user input'!$C$4</f>
        <v>0</v>
      </c>
    </row>
    <row r="816" spans="1:8" x14ac:dyDescent="0.2">
      <c r="A816" s="1">
        <v>40992</v>
      </c>
      <c r="B816">
        <v>84</v>
      </c>
      <c r="C816" s="6">
        <f>IF('weather data'!C816&gt;'user input'!$C$3,'user input'!$C$3,'weather data'!C816)</f>
        <v>18.333333333333332</v>
      </c>
      <c r="D816" s="6">
        <f>IF('weather data'!D816&lt;'user input'!$C$2,'user input'!$C$2,'weather data'!D816)</f>
        <v>12.222222222222223</v>
      </c>
      <c r="E816">
        <f t="shared" si="13"/>
        <v>15.277777777777779</v>
      </c>
      <c r="F816">
        <f>IF((E816-'user input'!$C$2)&lt;0,0,E816-'user input'!$C$2)</f>
        <v>5.2777777777777786</v>
      </c>
      <c r="G816">
        <f>IF(B816&lt;'user input'!$C$5,0,(F816+G815))</f>
        <v>0</v>
      </c>
      <c r="H816">
        <f>G816/'user input'!$C$4</f>
        <v>0</v>
      </c>
    </row>
    <row r="817" spans="1:8" x14ac:dyDescent="0.2">
      <c r="A817" s="1">
        <v>40993</v>
      </c>
      <c r="B817">
        <v>85</v>
      </c>
      <c r="C817" s="6">
        <f>IF('weather data'!C817&gt;'user input'!$C$3,'user input'!$C$3,'weather data'!C817)</f>
        <v>15.555555555555555</v>
      </c>
      <c r="D817" s="6">
        <f>IF('weather data'!D817&lt;'user input'!$C$2,'user input'!$C$2,'weather data'!D817)</f>
        <v>10</v>
      </c>
      <c r="E817">
        <f t="shared" si="13"/>
        <v>12.777777777777779</v>
      </c>
      <c r="F817">
        <f>IF((E817-'user input'!$C$2)&lt;0,0,E817-'user input'!$C$2)</f>
        <v>2.7777777777777786</v>
      </c>
      <c r="G817">
        <f>IF(B817&lt;'user input'!$C$5,0,(F817+G816))</f>
        <v>0</v>
      </c>
      <c r="H817">
        <f>G817/'user input'!$C$4</f>
        <v>0</v>
      </c>
    </row>
    <row r="818" spans="1:8" x14ac:dyDescent="0.2">
      <c r="A818" s="1">
        <v>40994</v>
      </c>
      <c r="B818">
        <v>86</v>
      </c>
      <c r="C818" s="6">
        <f>IF('weather data'!C818&gt;'user input'!$C$3,'user input'!$C$3,'weather data'!C818)</f>
        <v>19.444444444444443</v>
      </c>
      <c r="D818" s="6">
        <f>IF('weather data'!D818&lt;'user input'!$C$2,'user input'!$C$2,'weather data'!D818)</f>
        <v>10</v>
      </c>
      <c r="E818">
        <f t="shared" si="13"/>
        <v>14.722222222222221</v>
      </c>
      <c r="F818">
        <f>IF((E818-'user input'!$C$2)&lt;0,0,E818-'user input'!$C$2)</f>
        <v>4.7222222222222214</v>
      </c>
      <c r="G818">
        <f>IF(B818&lt;'user input'!$C$5,0,(F818+G817))</f>
        <v>0</v>
      </c>
      <c r="H818">
        <f>G818/'user input'!$C$4</f>
        <v>0</v>
      </c>
    </row>
    <row r="819" spans="1:8" x14ac:dyDescent="0.2">
      <c r="A819" s="1">
        <v>40995</v>
      </c>
      <c r="B819">
        <v>87</v>
      </c>
      <c r="C819" s="6">
        <f>IF('weather data'!C819&gt;'user input'!$C$3,'user input'!$C$3,'weather data'!C819)</f>
        <v>6.1111111111111116</v>
      </c>
      <c r="D819" s="6">
        <f>IF('weather data'!D819&lt;'user input'!$C$2,'user input'!$C$2,'weather data'!D819)</f>
        <v>10</v>
      </c>
      <c r="E819">
        <f t="shared" si="13"/>
        <v>8.0555555555555554</v>
      </c>
      <c r="F819">
        <f>IF((E819-'user input'!$C$2)&lt;0,0,E819-'user input'!$C$2)</f>
        <v>0</v>
      </c>
      <c r="G819">
        <f>IF(B819&lt;'user input'!$C$5,0,(F819+G818))</f>
        <v>0</v>
      </c>
      <c r="H819">
        <f>G819/'user input'!$C$4</f>
        <v>0</v>
      </c>
    </row>
    <row r="820" spans="1:8" x14ac:dyDescent="0.2">
      <c r="A820" s="1">
        <v>40996</v>
      </c>
      <c r="B820">
        <v>88</v>
      </c>
      <c r="C820" s="6">
        <f>IF('weather data'!C820&gt;'user input'!$C$3,'user input'!$C$3,'weather data'!C820)</f>
        <v>23.333333333333336</v>
      </c>
      <c r="D820" s="6">
        <f>IF('weather data'!D820&lt;'user input'!$C$2,'user input'!$C$2,'weather data'!D820)</f>
        <v>10</v>
      </c>
      <c r="E820">
        <f t="shared" si="13"/>
        <v>16.666666666666668</v>
      </c>
      <c r="F820">
        <f>IF((E820-'user input'!$C$2)&lt;0,0,E820-'user input'!$C$2)</f>
        <v>6.6666666666666679</v>
      </c>
      <c r="G820">
        <f>IF(B820&lt;'user input'!$C$5,0,(F820+G819))</f>
        <v>0</v>
      </c>
      <c r="H820">
        <f>G820/'user input'!$C$4</f>
        <v>0</v>
      </c>
    </row>
    <row r="821" spans="1:8" x14ac:dyDescent="0.2">
      <c r="A821" s="1">
        <v>40997</v>
      </c>
      <c r="B821">
        <v>89</v>
      </c>
      <c r="C821" s="6">
        <f>IF('weather data'!C821&gt;'user input'!$C$3,'user input'!$C$3,'weather data'!C821)</f>
        <v>15.555555555555555</v>
      </c>
      <c r="D821" s="6">
        <f>IF('weather data'!D821&lt;'user input'!$C$2,'user input'!$C$2,'weather data'!D821)</f>
        <v>10</v>
      </c>
      <c r="E821">
        <f t="shared" si="13"/>
        <v>12.777777777777779</v>
      </c>
      <c r="F821">
        <f>IF((E821-'user input'!$C$2)&lt;0,0,E821-'user input'!$C$2)</f>
        <v>2.7777777777777786</v>
      </c>
      <c r="G821">
        <f>IF(B821&lt;'user input'!$C$5,0,(F821+G820))</f>
        <v>0</v>
      </c>
      <c r="H821">
        <f>G821/'user input'!$C$4</f>
        <v>0</v>
      </c>
    </row>
    <row r="822" spans="1:8" x14ac:dyDescent="0.2">
      <c r="A822" s="1">
        <v>40998</v>
      </c>
      <c r="B822">
        <v>90</v>
      </c>
      <c r="C822" s="6">
        <f>IF('weather data'!C822&gt;'user input'!$C$3,'user input'!$C$3,'weather data'!C822)</f>
        <v>12.777777777777777</v>
      </c>
      <c r="D822" s="6">
        <f>IF('weather data'!D822&lt;'user input'!$C$2,'user input'!$C$2,'weather data'!D822)</f>
        <v>10</v>
      </c>
      <c r="E822">
        <f t="shared" si="13"/>
        <v>11.388888888888889</v>
      </c>
      <c r="F822">
        <f>IF((E822-'user input'!$C$2)&lt;0,0,E822-'user input'!$C$2)</f>
        <v>1.3888888888888893</v>
      </c>
      <c r="G822">
        <f>IF(B822&lt;'user input'!$C$5,0,(F822+G821))</f>
        <v>0</v>
      </c>
      <c r="H822">
        <f>G822/'user input'!$C$4</f>
        <v>0</v>
      </c>
    </row>
    <row r="823" spans="1:8" x14ac:dyDescent="0.2">
      <c r="A823" s="1">
        <v>40999</v>
      </c>
      <c r="B823">
        <v>91</v>
      </c>
      <c r="C823" s="6">
        <f>IF('weather data'!C823&gt;'user input'!$C$3,'user input'!$C$3,'weather data'!C823)</f>
        <v>5.5555555555555554</v>
      </c>
      <c r="D823" s="6">
        <f>IF('weather data'!D823&lt;'user input'!$C$2,'user input'!$C$2,'weather data'!D823)</f>
        <v>10</v>
      </c>
      <c r="E823">
        <f t="shared" si="13"/>
        <v>7.7777777777777777</v>
      </c>
      <c r="F823">
        <f>IF((E823-'user input'!$C$2)&lt;0,0,E823-'user input'!$C$2)</f>
        <v>0</v>
      </c>
      <c r="G823">
        <f>IF(B823&lt;'user input'!$C$5,0,(F823+G822))</f>
        <v>0</v>
      </c>
      <c r="H823">
        <f>G823/'user input'!$C$4</f>
        <v>0</v>
      </c>
    </row>
    <row r="824" spans="1:8" x14ac:dyDescent="0.2">
      <c r="A824" s="1">
        <v>41000</v>
      </c>
      <c r="B824">
        <v>92</v>
      </c>
      <c r="C824" s="6">
        <f>IF('weather data'!C824&gt;'user input'!$C$3,'user input'!$C$3,'weather data'!C824)</f>
        <v>7.2222222222222223</v>
      </c>
      <c r="D824" s="6">
        <f>IF('weather data'!D824&lt;'user input'!$C$2,'user input'!$C$2,'weather data'!D824)</f>
        <v>10</v>
      </c>
      <c r="E824">
        <f t="shared" si="13"/>
        <v>8.6111111111111107</v>
      </c>
      <c r="F824">
        <f>IF((E824-'user input'!$C$2)&lt;0,0,E824-'user input'!$C$2)</f>
        <v>0</v>
      </c>
      <c r="G824">
        <f>IF(B824&lt;'user input'!$C$5,0,(F824+G823))</f>
        <v>0</v>
      </c>
      <c r="H824">
        <f>G824/'user input'!$C$4</f>
        <v>0</v>
      </c>
    </row>
    <row r="825" spans="1:8" x14ac:dyDescent="0.2">
      <c r="A825" s="1">
        <v>41001</v>
      </c>
      <c r="B825">
        <v>93</v>
      </c>
      <c r="C825" s="6">
        <f>IF('weather data'!C825&gt;'user input'!$C$3,'user input'!$C$3,'weather data'!C825)</f>
        <v>15.555555555555555</v>
      </c>
      <c r="D825" s="6">
        <f>IF('weather data'!D825&lt;'user input'!$C$2,'user input'!$C$2,'weather data'!D825)</f>
        <v>10</v>
      </c>
      <c r="E825">
        <f t="shared" si="13"/>
        <v>12.777777777777779</v>
      </c>
      <c r="F825">
        <f>IF((E825-'user input'!$C$2)&lt;0,0,E825-'user input'!$C$2)</f>
        <v>2.7777777777777786</v>
      </c>
      <c r="G825">
        <f>IF(B825&lt;'user input'!$C$5,0,(F825+G824))</f>
        <v>0</v>
      </c>
      <c r="H825">
        <f>G825/'user input'!$C$4</f>
        <v>0</v>
      </c>
    </row>
    <row r="826" spans="1:8" x14ac:dyDescent="0.2">
      <c r="A826" s="1">
        <v>41002</v>
      </c>
      <c r="B826">
        <v>94</v>
      </c>
      <c r="C826" s="6">
        <f>IF('weather data'!C826&gt;'user input'!$C$3,'user input'!$C$3,'weather data'!C826)</f>
        <v>18.333333333333332</v>
      </c>
      <c r="D826" s="6">
        <f>IF('weather data'!D826&lt;'user input'!$C$2,'user input'!$C$2,'weather data'!D826)</f>
        <v>10</v>
      </c>
      <c r="E826">
        <f t="shared" si="13"/>
        <v>14.166666666666666</v>
      </c>
      <c r="F826">
        <f>IF((E826-'user input'!$C$2)&lt;0,0,E826-'user input'!$C$2)</f>
        <v>4.1666666666666661</v>
      </c>
      <c r="G826">
        <f>IF(B826&lt;'user input'!$C$5,0,(F826+G825))</f>
        <v>0</v>
      </c>
      <c r="H826">
        <f>G826/'user input'!$C$4</f>
        <v>0</v>
      </c>
    </row>
    <row r="827" spans="1:8" x14ac:dyDescent="0.2">
      <c r="A827" s="1">
        <v>41003</v>
      </c>
      <c r="B827">
        <v>95</v>
      </c>
      <c r="C827" s="6">
        <f>IF('weather data'!C827&gt;'user input'!$C$3,'user input'!$C$3,'weather data'!C827)</f>
        <v>17.777777777777779</v>
      </c>
      <c r="D827" s="6">
        <f>IF('weather data'!D827&lt;'user input'!$C$2,'user input'!$C$2,'weather data'!D827)</f>
        <v>10</v>
      </c>
      <c r="E827">
        <f t="shared" si="13"/>
        <v>13.888888888888889</v>
      </c>
      <c r="F827">
        <f>IF((E827-'user input'!$C$2)&lt;0,0,E827-'user input'!$C$2)</f>
        <v>3.8888888888888893</v>
      </c>
      <c r="G827">
        <f>IF(B827&lt;'user input'!$C$5,0,(F827+G826))</f>
        <v>0</v>
      </c>
      <c r="H827">
        <f>G827/'user input'!$C$4</f>
        <v>0</v>
      </c>
    </row>
    <row r="828" spans="1:8" x14ac:dyDescent="0.2">
      <c r="A828" s="1">
        <v>41004</v>
      </c>
      <c r="B828">
        <v>96</v>
      </c>
      <c r="C828" s="6">
        <f>IF('weather data'!C828&gt;'user input'!$C$3,'user input'!$C$3,'weather data'!C828)</f>
        <v>16.666666666666668</v>
      </c>
      <c r="D828" s="6">
        <f>IF('weather data'!D828&lt;'user input'!$C$2,'user input'!$C$2,'weather data'!D828)</f>
        <v>10</v>
      </c>
      <c r="E828">
        <f t="shared" si="13"/>
        <v>13.333333333333334</v>
      </c>
      <c r="F828">
        <f>IF((E828-'user input'!$C$2)&lt;0,0,E828-'user input'!$C$2)</f>
        <v>3.3333333333333339</v>
      </c>
      <c r="G828">
        <f>IF(B828&lt;'user input'!$C$5,0,(F828+G827))</f>
        <v>0</v>
      </c>
      <c r="H828">
        <f>G828/'user input'!$C$4</f>
        <v>0</v>
      </c>
    </row>
    <row r="829" spans="1:8" x14ac:dyDescent="0.2">
      <c r="A829" s="1">
        <v>41005</v>
      </c>
      <c r="B829">
        <v>97</v>
      </c>
      <c r="C829" s="6">
        <f>IF('weather data'!C829&gt;'user input'!$C$3,'user input'!$C$3,'weather data'!C829)</f>
        <v>11.111111111111111</v>
      </c>
      <c r="D829" s="6">
        <f>IF('weather data'!D829&lt;'user input'!$C$2,'user input'!$C$2,'weather data'!D829)</f>
        <v>10</v>
      </c>
      <c r="E829">
        <f t="shared" si="13"/>
        <v>10.555555555555555</v>
      </c>
      <c r="F829">
        <f>IF((E829-'user input'!$C$2)&lt;0,0,E829-'user input'!$C$2)</f>
        <v>0.55555555555555536</v>
      </c>
      <c r="G829">
        <f>IF(B829&lt;'user input'!$C$5,0,(F829+G828))</f>
        <v>0</v>
      </c>
      <c r="H829">
        <f>G829/'user input'!$C$4</f>
        <v>0</v>
      </c>
    </row>
    <row r="830" spans="1:8" x14ac:dyDescent="0.2">
      <c r="A830" s="1">
        <v>41006</v>
      </c>
      <c r="B830">
        <v>98</v>
      </c>
      <c r="C830" s="6">
        <f>IF('weather data'!C830&gt;'user input'!$C$3,'user input'!$C$3,'weather data'!C830)</f>
        <v>14.444444444444445</v>
      </c>
      <c r="D830" s="6">
        <f>IF('weather data'!D830&lt;'user input'!$C$2,'user input'!$C$2,'weather data'!D830)</f>
        <v>10</v>
      </c>
      <c r="E830">
        <f t="shared" si="13"/>
        <v>12.222222222222221</v>
      </c>
      <c r="F830">
        <f>IF((E830-'user input'!$C$2)&lt;0,0,E830-'user input'!$C$2)</f>
        <v>2.2222222222222214</v>
      </c>
      <c r="G830">
        <f>IF(B830&lt;'user input'!$C$5,0,(F830+G829))</f>
        <v>0</v>
      </c>
      <c r="H830">
        <f>G830/'user input'!$C$4</f>
        <v>0</v>
      </c>
    </row>
    <row r="831" spans="1:8" x14ac:dyDescent="0.2">
      <c r="A831" s="1">
        <v>41007</v>
      </c>
      <c r="B831">
        <v>99</v>
      </c>
      <c r="C831" s="6">
        <f>IF('weather data'!C831&gt;'user input'!$C$3,'user input'!$C$3,'weather data'!C831)</f>
        <v>17.777777777777779</v>
      </c>
      <c r="D831" s="6">
        <f>IF('weather data'!D831&lt;'user input'!$C$2,'user input'!$C$2,'weather data'!D831)</f>
        <v>10</v>
      </c>
      <c r="E831">
        <f t="shared" si="13"/>
        <v>13.888888888888889</v>
      </c>
      <c r="F831">
        <f>IF((E831-'user input'!$C$2)&lt;0,0,E831-'user input'!$C$2)</f>
        <v>3.8888888888888893</v>
      </c>
      <c r="G831">
        <f>IF(B831&lt;'user input'!$C$5,0,(F831+G830))</f>
        <v>0</v>
      </c>
      <c r="H831">
        <f>G831/'user input'!$C$4</f>
        <v>0</v>
      </c>
    </row>
    <row r="832" spans="1:8" x14ac:dyDescent="0.2">
      <c r="A832" s="1">
        <v>41008</v>
      </c>
      <c r="B832">
        <v>100</v>
      </c>
      <c r="C832" s="6">
        <f>IF('weather data'!C832&gt;'user input'!$C$3,'user input'!$C$3,'weather data'!C832)</f>
        <v>17.222222222222221</v>
      </c>
      <c r="D832" s="6">
        <f>IF('weather data'!D832&lt;'user input'!$C$2,'user input'!$C$2,'weather data'!D832)</f>
        <v>10</v>
      </c>
      <c r="E832">
        <f t="shared" si="13"/>
        <v>13.611111111111111</v>
      </c>
      <c r="F832">
        <f>IF((E832-'user input'!$C$2)&lt;0,0,E832-'user input'!$C$2)</f>
        <v>3.6111111111111107</v>
      </c>
      <c r="G832">
        <f>IF(B832&lt;'user input'!$C$5,0,(F832+G831))</f>
        <v>0</v>
      </c>
      <c r="H832">
        <f>G832/'user input'!$C$4</f>
        <v>0</v>
      </c>
    </row>
    <row r="833" spans="1:8" x14ac:dyDescent="0.2">
      <c r="A833" s="1">
        <v>41009</v>
      </c>
      <c r="B833">
        <v>101</v>
      </c>
      <c r="C833" s="6">
        <f>IF('weather data'!C833&gt;'user input'!$C$3,'user input'!$C$3,'weather data'!C833)</f>
        <v>13.333333333333332</v>
      </c>
      <c r="D833" s="6">
        <f>IF('weather data'!D833&lt;'user input'!$C$2,'user input'!$C$2,'weather data'!D833)</f>
        <v>10</v>
      </c>
      <c r="E833">
        <f t="shared" si="13"/>
        <v>11.666666666666666</v>
      </c>
      <c r="F833">
        <f>IF((E833-'user input'!$C$2)&lt;0,0,E833-'user input'!$C$2)</f>
        <v>1.6666666666666661</v>
      </c>
      <c r="G833">
        <f>IF(B833&lt;'user input'!$C$5,0,(F833+G832))</f>
        <v>0</v>
      </c>
      <c r="H833">
        <f>G833/'user input'!$C$4</f>
        <v>0</v>
      </c>
    </row>
    <row r="834" spans="1:8" x14ac:dyDescent="0.2">
      <c r="A834" s="1">
        <v>41010</v>
      </c>
      <c r="B834">
        <v>102</v>
      </c>
      <c r="C834" s="6">
        <f>IF('weather data'!C834&gt;'user input'!$C$3,'user input'!$C$3,'weather data'!C834)</f>
        <v>7.2222222222222223</v>
      </c>
      <c r="D834" s="6">
        <f>IF('weather data'!D834&lt;'user input'!$C$2,'user input'!$C$2,'weather data'!D834)</f>
        <v>10</v>
      </c>
      <c r="E834">
        <f t="shared" si="13"/>
        <v>8.6111111111111107</v>
      </c>
      <c r="F834">
        <f>IF((E834-'user input'!$C$2)&lt;0,0,E834-'user input'!$C$2)</f>
        <v>0</v>
      </c>
      <c r="G834">
        <f>IF(B834&lt;'user input'!$C$5,0,(F834+G833))</f>
        <v>0</v>
      </c>
      <c r="H834">
        <f>G834/'user input'!$C$4</f>
        <v>0</v>
      </c>
    </row>
    <row r="835" spans="1:8" x14ac:dyDescent="0.2">
      <c r="A835" s="1">
        <v>41011</v>
      </c>
      <c r="B835">
        <v>103</v>
      </c>
      <c r="C835" s="6">
        <f>IF('weather data'!C835&gt;'user input'!$C$3,'user input'!$C$3,'weather data'!C835)</f>
        <v>12.777777777777777</v>
      </c>
      <c r="D835" s="6">
        <f>IF('weather data'!D835&lt;'user input'!$C$2,'user input'!$C$2,'weather data'!D835)</f>
        <v>10</v>
      </c>
      <c r="E835">
        <f t="shared" si="13"/>
        <v>11.388888888888889</v>
      </c>
      <c r="F835">
        <f>IF((E835-'user input'!$C$2)&lt;0,0,E835-'user input'!$C$2)</f>
        <v>1.3888888888888893</v>
      </c>
      <c r="G835">
        <f>IF(B835&lt;'user input'!$C$5,0,(F835+G834))</f>
        <v>0</v>
      </c>
      <c r="H835">
        <f>G835/'user input'!$C$4</f>
        <v>0</v>
      </c>
    </row>
    <row r="836" spans="1:8" x14ac:dyDescent="0.2">
      <c r="A836" s="1">
        <v>41012</v>
      </c>
      <c r="B836">
        <v>104</v>
      </c>
      <c r="C836" s="6">
        <f>IF('weather data'!C836&gt;'user input'!$C$3,'user input'!$C$3,'weather data'!C836)</f>
        <v>16.666666666666668</v>
      </c>
      <c r="D836" s="6">
        <f>IF('weather data'!D836&lt;'user input'!$C$2,'user input'!$C$2,'weather data'!D836)</f>
        <v>10</v>
      </c>
      <c r="E836">
        <f t="shared" si="13"/>
        <v>13.333333333333334</v>
      </c>
      <c r="F836">
        <f>IF((E836-'user input'!$C$2)&lt;0,0,E836-'user input'!$C$2)</f>
        <v>3.3333333333333339</v>
      </c>
      <c r="G836">
        <f>IF(B836&lt;'user input'!$C$5,0,(F836+G835))</f>
        <v>0</v>
      </c>
      <c r="H836">
        <f>G836/'user input'!$C$4</f>
        <v>0</v>
      </c>
    </row>
    <row r="837" spans="1:8" x14ac:dyDescent="0.2">
      <c r="A837" s="1">
        <v>41013</v>
      </c>
      <c r="B837">
        <v>105</v>
      </c>
      <c r="C837" s="6">
        <f>IF('weather data'!C837&gt;'user input'!$C$3,'user input'!$C$3,'weather data'!C837)</f>
        <v>18.333333333333332</v>
      </c>
      <c r="D837" s="6">
        <f>IF('weather data'!D837&lt;'user input'!$C$2,'user input'!$C$2,'weather data'!D837)</f>
        <v>10</v>
      </c>
      <c r="E837">
        <f t="shared" si="13"/>
        <v>14.166666666666666</v>
      </c>
      <c r="F837">
        <f>IF((E837-'user input'!$C$2)&lt;0,0,E837-'user input'!$C$2)</f>
        <v>4.1666666666666661</v>
      </c>
      <c r="G837">
        <f>IF(B837&lt;'user input'!$C$5,0,(F837+G836))</f>
        <v>0</v>
      </c>
      <c r="H837">
        <f>G837/'user input'!$C$4</f>
        <v>0</v>
      </c>
    </row>
    <row r="838" spans="1:8" x14ac:dyDescent="0.2">
      <c r="A838" s="1">
        <v>41014</v>
      </c>
      <c r="B838">
        <v>106</v>
      </c>
      <c r="C838" s="6">
        <f>IF('weather data'!C838&gt;'user input'!$C$3,'user input'!$C$3,'weather data'!C838)</f>
        <v>23.888888888888889</v>
      </c>
      <c r="D838" s="6">
        <f>IF('weather data'!D838&lt;'user input'!$C$2,'user input'!$C$2,'weather data'!D838)</f>
        <v>15</v>
      </c>
      <c r="E838">
        <f t="shared" si="13"/>
        <v>19.444444444444443</v>
      </c>
      <c r="F838">
        <f>IF((E838-'user input'!$C$2)&lt;0,0,E838-'user input'!$C$2)</f>
        <v>9.4444444444444429</v>
      </c>
      <c r="G838">
        <f>IF(B838&lt;'user input'!$C$5,0,(F838+G837))</f>
        <v>0</v>
      </c>
      <c r="H838">
        <f>G838/'user input'!$C$4</f>
        <v>0</v>
      </c>
    </row>
    <row r="839" spans="1:8" x14ac:dyDescent="0.2">
      <c r="A839" s="1">
        <v>41015</v>
      </c>
      <c r="B839">
        <v>107</v>
      </c>
      <c r="C839" s="6">
        <f>IF('weather data'!C839&gt;'user input'!$C$3,'user input'!$C$3,'weather data'!C839)</f>
        <v>23.888888888888889</v>
      </c>
      <c r="D839" s="6">
        <f>IF('weather data'!D839&lt;'user input'!$C$2,'user input'!$C$2,'weather data'!D839)</f>
        <v>12.777777777777777</v>
      </c>
      <c r="E839">
        <f t="shared" si="13"/>
        <v>18.333333333333332</v>
      </c>
      <c r="F839">
        <f>IF((E839-'user input'!$C$2)&lt;0,0,E839-'user input'!$C$2)</f>
        <v>8.3333333333333321</v>
      </c>
      <c r="G839">
        <f>IF(B839&lt;'user input'!$C$5,0,(F839+G838))</f>
        <v>0</v>
      </c>
      <c r="H839">
        <f>G839/'user input'!$C$4</f>
        <v>0</v>
      </c>
    </row>
    <row r="840" spans="1:8" x14ac:dyDescent="0.2">
      <c r="A840" s="1">
        <v>41016</v>
      </c>
      <c r="B840">
        <v>108</v>
      </c>
      <c r="C840" s="6">
        <f>IF('weather data'!C840&gt;'user input'!$C$3,'user input'!$C$3,'weather data'!C840)</f>
        <v>12.777777777777777</v>
      </c>
      <c r="D840" s="6">
        <f>IF('weather data'!D840&lt;'user input'!$C$2,'user input'!$C$2,'weather data'!D840)</f>
        <v>10</v>
      </c>
      <c r="E840">
        <f t="shared" si="13"/>
        <v>11.388888888888889</v>
      </c>
      <c r="F840">
        <f>IF((E840-'user input'!$C$2)&lt;0,0,E840-'user input'!$C$2)</f>
        <v>1.3888888888888893</v>
      </c>
      <c r="G840">
        <f>IF(B840&lt;'user input'!$C$5,0,(F840+G839))</f>
        <v>0</v>
      </c>
      <c r="H840">
        <f>G840/'user input'!$C$4</f>
        <v>0</v>
      </c>
    </row>
    <row r="841" spans="1:8" x14ac:dyDescent="0.2">
      <c r="A841" s="1">
        <v>41017</v>
      </c>
      <c r="B841">
        <v>109</v>
      </c>
      <c r="C841" s="6">
        <f>IF('weather data'!C841&gt;'user input'!$C$3,'user input'!$C$3,'weather data'!C841)</f>
        <v>15</v>
      </c>
      <c r="D841" s="6">
        <f>IF('weather data'!D841&lt;'user input'!$C$2,'user input'!$C$2,'weather data'!D841)</f>
        <v>10</v>
      </c>
      <c r="E841">
        <f t="shared" si="13"/>
        <v>12.5</v>
      </c>
      <c r="F841">
        <f>IF((E841-'user input'!$C$2)&lt;0,0,E841-'user input'!$C$2)</f>
        <v>2.5</v>
      </c>
      <c r="G841">
        <f>IF(B841&lt;'user input'!$C$5,0,(F841+G840))</f>
        <v>0</v>
      </c>
      <c r="H841">
        <f>G841/'user input'!$C$4</f>
        <v>0</v>
      </c>
    </row>
    <row r="842" spans="1:8" x14ac:dyDescent="0.2">
      <c r="A842" s="1">
        <v>41018</v>
      </c>
      <c r="B842">
        <v>110</v>
      </c>
      <c r="C842" s="6">
        <f>IF('weather data'!C842&gt;'user input'!$C$3,'user input'!$C$3,'weather data'!C842)</f>
        <v>21.666666666666664</v>
      </c>
      <c r="D842" s="6">
        <f>IF('weather data'!D842&lt;'user input'!$C$2,'user input'!$C$2,'weather data'!D842)</f>
        <v>10</v>
      </c>
      <c r="E842">
        <f t="shared" si="13"/>
        <v>15.833333333333332</v>
      </c>
      <c r="F842">
        <f>IF((E842-'user input'!$C$2)&lt;0,0,E842-'user input'!$C$2)</f>
        <v>5.8333333333333321</v>
      </c>
      <c r="G842">
        <f>IF(B842&lt;'user input'!$C$5,0,(F842+G841))</f>
        <v>0</v>
      </c>
      <c r="H842">
        <f>G842/'user input'!$C$4</f>
        <v>0</v>
      </c>
    </row>
    <row r="843" spans="1:8" x14ac:dyDescent="0.2">
      <c r="A843" s="1">
        <v>41019</v>
      </c>
      <c r="B843">
        <v>111</v>
      </c>
      <c r="C843" s="6">
        <f>IF('weather data'!C843&gt;'user input'!$C$3,'user input'!$C$3,'weather data'!C843)</f>
        <v>11.111111111111111</v>
      </c>
      <c r="D843" s="6">
        <f>IF('weather data'!D843&lt;'user input'!$C$2,'user input'!$C$2,'weather data'!D843)</f>
        <v>10</v>
      </c>
      <c r="E843">
        <f t="shared" si="13"/>
        <v>10.555555555555555</v>
      </c>
      <c r="F843">
        <f>IF((E843-'user input'!$C$2)&lt;0,0,E843-'user input'!$C$2)</f>
        <v>0.55555555555555536</v>
      </c>
      <c r="G843">
        <f>IF(B843&lt;'user input'!$C$5,0,(F843+G842))</f>
        <v>0</v>
      </c>
      <c r="H843">
        <f>G843/'user input'!$C$4</f>
        <v>0</v>
      </c>
    </row>
    <row r="844" spans="1:8" x14ac:dyDescent="0.2">
      <c r="A844" s="1">
        <v>41020</v>
      </c>
      <c r="B844">
        <v>112</v>
      </c>
      <c r="C844" s="6">
        <f>IF('weather data'!C844&gt;'user input'!$C$3,'user input'!$C$3,'weather data'!C844)</f>
        <v>10.555555555555555</v>
      </c>
      <c r="D844" s="6">
        <f>IF('weather data'!D844&lt;'user input'!$C$2,'user input'!$C$2,'weather data'!D844)</f>
        <v>10</v>
      </c>
      <c r="E844">
        <f t="shared" si="13"/>
        <v>10.277777777777779</v>
      </c>
      <c r="F844">
        <f>IF((E844-'user input'!$C$2)&lt;0,0,E844-'user input'!$C$2)</f>
        <v>0.27777777777777857</v>
      </c>
      <c r="G844">
        <f>IF(B844&lt;'user input'!$C$5,0,(F844+G843))</f>
        <v>0</v>
      </c>
      <c r="H844">
        <f>G844/'user input'!$C$4</f>
        <v>0</v>
      </c>
    </row>
    <row r="845" spans="1:8" x14ac:dyDescent="0.2">
      <c r="A845" s="1">
        <v>41021</v>
      </c>
      <c r="B845">
        <v>113</v>
      </c>
      <c r="C845" s="6">
        <f>IF('weather data'!C845&gt;'user input'!$C$3,'user input'!$C$3,'weather data'!C845)</f>
        <v>12.222222222222223</v>
      </c>
      <c r="D845" s="6">
        <f>IF('weather data'!D845&lt;'user input'!$C$2,'user input'!$C$2,'weather data'!D845)</f>
        <v>10</v>
      </c>
      <c r="E845">
        <f t="shared" si="13"/>
        <v>11.111111111111111</v>
      </c>
      <c r="F845">
        <f>IF((E845-'user input'!$C$2)&lt;0,0,E845-'user input'!$C$2)</f>
        <v>1.1111111111111107</v>
      </c>
      <c r="G845">
        <f>IF(B845&lt;'user input'!$C$5,0,(F845+G844))</f>
        <v>0</v>
      </c>
      <c r="H845">
        <f>G845/'user input'!$C$4</f>
        <v>0</v>
      </c>
    </row>
    <row r="846" spans="1:8" x14ac:dyDescent="0.2">
      <c r="A846" s="1">
        <v>41022</v>
      </c>
      <c r="B846">
        <v>114</v>
      </c>
      <c r="C846" s="6">
        <f>IF('weather data'!C846&gt;'user input'!$C$3,'user input'!$C$3,'weather data'!C846)</f>
        <v>12.777777777777777</v>
      </c>
      <c r="D846" s="6">
        <f>IF('weather data'!D846&lt;'user input'!$C$2,'user input'!$C$2,'weather data'!D846)</f>
        <v>10</v>
      </c>
      <c r="E846">
        <f t="shared" si="13"/>
        <v>11.388888888888889</v>
      </c>
      <c r="F846">
        <f>IF((E846-'user input'!$C$2)&lt;0,0,E846-'user input'!$C$2)</f>
        <v>1.3888888888888893</v>
      </c>
      <c r="G846">
        <f>IF(B846&lt;'user input'!$C$5,0,(F846+G845))</f>
        <v>0</v>
      </c>
      <c r="H846">
        <f>G846/'user input'!$C$4</f>
        <v>0</v>
      </c>
    </row>
    <row r="847" spans="1:8" x14ac:dyDescent="0.2">
      <c r="A847" s="1">
        <v>41023</v>
      </c>
      <c r="B847">
        <v>115</v>
      </c>
      <c r="C847" s="6">
        <f>IF('weather data'!C847&gt;'user input'!$C$3,'user input'!$C$3,'weather data'!C847)</f>
        <v>15.555555555555555</v>
      </c>
      <c r="D847" s="6">
        <f>IF('weather data'!D847&lt;'user input'!$C$2,'user input'!$C$2,'weather data'!D847)</f>
        <v>10</v>
      </c>
      <c r="E847">
        <f t="shared" si="13"/>
        <v>12.777777777777779</v>
      </c>
      <c r="F847">
        <f>IF((E847-'user input'!$C$2)&lt;0,0,E847-'user input'!$C$2)</f>
        <v>2.7777777777777786</v>
      </c>
      <c r="G847">
        <f>IF(B847&lt;'user input'!$C$5,0,(F847+G846))</f>
        <v>0</v>
      </c>
      <c r="H847">
        <f>G847/'user input'!$C$4</f>
        <v>0</v>
      </c>
    </row>
    <row r="848" spans="1:8" x14ac:dyDescent="0.2">
      <c r="A848" s="1">
        <v>41024</v>
      </c>
      <c r="B848">
        <v>116</v>
      </c>
      <c r="C848" s="6">
        <f>IF('weather data'!C848&gt;'user input'!$C$3,'user input'!$C$3,'weather data'!C848)</f>
        <v>20</v>
      </c>
      <c r="D848" s="6">
        <f>IF('weather data'!D848&lt;'user input'!$C$2,'user input'!$C$2,'weather data'!D848)</f>
        <v>10</v>
      </c>
      <c r="E848">
        <f t="shared" si="13"/>
        <v>15</v>
      </c>
      <c r="F848">
        <f>IF((E848-'user input'!$C$2)&lt;0,0,E848-'user input'!$C$2)</f>
        <v>5</v>
      </c>
      <c r="G848">
        <f>IF(B848&lt;'user input'!$C$5,0,(F848+G847))</f>
        <v>0</v>
      </c>
      <c r="H848">
        <f>G848/'user input'!$C$4</f>
        <v>0</v>
      </c>
    </row>
    <row r="849" spans="1:8" x14ac:dyDescent="0.2">
      <c r="A849" s="1">
        <v>41025</v>
      </c>
      <c r="B849">
        <v>117</v>
      </c>
      <c r="C849" s="6">
        <f>IF('weather data'!C849&gt;'user input'!$C$3,'user input'!$C$3,'weather data'!C849)</f>
        <v>15.555555555555555</v>
      </c>
      <c r="D849" s="6">
        <f>IF('weather data'!D849&lt;'user input'!$C$2,'user input'!$C$2,'weather data'!D849)</f>
        <v>10</v>
      </c>
      <c r="E849">
        <f t="shared" si="13"/>
        <v>12.777777777777779</v>
      </c>
      <c r="F849">
        <f>IF((E849-'user input'!$C$2)&lt;0,0,E849-'user input'!$C$2)</f>
        <v>2.7777777777777786</v>
      </c>
      <c r="G849">
        <f>IF(B849&lt;'user input'!$C$5,0,(F849+G848))</f>
        <v>0</v>
      </c>
      <c r="H849">
        <f>G849/'user input'!$C$4</f>
        <v>0</v>
      </c>
    </row>
    <row r="850" spans="1:8" x14ac:dyDescent="0.2">
      <c r="A850" s="1">
        <v>41026</v>
      </c>
      <c r="B850">
        <v>118</v>
      </c>
      <c r="C850" s="6">
        <f>IF('weather data'!C850&gt;'user input'!$C$3,'user input'!$C$3,'weather data'!C850)</f>
        <v>13.888888888888889</v>
      </c>
      <c r="D850" s="6">
        <f>IF('weather data'!D850&lt;'user input'!$C$2,'user input'!$C$2,'weather data'!D850)</f>
        <v>10</v>
      </c>
      <c r="E850">
        <f t="shared" ref="E850:E913" si="14">(C850+D850)/2</f>
        <v>11.944444444444445</v>
      </c>
      <c r="F850">
        <f>IF((E850-'user input'!$C$2)&lt;0,0,E850-'user input'!$C$2)</f>
        <v>1.9444444444444446</v>
      </c>
      <c r="G850">
        <f>IF(B850&lt;'user input'!$C$5,0,(F850+G849))</f>
        <v>0</v>
      </c>
      <c r="H850">
        <f>G850/'user input'!$C$4</f>
        <v>0</v>
      </c>
    </row>
    <row r="851" spans="1:8" x14ac:dyDescent="0.2">
      <c r="A851" s="1">
        <v>41027</v>
      </c>
      <c r="B851">
        <v>119</v>
      </c>
      <c r="C851" s="6">
        <f>IF('weather data'!C851&gt;'user input'!$C$3,'user input'!$C$3,'weather data'!C851)</f>
        <v>13.333333333333332</v>
      </c>
      <c r="D851" s="6">
        <f>IF('weather data'!D851&lt;'user input'!$C$2,'user input'!$C$2,'weather data'!D851)</f>
        <v>10</v>
      </c>
      <c r="E851">
        <f t="shared" si="14"/>
        <v>11.666666666666666</v>
      </c>
      <c r="F851">
        <f>IF((E851-'user input'!$C$2)&lt;0,0,E851-'user input'!$C$2)</f>
        <v>1.6666666666666661</v>
      </c>
      <c r="G851">
        <f>IF(B851&lt;'user input'!$C$5,0,(F851+G850))</f>
        <v>0</v>
      </c>
      <c r="H851">
        <f>G851/'user input'!$C$4</f>
        <v>0</v>
      </c>
    </row>
    <row r="852" spans="1:8" x14ac:dyDescent="0.2">
      <c r="A852" s="1">
        <v>41028</v>
      </c>
      <c r="B852">
        <v>120</v>
      </c>
      <c r="C852" s="6">
        <f>IF('weather data'!C852&gt;'user input'!$C$3,'user input'!$C$3,'weather data'!C852)</f>
        <v>8.8888888888888893</v>
      </c>
      <c r="D852" s="6">
        <f>IF('weather data'!D852&lt;'user input'!$C$2,'user input'!$C$2,'weather data'!D852)</f>
        <v>10</v>
      </c>
      <c r="E852">
        <f t="shared" si="14"/>
        <v>9.4444444444444446</v>
      </c>
      <c r="F852">
        <f>IF((E852-'user input'!$C$2)&lt;0,0,E852-'user input'!$C$2)</f>
        <v>0</v>
      </c>
      <c r="G852">
        <f>IF(B852&lt;'user input'!$C$5,0,(F852+G851))</f>
        <v>0</v>
      </c>
      <c r="H852">
        <f>G852/'user input'!$C$4</f>
        <v>0</v>
      </c>
    </row>
    <row r="853" spans="1:8" x14ac:dyDescent="0.2">
      <c r="A853" s="1">
        <v>41029</v>
      </c>
      <c r="B853">
        <v>121</v>
      </c>
      <c r="C853" s="6">
        <f>IF('weather data'!C853&gt;'user input'!$C$3,'user input'!$C$3,'weather data'!C853)</f>
        <v>13.333333333333332</v>
      </c>
      <c r="D853" s="6">
        <f>IF('weather data'!D853&lt;'user input'!$C$2,'user input'!$C$2,'weather data'!D853)</f>
        <v>10</v>
      </c>
      <c r="E853">
        <f t="shared" si="14"/>
        <v>11.666666666666666</v>
      </c>
      <c r="F853">
        <f>IF((E853-'user input'!$C$2)&lt;0,0,E853-'user input'!$C$2)</f>
        <v>1.6666666666666661</v>
      </c>
      <c r="G853">
        <f>IF(B853&lt;'user input'!$C$5,0,(F853+G852))</f>
        <v>1.6666666666666661</v>
      </c>
      <c r="H853">
        <f>G853/'user input'!$C$4</f>
        <v>1.3888888888888883E-3</v>
      </c>
    </row>
    <row r="854" spans="1:8" x14ac:dyDescent="0.2">
      <c r="A854" s="1">
        <v>41030</v>
      </c>
      <c r="B854">
        <v>122</v>
      </c>
      <c r="C854" s="6">
        <f>IF('weather data'!C854&gt;'user input'!$C$3,'user input'!$C$3,'weather data'!C854)</f>
        <v>12.222222222222223</v>
      </c>
      <c r="D854" s="6">
        <f>IF('weather data'!D854&lt;'user input'!$C$2,'user input'!$C$2,'weather data'!D854)</f>
        <v>10</v>
      </c>
      <c r="E854">
        <f t="shared" si="14"/>
        <v>11.111111111111111</v>
      </c>
      <c r="F854">
        <f>IF((E854-'user input'!$C$2)&lt;0,0,E854-'user input'!$C$2)</f>
        <v>1.1111111111111107</v>
      </c>
      <c r="G854">
        <f>IF(B854&lt;'user input'!$C$5,0,(F854+G853))</f>
        <v>2.7777777777777768</v>
      </c>
      <c r="H854">
        <f>G854/'user input'!$C$4</f>
        <v>2.3148148148148138E-3</v>
      </c>
    </row>
    <row r="855" spans="1:8" x14ac:dyDescent="0.2">
      <c r="A855" s="1">
        <v>41031</v>
      </c>
      <c r="B855">
        <v>123</v>
      </c>
      <c r="C855" s="6">
        <f>IF('weather data'!C855&gt;'user input'!$C$3,'user input'!$C$3,'weather data'!C855)</f>
        <v>18.888888888888889</v>
      </c>
      <c r="D855" s="6">
        <f>IF('weather data'!D855&lt;'user input'!$C$2,'user input'!$C$2,'weather data'!D855)</f>
        <v>10</v>
      </c>
      <c r="E855">
        <f t="shared" si="14"/>
        <v>14.444444444444445</v>
      </c>
      <c r="F855">
        <f>IF((E855-'user input'!$C$2)&lt;0,0,E855-'user input'!$C$2)</f>
        <v>4.4444444444444446</v>
      </c>
      <c r="G855">
        <f>IF(B855&lt;'user input'!$C$5,0,(F855+G854))</f>
        <v>7.2222222222222214</v>
      </c>
      <c r="H855">
        <f>G855/'user input'!$C$4</f>
        <v>6.0185185185185177E-3</v>
      </c>
    </row>
    <row r="856" spans="1:8" x14ac:dyDescent="0.2">
      <c r="A856" s="1">
        <v>41032</v>
      </c>
      <c r="B856">
        <v>124</v>
      </c>
      <c r="C856" s="6">
        <f>IF('weather data'!C856&gt;'user input'!$C$3,'user input'!$C$3,'weather data'!C856)</f>
        <v>26.666666666666664</v>
      </c>
      <c r="D856" s="6">
        <f>IF('weather data'!D856&lt;'user input'!$C$2,'user input'!$C$2,'weather data'!D856)</f>
        <v>15</v>
      </c>
      <c r="E856">
        <f t="shared" si="14"/>
        <v>20.833333333333332</v>
      </c>
      <c r="F856">
        <f>IF((E856-'user input'!$C$2)&lt;0,0,E856-'user input'!$C$2)</f>
        <v>10.833333333333332</v>
      </c>
      <c r="G856">
        <f>IF(B856&lt;'user input'!$C$5,0,(F856+G855))</f>
        <v>18.055555555555554</v>
      </c>
      <c r="H856">
        <f>G856/'user input'!$C$4</f>
        <v>1.5046296296296295E-2</v>
      </c>
    </row>
    <row r="857" spans="1:8" x14ac:dyDescent="0.2">
      <c r="A857" s="1">
        <v>41033</v>
      </c>
      <c r="B857">
        <v>125</v>
      </c>
      <c r="C857" s="6">
        <f>IF('weather data'!C857&gt;'user input'!$C$3,'user input'!$C$3,'weather data'!C857)</f>
        <v>28.888888888888889</v>
      </c>
      <c r="D857" s="6">
        <f>IF('weather data'!D857&lt;'user input'!$C$2,'user input'!$C$2,'weather data'!D857)</f>
        <v>14.444444444444445</v>
      </c>
      <c r="E857">
        <f t="shared" si="14"/>
        <v>21.666666666666668</v>
      </c>
      <c r="F857">
        <f>IF((E857-'user input'!$C$2)&lt;0,0,E857-'user input'!$C$2)</f>
        <v>11.666666666666668</v>
      </c>
      <c r="G857">
        <f>IF(B857&lt;'user input'!$C$5,0,(F857+G856))</f>
        <v>29.722222222222221</v>
      </c>
      <c r="H857">
        <f>G857/'user input'!$C$4</f>
        <v>2.476851851851852E-2</v>
      </c>
    </row>
    <row r="858" spans="1:8" x14ac:dyDescent="0.2">
      <c r="A858" s="1">
        <v>41034</v>
      </c>
      <c r="B858">
        <v>126</v>
      </c>
      <c r="C858" s="6">
        <f>IF('weather data'!C858&gt;'user input'!$C$3,'user input'!$C$3,'weather data'!C858)</f>
        <v>18.333333333333332</v>
      </c>
      <c r="D858" s="6">
        <f>IF('weather data'!D858&lt;'user input'!$C$2,'user input'!$C$2,'weather data'!D858)</f>
        <v>10.555555555555555</v>
      </c>
      <c r="E858">
        <f t="shared" si="14"/>
        <v>14.444444444444443</v>
      </c>
      <c r="F858">
        <f>IF((E858-'user input'!$C$2)&lt;0,0,E858-'user input'!$C$2)</f>
        <v>4.4444444444444429</v>
      </c>
      <c r="G858">
        <f>IF(B858&lt;'user input'!$C$5,0,(F858+G857))</f>
        <v>34.166666666666664</v>
      </c>
      <c r="H858">
        <f>G858/'user input'!$C$4</f>
        <v>2.8472222222222222E-2</v>
      </c>
    </row>
    <row r="859" spans="1:8" x14ac:dyDescent="0.2">
      <c r="A859" s="1">
        <v>41035</v>
      </c>
      <c r="B859">
        <v>127</v>
      </c>
      <c r="C859" s="6">
        <f>IF('weather data'!C859&gt;'user input'!$C$3,'user input'!$C$3,'weather data'!C859)</f>
        <v>20</v>
      </c>
      <c r="D859" s="6">
        <f>IF('weather data'!D859&lt;'user input'!$C$2,'user input'!$C$2,'weather data'!D859)</f>
        <v>10.555555555555555</v>
      </c>
      <c r="E859">
        <f t="shared" si="14"/>
        <v>15.277777777777779</v>
      </c>
      <c r="F859">
        <f>IF((E859-'user input'!$C$2)&lt;0,0,E859-'user input'!$C$2)</f>
        <v>5.2777777777777786</v>
      </c>
      <c r="G859">
        <f>IF(B859&lt;'user input'!$C$5,0,(F859+G858))</f>
        <v>39.444444444444443</v>
      </c>
      <c r="H859">
        <f>G859/'user input'!$C$4</f>
        <v>3.2870370370370369E-2</v>
      </c>
    </row>
    <row r="860" spans="1:8" x14ac:dyDescent="0.2">
      <c r="A860" s="1">
        <v>41036</v>
      </c>
      <c r="B860">
        <v>128</v>
      </c>
      <c r="C860" s="6">
        <f>IF('weather data'!C860&gt;'user input'!$C$3,'user input'!$C$3,'weather data'!C860)</f>
        <v>18.888888888888889</v>
      </c>
      <c r="D860" s="6">
        <f>IF('weather data'!D860&lt;'user input'!$C$2,'user input'!$C$2,'weather data'!D860)</f>
        <v>10.555555555555555</v>
      </c>
      <c r="E860">
        <f t="shared" si="14"/>
        <v>14.722222222222221</v>
      </c>
      <c r="F860">
        <f>IF((E860-'user input'!$C$2)&lt;0,0,E860-'user input'!$C$2)</f>
        <v>4.7222222222222214</v>
      </c>
      <c r="G860">
        <f>IF(B860&lt;'user input'!$C$5,0,(F860+G859))</f>
        <v>44.166666666666664</v>
      </c>
      <c r="H860">
        <f>G860/'user input'!$C$4</f>
        <v>3.6805555555555557E-2</v>
      </c>
    </row>
    <row r="861" spans="1:8" x14ac:dyDescent="0.2">
      <c r="A861" s="1">
        <v>41037</v>
      </c>
      <c r="B861">
        <v>129</v>
      </c>
      <c r="C861" s="6">
        <f>IF('weather data'!C861&gt;'user input'!$C$3,'user input'!$C$3,'weather data'!C861)</f>
        <v>22.222222222222221</v>
      </c>
      <c r="D861" s="6">
        <f>IF('weather data'!D861&lt;'user input'!$C$2,'user input'!$C$2,'weather data'!D861)</f>
        <v>10</v>
      </c>
      <c r="E861">
        <f t="shared" si="14"/>
        <v>16.111111111111111</v>
      </c>
      <c r="F861">
        <f>IF((E861-'user input'!$C$2)&lt;0,0,E861-'user input'!$C$2)</f>
        <v>6.1111111111111107</v>
      </c>
      <c r="G861">
        <f>IF(B861&lt;'user input'!$C$5,0,(F861+G860))</f>
        <v>50.277777777777771</v>
      </c>
      <c r="H861">
        <f>G861/'user input'!$C$4</f>
        <v>4.1898148148148143E-2</v>
      </c>
    </row>
    <row r="862" spans="1:8" x14ac:dyDescent="0.2">
      <c r="A862" s="1">
        <v>41038</v>
      </c>
      <c r="B862">
        <v>130</v>
      </c>
      <c r="C862" s="6">
        <f>IF('weather data'!C862&gt;'user input'!$C$3,'user input'!$C$3,'weather data'!C862)</f>
        <v>18.888888888888889</v>
      </c>
      <c r="D862" s="6">
        <f>IF('weather data'!D862&lt;'user input'!$C$2,'user input'!$C$2,'weather data'!D862)</f>
        <v>10</v>
      </c>
      <c r="E862">
        <f t="shared" si="14"/>
        <v>14.444444444444445</v>
      </c>
      <c r="F862">
        <f>IF((E862-'user input'!$C$2)&lt;0,0,E862-'user input'!$C$2)</f>
        <v>4.4444444444444446</v>
      </c>
      <c r="G862">
        <f>IF(B862&lt;'user input'!$C$5,0,(F862+G861))</f>
        <v>54.722222222222214</v>
      </c>
      <c r="H862">
        <f>G862/'user input'!$C$4</f>
        <v>4.5601851851851845E-2</v>
      </c>
    </row>
    <row r="863" spans="1:8" x14ac:dyDescent="0.2">
      <c r="A863" s="1">
        <v>41039</v>
      </c>
      <c r="B863">
        <v>131</v>
      </c>
      <c r="C863" s="6">
        <f>IF('weather data'!C863&gt;'user input'!$C$3,'user input'!$C$3,'weather data'!C863)</f>
        <v>17.222222222222221</v>
      </c>
      <c r="D863" s="6">
        <f>IF('weather data'!D863&lt;'user input'!$C$2,'user input'!$C$2,'weather data'!D863)</f>
        <v>10</v>
      </c>
      <c r="E863">
        <f t="shared" si="14"/>
        <v>13.611111111111111</v>
      </c>
      <c r="F863">
        <f>IF((E863-'user input'!$C$2)&lt;0,0,E863-'user input'!$C$2)</f>
        <v>3.6111111111111107</v>
      </c>
      <c r="G863">
        <f>IF(B863&lt;'user input'!$C$5,0,(F863+G862))</f>
        <v>58.333333333333329</v>
      </c>
      <c r="H863">
        <f>G863/'user input'!$C$4</f>
        <v>4.8611111111111105E-2</v>
      </c>
    </row>
    <row r="864" spans="1:8" x14ac:dyDescent="0.2">
      <c r="A864" s="1">
        <v>41040</v>
      </c>
      <c r="B864">
        <v>132</v>
      </c>
      <c r="C864" s="6">
        <f>IF('weather data'!C864&gt;'user input'!$C$3,'user input'!$C$3,'weather data'!C864)</f>
        <v>21.666666666666664</v>
      </c>
      <c r="D864" s="6">
        <f>IF('weather data'!D864&lt;'user input'!$C$2,'user input'!$C$2,'weather data'!D864)</f>
        <v>10</v>
      </c>
      <c r="E864">
        <f t="shared" si="14"/>
        <v>15.833333333333332</v>
      </c>
      <c r="F864">
        <f>IF((E864-'user input'!$C$2)&lt;0,0,E864-'user input'!$C$2)</f>
        <v>5.8333333333333321</v>
      </c>
      <c r="G864">
        <f>IF(B864&lt;'user input'!$C$5,0,(F864+G863))</f>
        <v>64.166666666666657</v>
      </c>
      <c r="H864">
        <f>G864/'user input'!$C$4</f>
        <v>5.3472222222222213E-2</v>
      </c>
    </row>
    <row r="865" spans="1:8" x14ac:dyDescent="0.2">
      <c r="A865" s="1">
        <v>41041</v>
      </c>
      <c r="B865">
        <v>133</v>
      </c>
      <c r="C865" s="6">
        <f>IF('weather data'!C865&gt;'user input'!$C$3,'user input'!$C$3,'weather data'!C865)</f>
        <v>26.666666666666664</v>
      </c>
      <c r="D865" s="6">
        <f>IF('weather data'!D865&lt;'user input'!$C$2,'user input'!$C$2,'weather data'!D865)</f>
        <v>11.111111111111111</v>
      </c>
      <c r="E865">
        <f t="shared" si="14"/>
        <v>18.888888888888886</v>
      </c>
      <c r="F865">
        <f>IF((E865-'user input'!$C$2)&lt;0,0,E865-'user input'!$C$2)</f>
        <v>8.8888888888888857</v>
      </c>
      <c r="G865">
        <f>IF(B865&lt;'user input'!$C$5,0,(F865+G864))</f>
        <v>73.055555555555543</v>
      </c>
      <c r="H865">
        <f>G865/'user input'!$C$4</f>
        <v>6.0879629629629617E-2</v>
      </c>
    </row>
    <row r="866" spans="1:8" x14ac:dyDescent="0.2">
      <c r="A866" s="1">
        <v>41042</v>
      </c>
      <c r="B866">
        <v>134</v>
      </c>
      <c r="C866" s="6">
        <f>IF('weather data'!C866&gt;'user input'!$C$3,'user input'!$C$3,'weather data'!C866)</f>
        <v>20</v>
      </c>
      <c r="D866" s="6">
        <f>IF('weather data'!D866&lt;'user input'!$C$2,'user input'!$C$2,'weather data'!D866)</f>
        <v>10</v>
      </c>
      <c r="E866">
        <f t="shared" si="14"/>
        <v>15</v>
      </c>
      <c r="F866">
        <f>IF((E866-'user input'!$C$2)&lt;0,0,E866-'user input'!$C$2)</f>
        <v>5</v>
      </c>
      <c r="G866">
        <f>IF(B866&lt;'user input'!$C$5,0,(F866+G865))</f>
        <v>78.055555555555543</v>
      </c>
      <c r="H866">
        <f>G866/'user input'!$C$4</f>
        <v>6.5046296296296283E-2</v>
      </c>
    </row>
    <row r="867" spans="1:8" x14ac:dyDescent="0.2">
      <c r="A867" s="1">
        <v>41043</v>
      </c>
      <c r="B867">
        <v>135</v>
      </c>
      <c r="C867" s="6">
        <f>IF('weather data'!C867&gt;'user input'!$C$3,'user input'!$C$3,'weather data'!C867)</f>
        <v>23.333333333333336</v>
      </c>
      <c r="D867" s="6">
        <f>IF('weather data'!D867&lt;'user input'!$C$2,'user input'!$C$2,'weather data'!D867)</f>
        <v>10</v>
      </c>
      <c r="E867">
        <f t="shared" si="14"/>
        <v>16.666666666666668</v>
      </c>
      <c r="F867">
        <f>IF((E867-'user input'!$C$2)&lt;0,0,E867-'user input'!$C$2)</f>
        <v>6.6666666666666679</v>
      </c>
      <c r="G867">
        <f>IF(B867&lt;'user input'!$C$5,0,(F867+G866))</f>
        <v>84.722222222222214</v>
      </c>
      <c r="H867">
        <f>G867/'user input'!$C$4</f>
        <v>7.0601851851851846E-2</v>
      </c>
    </row>
    <row r="868" spans="1:8" x14ac:dyDescent="0.2">
      <c r="A868" s="1">
        <v>41044</v>
      </c>
      <c r="B868">
        <v>136</v>
      </c>
      <c r="C868" s="6">
        <f>IF('weather data'!C868&gt;'user input'!$C$3,'user input'!$C$3,'weather data'!C868)</f>
        <v>26.666666666666664</v>
      </c>
      <c r="D868" s="6">
        <f>IF('weather data'!D868&lt;'user input'!$C$2,'user input'!$C$2,'weather data'!D868)</f>
        <v>10</v>
      </c>
      <c r="E868">
        <f t="shared" si="14"/>
        <v>18.333333333333332</v>
      </c>
      <c r="F868">
        <f>IF((E868-'user input'!$C$2)&lt;0,0,E868-'user input'!$C$2)</f>
        <v>8.3333333333333321</v>
      </c>
      <c r="G868">
        <f>IF(B868&lt;'user input'!$C$5,0,(F868+G867))</f>
        <v>93.055555555555543</v>
      </c>
      <c r="H868">
        <f>G868/'user input'!$C$4</f>
        <v>7.754629629629628E-2</v>
      </c>
    </row>
    <row r="869" spans="1:8" x14ac:dyDescent="0.2">
      <c r="A869" s="1">
        <v>41045</v>
      </c>
      <c r="B869">
        <v>137</v>
      </c>
      <c r="C869" s="6">
        <f>IF('weather data'!C869&gt;'user input'!$C$3,'user input'!$C$3,'weather data'!C869)</f>
        <v>30</v>
      </c>
      <c r="D869" s="6">
        <f>IF('weather data'!D869&lt;'user input'!$C$2,'user input'!$C$2,'weather data'!D869)</f>
        <v>10</v>
      </c>
      <c r="E869">
        <f t="shared" si="14"/>
        <v>20</v>
      </c>
      <c r="F869">
        <f>IF((E869-'user input'!$C$2)&lt;0,0,E869-'user input'!$C$2)</f>
        <v>10</v>
      </c>
      <c r="G869">
        <f>IF(B869&lt;'user input'!$C$5,0,(F869+G868))</f>
        <v>103.05555555555554</v>
      </c>
      <c r="H869">
        <f>G869/'user input'!$C$4</f>
        <v>8.5879629629629625E-2</v>
      </c>
    </row>
    <row r="870" spans="1:8" x14ac:dyDescent="0.2">
      <c r="A870" s="1">
        <v>41046</v>
      </c>
      <c r="B870">
        <v>138</v>
      </c>
      <c r="C870" s="6">
        <f>IF('weather data'!C870&gt;'user input'!$C$3,'user input'!$C$3,'weather data'!C870)</f>
        <v>21.111111111111111</v>
      </c>
      <c r="D870" s="6">
        <f>IF('weather data'!D870&lt;'user input'!$C$2,'user input'!$C$2,'weather data'!D870)</f>
        <v>10</v>
      </c>
      <c r="E870">
        <f t="shared" si="14"/>
        <v>15.555555555555555</v>
      </c>
      <c r="F870">
        <f>IF((E870-'user input'!$C$2)&lt;0,0,E870-'user input'!$C$2)</f>
        <v>5.5555555555555554</v>
      </c>
      <c r="G870">
        <f>IF(B870&lt;'user input'!$C$5,0,(F870+G869))</f>
        <v>108.6111111111111</v>
      </c>
      <c r="H870">
        <f>G870/'user input'!$C$4</f>
        <v>9.0509259259259248E-2</v>
      </c>
    </row>
    <row r="871" spans="1:8" x14ac:dyDescent="0.2">
      <c r="A871" s="1">
        <v>41047</v>
      </c>
      <c r="B871">
        <v>139</v>
      </c>
      <c r="C871" s="6">
        <f>IF('weather data'!C871&gt;'user input'!$C$3,'user input'!$C$3,'weather data'!C871)</f>
        <v>23.888888888888889</v>
      </c>
      <c r="D871" s="6">
        <f>IF('weather data'!D871&lt;'user input'!$C$2,'user input'!$C$2,'weather data'!D871)</f>
        <v>10</v>
      </c>
      <c r="E871">
        <f t="shared" si="14"/>
        <v>16.944444444444443</v>
      </c>
      <c r="F871">
        <f>IF((E871-'user input'!$C$2)&lt;0,0,E871-'user input'!$C$2)</f>
        <v>6.9444444444444429</v>
      </c>
      <c r="G871">
        <f>IF(B871&lt;'user input'!$C$5,0,(F871+G870))</f>
        <v>115.55555555555554</v>
      </c>
      <c r="H871">
        <f>G871/'user input'!$C$4</f>
        <v>9.6296296296296283E-2</v>
      </c>
    </row>
    <row r="872" spans="1:8" x14ac:dyDescent="0.2">
      <c r="A872" s="1">
        <v>41048</v>
      </c>
      <c r="B872">
        <v>140</v>
      </c>
      <c r="C872" s="6">
        <f>IF('weather data'!C872&gt;'user input'!$C$3,'user input'!$C$3,'weather data'!C872)</f>
        <v>30</v>
      </c>
      <c r="D872" s="6">
        <f>IF('weather data'!D872&lt;'user input'!$C$2,'user input'!$C$2,'weather data'!D872)</f>
        <v>13.333333333333332</v>
      </c>
      <c r="E872">
        <f t="shared" si="14"/>
        <v>21.666666666666664</v>
      </c>
      <c r="F872">
        <f>IF((E872-'user input'!$C$2)&lt;0,0,E872-'user input'!$C$2)</f>
        <v>11.666666666666664</v>
      </c>
      <c r="G872">
        <f>IF(B872&lt;'user input'!$C$5,0,(F872+G871))</f>
        <v>127.2222222222222</v>
      </c>
      <c r="H872">
        <f>G872/'user input'!$C$4</f>
        <v>0.1060185185185185</v>
      </c>
    </row>
    <row r="873" spans="1:8" x14ac:dyDescent="0.2">
      <c r="A873" s="1">
        <v>41049</v>
      </c>
      <c r="B873">
        <v>141</v>
      </c>
      <c r="C873" s="6">
        <f>IF('weather data'!C873&gt;'user input'!$C$3,'user input'!$C$3,'weather data'!C873)</f>
        <v>30</v>
      </c>
      <c r="D873" s="6">
        <f>IF('weather data'!D873&lt;'user input'!$C$2,'user input'!$C$2,'weather data'!D873)</f>
        <v>16.111111111111111</v>
      </c>
      <c r="E873">
        <f t="shared" si="14"/>
        <v>23.055555555555557</v>
      </c>
      <c r="F873">
        <f>IF((E873-'user input'!$C$2)&lt;0,0,E873-'user input'!$C$2)</f>
        <v>13.055555555555557</v>
      </c>
      <c r="G873">
        <f>IF(B873&lt;'user input'!$C$5,0,(F873+G872))</f>
        <v>140.27777777777777</v>
      </c>
      <c r="H873">
        <f>G873/'user input'!$C$4</f>
        <v>0.11689814814814814</v>
      </c>
    </row>
    <row r="874" spans="1:8" x14ac:dyDescent="0.2">
      <c r="A874" s="1">
        <v>41050</v>
      </c>
      <c r="B874">
        <v>142</v>
      </c>
      <c r="C874" s="6">
        <f>IF('weather data'!C874&gt;'user input'!$C$3,'user input'!$C$3,'weather data'!C874)</f>
        <v>27.777777777777779</v>
      </c>
      <c r="D874" s="6">
        <f>IF('weather data'!D874&lt;'user input'!$C$2,'user input'!$C$2,'weather data'!D874)</f>
        <v>10</v>
      </c>
      <c r="E874">
        <f t="shared" si="14"/>
        <v>18.888888888888889</v>
      </c>
      <c r="F874">
        <f>IF((E874-'user input'!$C$2)&lt;0,0,E874-'user input'!$C$2)</f>
        <v>8.8888888888888893</v>
      </c>
      <c r="G874">
        <f>IF(B874&lt;'user input'!$C$5,0,(F874+G873))</f>
        <v>149.16666666666666</v>
      </c>
      <c r="H874">
        <f>G874/'user input'!$C$4</f>
        <v>0.12430555555555554</v>
      </c>
    </row>
    <row r="875" spans="1:8" x14ac:dyDescent="0.2">
      <c r="A875" s="1">
        <v>41051</v>
      </c>
      <c r="B875">
        <v>143</v>
      </c>
      <c r="C875" s="6">
        <f>IF('weather data'!C875&gt;'user input'!$C$3,'user input'!$C$3,'weather data'!C875)</f>
        <v>22.777777777777779</v>
      </c>
      <c r="D875" s="6">
        <f>IF('weather data'!D875&lt;'user input'!$C$2,'user input'!$C$2,'weather data'!D875)</f>
        <v>10</v>
      </c>
      <c r="E875">
        <f t="shared" si="14"/>
        <v>16.388888888888889</v>
      </c>
      <c r="F875">
        <f>IF((E875-'user input'!$C$2)&lt;0,0,E875-'user input'!$C$2)</f>
        <v>6.3888888888888893</v>
      </c>
      <c r="G875">
        <f>IF(B875&lt;'user input'!$C$5,0,(F875+G874))</f>
        <v>155.55555555555554</v>
      </c>
      <c r="H875">
        <f>G875/'user input'!$C$4</f>
        <v>0.12962962962962962</v>
      </c>
    </row>
    <row r="876" spans="1:8" x14ac:dyDescent="0.2">
      <c r="A876" s="1">
        <v>41052</v>
      </c>
      <c r="B876">
        <v>144</v>
      </c>
      <c r="C876" s="6">
        <f>IF('weather data'!C876&gt;'user input'!$C$3,'user input'!$C$3,'weather data'!C876)</f>
        <v>24.444444444444446</v>
      </c>
      <c r="D876" s="6">
        <f>IF('weather data'!D876&lt;'user input'!$C$2,'user input'!$C$2,'weather data'!D876)</f>
        <v>10</v>
      </c>
      <c r="E876">
        <f t="shared" si="14"/>
        <v>17.222222222222221</v>
      </c>
      <c r="F876">
        <f>IF((E876-'user input'!$C$2)&lt;0,0,E876-'user input'!$C$2)</f>
        <v>7.2222222222222214</v>
      </c>
      <c r="G876">
        <f>IF(B876&lt;'user input'!$C$5,0,(F876+G875))</f>
        <v>162.77777777777777</v>
      </c>
      <c r="H876">
        <f>G876/'user input'!$C$4</f>
        <v>0.13564814814814816</v>
      </c>
    </row>
    <row r="877" spans="1:8" x14ac:dyDescent="0.2">
      <c r="A877" s="1">
        <v>41053</v>
      </c>
      <c r="B877">
        <v>145</v>
      </c>
      <c r="C877" s="6">
        <f>IF('weather data'!C877&gt;'user input'!$C$3,'user input'!$C$3,'weather data'!C877)</f>
        <v>27.222222222222221</v>
      </c>
      <c r="D877" s="6">
        <f>IF('weather data'!D877&lt;'user input'!$C$2,'user input'!$C$2,'weather data'!D877)</f>
        <v>12.222222222222223</v>
      </c>
      <c r="E877">
        <f t="shared" si="14"/>
        <v>19.722222222222221</v>
      </c>
      <c r="F877">
        <f>IF((E877-'user input'!$C$2)&lt;0,0,E877-'user input'!$C$2)</f>
        <v>9.7222222222222214</v>
      </c>
      <c r="G877">
        <f>IF(B877&lt;'user input'!$C$5,0,(F877+G876))</f>
        <v>172.5</v>
      </c>
      <c r="H877">
        <f>G877/'user input'!$C$4</f>
        <v>0.14374999999999999</v>
      </c>
    </row>
    <row r="878" spans="1:8" x14ac:dyDescent="0.2">
      <c r="A878" s="1">
        <v>41054</v>
      </c>
      <c r="B878">
        <v>146</v>
      </c>
      <c r="C878" s="6">
        <f>IF('weather data'!C878&gt;'user input'!$C$3,'user input'!$C$3,'weather data'!C878)</f>
        <v>30</v>
      </c>
      <c r="D878" s="6">
        <f>IF('weather data'!D878&lt;'user input'!$C$2,'user input'!$C$2,'weather data'!D878)</f>
        <v>11.111111111111111</v>
      </c>
      <c r="E878">
        <f t="shared" si="14"/>
        <v>20.555555555555557</v>
      </c>
      <c r="F878">
        <f>IF((E878-'user input'!$C$2)&lt;0,0,E878-'user input'!$C$2)</f>
        <v>10.555555555555557</v>
      </c>
      <c r="G878">
        <f>IF(B878&lt;'user input'!$C$5,0,(F878+G877))</f>
        <v>183.05555555555554</v>
      </c>
      <c r="H878">
        <f>G878/'user input'!$C$4</f>
        <v>0.15254629629629629</v>
      </c>
    </row>
    <row r="879" spans="1:8" x14ac:dyDescent="0.2">
      <c r="A879" s="1">
        <v>41055</v>
      </c>
      <c r="B879">
        <v>147</v>
      </c>
      <c r="C879" s="6">
        <f>IF('weather data'!C879&gt;'user input'!$C$3,'user input'!$C$3,'weather data'!C879)</f>
        <v>23.888888888888889</v>
      </c>
      <c r="D879" s="6">
        <f>IF('weather data'!D879&lt;'user input'!$C$2,'user input'!$C$2,'weather data'!D879)</f>
        <v>12.777777777777777</v>
      </c>
      <c r="E879">
        <f t="shared" si="14"/>
        <v>18.333333333333332</v>
      </c>
      <c r="F879">
        <f>IF((E879-'user input'!$C$2)&lt;0,0,E879-'user input'!$C$2)</f>
        <v>8.3333333333333321</v>
      </c>
      <c r="G879">
        <f>IF(B879&lt;'user input'!$C$5,0,(F879+G878))</f>
        <v>191.38888888888889</v>
      </c>
      <c r="H879">
        <f>G879/'user input'!$C$4</f>
        <v>0.15949074074074074</v>
      </c>
    </row>
    <row r="880" spans="1:8" x14ac:dyDescent="0.2">
      <c r="A880" s="1">
        <v>41056</v>
      </c>
      <c r="B880">
        <v>148</v>
      </c>
      <c r="C880" s="6">
        <f>IF('weather data'!C880&gt;'user input'!$C$3,'user input'!$C$3,'weather data'!C880)</f>
        <v>29.444444444444446</v>
      </c>
      <c r="D880" s="6">
        <f>IF('weather data'!D880&lt;'user input'!$C$2,'user input'!$C$2,'weather data'!D880)</f>
        <v>17.222222222222221</v>
      </c>
      <c r="E880">
        <f t="shared" si="14"/>
        <v>23.333333333333336</v>
      </c>
      <c r="F880">
        <f>IF((E880-'user input'!$C$2)&lt;0,0,E880-'user input'!$C$2)</f>
        <v>13.333333333333336</v>
      </c>
      <c r="G880">
        <f>IF(B880&lt;'user input'!$C$5,0,(F880+G879))</f>
        <v>204.72222222222223</v>
      </c>
      <c r="H880">
        <f>G880/'user input'!$C$4</f>
        <v>0.17060185185185187</v>
      </c>
    </row>
    <row r="881" spans="1:8" x14ac:dyDescent="0.2">
      <c r="A881" s="1">
        <v>41057</v>
      </c>
      <c r="B881">
        <v>149</v>
      </c>
      <c r="C881" s="6">
        <f>IF('weather data'!C881&gt;'user input'!$C$3,'user input'!$C$3,'weather data'!C881)</f>
        <v>30</v>
      </c>
      <c r="D881" s="6">
        <f>IF('weather data'!D881&lt;'user input'!$C$2,'user input'!$C$2,'weather data'!D881)</f>
        <v>17.222222222222221</v>
      </c>
      <c r="E881">
        <f t="shared" si="14"/>
        <v>23.611111111111111</v>
      </c>
      <c r="F881">
        <f>IF((E881-'user input'!$C$2)&lt;0,0,E881-'user input'!$C$2)</f>
        <v>13.611111111111111</v>
      </c>
      <c r="G881">
        <f>IF(B881&lt;'user input'!$C$5,0,(F881+G880))</f>
        <v>218.33333333333334</v>
      </c>
      <c r="H881">
        <f>G881/'user input'!$C$4</f>
        <v>0.18194444444444446</v>
      </c>
    </row>
    <row r="882" spans="1:8" x14ac:dyDescent="0.2">
      <c r="A882" s="1">
        <v>41058</v>
      </c>
      <c r="B882">
        <v>150</v>
      </c>
      <c r="C882" s="6">
        <f>IF('weather data'!C882&gt;'user input'!$C$3,'user input'!$C$3,'weather data'!C882)</f>
        <v>29.444444444444446</v>
      </c>
      <c r="D882" s="6">
        <f>IF('weather data'!D882&lt;'user input'!$C$2,'user input'!$C$2,'weather data'!D882)</f>
        <v>13.333333333333332</v>
      </c>
      <c r="E882">
        <f t="shared" si="14"/>
        <v>21.388888888888889</v>
      </c>
      <c r="F882">
        <f>IF((E882-'user input'!$C$2)&lt;0,0,E882-'user input'!$C$2)</f>
        <v>11.388888888888889</v>
      </c>
      <c r="G882">
        <f>IF(B882&lt;'user input'!$C$5,0,(F882+G881))</f>
        <v>229.72222222222223</v>
      </c>
      <c r="H882">
        <f>G882/'user input'!$C$4</f>
        <v>0.19143518518518518</v>
      </c>
    </row>
    <row r="883" spans="1:8" x14ac:dyDescent="0.2">
      <c r="A883" s="1">
        <v>41059</v>
      </c>
      <c r="B883">
        <v>151</v>
      </c>
      <c r="C883" s="6">
        <f>IF('weather data'!C883&gt;'user input'!$C$3,'user input'!$C$3,'weather data'!C883)</f>
        <v>23.333333333333336</v>
      </c>
      <c r="D883" s="6">
        <f>IF('weather data'!D883&lt;'user input'!$C$2,'user input'!$C$2,'weather data'!D883)</f>
        <v>10</v>
      </c>
      <c r="E883">
        <f t="shared" si="14"/>
        <v>16.666666666666668</v>
      </c>
      <c r="F883">
        <f>IF((E883-'user input'!$C$2)&lt;0,0,E883-'user input'!$C$2)</f>
        <v>6.6666666666666679</v>
      </c>
      <c r="G883">
        <f>IF(B883&lt;'user input'!$C$5,0,(F883+G882))</f>
        <v>236.38888888888889</v>
      </c>
      <c r="H883">
        <f>G883/'user input'!$C$4</f>
        <v>0.19699074074074074</v>
      </c>
    </row>
    <row r="884" spans="1:8" x14ac:dyDescent="0.2">
      <c r="A884" s="1">
        <v>41060</v>
      </c>
      <c r="B884">
        <v>152</v>
      </c>
      <c r="C884" s="6">
        <f>IF('weather data'!C884&gt;'user input'!$C$3,'user input'!$C$3,'weather data'!C884)</f>
        <v>17.222222222222221</v>
      </c>
      <c r="D884" s="6">
        <f>IF('weather data'!D884&lt;'user input'!$C$2,'user input'!$C$2,'weather data'!D884)</f>
        <v>10</v>
      </c>
      <c r="E884">
        <f t="shared" si="14"/>
        <v>13.611111111111111</v>
      </c>
      <c r="F884">
        <f>IF((E884-'user input'!$C$2)&lt;0,0,E884-'user input'!$C$2)</f>
        <v>3.6111111111111107</v>
      </c>
      <c r="G884">
        <f>IF(B884&lt;'user input'!$C$5,0,(F884+G883))</f>
        <v>240</v>
      </c>
      <c r="H884">
        <f>G884/'user input'!$C$4</f>
        <v>0.2</v>
      </c>
    </row>
    <row r="885" spans="1:8" x14ac:dyDescent="0.2">
      <c r="A885" s="1">
        <v>41061</v>
      </c>
      <c r="B885">
        <v>153</v>
      </c>
      <c r="C885" s="6">
        <f>IF('weather data'!C885&gt;'user input'!$C$3,'user input'!$C$3,'weather data'!C885)</f>
        <v>13.333333333333332</v>
      </c>
      <c r="D885" s="6">
        <f>IF('weather data'!D885&lt;'user input'!$C$2,'user input'!$C$2,'weather data'!D885)</f>
        <v>10</v>
      </c>
      <c r="E885">
        <f t="shared" si="14"/>
        <v>11.666666666666666</v>
      </c>
      <c r="F885">
        <f>IF((E885-'user input'!$C$2)&lt;0,0,E885-'user input'!$C$2)</f>
        <v>1.6666666666666661</v>
      </c>
      <c r="G885">
        <f>IF(B885&lt;'user input'!$C$5,0,(F885+G884))</f>
        <v>241.66666666666666</v>
      </c>
      <c r="H885">
        <f>G885/'user input'!$C$4</f>
        <v>0.20138888888888887</v>
      </c>
    </row>
    <row r="886" spans="1:8" x14ac:dyDescent="0.2">
      <c r="A886" s="1">
        <v>41062</v>
      </c>
      <c r="B886">
        <v>154</v>
      </c>
      <c r="C886" s="6">
        <f>IF('weather data'!C886&gt;'user input'!$C$3,'user input'!$C$3,'weather data'!C886)</f>
        <v>20</v>
      </c>
      <c r="D886" s="6">
        <f>IF('weather data'!D886&lt;'user input'!$C$2,'user input'!$C$2,'weather data'!D886)</f>
        <v>10</v>
      </c>
      <c r="E886">
        <f t="shared" si="14"/>
        <v>15</v>
      </c>
      <c r="F886">
        <f>IF((E886-'user input'!$C$2)&lt;0,0,E886-'user input'!$C$2)</f>
        <v>5</v>
      </c>
      <c r="G886">
        <f>IF(B886&lt;'user input'!$C$5,0,(F886+G885))</f>
        <v>246.66666666666666</v>
      </c>
      <c r="H886">
        <f>G886/'user input'!$C$4</f>
        <v>0.20555555555555555</v>
      </c>
    </row>
    <row r="887" spans="1:8" x14ac:dyDescent="0.2">
      <c r="A887" s="1">
        <v>41063</v>
      </c>
      <c r="B887">
        <v>155</v>
      </c>
      <c r="C887" s="6">
        <f>IF('weather data'!C887&gt;'user input'!$C$3,'user input'!$C$3,'weather data'!C887)</f>
        <v>23.888888888888889</v>
      </c>
      <c r="D887" s="6">
        <f>IF('weather data'!D887&lt;'user input'!$C$2,'user input'!$C$2,'weather data'!D887)</f>
        <v>10</v>
      </c>
      <c r="E887">
        <f t="shared" si="14"/>
        <v>16.944444444444443</v>
      </c>
      <c r="F887">
        <f>IF((E887-'user input'!$C$2)&lt;0,0,E887-'user input'!$C$2)</f>
        <v>6.9444444444444429</v>
      </c>
      <c r="G887">
        <f>IF(B887&lt;'user input'!$C$5,0,(F887+G886))</f>
        <v>253.61111111111109</v>
      </c>
      <c r="H887">
        <f>G887/'user input'!$C$4</f>
        <v>0.21134259259259258</v>
      </c>
    </row>
    <row r="888" spans="1:8" x14ac:dyDescent="0.2">
      <c r="A888" s="1">
        <v>41064</v>
      </c>
      <c r="B888">
        <v>156</v>
      </c>
      <c r="C888" s="6">
        <f>IF('weather data'!C888&gt;'user input'!$C$3,'user input'!$C$3,'weather data'!C888)</f>
        <v>26.666666666666664</v>
      </c>
      <c r="D888" s="6">
        <f>IF('weather data'!D888&lt;'user input'!$C$2,'user input'!$C$2,'weather data'!D888)</f>
        <v>10</v>
      </c>
      <c r="E888">
        <f t="shared" si="14"/>
        <v>18.333333333333332</v>
      </c>
      <c r="F888">
        <f>IF((E888-'user input'!$C$2)&lt;0,0,E888-'user input'!$C$2)</f>
        <v>8.3333333333333321</v>
      </c>
      <c r="G888">
        <f>IF(B888&lt;'user input'!$C$5,0,(F888+G887))</f>
        <v>261.9444444444444</v>
      </c>
      <c r="H888">
        <f>G888/'user input'!$C$4</f>
        <v>0.218287037037037</v>
      </c>
    </row>
    <row r="889" spans="1:8" x14ac:dyDescent="0.2">
      <c r="A889" s="1">
        <v>41065</v>
      </c>
      <c r="B889">
        <v>157</v>
      </c>
      <c r="C889" s="6">
        <f>IF('weather data'!C889&gt;'user input'!$C$3,'user input'!$C$3,'weather data'!C889)</f>
        <v>24.444444444444446</v>
      </c>
      <c r="D889" s="6">
        <f>IF('weather data'!D889&lt;'user input'!$C$2,'user input'!$C$2,'weather data'!D889)</f>
        <v>10</v>
      </c>
      <c r="E889">
        <f t="shared" si="14"/>
        <v>17.222222222222221</v>
      </c>
      <c r="F889">
        <f>IF((E889-'user input'!$C$2)&lt;0,0,E889-'user input'!$C$2)</f>
        <v>7.2222222222222214</v>
      </c>
      <c r="G889">
        <f>IF(B889&lt;'user input'!$C$5,0,(F889+G888))</f>
        <v>269.16666666666663</v>
      </c>
      <c r="H889">
        <f>G889/'user input'!$C$4</f>
        <v>0.22430555555555554</v>
      </c>
    </row>
    <row r="890" spans="1:8" x14ac:dyDescent="0.2">
      <c r="A890" s="1">
        <v>41066</v>
      </c>
      <c r="B890">
        <v>158</v>
      </c>
      <c r="C890" s="6">
        <f>IF('weather data'!C890&gt;'user input'!$C$3,'user input'!$C$3,'weather data'!C890)</f>
        <v>24.444444444444446</v>
      </c>
      <c r="D890" s="6">
        <f>IF('weather data'!D890&lt;'user input'!$C$2,'user input'!$C$2,'weather data'!D890)</f>
        <v>10</v>
      </c>
      <c r="E890">
        <f t="shared" si="14"/>
        <v>17.222222222222221</v>
      </c>
      <c r="F890">
        <f>IF((E890-'user input'!$C$2)&lt;0,0,E890-'user input'!$C$2)</f>
        <v>7.2222222222222214</v>
      </c>
      <c r="G890">
        <f>IF(B890&lt;'user input'!$C$5,0,(F890+G889))</f>
        <v>276.38888888888886</v>
      </c>
      <c r="H890">
        <f>G890/'user input'!$C$4</f>
        <v>0.23032407407407404</v>
      </c>
    </row>
    <row r="891" spans="1:8" x14ac:dyDescent="0.2">
      <c r="A891" s="1">
        <v>41067</v>
      </c>
      <c r="B891">
        <v>159</v>
      </c>
      <c r="C891" s="6">
        <f>IF('weather data'!C891&gt;'user input'!$C$3,'user input'!$C$3,'weather data'!C891)</f>
        <v>25.555555555555554</v>
      </c>
      <c r="D891" s="6">
        <f>IF('weather data'!D891&lt;'user input'!$C$2,'user input'!$C$2,'weather data'!D891)</f>
        <v>10</v>
      </c>
      <c r="E891">
        <f t="shared" si="14"/>
        <v>17.777777777777779</v>
      </c>
      <c r="F891">
        <f>IF((E891-'user input'!$C$2)&lt;0,0,E891-'user input'!$C$2)</f>
        <v>7.7777777777777786</v>
      </c>
      <c r="G891">
        <f>IF(B891&lt;'user input'!$C$5,0,(F891+G890))</f>
        <v>284.16666666666663</v>
      </c>
      <c r="H891">
        <f>G891/'user input'!$C$4</f>
        <v>0.23680555555555552</v>
      </c>
    </row>
    <row r="892" spans="1:8" x14ac:dyDescent="0.2">
      <c r="A892" s="1">
        <v>41068</v>
      </c>
      <c r="B892">
        <v>160</v>
      </c>
      <c r="C892" s="6">
        <f>IF('weather data'!C892&gt;'user input'!$C$3,'user input'!$C$3,'weather data'!C892)</f>
        <v>27.777777777777779</v>
      </c>
      <c r="D892" s="6">
        <f>IF('weather data'!D892&lt;'user input'!$C$2,'user input'!$C$2,'weather data'!D892)</f>
        <v>10</v>
      </c>
      <c r="E892">
        <f t="shared" si="14"/>
        <v>18.888888888888889</v>
      </c>
      <c r="F892">
        <f>IF((E892-'user input'!$C$2)&lt;0,0,E892-'user input'!$C$2)</f>
        <v>8.8888888888888893</v>
      </c>
      <c r="G892">
        <f>IF(B892&lt;'user input'!$C$5,0,(F892+G891))</f>
        <v>293.05555555555554</v>
      </c>
      <c r="H892">
        <f>G892/'user input'!$C$4</f>
        <v>0.24421296296296297</v>
      </c>
    </row>
    <row r="893" spans="1:8" x14ac:dyDescent="0.2">
      <c r="A893" s="1">
        <v>41069</v>
      </c>
      <c r="B893">
        <v>161</v>
      </c>
      <c r="C893" s="6">
        <f>IF('weather data'!C893&gt;'user input'!$C$3,'user input'!$C$3,'weather data'!C893)</f>
        <v>30</v>
      </c>
      <c r="D893" s="6">
        <f>IF('weather data'!D893&lt;'user input'!$C$2,'user input'!$C$2,'weather data'!D893)</f>
        <v>13.888888888888889</v>
      </c>
      <c r="E893">
        <f t="shared" si="14"/>
        <v>21.944444444444443</v>
      </c>
      <c r="F893">
        <f>IF((E893-'user input'!$C$2)&lt;0,0,E893-'user input'!$C$2)</f>
        <v>11.944444444444443</v>
      </c>
      <c r="G893">
        <f>IF(B893&lt;'user input'!$C$5,0,(F893+G892))</f>
        <v>305</v>
      </c>
      <c r="H893">
        <f>G893/'user input'!$C$4</f>
        <v>0.25416666666666665</v>
      </c>
    </row>
    <row r="894" spans="1:8" x14ac:dyDescent="0.2">
      <c r="A894" s="1">
        <v>41070</v>
      </c>
      <c r="B894">
        <v>162</v>
      </c>
      <c r="C894" s="6">
        <f>IF('weather data'!C894&gt;'user input'!$C$3,'user input'!$C$3,'weather data'!C894)</f>
        <v>30</v>
      </c>
      <c r="D894" s="6">
        <f>IF('weather data'!D894&lt;'user input'!$C$2,'user input'!$C$2,'weather data'!D894)</f>
        <v>17.777777777777779</v>
      </c>
      <c r="E894">
        <f t="shared" si="14"/>
        <v>23.888888888888889</v>
      </c>
      <c r="F894">
        <f>IF((E894-'user input'!$C$2)&lt;0,0,E894-'user input'!$C$2)</f>
        <v>13.888888888888889</v>
      </c>
      <c r="G894">
        <f>IF(B894&lt;'user input'!$C$5,0,(F894+G893))</f>
        <v>318.88888888888891</v>
      </c>
      <c r="H894">
        <f>G894/'user input'!$C$4</f>
        <v>0.26574074074074078</v>
      </c>
    </row>
    <row r="895" spans="1:8" x14ac:dyDescent="0.2">
      <c r="A895" s="1">
        <v>41071</v>
      </c>
      <c r="B895">
        <v>163</v>
      </c>
      <c r="C895" s="6">
        <f>IF('weather data'!C895&gt;'user input'!$C$3,'user input'!$C$3,'weather data'!C895)</f>
        <v>30</v>
      </c>
      <c r="D895" s="6">
        <f>IF('weather data'!D895&lt;'user input'!$C$2,'user input'!$C$2,'weather data'!D895)</f>
        <v>18.333333333333332</v>
      </c>
      <c r="E895">
        <f t="shared" si="14"/>
        <v>24.166666666666664</v>
      </c>
      <c r="F895">
        <f>IF((E895-'user input'!$C$2)&lt;0,0,E895-'user input'!$C$2)</f>
        <v>14.166666666666664</v>
      </c>
      <c r="G895">
        <f>IF(B895&lt;'user input'!$C$5,0,(F895+G894))</f>
        <v>333.0555555555556</v>
      </c>
      <c r="H895">
        <f>G895/'user input'!$C$4</f>
        <v>0.27754629629629635</v>
      </c>
    </row>
    <row r="896" spans="1:8" x14ac:dyDescent="0.2">
      <c r="A896" s="1">
        <v>41072</v>
      </c>
      <c r="B896">
        <v>164</v>
      </c>
      <c r="C896" s="6">
        <f>IF('weather data'!C896&gt;'user input'!$C$3,'user input'!$C$3,'weather data'!C896)</f>
        <v>28.888888888888889</v>
      </c>
      <c r="D896" s="6">
        <f>IF('weather data'!D896&lt;'user input'!$C$2,'user input'!$C$2,'weather data'!D896)</f>
        <v>11.111111111111111</v>
      </c>
      <c r="E896">
        <f t="shared" si="14"/>
        <v>20</v>
      </c>
      <c r="F896">
        <f>IF((E896-'user input'!$C$2)&lt;0,0,E896-'user input'!$C$2)</f>
        <v>10</v>
      </c>
      <c r="G896">
        <f>IF(B896&lt;'user input'!$C$5,0,(F896+G895))</f>
        <v>343.0555555555556</v>
      </c>
      <c r="H896">
        <f>G896/'user input'!$C$4</f>
        <v>0.28587962962962965</v>
      </c>
    </row>
    <row r="897" spans="1:8" x14ac:dyDescent="0.2">
      <c r="A897" s="1">
        <v>41073</v>
      </c>
      <c r="B897">
        <v>165</v>
      </c>
      <c r="C897" s="6">
        <f>IF('weather data'!C897&gt;'user input'!$C$3,'user input'!$C$3,'weather data'!C897)</f>
        <v>21.666666666666664</v>
      </c>
      <c r="D897" s="6">
        <f>IF('weather data'!D897&lt;'user input'!$C$2,'user input'!$C$2,'weather data'!D897)</f>
        <v>10</v>
      </c>
      <c r="E897">
        <f t="shared" si="14"/>
        <v>15.833333333333332</v>
      </c>
      <c r="F897">
        <f>IF((E897-'user input'!$C$2)&lt;0,0,E897-'user input'!$C$2)</f>
        <v>5.8333333333333321</v>
      </c>
      <c r="G897">
        <f>IF(B897&lt;'user input'!$C$5,0,(F897+G896))</f>
        <v>348.88888888888891</v>
      </c>
      <c r="H897">
        <f>G897/'user input'!$C$4</f>
        <v>0.29074074074074074</v>
      </c>
    </row>
    <row r="898" spans="1:8" x14ac:dyDescent="0.2">
      <c r="A898" s="1">
        <v>41074</v>
      </c>
      <c r="B898">
        <v>166</v>
      </c>
      <c r="C898" s="6">
        <f>IF('weather data'!C898&gt;'user input'!$C$3,'user input'!$C$3,'weather data'!C898)</f>
        <v>23.888888888888889</v>
      </c>
      <c r="D898" s="6">
        <f>IF('weather data'!D898&lt;'user input'!$C$2,'user input'!$C$2,'weather data'!D898)</f>
        <v>10</v>
      </c>
      <c r="E898">
        <f t="shared" si="14"/>
        <v>16.944444444444443</v>
      </c>
      <c r="F898">
        <f>IF((E898-'user input'!$C$2)&lt;0,0,E898-'user input'!$C$2)</f>
        <v>6.9444444444444429</v>
      </c>
      <c r="G898">
        <f>IF(B898&lt;'user input'!$C$5,0,(F898+G897))</f>
        <v>355.83333333333337</v>
      </c>
      <c r="H898">
        <f>G898/'user input'!$C$4</f>
        <v>0.29652777777777783</v>
      </c>
    </row>
    <row r="899" spans="1:8" x14ac:dyDescent="0.2">
      <c r="A899" s="1">
        <v>41075</v>
      </c>
      <c r="B899">
        <v>167</v>
      </c>
      <c r="C899" s="6">
        <f>IF('weather data'!C899&gt;'user input'!$C$3,'user input'!$C$3,'weather data'!C899)</f>
        <v>27.777777777777779</v>
      </c>
      <c r="D899" s="6">
        <f>IF('weather data'!D899&lt;'user input'!$C$2,'user input'!$C$2,'weather data'!D899)</f>
        <v>12.222222222222223</v>
      </c>
      <c r="E899">
        <f t="shared" si="14"/>
        <v>20</v>
      </c>
      <c r="F899">
        <f>IF((E899-'user input'!$C$2)&lt;0,0,E899-'user input'!$C$2)</f>
        <v>10</v>
      </c>
      <c r="G899">
        <f>IF(B899&lt;'user input'!$C$5,0,(F899+G898))</f>
        <v>365.83333333333337</v>
      </c>
      <c r="H899">
        <f>G899/'user input'!$C$4</f>
        <v>0.30486111111111114</v>
      </c>
    </row>
    <row r="900" spans="1:8" x14ac:dyDescent="0.2">
      <c r="A900" s="1">
        <v>41076</v>
      </c>
      <c r="B900">
        <v>168</v>
      </c>
      <c r="C900" s="6">
        <f>IF('weather data'!C900&gt;'user input'!$C$3,'user input'!$C$3,'weather data'!C900)</f>
        <v>30</v>
      </c>
      <c r="D900" s="6">
        <f>IF('weather data'!D900&lt;'user input'!$C$2,'user input'!$C$2,'weather data'!D900)</f>
        <v>17.222222222222221</v>
      </c>
      <c r="E900">
        <f t="shared" si="14"/>
        <v>23.611111111111111</v>
      </c>
      <c r="F900">
        <f>IF((E900-'user input'!$C$2)&lt;0,0,E900-'user input'!$C$2)</f>
        <v>13.611111111111111</v>
      </c>
      <c r="G900">
        <f>IF(B900&lt;'user input'!$C$5,0,(F900+G899))</f>
        <v>379.44444444444446</v>
      </c>
      <c r="H900">
        <f>G900/'user input'!$C$4</f>
        <v>0.31620370370370371</v>
      </c>
    </row>
    <row r="901" spans="1:8" x14ac:dyDescent="0.2">
      <c r="A901" s="1">
        <v>41077</v>
      </c>
      <c r="B901">
        <v>169</v>
      </c>
      <c r="C901" s="6">
        <f>IF('weather data'!C901&gt;'user input'!$C$3,'user input'!$C$3,'weather data'!C901)</f>
        <v>28.888888888888889</v>
      </c>
      <c r="D901" s="6">
        <f>IF('weather data'!D901&lt;'user input'!$C$2,'user input'!$C$2,'weather data'!D901)</f>
        <v>23.333333333333336</v>
      </c>
      <c r="E901">
        <f t="shared" si="14"/>
        <v>26.111111111111114</v>
      </c>
      <c r="F901">
        <f>IF((E901-'user input'!$C$2)&lt;0,0,E901-'user input'!$C$2)</f>
        <v>16.111111111111114</v>
      </c>
      <c r="G901">
        <f>IF(B901&lt;'user input'!$C$5,0,(F901+G900))</f>
        <v>395.55555555555554</v>
      </c>
      <c r="H901">
        <f>G901/'user input'!$C$4</f>
        <v>0.32962962962962961</v>
      </c>
    </row>
    <row r="902" spans="1:8" x14ac:dyDescent="0.2">
      <c r="A902" s="1">
        <v>41078</v>
      </c>
      <c r="B902">
        <v>170</v>
      </c>
      <c r="C902" s="6">
        <f>IF('weather data'!C902&gt;'user input'!$C$3,'user input'!$C$3,'weather data'!C902)</f>
        <v>30</v>
      </c>
      <c r="D902" s="6">
        <f>IF('weather data'!D902&lt;'user input'!$C$2,'user input'!$C$2,'weather data'!D902)</f>
        <v>23.333333333333336</v>
      </c>
      <c r="E902">
        <f t="shared" si="14"/>
        <v>26.666666666666668</v>
      </c>
      <c r="F902">
        <f>IF((E902-'user input'!$C$2)&lt;0,0,E902-'user input'!$C$2)</f>
        <v>16.666666666666668</v>
      </c>
      <c r="G902">
        <f>IF(B902&lt;'user input'!$C$5,0,(F902+G901))</f>
        <v>412.22222222222223</v>
      </c>
      <c r="H902">
        <f>G902/'user input'!$C$4</f>
        <v>0.3435185185185185</v>
      </c>
    </row>
    <row r="903" spans="1:8" x14ac:dyDescent="0.2">
      <c r="A903" s="1">
        <v>41079</v>
      </c>
      <c r="B903">
        <v>171</v>
      </c>
      <c r="C903" s="6">
        <f>IF('weather data'!C903&gt;'user input'!$C$3,'user input'!$C$3,'weather data'!C903)</f>
        <v>30</v>
      </c>
      <c r="D903" s="6">
        <f>IF('weather data'!D903&lt;'user input'!$C$2,'user input'!$C$2,'weather data'!D903)</f>
        <v>24.444444444444446</v>
      </c>
      <c r="E903">
        <f t="shared" si="14"/>
        <v>27.222222222222221</v>
      </c>
      <c r="F903">
        <f>IF((E903-'user input'!$C$2)&lt;0,0,E903-'user input'!$C$2)</f>
        <v>17.222222222222221</v>
      </c>
      <c r="G903">
        <f>IF(B903&lt;'user input'!$C$5,0,(F903+G902))</f>
        <v>429.44444444444446</v>
      </c>
      <c r="H903">
        <f>G903/'user input'!$C$4</f>
        <v>0.35787037037037039</v>
      </c>
    </row>
    <row r="904" spans="1:8" x14ac:dyDescent="0.2">
      <c r="A904" s="1">
        <v>41080</v>
      </c>
      <c r="B904">
        <v>172</v>
      </c>
      <c r="C904" s="6">
        <f>IF('weather data'!C904&gt;'user input'!$C$3,'user input'!$C$3,'weather data'!C904)</f>
        <v>30</v>
      </c>
      <c r="D904" s="6">
        <f>IF('weather data'!D904&lt;'user input'!$C$2,'user input'!$C$2,'weather data'!D904)</f>
        <v>24.444444444444446</v>
      </c>
      <c r="E904">
        <f t="shared" si="14"/>
        <v>27.222222222222221</v>
      </c>
      <c r="F904">
        <f>IF((E904-'user input'!$C$2)&lt;0,0,E904-'user input'!$C$2)</f>
        <v>17.222222222222221</v>
      </c>
      <c r="G904">
        <f>IF(B904&lt;'user input'!$C$5,0,(F904+G903))</f>
        <v>446.66666666666669</v>
      </c>
      <c r="H904">
        <f>G904/'user input'!$C$4</f>
        <v>0.37222222222222223</v>
      </c>
    </row>
    <row r="905" spans="1:8" x14ac:dyDescent="0.2">
      <c r="A905" s="1">
        <v>41081</v>
      </c>
      <c r="B905">
        <v>173</v>
      </c>
      <c r="C905" s="6">
        <f>IF('weather data'!C905&gt;'user input'!$C$3,'user input'!$C$3,'weather data'!C905)</f>
        <v>30</v>
      </c>
      <c r="D905" s="6">
        <f>IF('weather data'!D905&lt;'user input'!$C$2,'user input'!$C$2,'weather data'!D905)</f>
        <v>17.777777777777779</v>
      </c>
      <c r="E905">
        <f t="shared" si="14"/>
        <v>23.888888888888889</v>
      </c>
      <c r="F905">
        <f>IF((E905-'user input'!$C$2)&lt;0,0,E905-'user input'!$C$2)</f>
        <v>13.888888888888889</v>
      </c>
      <c r="G905">
        <f>IF(B905&lt;'user input'!$C$5,0,(F905+G904))</f>
        <v>460.5555555555556</v>
      </c>
      <c r="H905">
        <f>G905/'user input'!$C$4</f>
        <v>0.38379629629629636</v>
      </c>
    </row>
    <row r="906" spans="1:8" x14ac:dyDescent="0.2">
      <c r="A906" s="1">
        <v>41082</v>
      </c>
      <c r="B906">
        <v>174</v>
      </c>
      <c r="C906" s="6">
        <f>IF('weather data'!C906&gt;'user input'!$C$3,'user input'!$C$3,'weather data'!C906)</f>
        <v>28.333333333333336</v>
      </c>
      <c r="D906" s="6">
        <f>IF('weather data'!D906&lt;'user input'!$C$2,'user input'!$C$2,'weather data'!D906)</f>
        <v>12.222222222222223</v>
      </c>
      <c r="E906">
        <f t="shared" si="14"/>
        <v>20.277777777777779</v>
      </c>
      <c r="F906">
        <f>IF((E906-'user input'!$C$2)&lt;0,0,E906-'user input'!$C$2)</f>
        <v>10.277777777777779</v>
      </c>
      <c r="G906">
        <f>IF(B906&lt;'user input'!$C$5,0,(F906+G905))</f>
        <v>470.83333333333337</v>
      </c>
      <c r="H906">
        <f>G906/'user input'!$C$4</f>
        <v>0.39236111111111116</v>
      </c>
    </row>
    <row r="907" spans="1:8" x14ac:dyDescent="0.2">
      <c r="A907" s="1">
        <v>41083</v>
      </c>
      <c r="B907">
        <v>175</v>
      </c>
      <c r="C907" s="6">
        <f>IF('weather data'!C907&gt;'user input'!$C$3,'user input'!$C$3,'weather data'!C907)</f>
        <v>29.444444444444446</v>
      </c>
      <c r="D907" s="6">
        <f>IF('weather data'!D907&lt;'user input'!$C$2,'user input'!$C$2,'weather data'!D907)</f>
        <v>11.111111111111111</v>
      </c>
      <c r="E907">
        <f t="shared" si="14"/>
        <v>20.277777777777779</v>
      </c>
      <c r="F907">
        <f>IF((E907-'user input'!$C$2)&lt;0,0,E907-'user input'!$C$2)</f>
        <v>10.277777777777779</v>
      </c>
      <c r="G907">
        <f>IF(B907&lt;'user input'!$C$5,0,(F907+G906))</f>
        <v>481.11111111111114</v>
      </c>
      <c r="H907">
        <f>G907/'user input'!$C$4</f>
        <v>0.40092592592592596</v>
      </c>
    </row>
    <row r="908" spans="1:8" x14ac:dyDescent="0.2">
      <c r="A908" s="1">
        <v>41084</v>
      </c>
      <c r="B908">
        <v>176</v>
      </c>
      <c r="C908" s="6">
        <f>IF('weather data'!C908&gt;'user input'!$C$3,'user input'!$C$3,'weather data'!C908)</f>
        <v>27.777777777777779</v>
      </c>
      <c r="D908" s="6">
        <f>IF('weather data'!D908&lt;'user input'!$C$2,'user input'!$C$2,'weather data'!D908)</f>
        <v>14.444444444444445</v>
      </c>
      <c r="E908">
        <f t="shared" si="14"/>
        <v>21.111111111111111</v>
      </c>
      <c r="F908">
        <f>IF((E908-'user input'!$C$2)&lt;0,0,E908-'user input'!$C$2)</f>
        <v>11.111111111111111</v>
      </c>
      <c r="G908">
        <f>IF(B908&lt;'user input'!$C$5,0,(F908+G907))</f>
        <v>492.22222222222223</v>
      </c>
      <c r="H908">
        <f>G908/'user input'!$C$4</f>
        <v>0.41018518518518521</v>
      </c>
    </row>
    <row r="909" spans="1:8" x14ac:dyDescent="0.2">
      <c r="A909" s="1">
        <v>41085</v>
      </c>
      <c r="B909">
        <v>177</v>
      </c>
      <c r="C909" s="6">
        <f>IF('weather data'!C909&gt;'user input'!$C$3,'user input'!$C$3,'weather data'!C909)</f>
        <v>30</v>
      </c>
      <c r="D909" s="6">
        <f>IF('weather data'!D909&lt;'user input'!$C$2,'user input'!$C$2,'weather data'!D909)</f>
        <v>13.333333333333332</v>
      </c>
      <c r="E909">
        <f t="shared" si="14"/>
        <v>21.666666666666664</v>
      </c>
      <c r="F909">
        <f>IF((E909-'user input'!$C$2)&lt;0,0,E909-'user input'!$C$2)</f>
        <v>11.666666666666664</v>
      </c>
      <c r="G909">
        <f>IF(B909&lt;'user input'!$C$5,0,(F909+G908))</f>
        <v>503.88888888888891</v>
      </c>
      <c r="H909">
        <f>G909/'user input'!$C$4</f>
        <v>0.41990740740740745</v>
      </c>
    </row>
    <row r="910" spans="1:8" x14ac:dyDescent="0.2">
      <c r="A910" s="1">
        <v>41086</v>
      </c>
      <c r="B910">
        <v>178</v>
      </c>
      <c r="C910" s="6">
        <f>IF('weather data'!C910&gt;'user input'!$C$3,'user input'!$C$3,'weather data'!C910)</f>
        <v>26.111111111111111</v>
      </c>
      <c r="D910" s="6">
        <f>IF('weather data'!D910&lt;'user input'!$C$2,'user input'!$C$2,'weather data'!D910)</f>
        <v>10</v>
      </c>
      <c r="E910">
        <f t="shared" si="14"/>
        <v>18.055555555555557</v>
      </c>
      <c r="F910">
        <f>IF((E910-'user input'!$C$2)&lt;0,0,E910-'user input'!$C$2)</f>
        <v>8.0555555555555571</v>
      </c>
      <c r="G910">
        <f>IF(B910&lt;'user input'!$C$5,0,(F910+G909))</f>
        <v>511.94444444444446</v>
      </c>
      <c r="H910">
        <f>G910/'user input'!$C$4</f>
        <v>0.42662037037037037</v>
      </c>
    </row>
    <row r="911" spans="1:8" x14ac:dyDescent="0.2">
      <c r="A911" s="1">
        <v>41087</v>
      </c>
      <c r="B911">
        <v>179</v>
      </c>
      <c r="C911" s="6">
        <f>IF('weather data'!C911&gt;'user input'!$C$3,'user input'!$C$3,'weather data'!C911)</f>
        <v>28.888888888888889</v>
      </c>
      <c r="D911" s="6">
        <f>IF('weather data'!D911&lt;'user input'!$C$2,'user input'!$C$2,'weather data'!D911)</f>
        <v>10</v>
      </c>
      <c r="E911">
        <f t="shared" si="14"/>
        <v>19.444444444444443</v>
      </c>
      <c r="F911">
        <f>IF((E911-'user input'!$C$2)&lt;0,0,E911-'user input'!$C$2)</f>
        <v>9.4444444444444429</v>
      </c>
      <c r="G911">
        <f>IF(B911&lt;'user input'!$C$5,0,(F911+G910))</f>
        <v>521.38888888888891</v>
      </c>
      <c r="H911">
        <f>G911/'user input'!$C$4</f>
        <v>0.43449074074074079</v>
      </c>
    </row>
    <row r="912" spans="1:8" x14ac:dyDescent="0.2">
      <c r="A912" s="1">
        <v>41088</v>
      </c>
      <c r="B912">
        <v>180</v>
      </c>
      <c r="C912" s="6">
        <f>IF('weather data'!C912&gt;'user input'!$C$3,'user input'!$C$3,'weather data'!C912)</f>
        <v>30</v>
      </c>
      <c r="D912" s="6">
        <f>IF('weather data'!D912&lt;'user input'!$C$2,'user input'!$C$2,'weather data'!D912)</f>
        <v>18.333333333333332</v>
      </c>
      <c r="E912">
        <f t="shared" si="14"/>
        <v>24.166666666666664</v>
      </c>
      <c r="F912">
        <f>IF((E912-'user input'!$C$2)&lt;0,0,E912-'user input'!$C$2)</f>
        <v>14.166666666666664</v>
      </c>
      <c r="G912">
        <f>IF(B912&lt;'user input'!$C$5,0,(F912+G911))</f>
        <v>535.55555555555554</v>
      </c>
      <c r="H912">
        <f>G912/'user input'!$C$4</f>
        <v>0.4462962962962963</v>
      </c>
    </row>
    <row r="913" spans="1:8" x14ac:dyDescent="0.2">
      <c r="A913" s="1">
        <v>41089</v>
      </c>
      <c r="B913">
        <v>181</v>
      </c>
      <c r="C913" s="6">
        <f>IF('weather data'!C913&gt;'user input'!$C$3,'user input'!$C$3,'weather data'!C913)</f>
        <v>30</v>
      </c>
      <c r="D913" s="6">
        <f>IF('weather data'!D913&lt;'user input'!$C$2,'user input'!$C$2,'weather data'!D913)</f>
        <v>13.333333333333332</v>
      </c>
      <c r="E913">
        <f t="shared" si="14"/>
        <v>21.666666666666664</v>
      </c>
      <c r="F913">
        <f>IF((E913-'user input'!$C$2)&lt;0,0,E913-'user input'!$C$2)</f>
        <v>11.666666666666664</v>
      </c>
      <c r="G913">
        <f>IF(B913&lt;'user input'!$C$5,0,(F913+G912))</f>
        <v>547.22222222222217</v>
      </c>
      <c r="H913">
        <f>G913/'user input'!$C$4</f>
        <v>0.45601851851851849</v>
      </c>
    </row>
    <row r="914" spans="1:8" x14ac:dyDescent="0.2">
      <c r="A914" s="1">
        <v>41090</v>
      </c>
      <c r="B914">
        <v>182</v>
      </c>
      <c r="C914" s="6">
        <f>IF('weather data'!C914&gt;'user input'!$C$3,'user input'!$C$3,'weather data'!C914)</f>
        <v>30</v>
      </c>
      <c r="D914" s="6">
        <f>IF('weather data'!D914&lt;'user input'!$C$2,'user input'!$C$2,'weather data'!D914)</f>
        <v>15</v>
      </c>
      <c r="E914">
        <f t="shared" ref="E914:E977" si="15">(C914+D914)/2</f>
        <v>22.5</v>
      </c>
      <c r="F914">
        <f>IF((E914-'user input'!$C$2)&lt;0,0,E914-'user input'!$C$2)</f>
        <v>12.5</v>
      </c>
      <c r="G914">
        <f>IF(B914&lt;'user input'!$C$5,0,(F914+G913))</f>
        <v>559.72222222222217</v>
      </c>
      <c r="H914">
        <f>G914/'user input'!$C$4</f>
        <v>0.46643518518518512</v>
      </c>
    </row>
    <row r="915" spans="1:8" x14ac:dyDescent="0.2">
      <c r="A915" s="1">
        <v>41091</v>
      </c>
      <c r="B915">
        <v>183</v>
      </c>
      <c r="C915" s="6">
        <f>IF('weather data'!C915&gt;'user input'!$C$3,'user input'!$C$3,'weather data'!C915)</f>
        <v>30</v>
      </c>
      <c r="D915" s="6">
        <f>IF('weather data'!D915&lt;'user input'!$C$2,'user input'!$C$2,'weather data'!D915)</f>
        <v>16.111111111111111</v>
      </c>
      <c r="E915">
        <f t="shared" si="15"/>
        <v>23.055555555555557</v>
      </c>
      <c r="F915">
        <f>IF((E915-'user input'!$C$2)&lt;0,0,E915-'user input'!$C$2)</f>
        <v>13.055555555555557</v>
      </c>
      <c r="G915">
        <f>IF(B915&lt;'user input'!$C$5,0,(F915+G914))</f>
        <v>572.77777777777771</v>
      </c>
      <c r="H915">
        <f>G915/'user input'!$C$4</f>
        <v>0.47731481481481475</v>
      </c>
    </row>
    <row r="916" spans="1:8" x14ac:dyDescent="0.2">
      <c r="A916" s="1">
        <v>41092</v>
      </c>
      <c r="B916">
        <v>184</v>
      </c>
      <c r="C916" s="6">
        <f>IF('weather data'!C916&gt;'user input'!$C$3,'user input'!$C$3,'weather data'!C916)</f>
        <v>30</v>
      </c>
      <c r="D916" s="6">
        <f>IF('weather data'!D916&lt;'user input'!$C$2,'user input'!$C$2,'weather data'!D916)</f>
        <v>20.555555555555554</v>
      </c>
      <c r="E916">
        <f t="shared" si="15"/>
        <v>25.277777777777779</v>
      </c>
      <c r="F916">
        <f>IF((E916-'user input'!$C$2)&lt;0,0,E916-'user input'!$C$2)</f>
        <v>15.277777777777779</v>
      </c>
      <c r="G916">
        <f>IF(B916&lt;'user input'!$C$5,0,(F916+G915))</f>
        <v>588.05555555555554</v>
      </c>
      <c r="H916">
        <f>G916/'user input'!$C$4</f>
        <v>0.49004629629629631</v>
      </c>
    </row>
    <row r="917" spans="1:8" x14ac:dyDescent="0.2">
      <c r="A917" s="1">
        <v>41093</v>
      </c>
      <c r="B917">
        <v>185</v>
      </c>
      <c r="C917" s="6">
        <f>IF('weather data'!C917&gt;'user input'!$C$3,'user input'!$C$3,'weather data'!C917)</f>
        <v>30</v>
      </c>
      <c r="D917" s="6">
        <f>IF('weather data'!D917&lt;'user input'!$C$2,'user input'!$C$2,'weather data'!D917)</f>
        <v>21.111111111111111</v>
      </c>
      <c r="E917">
        <f t="shared" si="15"/>
        <v>25.555555555555557</v>
      </c>
      <c r="F917">
        <f>IF((E917-'user input'!$C$2)&lt;0,0,E917-'user input'!$C$2)</f>
        <v>15.555555555555557</v>
      </c>
      <c r="G917">
        <f>IF(B917&lt;'user input'!$C$5,0,(F917+G916))</f>
        <v>603.61111111111109</v>
      </c>
      <c r="H917">
        <f>G917/'user input'!$C$4</f>
        <v>0.50300925925925921</v>
      </c>
    </row>
    <row r="918" spans="1:8" x14ac:dyDescent="0.2">
      <c r="A918" s="1">
        <v>41094</v>
      </c>
      <c r="B918">
        <v>186</v>
      </c>
      <c r="C918" s="6">
        <f>IF('weather data'!C918&gt;'user input'!$C$3,'user input'!$C$3,'weather data'!C918)</f>
        <v>30</v>
      </c>
      <c r="D918" s="6">
        <f>IF('weather data'!D918&lt;'user input'!$C$2,'user input'!$C$2,'weather data'!D918)</f>
        <v>23.333333333333336</v>
      </c>
      <c r="E918">
        <f t="shared" si="15"/>
        <v>26.666666666666668</v>
      </c>
      <c r="F918">
        <f>IF((E918-'user input'!$C$2)&lt;0,0,E918-'user input'!$C$2)</f>
        <v>16.666666666666668</v>
      </c>
      <c r="G918">
        <f>IF(B918&lt;'user input'!$C$5,0,(F918+G917))</f>
        <v>620.27777777777771</v>
      </c>
      <c r="H918">
        <f>G918/'user input'!$C$4</f>
        <v>0.51689814814814805</v>
      </c>
    </row>
    <row r="919" spans="1:8" x14ac:dyDescent="0.2">
      <c r="A919" s="1">
        <v>41095</v>
      </c>
      <c r="B919">
        <v>187</v>
      </c>
      <c r="C919" s="6">
        <f>IF('weather data'!C919&gt;'user input'!$C$3,'user input'!$C$3,'weather data'!C919)</f>
        <v>30</v>
      </c>
      <c r="D919" s="6">
        <f>IF('weather data'!D919&lt;'user input'!$C$2,'user input'!$C$2,'weather data'!D919)</f>
        <v>22.777777777777779</v>
      </c>
      <c r="E919">
        <f t="shared" si="15"/>
        <v>26.388888888888889</v>
      </c>
      <c r="F919">
        <f>IF((E919-'user input'!$C$2)&lt;0,0,E919-'user input'!$C$2)</f>
        <v>16.388888888888889</v>
      </c>
      <c r="G919">
        <f>IF(B919&lt;'user input'!$C$5,0,(F919+G918))</f>
        <v>636.66666666666663</v>
      </c>
      <c r="H919">
        <f>G919/'user input'!$C$4</f>
        <v>0.53055555555555556</v>
      </c>
    </row>
    <row r="920" spans="1:8" x14ac:dyDescent="0.2">
      <c r="A920" s="1">
        <v>41096</v>
      </c>
      <c r="B920">
        <v>188</v>
      </c>
      <c r="C920" s="6">
        <f>IF('weather data'!C920&gt;'user input'!$C$3,'user input'!$C$3,'weather data'!C920)</f>
        <v>30</v>
      </c>
      <c r="D920" s="6">
        <f>IF('weather data'!D920&lt;'user input'!$C$2,'user input'!$C$2,'weather data'!D920)</f>
        <v>23.888888888888889</v>
      </c>
      <c r="E920">
        <f t="shared" si="15"/>
        <v>26.944444444444443</v>
      </c>
      <c r="F920">
        <f>IF((E920-'user input'!$C$2)&lt;0,0,E920-'user input'!$C$2)</f>
        <v>16.944444444444443</v>
      </c>
      <c r="G920">
        <f>IF(B920&lt;'user input'!$C$5,0,(F920+G919))</f>
        <v>653.61111111111109</v>
      </c>
      <c r="H920">
        <f>G920/'user input'!$C$4</f>
        <v>0.54467592592592595</v>
      </c>
    </row>
    <row r="921" spans="1:8" x14ac:dyDescent="0.2">
      <c r="A921" s="1">
        <v>41097</v>
      </c>
      <c r="B921">
        <v>189</v>
      </c>
      <c r="C921" s="6">
        <f>IF('weather data'!C921&gt;'user input'!$C$3,'user input'!$C$3,'weather data'!C921)</f>
        <v>30</v>
      </c>
      <c r="D921" s="6">
        <f>IF('weather data'!D921&lt;'user input'!$C$2,'user input'!$C$2,'weather data'!D921)</f>
        <v>22.777777777777779</v>
      </c>
      <c r="E921">
        <f t="shared" si="15"/>
        <v>26.388888888888889</v>
      </c>
      <c r="F921">
        <f>IF((E921-'user input'!$C$2)&lt;0,0,E921-'user input'!$C$2)</f>
        <v>16.388888888888889</v>
      </c>
      <c r="G921">
        <f>IF(B921&lt;'user input'!$C$5,0,(F921+G920))</f>
        <v>670</v>
      </c>
      <c r="H921">
        <f>G921/'user input'!$C$4</f>
        <v>0.55833333333333335</v>
      </c>
    </row>
    <row r="922" spans="1:8" x14ac:dyDescent="0.2">
      <c r="A922" s="1">
        <v>41098</v>
      </c>
      <c r="B922">
        <v>190</v>
      </c>
      <c r="C922" s="6">
        <f>IF('weather data'!C922&gt;'user input'!$C$3,'user input'!$C$3,'weather data'!C922)</f>
        <v>30</v>
      </c>
      <c r="D922" s="6">
        <f>IF('weather data'!D922&lt;'user input'!$C$2,'user input'!$C$2,'weather data'!D922)</f>
        <v>16.666666666666668</v>
      </c>
      <c r="E922">
        <f t="shared" si="15"/>
        <v>23.333333333333336</v>
      </c>
      <c r="F922">
        <f>IF((E922-'user input'!$C$2)&lt;0,0,E922-'user input'!$C$2)</f>
        <v>13.333333333333336</v>
      </c>
      <c r="G922">
        <f>IF(B922&lt;'user input'!$C$5,0,(F922+G921))</f>
        <v>683.33333333333337</v>
      </c>
      <c r="H922">
        <f>G922/'user input'!$C$4</f>
        <v>0.56944444444444453</v>
      </c>
    </row>
    <row r="923" spans="1:8" x14ac:dyDescent="0.2">
      <c r="A923" s="1">
        <v>41099</v>
      </c>
      <c r="B923">
        <v>191</v>
      </c>
      <c r="C923" s="6">
        <f>IF('weather data'!C923&gt;'user input'!$C$3,'user input'!$C$3,'weather data'!C923)</f>
        <v>30</v>
      </c>
      <c r="D923" s="6">
        <f>IF('weather data'!D923&lt;'user input'!$C$2,'user input'!$C$2,'weather data'!D923)</f>
        <v>16.666666666666668</v>
      </c>
      <c r="E923">
        <f t="shared" si="15"/>
        <v>23.333333333333336</v>
      </c>
      <c r="F923">
        <f>IF((E923-'user input'!$C$2)&lt;0,0,E923-'user input'!$C$2)</f>
        <v>13.333333333333336</v>
      </c>
      <c r="G923">
        <f>IF(B923&lt;'user input'!$C$5,0,(F923+G922))</f>
        <v>696.66666666666674</v>
      </c>
      <c r="H923">
        <f>G923/'user input'!$C$4</f>
        <v>0.5805555555555556</v>
      </c>
    </row>
    <row r="924" spans="1:8" x14ac:dyDescent="0.2">
      <c r="A924" s="1">
        <v>41100</v>
      </c>
      <c r="B924">
        <v>192</v>
      </c>
      <c r="C924" s="6">
        <f>IF('weather data'!C924&gt;'user input'!$C$3,'user input'!$C$3,'weather data'!C924)</f>
        <v>30</v>
      </c>
      <c r="D924" s="6">
        <f>IF('weather data'!D924&lt;'user input'!$C$2,'user input'!$C$2,'weather data'!D924)</f>
        <v>16.111111111111111</v>
      </c>
      <c r="E924">
        <f t="shared" si="15"/>
        <v>23.055555555555557</v>
      </c>
      <c r="F924">
        <f>IF((E924-'user input'!$C$2)&lt;0,0,E924-'user input'!$C$2)</f>
        <v>13.055555555555557</v>
      </c>
      <c r="G924">
        <f>IF(B924&lt;'user input'!$C$5,0,(F924+G923))</f>
        <v>709.72222222222229</v>
      </c>
      <c r="H924">
        <f>G924/'user input'!$C$4</f>
        <v>0.59143518518518523</v>
      </c>
    </row>
    <row r="925" spans="1:8" x14ac:dyDescent="0.2">
      <c r="A925" s="1">
        <v>41101</v>
      </c>
      <c r="B925">
        <v>193</v>
      </c>
      <c r="C925" s="6">
        <f>IF('weather data'!C925&gt;'user input'!$C$3,'user input'!$C$3,'weather data'!C925)</f>
        <v>30</v>
      </c>
      <c r="D925" s="6">
        <f>IF('weather data'!D925&lt;'user input'!$C$2,'user input'!$C$2,'weather data'!D925)</f>
        <v>12.777777777777777</v>
      </c>
      <c r="E925">
        <f t="shared" si="15"/>
        <v>21.388888888888889</v>
      </c>
      <c r="F925">
        <f>IF((E925-'user input'!$C$2)&lt;0,0,E925-'user input'!$C$2)</f>
        <v>11.388888888888889</v>
      </c>
      <c r="G925">
        <f>IF(B925&lt;'user input'!$C$5,0,(F925+G924))</f>
        <v>721.1111111111112</v>
      </c>
      <c r="H925">
        <f>G925/'user input'!$C$4</f>
        <v>0.60092592592592597</v>
      </c>
    </row>
    <row r="926" spans="1:8" x14ac:dyDescent="0.2">
      <c r="A926" s="1">
        <v>41102</v>
      </c>
      <c r="B926">
        <v>194</v>
      </c>
      <c r="C926" s="6">
        <f>IF('weather data'!C926&gt;'user input'!$C$3,'user input'!$C$3,'weather data'!C926)</f>
        <v>30</v>
      </c>
      <c r="D926" s="6">
        <f>IF('weather data'!D926&lt;'user input'!$C$2,'user input'!$C$2,'weather data'!D926)</f>
        <v>13.333333333333332</v>
      </c>
      <c r="E926">
        <f t="shared" si="15"/>
        <v>21.666666666666664</v>
      </c>
      <c r="F926">
        <f>IF((E926-'user input'!$C$2)&lt;0,0,E926-'user input'!$C$2)</f>
        <v>11.666666666666664</v>
      </c>
      <c r="G926">
        <f>IF(B926&lt;'user input'!$C$5,0,(F926+G925))</f>
        <v>732.77777777777783</v>
      </c>
      <c r="H926">
        <f>G926/'user input'!$C$4</f>
        <v>0.61064814814814816</v>
      </c>
    </row>
    <row r="927" spans="1:8" x14ac:dyDescent="0.2">
      <c r="A927" s="1">
        <v>41103</v>
      </c>
      <c r="B927">
        <v>195</v>
      </c>
      <c r="C927" s="6">
        <f>IF('weather data'!C927&gt;'user input'!$C$3,'user input'!$C$3,'weather data'!C927)</f>
        <v>30</v>
      </c>
      <c r="D927" s="6">
        <f>IF('weather data'!D927&lt;'user input'!$C$2,'user input'!$C$2,'weather data'!D927)</f>
        <v>14.444444444444445</v>
      </c>
      <c r="E927">
        <f t="shared" si="15"/>
        <v>22.222222222222221</v>
      </c>
      <c r="F927">
        <f>IF((E927-'user input'!$C$2)&lt;0,0,E927-'user input'!$C$2)</f>
        <v>12.222222222222221</v>
      </c>
      <c r="G927">
        <f>IF(B927&lt;'user input'!$C$5,0,(F927+G926))</f>
        <v>745</v>
      </c>
      <c r="H927">
        <f>G927/'user input'!$C$4</f>
        <v>0.62083333333333335</v>
      </c>
    </row>
    <row r="928" spans="1:8" x14ac:dyDescent="0.2">
      <c r="A928" s="1">
        <v>41104</v>
      </c>
      <c r="B928">
        <v>196</v>
      </c>
      <c r="C928" s="6">
        <f>IF('weather data'!C928&gt;'user input'!$C$3,'user input'!$C$3,'weather data'!C928)</f>
        <v>30</v>
      </c>
      <c r="D928" s="6">
        <f>IF('weather data'!D928&lt;'user input'!$C$2,'user input'!$C$2,'weather data'!D928)</f>
        <v>16.111111111111111</v>
      </c>
      <c r="E928">
        <f t="shared" si="15"/>
        <v>23.055555555555557</v>
      </c>
      <c r="F928">
        <f>IF((E928-'user input'!$C$2)&lt;0,0,E928-'user input'!$C$2)</f>
        <v>13.055555555555557</v>
      </c>
      <c r="G928">
        <f>IF(B928&lt;'user input'!$C$5,0,(F928+G927))</f>
        <v>758.05555555555554</v>
      </c>
      <c r="H928">
        <f>G928/'user input'!$C$4</f>
        <v>0.63171296296296298</v>
      </c>
    </row>
    <row r="929" spans="1:8" x14ac:dyDescent="0.2">
      <c r="A929" s="1">
        <v>41105</v>
      </c>
      <c r="B929">
        <v>197</v>
      </c>
      <c r="C929" s="6">
        <f>IF('weather data'!C929&gt;'user input'!$C$3,'user input'!$C$3,'weather data'!C929)</f>
        <v>30</v>
      </c>
      <c r="D929" s="6">
        <f>IF('weather data'!D929&lt;'user input'!$C$2,'user input'!$C$2,'weather data'!D929)</f>
        <v>21.111111111111111</v>
      </c>
      <c r="E929">
        <f t="shared" si="15"/>
        <v>25.555555555555557</v>
      </c>
      <c r="F929">
        <f>IF((E929-'user input'!$C$2)&lt;0,0,E929-'user input'!$C$2)</f>
        <v>15.555555555555557</v>
      </c>
      <c r="G929">
        <f>IF(B929&lt;'user input'!$C$5,0,(F929+G928))</f>
        <v>773.61111111111109</v>
      </c>
      <c r="H929">
        <f>G929/'user input'!$C$4</f>
        <v>0.64467592592592593</v>
      </c>
    </row>
    <row r="930" spans="1:8" x14ac:dyDescent="0.2">
      <c r="A930" s="1">
        <v>41106</v>
      </c>
      <c r="B930">
        <v>198</v>
      </c>
      <c r="C930" s="6">
        <f>IF('weather data'!C930&gt;'user input'!$C$3,'user input'!$C$3,'weather data'!C930)</f>
        <v>30</v>
      </c>
      <c r="D930" s="6">
        <f>IF('weather data'!D930&lt;'user input'!$C$2,'user input'!$C$2,'weather data'!D930)</f>
        <v>18.888888888888889</v>
      </c>
      <c r="E930">
        <f t="shared" si="15"/>
        <v>24.444444444444443</v>
      </c>
      <c r="F930">
        <f>IF((E930-'user input'!$C$2)&lt;0,0,E930-'user input'!$C$2)</f>
        <v>14.444444444444443</v>
      </c>
      <c r="G930">
        <f>IF(B930&lt;'user input'!$C$5,0,(F930+G929))</f>
        <v>788.05555555555554</v>
      </c>
      <c r="H930">
        <f>G930/'user input'!$C$4</f>
        <v>0.656712962962963</v>
      </c>
    </row>
    <row r="931" spans="1:8" x14ac:dyDescent="0.2">
      <c r="A931" s="1">
        <v>41107</v>
      </c>
      <c r="B931">
        <v>199</v>
      </c>
      <c r="C931" s="6">
        <f>IF('weather data'!C931&gt;'user input'!$C$3,'user input'!$C$3,'weather data'!C931)</f>
        <v>30</v>
      </c>
      <c r="D931" s="6">
        <f>IF('weather data'!D931&lt;'user input'!$C$2,'user input'!$C$2,'weather data'!D931)</f>
        <v>20.555555555555554</v>
      </c>
      <c r="E931">
        <f t="shared" si="15"/>
        <v>25.277777777777779</v>
      </c>
      <c r="F931">
        <f>IF((E931-'user input'!$C$2)&lt;0,0,E931-'user input'!$C$2)</f>
        <v>15.277777777777779</v>
      </c>
      <c r="G931">
        <f>IF(B931&lt;'user input'!$C$5,0,(F931+G930))</f>
        <v>803.33333333333337</v>
      </c>
      <c r="H931">
        <f>G931/'user input'!$C$4</f>
        <v>0.66944444444444451</v>
      </c>
    </row>
    <row r="932" spans="1:8" x14ac:dyDescent="0.2">
      <c r="A932" s="1">
        <v>41108</v>
      </c>
      <c r="B932">
        <v>200</v>
      </c>
      <c r="C932" s="6">
        <f>IF('weather data'!C932&gt;'user input'!$C$3,'user input'!$C$3,'weather data'!C932)</f>
        <v>30</v>
      </c>
      <c r="D932" s="6">
        <f>IF('weather data'!D932&lt;'user input'!$C$2,'user input'!$C$2,'weather data'!D932)</f>
        <v>21.666666666666664</v>
      </c>
      <c r="E932">
        <f t="shared" si="15"/>
        <v>25.833333333333332</v>
      </c>
      <c r="F932">
        <f>IF((E932-'user input'!$C$2)&lt;0,0,E932-'user input'!$C$2)</f>
        <v>15.833333333333332</v>
      </c>
      <c r="G932">
        <f>IF(B932&lt;'user input'!$C$5,0,(F932+G931))</f>
        <v>819.16666666666674</v>
      </c>
      <c r="H932">
        <f>G932/'user input'!$C$4</f>
        <v>0.68263888888888891</v>
      </c>
    </row>
    <row r="933" spans="1:8" x14ac:dyDescent="0.2">
      <c r="A933" s="1">
        <v>41109</v>
      </c>
      <c r="B933">
        <v>201</v>
      </c>
      <c r="C933" s="6">
        <f>IF('weather data'!C933&gt;'user input'!$C$3,'user input'!$C$3,'weather data'!C933)</f>
        <v>30</v>
      </c>
      <c r="D933" s="6">
        <f>IF('weather data'!D933&lt;'user input'!$C$2,'user input'!$C$2,'weather data'!D933)</f>
        <v>21.111111111111111</v>
      </c>
      <c r="E933">
        <f t="shared" si="15"/>
        <v>25.555555555555557</v>
      </c>
      <c r="F933">
        <f>IF((E933-'user input'!$C$2)&lt;0,0,E933-'user input'!$C$2)</f>
        <v>15.555555555555557</v>
      </c>
      <c r="G933">
        <f>IF(B933&lt;'user input'!$C$5,0,(F933+G932))</f>
        <v>834.72222222222229</v>
      </c>
      <c r="H933">
        <f>G933/'user input'!$C$4</f>
        <v>0.69560185185185186</v>
      </c>
    </row>
    <row r="934" spans="1:8" x14ac:dyDescent="0.2">
      <c r="A934" s="1">
        <v>41110</v>
      </c>
      <c r="B934">
        <v>202</v>
      </c>
      <c r="C934" s="6">
        <f>IF('weather data'!C934&gt;'user input'!$C$3,'user input'!$C$3,'weather data'!C934)</f>
        <v>22.777777777777779</v>
      </c>
      <c r="D934" s="6">
        <f>IF('weather data'!D934&lt;'user input'!$C$2,'user input'!$C$2,'weather data'!D934)</f>
        <v>17.222222222222221</v>
      </c>
      <c r="E934">
        <f t="shared" si="15"/>
        <v>20</v>
      </c>
      <c r="F934">
        <f>IF((E934-'user input'!$C$2)&lt;0,0,E934-'user input'!$C$2)</f>
        <v>10</v>
      </c>
      <c r="G934">
        <f>IF(B934&lt;'user input'!$C$5,0,(F934+G933))</f>
        <v>844.72222222222229</v>
      </c>
      <c r="H934">
        <f>G934/'user input'!$C$4</f>
        <v>0.70393518518518527</v>
      </c>
    </row>
    <row r="935" spans="1:8" x14ac:dyDescent="0.2">
      <c r="A935" s="1">
        <v>41111</v>
      </c>
      <c r="B935">
        <v>203</v>
      </c>
      <c r="C935" s="6">
        <f>IF('weather data'!C935&gt;'user input'!$C$3,'user input'!$C$3,'weather data'!C935)</f>
        <v>29.444444444444446</v>
      </c>
      <c r="D935" s="6">
        <f>IF('weather data'!D935&lt;'user input'!$C$2,'user input'!$C$2,'weather data'!D935)</f>
        <v>16.666666666666668</v>
      </c>
      <c r="E935">
        <f t="shared" si="15"/>
        <v>23.055555555555557</v>
      </c>
      <c r="F935">
        <f>IF((E935-'user input'!$C$2)&lt;0,0,E935-'user input'!$C$2)</f>
        <v>13.055555555555557</v>
      </c>
      <c r="G935">
        <f>IF(B935&lt;'user input'!$C$5,0,(F935+G934))</f>
        <v>857.77777777777783</v>
      </c>
      <c r="H935">
        <f>G935/'user input'!$C$4</f>
        <v>0.7148148148148149</v>
      </c>
    </row>
    <row r="936" spans="1:8" x14ac:dyDescent="0.2">
      <c r="A936" s="1">
        <v>41112</v>
      </c>
      <c r="B936">
        <v>204</v>
      </c>
      <c r="C936" s="6">
        <f>IF('weather data'!C936&gt;'user input'!$C$3,'user input'!$C$3,'weather data'!C936)</f>
        <v>30</v>
      </c>
      <c r="D936" s="6">
        <f>IF('weather data'!D936&lt;'user input'!$C$2,'user input'!$C$2,'weather data'!D936)</f>
        <v>20</v>
      </c>
      <c r="E936">
        <f t="shared" si="15"/>
        <v>25</v>
      </c>
      <c r="F936">
        <f>IF((E936-'user input'!$C$2)&lt;0,0,E936-'user input'!$C$2)</f>
        <v>15</v>
      </c>
      <c r="G936">
        <f>IF(B936&lt;'user input'!$C$5,0,(F936+G935))</f>
        <v>872.77777777777783</v>
      </c>
      <c r="H936">
        <f>G936/'user input'!$C$4</f>
        <v>0.72731481481481486</v>
      </c>
    </row>
    <row r="937" spans="1:8" x14ac:dyDescent="0.2">
      <c r="A937" s="1">
        <v>41113</v>
      </c>
      <c r="B937">
        <v>205</v>
      </c>
      <c r="C937" s="6">
        <f>IF('weather data'!C937&gt;'user input'!$C$3,'user input'!$C$3,'weather data'!C937)</f>
        <v>30</v>
      </c>
      <c r="D937" s="6">
        <f>IF('weather data'!D937&lt;'user input'!$C$2,'user input'!$C$2,'weather data'!D937)</f>
        <v>21.666666666666664</v>
      </c>
      <c r="E937">
        <f t="shared" si="15"/>
        <v>25.833333333333332</v>
      </c>
      <c r="F937">
        <f>IF((E937-'user input'!$C$2)&lt;0,0,E937-'user input'!$C$2)</f>
        <v>15.833333333333332</v>
      </c>
      <c r="G937">
        <f>IF(B937&lt;'user input'!$C$5,0,(F937+G936))</f>
        <v>888.6111111111112</v>
      </c>
      <c r="H937">
        <f>G937/'user input'!$C$4</f>
        <v>0.74050925925925937</v>
      </c>
    </row>
    <row r="938" spans="1:8" x14ac:dyDescent="0.2">
      <c r="A938" s="1">
        <v>41114</v>
      </c>
      <c r="B938">
        <v>206</v>
      </c>
      <c r="C938" s="6">
        <f>IF('weather data'!C938&gt;'user input'!$C$3,'user input'!$C$3,'weather data'!C938)</f>
        <v>30</v>
      </c>
      <c r="D938" s="6">
        <f>IF('weather data'!D938&lt;'user input'!$C$2,'user input'!$C$2,'weather data'!D938)</f>
        <v>21.666666666666664</v>
      </c>
      <c r="E938">
        <f t="shared" si="15"/>
        <v>25.833333333333332</v>
      </c>
      <c r="F938">
        <f>IF((E938-'user input'!$C$2)&lt;0,0,E938-'user input'!$C$2)</f>
        <v>15.833333333333332</v>
      </c>
      <c r="G938">
        <f>IF(B938&lt;'user input'!$C$5,0,(F938+G937))</f>
        <v>904.44444444444457</v>
      </c>
      <c r="H938">
        <f>G938/'user input'!$C$4</f>
        <v>0.75370370370370376</v>
      </c>
    </row>
    <row r="939" spans="1:8" x14ac:dyDescent="0.2">
      <c r="A939" s="1">
        <v>41115</v>
      </c>
      <c r="B939">
        <v>207</v>
      </c>
      <c r="C939" s="6">
        <f>IF('weather data'!C939&gt;'user input'!$C$3,'user input'!$C$3,'weather data'!C939)</f>
        <v>27.222222222222221</v>
      </c>
      <c r="D939" s="6">
        <f>IF('weather data'!D939&lt;'user input'!$C$2,'user input'!$C$2,'weather data'!D939)</f>
        <v>18.333333333333332</v>
      </c>
      <c r="E939">
        <f t="shared" si="15"/>
        <v>22.777777777777779</v>
      </c>
      <c r="F939">
        <f>IF((E939-'user input'!$C$2)&lt;0,0,E939-'user input'!$C$2)</f>
        <v>12.777777777777779</v>
      </c>
      <c r="G939">
        <f>IF(B939&lt;'user input'!$C$5,0,(F939+G938))</f>
        <v>917.2222222222224</v>
      </c>
      <c r="H939">
        <f>G939/'user input'!$C$4</f>
        <v>0.76435185185185195</v>
      </c>
    </row>
    <row r="940" spans="1:8" x14ac:dyDescent="0.2">
      <c r="A940" s="1">
        <v>41116</v>
      </c>
      <c r="B940">
        <v>208</v>
      </c>
      <c r="C940" s="6">
        <f>IF('weather data'!C940&gt;'user input'!$C$3,'user input'!$C$3,'weather data'!C940)</f>
        <v>30</v>
      </c>
      <c r="D940" s="6">
        <f>IF('weather data'!D940&lt;'user input'!$C$2,'user input'!$C$2,'weather data'!D940)</f>
        <v>19.444444444444443</v>
      </c>
      <c r="E940">
        <f t="shared" si="15"/>
        <v>24.722222222222221</v>
      </c>
      <c r="F940">
        <f>IF((E940-'user input'!$C$2)&lt;0,0,E940-'user input'!$C$2)</f>
        <v>14.722222222222221</v>
      </c>
      <c r="G940">
        <f>IF(B940&lt;'user input'!$C$5,0,(F940+G939))</f>
        <v>931.94444444444457</v>
      </c>
      <c r="H940">
        <f>G940/'user input'!$C$4</f>
        <v>0.77662037037037046</v>
      </c>
    </row>
    <row r="941" spans="1:8" x14ac:dyDescent="0.2">
      <c r="A941" s="1">
        <v>41117</v>
      </c>
      <c r="B941">
        <v>209</v>
      </c>
      <c r="C941" s="6">
        <f>IF('weather data'!C941&gt;'user input'!$C$3,'user input'!$C$3,'weather data'!C941)</f>
        <v>30</v>
      </c>
      <c r="D941" s="6">
        <f>IF('weather data'!D941&lt;'user input'!$C$2,'user input'!$C$2,'weather data'!D941)</f>
        <v>17.777777777777779</v>
      </c>
      <c r="E941">
        <f t="shared" si="15"/>
        <v>23.888888888888889</v>
      </c>
      <c r="F941">
        <f>IF((E941-'user input'!$C$2)&lt;0,0,E941-'user input'!$C$2)</f>
        <v>13.888888888888889</v>
      </c>
      <c r="G941">
        <f>IF(B941&lt;'user input'!$C$5,0,(F941+G940))</f>
        <v>945.83333333333348</v>
      </c>
      <c r="H941">
        <f>G941/'user input'!$C$4</f>
        <v>0.78819444444444453</v>
      </c>
    </row>
    <row r="942" spans="1:8" x14ac:dyDescent="0.2">
      <c r="A942" s="1">
        <v>41118</v>
      </c>
      <c r="B942">
        <v>210</v>
      </c>
      <c r="C942" s="6">
        <f>IF('weather data'!C942&gt;'user input'!$C$3,'user input'!$C$3,'weather data'!C942)</f>
        <v>27.222222222222221</v>
      </c>
      <c r="D942" s="6">
        <f>IF('weather data'!D942&lt;'user input'!$C$2,'user input'!$C$2,'weather data'!D942)</f>
        <v>14.444444444444445</v>
      </c>
      <c r="E942">
        <f t="shared" si="15"/>
        <v>20.833333333333332</v>
      </c>
      <c r="F942">
        <f>IF((E942-'user input'!$C$2)&lt;0,0,E942-'user input'!$C$2)</f>
        <v>10.833333333333332</v>
      </c>
      <c r="G942">
        <f>IF(B942&lt;'user input'!$C$5,0,(F942+G941))</f>
        <v>956.66666666666686</v>
      </c>
      <c r="H942">
        <f>G942/'user input'!$C$4</f>
        <v>0.79722222222222239</v>
      </c>
    </row>
    <row r="943" spans="1:8" x14ac:dyDescent="0.2">
      <c r="A943" s="1">
        <v>41119</v>
      </c>
      <c r="B943">
        <v>211</v>
      </c>
      <c r="C943" s="6">
        <f>IF('weather data'!C943&gt;'user input'!$C$3,'user input'!$C$3,'weather data'!C943)</f>
        <v>27.777777777777779</v>
      </c>
      <c r="D943" s="6">
        <f>IF('weather data'!D943&lt;'user input'!$C$2,'user input'!$C$2,'weather data'!D943)</f>
        <v>16.111111111111111</v>
      </c>
      <c r="E943">
        <f t="shared" si="15"/>
        <v>21.944444444444443</v>
      </c>
      <c r="F943">
        <f>IF((E943-'user input'!$C$2)&lt;0,0,E943-'user input'!$C$2)</f>
        <v>11.944444444444443</v>
      </c>
      <c r="G943">
        <f>IF(B943&lt;'user input'!$C$5,0,(F943+G942))</f>
        <v>968.61111111111131</v>
      </c>
      <c r="H943">
        <f>G943/'user input'!$C$4</f>
        <v>0.80717592592592613</v>
      </c>
    </row>
    <row r="944" spans="1:8" x14ac:dyDescent="0.2">
      <c r="A944" s="1">
        <v>41120</v>
      </c>
      <c r="B944">
        <v>212</v>
      </c>
      <c r="C944" s="6">
        <f>IF('weather data'!C944&gt;'user input'!$C$3,'user input'!$C$3,'weather data'!C944)</f>
        <v>29.444444444444446</v>
      </c>
      <c r="D944" s="6">
        <f>IF('weather data'!D944&lt;'user input'!$C$2,'user input'!$C$2,'weather data'!D944)</f>
        <v>16.666666666666668</v>
      </c>
      <c r="E944">
        <f t="shared" si="15"/>
        <v>23.055555555555557</v>
      </c>
      <c r="F944">
        <f>IF((E944-'user input'!$C$2)&lt;0,0,E944-'user input'!$C$2)</f>
        <v>13.055555555555557</v>
      </c>
      <c r="G944">
        <f>IF(B944&lt;'user input'!$C$5,0,(F944+G943))</f>
        <v>981.66666666666686</v>
      </c>
      <c r="H944">
        <f>G944/'user input'!$C$4</f>
        <v>0.81805555555555576</v>
      </c>
    </row>
    <row r="945" spans="1:8" x14ac:dyDescent="0.2">
      <c r="A945" s="1">
        <v>41121</v>
      </c>
      <c r="B945">
        <v>213</v>
      </c>
      <c r="C945" s="6">
        <f>IF('weather data'!C945&gt;'user input'!$C$3,'user input'!$C$3,'weather data'!C945)</f>
        <v>30</v>
      </c>
      <c r="D945" s="6">
        <f>IF('weather data'!D945&lt;'user input'!$C$2,'user input'!$C$2,'weather data'!D945)</f>
        <v>18.333333333333332</v>
      </c>
      <c r="E945">
        <f t="shared" si="15"/>
        <v>24.166666666666664</v>
      </c>
      <c r="F945">
        <f>IF((E945-'user input'!$C$2)&lt;0,0,E945-'user input'!$C$2)</f>
        <v>14.166666666666664</v>
      </c>
      <c r="G945">
        <f>IF(B945&lt;'user input'!$C$5,0,(F945+G944))</f>
        <v>995.83333333333348</v>
      </c>
      <c r="H945">
        <f>G945/'user input'!$C$4</f>
        <v>0.82986111111111127</v>
      </c>
    </row>
    <row r="946" spans="1:8" x14ac:dyDescent="0.2">
      <c r="A946" s="1">
        <v>41122</v>
      </c>
      <c r="B946">
        <v>214</v>
      </c>
      <c r="C946" s="6">
        <f>IF('weather data'!C946&gt;'user input'!$C$3,'user input'!$C$3,'weather data'!C946)</f>
        <v>30</v>
      </c>
      <c r="D946" s="6">
        <f>IF('weather data'!D946&lt;'user input'!$C$2,'user input'!$C$2,'weather data'!D946)</f>
        <v>15</v>
      </c>
      <c r="E946">
        <f t="shared" si="15"/>
        <v>22.5</v>
      </c>
      <c r="F946">
        <f>IF((E946-'user input'!$C$2)&lt;0,0,E946-'user input'!$C$2)</f>
        <v>12.5</v>
      </c>
      <c r="G946">
        <f>IF(B946&lt;'user input'!$C$5,0,(F946+G945))</f>
        <v>1008.3333333333335</v>
      </c>
      <c r="H946">
        <f>G946/'user input'!$C$4</f>
        <v>0.8402777777777779</v>
      </c>
    </row>
    <row r="947" spans="1:8" x14ac:dyDescent="0.2">
      <c r="A947" s="1">
        <v>41123</v>
      </c>
      <c r="B947">
        <v>215</v>
      </c>
      <c r="C947" s="6">
        <f>IF('weather data'!C947&gt;'user input'!$C$3,'user input'!$C$3,'weather data'!C947)</f>
        <v>30</v>
      </c>
      <c r="D947" s="6">
        <f>IF('weather data'!D947&lt;'user input'!$C$2,'user input'!$C$2,'weather data'!D947)</f>
        <v>15.555555555555555</v>
      </c>
      <c r="E947">
        <f t="shared" si="15"/>
        <v>22.777777777777779</v>
      </c>
      <c r="F947">
        <f>IF((E947-'user input'!$C$2)&lt;0,0,E947-'user input'!$C$2)</f>
        <v>12.777777777777779</v>
      </c>
      <c r="G947">
        <f>IF(B947&lt;'user input'!$C$5,0,(F947+G946))</f>
        <v>1021.1111111111113</v>
      </c>
      <c r="H947">
        <f>G947/'user input'!$C$4</f>
        <v>0.85092592592592609</v>
      </c>
    </row>
    <row r="948" spans="1:8" x14ac:dyDescent="0.2">
      <c r="A948" s="1">
        <v>41124</v>
      </c>
      <c r="B948">
        <v>216</v>
      </c>
      <c r="C948" s="6">
        <f>IF('weather data'!C948&gt;'user input'!$C$3,'user input'!$C$3,'weather data'!C948)</f>
        <v>30</v>
      </c>
      <c r="D948" s="6">
        <f>IF('weather data'!D948&lt;'user input'!$C$2,'user input'!$C$2,'weather data'!D948)</f>
        <v>19.444444444444443</v>
      </c>
      <c r="E948">
        <f t="shared" si="15"/>
        <v>24.722222222222221</v>
      </c>
      <c r="F948">
        <f>IF((E948-'user input'!$C$2)&lt;0,0,E948-'user input'!$C$2)</f>
        <v>14.722222222222221</v>
      </c>
      <c r="G948">
        <f>IF(B948&lt;'user input'!$C$5,0,(F948+G947))</f>
        <v>1035.8333333333335</v>
      </c>
      <c r="H948">
        <f>G948/'user input'!$C$4</f>
        <v>0.8631944444444446</v>
      </c>
    </row>
    <row r="949" spans="1:8" x14ac:dyDescent="0.2">
      <c r="A949" s="1">
        <v>41125</v>
      </c>
      <c r="B949">
        <v>217</v>
      </c>
      <c r="C949" s="6">
        <f>IF('weather data'!C949&gt;'user input'!$C$3,'user input'!$C$3,'weather data'!C949)</f>
        <v>30</v>
      </c>
      <c r="D949" s="6">
        <f>IF('weather data'!D949&lt;'user input'!$C$2,'user input'!$C$2,'weather data'!D949)</f>
        <v>20</v>
      </c>
      <c r="E949">
        <f t="shared" si="15"/>
        <v>25</v>
      </c>
      <c r="F949">
        <f>IF((E949-'user input'!$C$2)&lt;0,0,E949-'user input'!$C$2)</f>
        <v>15</v>
      </c>
      <c r="G949">
        <f>IF(B949&lt;'user input'!$C$5,0,(F949+G948))</f>
        <v>1050.8333333333335</v>
      </c>
      <c r="H949">
        <f>G949/'user input'!$C$4</f>
        <v>0.87569444444444455</v>
      </c>
    </row>
    <row r="950" spans="1:8" x14ac:dyDescent="0.2">
      <c r="A950" s="1">
        <v>41126</v>
      </c>
      <c r="B950">
        <v>218</v>
      </c>
      <c r="C950" s="6">
        <f>IF('weather data'!C950&gt;'user input'!$C$3,'user input'!$C$3,'weather data'!C950)</f>
        <v>30</v>
      </c>
      <c r="D950" s="6">
        <f>IF('weather data'!D950&lt;'user input'!$C$2,'user input'!$C$2,'weather data'!D950)</f>
        <v>15</v>
      </c>
      <c r="E950">
        <f t="shared" si="15"/>
        <v>22.5</v>
      </c>
      <c r="F950">
        <f>IF((E950-'user input'!$C$2)&lt;0,0,E950-'user input'!$C$2)</f>
        <v>12.5</v>
      </c>
      <c r="G950">
        <f>IF(B950&lt;'user input'!$C$5,0,(F950+G949))</f>
        <v>1063.3333333333335</v>
      </c>
      <c r="H950">
        <f>G950/'user input'!$C$4</f>
        <v>0.88611111111111118</v>
      </c>
    </row>
    <row r="951" spans="1:8" x14ac:dyDescent="0.2">
      <c r="A951" s="1">
        <v>41127</v>
      </c>
      <c r="B951">
        <v>219</v>
      </c>
      <c r="C951" s="6">
        <f>IF('weather data'!C951&gt;'user input'!$C$3,'user input'!$C$3,'weather data'!C951)</f>
        <v>25.555555555555554</v>
      </c>
      <c r="D951" s="6">
        <f>IF('weather data'!D951&lt;'user input'!$C$2,'user input'!$C$2,'weather data'!D951)</f>
        <v>10</v>
      </c>
      <c r="E951">
        <f t="shared" si="15"/>
        <v>17.777777777777779</v>
      </c>
      <c r="F951">
        <f>IF((E951-'user input'!$C$2)&lt;0,0,E951-'user input'!$C$2)</f>
        <v>7.7777777777777786</v>
      </c>
      <c r="G951">
        <f>IF(B951&lt;'user input'!$C$5,0,(F951+G950))</f>
        <v>1071.1111111111113</v>
      </c>
      <c r="H951">
        <f>G951/'user input'!$C$4</f>
        <v>0.89259259259259272</v>
      </c>
    </row>
    <row r="952" spans="1:8" x14ac:dyDescent="0.2">
      <c r="A952" s="1">
        <v>41128</v>
      </c>
      <c r="B952">
        <v>220</v>
      </c>
      <c r="C952" s="6">
        <f>IF('weather data'!C952&gt;'user input'!$C$3,'user input'!$C$3,'weather data'!C952)</f>
        <v>27.777777777777779</v>
      </c>
      <c r="D952" s="6">
        <f>IF('weather data'!D952&lt;'user input'!$C$2,'user input'!$C$2,'weather data'!D952)</f>
        <v>11.111111111111111</v>
      </c>
      <c r="E952">
        <f t="shared" si="15"/>
        <v>19.444444444444443</v>
      </c>
      <c r="F952">
        <f>IF((E952-'user input'!$C$2)&lt;0,0,E952-'user input'!$C$2)</f>
        <v>9.4444444444444429</v>
      </c>
      <c r="G952">
        <f>IF(B952&lt;'user input'!$C$5,0,(F952+G951))</f>
        <v>1080.5555555555557</v>
      </c>
      <c r="H952">
        <f>G952/'user input'!$C$4</f>
        <v>0.90046296296296302</v>
      </c>
    </row>
    <row r="953" spans="1:8" x14ac:dyDescent="0.2">
      <c r="A953" s="1">
        <v>41129</v>
      </c>
      <c r="B953">
        <v>221</v>
      </c>
      <c r="C953" s="6">
        <f>IF('weather data'!C953&gt;'user input'!$C$3,'user input'!$C$3,'weather data'!C953)</f>
        <v>30</v>
      </c>
      <c r="D953" s="6">
        <f>IF('weather data'!D953&lt;'user input'!$C$2,'user input'!$C$2,'weather data'!D953)</f>
        <v>13.888888888888889</v>
      </c>
      <c r="E953">
        <f t="shared" si="15"/>
        <v>21.944444444444443</v>
      </c>
      <c r="F953">
        <f>IF((E953-'user input'!$C$2)&lt;0,0,E953-'user input'!$C$2)</f>
        <v>11.944444444444443</v>
      </c>
      <c r="G953">
        <f>IF(B953&lt;'user input'!$C$5,0,(F953+G952))</f>
        <v>1092.5</v>
      </c>
      <c r="H953">
        <f>G953/'user input'!$C$4</f>
        <v>0.91041666666666665</v>
      </c>
    </row>
    <row r="954" spans="1:8" x14ac:dyDescent="0.2">
      <c r="A954" s="1">
        <v>41130</v>
      </c>
      <c r="B954">
        <v>222</v>
      </c>
      <c r="C954" s="6">
        <f>IF('weather data'!C954&gt;'user input'!$C$3,'user input'!$C$3,'weather data'!C954)</f>
        <v>26.111111111111111</v>
      </c>
      <c r="D954" s="6">
        <f>IF('weather data'!D954&lt;'user input'!$C$2,'user input'!$C$2,'weather data'!D954)</f>
        <v>15</v>
      </c>
      <c r="E954">
        <f t="shared" si="15"/>
        <v>20.555555555555557</v>
      </c>
      <c r="F954">
        <f>IF((E954-'user input'!$C$2)&lt;0,0,E954-'user input'!$C$2)</f>
        <v>10.555555555555557</v>
      </c>
      <c r="G954">
        <f>IF(B954&lt;'user input'!$C$5,0,(F954+G953))</f>
        <v>1103.0555555555557</v>
      </c>
      <c r="H954">
        <f>G954/'user input'!$C$4</f>
        <v>0.91921296296296306</v>
      </c>
    </row>
    <row r="955" spans="1:8" x14ac:dyDescent="0.2">
      <c r="A955" s="1">
        <v>41131</v>
      </c>
      <c r="B955">
        <v>223</v>
      </c>
      <c r="C955" s="6">
        <f>IF('weather data'!C955&gt;'user input'!$C$3,'user input'!$C$3,'weather data'!C955)</f>
        <v>19.444444444444443</v>
      </c>
      <c r="D955" s="6">
        <f>IF('weather data'!D955&lt;'user input'!$C$2,'user input'!$C$2,'weather data'!D955)</f>
        <v>14.444444444444445</v>
      </c>
      <c r="E955">
        <f t="shared" si="15"/>
        <v>16.944444444444443</v>
      </c>
      <c r="F955">
        <f>IF((E955-'user input'!$C$2)&lt;0,0,E955-'user input'!$C$2)</f>
        <v>6.9444444444444429</v>
      </c>
      <c r="G955">
        <f>IF(B955&lt;'user input'!$C$5,0,(F955+G954))</f>
        <v>1110</v>
      </c>
      <c r="H955">
        <f>G955/'user input'!$C$4</f>
        <v>0.92500000000000004</v>
      </c>
    </row>
    <row r="956" spans="1:8" x14ac:dyDescent="0.2">
      <c r="A956" s="1">
        <v>41132</v>
      </c>
      <c r="B956">
        <v>224</v>
      </c>
      <c r="C956" s="6">
        <f>IF('weather data'!C956&gt;'user input'!$C$3,'user input'!$C$3,'weather data'!C956)</f>
        <v>23.888888888888889</v>
      </c>
      <c r="D956" s="6">
        <f>IF('weather data'!D956&lt;'user input'!$C$2,'user input'!$C$2,'weather data'!D956)</f>
        <v>10</v>
      </c>
      <c r="E956">
        <f t="shared" si="15"/>
        <v>16.944444444444443</v>
      </c>
      <c r="F956">
        <f>IF((E956-'user input'!$C$2)&lt;0,0,E956-'user input'!$C$2)</f>
        <v>6.9444444444444429</v>
      </c>
      <c r="G956">
        <f>IF(B956&lt;'user input'!$C$5,0,(F956+G955))</f>
        <v>1116.9444444444443</v>
      </c>
      <c r="H956">
        <f>G956/'user input'!$C$4</f>
        <v>0.93078703703703691</v>
      </c>
    </row>
    <row r="957" spans="1:8" x14ac:dyDescent="0.2">
      <c r="A957" s="1">
        <v>41133</v>
      </c>
      <c r="B957">
        <v>225</v>
      </c>
      <c r="C957" s="6">
        <f>IF('weather data'!C957&gt;'user input'!$C$3,'user input'!$C$3,'weather data'!C957)</f>
        <v>25</v>
      </c>
      <c r="D957" s="6">
        <f>IF('weather data'!D957&lt;'user input'!$C$2,'user input'!$C$2,'weather data'!D957)</f>
        <v>10</v>
      </c>
      <c r="E957">
        <f t="shared" si="15"/>
        <v>17.5</v>
      </c>
      <c r="F957">
        <f>IF((E957-'user input'!$C$2)&lt;0,0,E957-'user input'!$C$2)</f>
        <v>7.5</v>
      </c>
      <c r="G957">
        <f>IF(B957&lt;'user input'!$C$5,0,(F957+G956))</f>
        <v>1124.4444444444443</v>
      </c>
      <c r="H957">
        <f>G957/'user input'!$C$4</f>
        <v>0.937037037037037</v>
      </c>
    </row>
    <row r="958" spans="1:8" x14ac:dyDescent="0.2">
      <c r="A958" s="1">
        <v>41134</v>
      </c>
      <c r="B958">
        <v>226</v>
      </c>
      <c r="C958" s="6">
        <f>IF('weather data'!C958&gt;'user input'!$C$3,'user input'!$C$3,'weather data'!C958)</f>
        <v>22.222222222222221</v>
      </c>
      <c r="D958" s="6">
        <f>IF('weather data'!D958&lt;'user input'!$C$2,'user input'!$C$2,'weather data'!D958)</f>
        <v>15.555555555555555</v>
      </c>
      <c r="E958">
        <f t="shared" si="15"/>
        <v>18.888888888888889</v>
      </c>
      <c r="F958">
        <f>IF((E958-'user input'!$C$2)&lt;0,0,E958-'user input'!$C$2)</f>
        <v>8.8888888888888893</v>
      </c>
      <c r="G958">
        <f>IF(B958&lt;'user input'!$C$5,0,(F958+G957))</f>
        <v>1133.3333333333333</v>
      </c>
      <c r="H958">
        <f>G958/'user input'!$C$4</f>
        <v>0.94444444444444442</v>
      </c>
    </row>
    <row r="959" spans="1:8" x14ac:dyDescent="0.2">
      <c r="A959" s="1">
        <v>41135</v>
      </c>
      <c r="B959">
        <v>227</v>
      </c>
      <c r="C959" s="6">
        <f>IF('weather data'!C959&gt;'user input'!$C$3,'user input'!$C$3,'weather data'!C959)</f>
        <v>25.555555555555554</v>
      </c>
      <c r="D959" s="6">
        <f>IF('weather data'!D959&lt;'user input'!$C$2,'user input'!$C$2,'weather data'!D959)</f>
        <v>12.222222222222223</v>
      </c>
      <c r="E959">
        <f t="shared" si="15"/>
        <v>18.888888888888889</v>
      </c>
      <c r="F959">
        <f>IF((E959-'user input'!$C$2)&lt;0,0,E959-'user input'!$C$2)</f>
        <v>8.8888888888888893</v>
      </c>
      <c r="G959">
        <f>IF(B959&lt;'user input'!$C$5,0,(F959+G958))</f>
        <v>1142.2222222222222</v>
      </c>
      <c r="H959">
        <f>G959/'user input'!$C$4</f>
        <v>0.95185185185185184</v>
      </c>
    </row>
    <row r="960" spans="1:8" x14ac:dyDescent="0.2">
      <c r="A960" s="1">
        <v>41136</v>
      </c>
      <c r="B960">
        <v>228</v>
      </c>
      <c r="C960" s="6">
        <f>IF('weather data'!C960&gt;'user input'!$C$3,'user input'!$C$3,'weather data'!C960)</f>
        <v>27.222222222222221</v>
      </c>
      <c r="D960" s="6">
        <f>IF('weather data'!D960&lt;'user input'!$C$2,'user input'!$C$2,'weather data'!D960)</f>
        <v>12.777777777777777</v>
      </c>
      <c r="E960">
        <f t="shared" si="15"/>
        <v>20</v>
      </c>
      <c r="F960">
        <f>IF((E960-'user input'!$C$2)&lt;0,0,E960-'user input'!$C$2)</f>
        <v>10</v>
      </c>
      <c r="G960">
        <f>IF(B960&lt;'user input'!$C$5,0,(F960+G959))</f>
        <v>1152.2222222222222</v>
      </c>
      <c r="H960">
        <f>G960/'user input'!$C$4</f>
        <v>0.96018518518518514</v>
      </c>
    </row>
    <row r="961" spans="1:8" x14ac:dyDescent="0.2">
      <c r="A961" s="1">
        <v>41137</v>
      </c>
      <c r="B961">
        <v>229</v>
      </c>
      <c r="C961" s="6">
        <f>IF('weather data'!C961&gt;'user input'!$C$3,'user input'!$C$3,'weather data'!C961)</f>
        <v>29.444444444444446</v>
      </c>
      <c r="D961" s="6">
        <f>IF('weather data'!D961&lt;'user input'!$C$2,'user input'!$C$2,'weather data'!D961)</f>
        <v>17.222222222222221</v>
      </c>
      <c r="E961">
        <f t="shared" si="15"/>
        <v>23.333333333333336</v>
      </c>
      <c r="F961">
        <f>IF((E961-'user input'!$C$2)&lt;0,0,E961-'user input'!$C$2)</f>
        <v>13.333333333333336</v>
      </c>
      <c r="G961">
        <f>IF(B961&lt;'user input'!$C$5,0,(F961+G960))</f>
        <v>1165.5555555555554</v>
      </c>
      <c r="H961">
        <f>G961/'user input'!$C$4</f>
        <v>0.97129629629629621</v>
      </c>
    </row>
    <row r="962" spans="1:8" x14ac:dyDescent="0.2">
      <c r="A962" s="1">
        <v>41138</v>
      </c>
      <c r="B962">
        <v>230</v>
      </c>
      <c r="C962" s="6">
        <f>IF('weather data'!C962&gt;'user input'!$C$3,'user input'!$C$3,'weather data'!C962)</f>
        <v>23.333333333333336</v>
      </c>
      <c r="D962" s="6">
        <f>IF('weather data'!D962&lt;'user input'!$C$2,'user input'!$C$2,'weather data'!D962)</f>
        <v>10</v>
      </c>
      <c r="E962">
        <f t="shared" si="15"/>
        <v>16.666666666666668</v>
      </c>
      <c r="F962">
        <f>IF((E962-'user input'!$C$2)&lt;0,0,E962-'user input'!$C$2)</f>
        <v>6.6666666666666679</v>
      </c>
      <c r="G962">
        <f>IF(B962&lt;'user input'!$C$5,0,(F962+G961))</f>
        <v>1172.2222222222222</v>
      </c>
      <c r="H962">
        <f>G962/'user input'!$C$4</f>
        <v>0.97685185185185186</v>
      </c>
    </row>
    <row r="963" spans="1:8" x14ac:dyDescent="0.2">
      <c r="A963" s="1">
        <v>41139</v>
      </c>
      <c r="B963">
        <v>231</v>
      </c>
      <c r="C963" s="6">
        <f>IF('weather data'!C963&gt;'user input'!$C$3,'user input'!$C$3,'weather data'!C963)</f>
        <v>22.777777777777779</v>
      </c>
      <c r="D963" s="6">
        <f>IF('weather data'!D963&lt;'user input'!$C$2,'user input'!$C$2,'weather data'!D963)</f>
        <v>10</v>
      </c>
      <c r="E963">
        <f t="shared" si="15"/>
        <v>16.388888888888889</v>
      </c>
      <c r="F963">
        <f>IF((E963-'user input'!$C$2)&lt;0,0,E963-'user input'!$C$2)</f>
        <v>6.3888888888888893</v>
      </c>
      <c r="G963">
        <f>IF(B963&lt;'user input'!$C$5,0,(F963+G962))</f>
        <v>1178.6111111111111</v>
      </c>
      <c r="H963">
        <f>G963/'user input'!$C$4</f>
        <v>0.98217592592592595</v>
      </c>
    </row>
    <row r="964" spans="1:8" x14ac:dyDescent="0.2">
      <c r="A964" s="1">
        <v>41140</v>
      </c>
      <c r="B964">
        <v>232</v>
      </c>
      <c r="C964" s="6">
        <f>IF('weather data'!C964&gt;'user input'!$C$3,'user input'!$C$3,'weather data'!C964)</f>
        <v>24.444444444444446</v>
      </c>
      <c r="D964" s="6">
        <f>IF('weather data'!D964&lt;'user input'!$C$2,'user input'!$C$2,'weather data'!D964)</f>
        <v>10</v>
      </c>
      <c r="E964">
        <f t="shared" si="15"/>
        <v>17.222222222222221</v>
      </c>
      <c r="F964">
        <f>IF((E964-'user input'!$C$2)&lt;0,0,E964-'user input'!$C$2)</f>
        <v>7.2222222222222214</v>
      </c>
      <c r="G964">
        <f>IF(B964&lt;'user input'!$C$5,0,(F964+G963))</f>
        <v>1185.8333333333333</v>
      </c>
      <c r="H964">
        <f>G964/'user input'!$C$4</f>
        <v>0.98819444444444438</v>
      </c>
    </row>
    <row r="965" spans="1:8" x14ac:dyDescent="0.2">
      <c r="A965" s="1">
        <v>41141</v>
      </c>
      <c r="B965">
        <v>233</v>
      </c>
      <c r="C965" s="6">
        <f>IF('weather data'!C965&gt;'user input'!$C$3,'user input'!$C$3,'weather data'!C965)</f>
        <v>25</v>
      </c>
      <c r="D965" s="6">
        <f>IF('weather data'!D965&lt;'user input'!$C$2,'user input'!$C$2,'weather data'!D965)</f>
        <v>10.555555555555555</v>
      </c>
      <c r="E965">
        <f t="shared" si="15"/>
        <v>17.777777777777779</v>
      </c>
      <c r="F965">
        <f>IF((E965-'user input'!$C$2)&lt;0,0,E965-'user input'!$C$2)</f>
        <v>7.7777777777777786</v>
      </c>
      <c r="G965">
        <f>IF(B965&lt;'user input'!$C$5,0,(F965+G964))</f>
        <v>1193.6111111111111</v>
      </c>
      <c r="H965">
        <f>G965/'user input'!$C$4</f>
        <v>0.99467592592592591</v>
      </c>
    </row>
    <row r="966" spans="1:8" x14ac:dyDescent="0.2">
      <c r="A966" s="1">
        <v>41142</v>
      </c>
      <c r="B966">
        <v>234</v>
      </c>
      <c r="C966" s="6">
        <f>IF('weather data'!C966&gt;'user input'!$C$3,'user input'!$C$3,'weather data'!C966)</f>
        <v>25</v>
      </c>
      <c r="D966" s="6">
        <f>IF('weather data'!D966&lt;'user input'!$C$2,'user input'!$C$2,'weather data'!D966)</f>
        <v>10</v>
      </c>
      <c r="E966">
        <f t="shared" si="15"/>
        <v>17.5</v>
      </c>
      <c r="F966">
        <f>IF((E966-'user input'!$C$2)&lt;0,0,E966-'user input'!$C$2)</f>
        <v>7.5</v>
      </c>
      <c r="G966">
        <f>IF(B966&lt;'user input'!$C$5,0,(F966+G965))</f>
        <v>1201.1111111111111</v>
      </c>
      <c r="H966">
        <f>G966/'user input'!$C$4</f>
        <v>1.000925925925926</v>
      </c>
    </row>
    <row r="967" spans="1:8" x14ac:dyDescent="0.2">
      <c r="A967" s="1">
        <v>41143</v>
      </c>
      <c r="B967">
        <v>235</v>
      </c>
      <c r="C967" s="6">
        <f>IF('weather data'!C967&gt;'user input'!$C$3,'user input'!$C$3,'weather data'!C967)</f>
        <v>26.666666666666664</v>
      </c>
      <c r="D967" s="6">
        <f>IF('weather data'!D967&lt;'user input'!$C$2,'user input'!$C$2,'weather data'!D967)</f>
        <v>10</v>
      </c>
      <c r="E967">
        <f t="shared" si="15"/>
        <v>18.333333333333332</v>
      </c>
      <c r="F967">
        <f>IF((E967-'user input'!$C$2)&lt;0,0,E967-'user input'!$C$2)</f>
        <v>8.3333333333333321</v>
      </c>
      <c r="G967">
        <f>IF(B967&lt;'user input'!$C$5,0,(F967+G966))</f>
        <v>1209.4444444444443</v>
      </c>
      <c r="H967">
        <f>G967/'user input'!$C$4</f>
        <v>1.0078703703703702</v>
      </c>
    </row>
    <row r="968" spans="1:8" x14ac:dyDescent="0.2">
      <c r="A968" s="1">
        <v>41144</v>
      </c>
      <c r="B968">
        <v>236</v>
      </c>
      <c r="C968" s="6">
        <f>IF('weather data'!C968&gt;'user input'!$C$3,'user input'!$C$3,'weather data'!C968)</f>
        <v>30</v>
      </c>
      <c r="D968" s="6">
        <f>IF('weather data'!D968&lt;'user input'!$C$2,'user input'!$C$2,'weather data'!D968)</f>
        <v>10</v>
      </c>
      <c r="E968">
        <f t="shared" si="15"/>
        <v>20</v>
      </c>
      <c r="F968">
        <f>IF((E968-'user input'!$C$2)&lt;0,0,E968-'user input'!$C$2)</f>
        <v>10</v>
      </c>
      <c r="G968">
        <f>IF(B968&lt;'user input'!$C$5,0,(F968+G967))</f>
        <v>1219.4444444444443</v>
      </c>
      <c r="H968">
        <f>G968/'user input'!$C$4</f>
        <v>1.0162037037037037</v>
      </c>
    </row>
    <row r="969" spans="1:8" x14ac:dyDescent="0.2">
      <c r="A969" s="1">
        <v>41145</v>
      </c>
      <c r="B969">
        <v>237</v>
      </c>
      <c r="C969" s="6">
        <f>IF('weather data'!C969&gt;'user input'!$C$3,'user input'!$C$3,'weather data'!C969)</f>
        <v>30</v>
      </c>
      <c r="D969" s="6">
        <f>IF('weather data'!D969&lt;'user input'!$C$2,'user input'!$C$2,'weather data'!D969)</f>
        <v>19.444444444444443</v>
      </c>
      <c r="E969">
        <f t="shared" si="15"/>
        <v>24.722222222222221</v>
      </c>
      <c r="F969">
        <f>IF((E969-'user input'!$C$2)&lt;0,0,E969-'user input'!$C$2)</f>
        <v>14.722222222222221</v>
      </c>
      <c r="G969">
        <f>IF(B969&lt;'user input'!$C$5,0,(F969+G968))</f>
        <v>1234.1666666666665</v>
      </c>
      <c r="H969">
        <f>G969/'user input'!$C$4</f>
        <v>1.028472222222222</v>
      </c>
    </row>
    <row r="970" spans="1:8" x14ac:dyDescent="0.2">
      <c r="A970" s="1">
        <v>41146</v>
      </c>
      <c r="B970">
        <v>238</v>
      </c>
      <c r="C970" s="6">
        <f>IF('weather data'!C970&gt;'user input'!$C$3,'user input'!$C$3,'weather data'!C970)</f>
        <v>30</v>
      </c>
      <c r="D970" s="6">
        <f>IF('weather data'!D970&lt;'user input'!$C$2,'user input'!$C$2,'weather data'!D970)</f>
        <v>13.333333333333332</v>
      </c>
      <c r="E970">
        <f t="shared" si="15"/>
        <v>21.666666666666664</v>
      </c>
      <c r="F970">
        <f>IF((E970-'user input'!$C$2)&lt;0,0,E970-'user input'!$C$2)</f>
        <v>11.666666666666664</v>
      </c>
      <c r="G970">
        <f>IF(B970&lt;'user input'!$C$5,0,(F970+G969))</f>
        <v>1245.8333333333333</v>
      </c>
      <c r="H970">
        <f>G970/'user input'!$C$4</f>
        <v>1.0381944444444444</v>
      </c>
    </row>
    <row r="971" spans="1:8" x14ac:dyDescent="0.2">
      <c r="A971" s="1">
        <v>41147</v>
      </c>
      <c r="B971">
        <v>239</v>
      </c>
      <c r="C971" s="6">
        <f>IF('weather data'!C971&gt;'user input'!$C$3,'user input'!$C$3,'weather data'!C971)</f>
        <v>30</v>
      </c>
      <c r="D971" s="6">
        <f>IF('weather data'!D971&lt;'user input'!$C$2,'user input'!$C$2,'weather data'!D971)</f>
        <v>19.444444444444443</v>
      </c>
      <c r="E971">
        <f t="shared" si="15"/>
        <v>24.722222222222221</v>
      </c>
      <c r="F971">
        <f>IF((E971-'user input'!$C$2)&lt;0,0,E971-'user input'!$C$2)</f>
        <v>14.722222222222221</v>
      </c>
      <c r="G971">
        <f>IF(B971&lt;'user input'!$C$5,0,(F971+G970))</f>
        <v>1260.5555555555554</v>
      </c>
      <c r="H971">
        <f>G971/'user input'!$C$4</f>
        <v>1.0504629629629629</v>
      </c>
    </row>
    <row r="972" spans="1:8" x14ac:dyDescent="0.2">
      <c r="A972" s="1">
        <v>41148</v>
      </c>
      <c r="B972">
        <v>240</v>
      </c>
      <c r="C972" s="6">
        <f>IF('weather data'!C972&gt;'user input'!$C$3,'user input'!$C$3,'weather data'!C972)</f>
        <v>25</v>
      </c>
      <c r="D972" s="6">
        <f>IF('weather data'!D972&lt;'user input'!$C$2,'user input'!$C$2,'weather data'!D972)</f>
        <v>18.333333333333332</v>
      </c>
      <c r="E972">
        <f t="shared" si="15"/>
        <v>21.666666666666664</v>
      </c>
      <c r="F972">
        <f>IF((E972-'user input'!$C$2)&lt;0,0,E972-'user input'!$C$2)</f>
        <v>11.666666666666664</v>
      </c>
      <c r="G972">
        <f>IF(B972&lt;'user input'!$C$5,0,(F972+G971))</f>
        <v>1272.2222222222222</v>
      </c>
      <c r="H972">
        <f>G972/'user input'!$C$4</f>
        <v>1.0601851851851851</v>
      </c>
    </row>
    <row r="973" spans="1:8" x14ac:dyDescent="0.2">
      <c r="A973" s="1">
        <v>41149</v>
      </c>
      <c r="B973">
        <v>241</v>
      </c>
      <c r="C973" s="6">
        <f>IF('weather data'!C973&gt;'user input'!$C$3,'user input'!$C$3,'weather data'!C973)</f>
        <v>29.444444444444446</v>
      </c>
      <c r="D973" s="6">
        <f>IF('weather data'!D973&lt;'user input'!$C$2,'user input'!$C$2,'weather data'!D973)</f>
        <v>12.777777777777777</v>
      </c>
      <c r="E973">
        <f t="shared" si="15"/>
        <v>21.111111111111111</v>
      </c>
      <c r="F973">
        <f>IF((E973-'user input'!$C$2)&lt;0,0,E973-'user input'!$C$2)</f>
        <v>11.111111111111111</v>
      </c>
      <c r="G973">
        <f>IF(B973&lt;'user input'!$C$5,0,(F973+G972))</f>
        <v>1283.3333333333333</v>
      </c>
      <c r="H973">
        <f>G973/'user input'!$C$4</f>
        <v>1.0694444444444444</v>
      </c>
    </row>
    <row r="974" spans="1:8" x14ac:dyDescent="0.2">
      <c r="A974" s="1">
        <v>41150</v>
      </c>
      <c r="B974">
        <v>242</v>
      </c>
      <c r="C974" s="6">
        <f>IF('weather data'!C974&gt;'user input'!$C$3,'user input'!$C$3,'weather data'!C974)</f>
        <v>28.333333333333336</v>
      </c>
      <c r="D974" s="6">
        <f>IF('weather data'!D974&lt;'user input'!$C$2,'user input'!$C$2,'weather data'!D974)</f>
        <v>13.333333333333332</v>
      </c>
      <c r="E974">
        <f t="shared" si="15"/>
        <v>20.833333333333336</v>
      </c>
      <c r="F974">
        <f>IF((E974-'user input'!$C$2)&lt;0,0,E974-'user input'!$C$2)</f>
        <v>10.833333333333336</v>
      </c>
      <c r="G974">
        <f>IF(B974&lt;'user input'!$C$5,0,(F974+G973))</f>
        <v>1294.1666666666665</v>
      </c>
      <c r="H974">
        <f>G974/'user input'!$C$4</f>
        <v>1.0784722222222221</v>
      </c>
    </row>
    <row r="975" spans="1:8" x14ac:dyDescent="0.2">
      <c r="A975" s="1">
        <v>41151</v>
      </c>
      <c r="B975">
        <v>243</v>
      </c>
      <c r="C975" s="6">
        <f>IF('weather data'!C975&gt;'user input'!$C$3,'user input'!$C$3,'weather data'!C975)</f>
        <v>30</v>
      </c>
      <c r="D975" s="6">
        <f>IF('weather data'!D975&lt;'user input'!$C$2,'user input'!$C$2,'weather data'!D975)</f>
        <v>16.666666666666668</v>
      </c>
      <c r="E975">
        <f t="shared" si="15"/>
        <v>23.333333333333336</v>
      </c>
      <c r="F975">
        <f>IF((E975-'user input'!$C$2)&lt;0,0,E975-'user input'!$C$2)</f>
        <v>13.333333333333336</v>
      </c>
      <c r="G975">
        <f>IF(B975&lt;'user input'!$C$5,0,(F975+G974))</f>
        <v>1307.4999999999998</v>
      </c>
      <c r="H975">
        <f>G975/'user input'!$C$4</f>
        <v>1.0895833333333331</v>
      </c>
    </row>
    <row r="976" spans="1:8" x14ac:dyDescent="0.2">
      <c r="A976" s="1">
        <v>41152</v>
      </c>
      <c r="B976">
        <v>244</v>
      </c>
      <c r="C976" s="6">
        <f>IF('weather data'!C976&gt;'user input'!$C$3,'user input'!$C$3,'weather data'!C976)</f>
        <v>30</v>
      </c>
      <c r="D976" s="6">
        <f>IF('weather data'!D976&lt;'user input'!$C$2,'user input'!$C$2,'weather data'!D976)</f>
        <v>17.777777777777779</v>
      </c>
      <c r="E976">
        <f t="shared" si="15"/>
        <v>23.888888888888889</v>
      </c>
      <c r="F976">
        <f>IF((E976-'user input'!$C$2)&lt;0,0,E976-'user input'!$C$2)</f>
        <v>13.888888888888889</v>
      </c>
      <c r="G976">
        <f>IF(B976&lt;'user input'!$C$5,0,(F976+G975))</f>
        <v>1321.3888888888887</v>
      </c>
      <c r="H976">
        <f>G976/'user input'!$C$4</f>
        <v>1.1011574074074073</v>
      </c>
    </row>
    <row r="977" spans="1:8" x14ac:dyDescent="0.2">
      <c r="A977" s="1">
        <v>41153</v>
      </c>
      <c r="B977">
        <v>245</v>
      </c>
      <c r="C977" s="6">
        <f>IF('weather data'!C977&gt;'user input'!$C$3,'user input'!$C$3,'weather data'!C977)</f>
        <v>30</v>
      </c>
      <c r="D977" s="6">
        <f>IF('weather data'!D977&lt;'user input'!$C$2,'user input'!$C$2,'weather data'!D977)</f>
        <v>17.777777777777779</v>
      </c>
      <c r="E977">
        <f t="shared" si="15"/>
        <v>23.888888888888889</v>
      </c>
      <c r="F977">
        <f>IF((E977-'user input'!$C$2)&lt;0,0,E977-'user input'!$C$2)</f>
        <v>13.888888888888889</v>
      </c>
      <c r="G977">
        <f>IF(B977&lt;'user input'!$C$5,0,(F977+G976))</f>
        <v>1335.2777777777776</v>
      </c>
      <c r="H977">
        <f>G977/'user input'!$C$4</f>
        <v>1.1127314814814813</v>
      </c>
    </row>
    <row r="978" spans="1:8" x14ac:dyDescent="0.2">
      <c r="A978" s="1">
        <v>41154</v>
      </c>
      <c r="B978">
        <v>246</v>
      </c>
      <c r="C978" s="6">
        <f>IF('weather data'!C978&gt;'user input'!$C$3,'user input'!$C$3,'weather data'!C978)</f>
        <v>27.777777777777779</v>
      </c>
      <c r="D978" s="6">
        <f>IF('weather data'!D978&lt;'user input'!$C$2,'user input'!$C$2,'weather data'!D978)</f>
        <v>16.666666666666668</v>
      </c>
      <c r="E978">
        <f t="shared" ref="E978:E1041" si="16">(C978+D978)/2</f>
        <v>22.222222222222221</v>
      </c>
      <c r="F978">
        <f>IF((E978-'user input'!$C$2)&lt;0,0,E978-'user input'!$C$2)</f>
        <v>12.222222222222221</v>
      </c>
      <c r="G978">
        <f>IF(B978&lt;'user input'!$C$5,0,(F978+G977))</f>
        <v>1347.4999999999998</v>
      </c>
      <c r="H978">
        <f>G978/'user input'!$C$4</f>
        <v>1.1229166666666666</v>
      </c>
    </row>
    <row r="979" spans="1:8" x14ac:dyDescent="0.2">
      <c r="A979" s="1">
        <v>41155</v>
      </c>
      <c r="B979">
        <v>247</v>
      </c>
      <c r="C979" s="6">
        <f>IF('weather data'!C979&gt;'user input'!$C$3,'user input'!$C$3,'weather data'!C979)</f>
        <v>30</v>
      </c>
      <c r="D979" s="6">
        <f>IF('weather data'!D979&lt;'user input'!$C$2,'user input'!$C$2,'weather data'!D979)</f>
        <v>16.111111111111111</v>
      </c>
      <c r="E979">
        <f t="shared" si="16"/>
        <v>23.055555555555557</v>
      </c>
      <c r="F979">
        <f>IF((E979-'user input'!$C$2)&lt;0,0,E979-'user input'!$C$2)</f>
        <v>13.055555555555557</v>
      </c>
      <c r="G979">
        <f>IF(B979&lt;'user input'!$C$5,0,(F979+G978))</f>
        <v>1360.5555555555554</v>
      </c>
      <c r="H979">
        <f>G979/'user input'!$C$4</f>
        <v>1.1337962962962962</v>
      </c>
    </row>
    <row r="980" spans="1:8" x14ac:dyDescent="0.2">
      <c r="A980" s="1">
        <v>41156</v>
      </c>
      <c r="B980">
        <v>248</v>
      </c>
      <c r="C980" s="6">
        <f>IF('weather data'!C980&gt;'user input'!$C$3,'user input'!$C$3,'weather data'!C980)</f>
        <v>30</v>
      </c>
      <c r="D980" s="6">
        <f>IF('weather data'!D980&lt;'user input'!$C$2,'user input'!$C$2,'weather data'!D980)</f>
        <v>17.777777777777779</v>
      </c>
      <c r="E980">
        <f t="shared" si="16"/>
        <v>23.888888888888889</v>
      </c>
      <c r="F980">
        <f>IF((E980-'user input'!$C$2)&lt;0,0,E980-'user input'!$C$2)</f>
        <v>13.888888888888889</v>
      </c>
      <c r="G980">
        <f>IF(B980&lt;'user input'!$C$5,0,(F980+G979))</f>
        <v>1374.4444444444443</v>
      </c>
      <c r="H980">
        <f>G980/'user input'!$C$4</f>
        <v>1.1453703703703704</v>
      </c>
    </row>
    <row r="981" spans="1:8" x14ac:dyDescent="0.2">
      <c r="A981" s="1">
        <v>41157</v>
      </c>
      <c r="B981">
        <v>249</v>
      </c>
      <c r="C981" s="6">
        <f>IF('weather data'!C981&gt;'user input'!$C$3,'user input'!$C$3,'weather data'!C981)</f>
        <v>30</v>
      </c>
      <c r="D981" s="6">
        <f>IF('weather data'!D981&lt;'user input'!$C$2,'user input'!$C$2,'weather data'!D981)</f>
        <v>16.666666666666668</v>
      </c>
      <c r="E981">
        <f t="shared" si="16"/>
        <v>23.333333333333336</v>
      </c>
      <c r="F981">
        <f>IF((E981-'user input'!$C$2)&lt;0,0,E981-'user input'!$C$2)</f>
        <v>13.333333333333336</v>
      </c>
      <c r="G981">
        <f>IF(B981&lt;'user input'!$C$5,0,(F981+G980))</f>
        <v>1387.7777777777776</v>
      </c>
      <c r="H981">
        <f>G981/'user input'!$C$4</f>
        <v>1.1564814814814814</v>
      </c>
    </row>
    <row r="982" spans="1:8" x14ac:dyDescent="0.2">
      <c r="A982" s="1">
        <v>41158</v>
      </c>
      <c r="B982">
        <v>250</v>
      </c>
      <c r="C982" s="6">
        <f>IF('weather data'!C982&gt;'user input'!$C$3,'user input'!$C$3,'weather data'!C982)</f>
        <v>28.333333333333336</v>
      </c>
      <c r="D982" s="6">
        <f>IF('weather data'!D982&lt;'user input'!$C$2,'user input'!$C$2,'weather data'!D982)</f>
        <v>13.333333333333332</v>
      </c>
      <c r="E982">
        <f t="shared" si="16"/>
        <v>20.833333333333336</v>
      </c>
      <c r="F982">
        <f>IF((E982-'user input'!$C$2)&lt;0,0,E982-'user input'!$C$2)</f>
        <v>10.833333333333336</v>
      </c>
      <c r="G982">
        <f>IF(B982&lt;'user input'!$C$5,0,(F982+G981))</f>
        <v>1398.6111111111109</v>
      </c>
      <c r="H982">
        <f>G982/'user input'!$C$4</f>
        <v>1.1655092592592591</v>
      </c>
    </row>
    <row r="983" spans="1:8" x14ac:dyDescent="0.2">
      <c r="A983" s="1">
        <v>41159</v>
      </c>
      <c r="B983">
        <v>251</v>
      </c>
      <c r="C983" s="6">
        <f>IF('weather data'!C983&gt;'user input'!$C$3,'user input'!$C$3,'weather data'!C983)</f>
        <v>26.666666666666664</v>
      </c>
      <c r="D983" s="6">
        <f>IF('weather data'!D983&lt;'user input'!$C$2,'user input'!$C$2,'weather data'!D983)</f>
        <v>13.333333333333332</v>
      </c>
      <c r="E983">
        <f t="shared" si="16"/>
        <v>20</v>
      </c>
      <c r="F983">
        <f>IF((E983-'user input'!$C$2)&lt;0,0,E983-'user input'!$C$2)</f>
        <v>10</v>
      </c>
      <c r="G983">
        <f>IF(B983&lt;'user input'!$C$5,0,(F983+G982))</f>
        <v>1408.6111111111109</v>
      </c>
      <c r="H983">
        <f>G983/'user input'!$C$4</f>
        <v>1.1738425925925924</v>
      </c>
    </row>
    <row r="984" spans="1:8" x14ac:dyDescent="0.2">
      <c r="A984" s="1">
        <v>41160</v>
      </c>
      <c r="B984">
        <v>252</v>
      </c>
      <c r="C984" s="6">
        <f>IF('weather data'!C984&gt;'user input'!$C$3,'user input'!$C$3,'weather data'!C984)</f>
        <v>20</v>
      </c>
      <c r="D984" s="6">
        <f>IF('weather data'!D984&lt;'user input'!$C$2,'user input'!$C$2,'weather data'!D984)</f>
        <v>10</v>
      </c>
      <c r="E984">
        <f t="shared" si="16"/>
        <v>15</v>
      </c>
      <c r="F984">
        <f>IF((E984-'user input'!$C$2)&lt;0,0,E984-'user input'!$C$2)</f>
        <v>5</v>
      </c>
      <c r="G984">
        <f>IF(B984&lt;'user input'!$C$5,0,(F984+G983))</f>
        <v>1413.6111111111109</v>
      </c>
      <c r="H984">
        <f>G984/'user input'!$C$4</f>
        <v>1.178009259259259</v>
      </c>
    </row>
    <row r="985" spans="1:8" x14ac:dyDescent="0.2">
      <c r="A985" s="1">
        <v>41161</v>
      </c>
      <c r="B985">
        <v>253</v>
      </c>
      <c r="C985" s="6">
        <f>IF('weather data'!C985&gt;'user input'!$C$3,'user input'!$C$3,'weather data'!C985)</f>
        <v>22.777777777777779</v>
      </c>
      <c r="D985" s="6">
        <f>IF('weather data'!D985&lt;'user input'!$C$2,'user input'!$C$2,'weather data'!D985)</f>
        <v>10</v>
      </c>
      <c r="E985">
        <f t="shared" si="16"/>
        <v>16.388888888888889</v>
      </c>
      <c r="F985">
        <f>IF((E985-'user input'!$C$2)&lt;0,0,E985-'user input'!$C$2)</f>
        <v>6.3888888888888893</v>
      </c>
      <c r="G985">
        <f>IF(B985&lt;'user input'!$C$5,0,(F985+G984))</f>
        <v>1419.9999999999998</v>
      </c>
      <c r="H985">
        <f>G985/'user input'!$C$4</f>
        <v>1.1833333333333331</v>
      </c>
    </row>
    <row r="986" spans="1:8" x14ac:dyDescent="0.2">
      <c r="A986" s="1">
        <v>41162</v>
      </c>
      <c r="B986">
        <v>254</v>
      </c>
      <c r="C986" s="6">
        <f>IF('weather data'!C986&gt;'user input'!$C$3,'user input'!$C$3,'weather data'!C986)</f>
        <v>21.111111111111111</v>
      </c>
      <c r="D986" s="6">
        <f>IF('weather data'!D986&lt;'user input'!$C$2,'user input'!$C$2,'weather data'!D986)</f>
        <v>10</v>
      </c>
      <c r="E986">
        <f t="shared" si="16"/>
        <v>15.555555555555555</v>
      </c>
      <c r="F986">
        <f>IF((E986-'user input'!$C$2)&lt;0,0,E986-'user input'!$C$2)</f>
        <v>5.5555555555555554</v>
      </c>
      <c r="G986">
        <f>IF(B986&lt;'user input'!$C$5,0,(F986+G985))</f>
        <v>1425.5555555555554</v>
      </c>
      <c r="H986">
        <f>G986/'user input'!$C$4</f>
        <v>1.1879629629629629</v>
      </c>
    </row>
    <row r="987" spans="1:8" x14ac:dyDescent="0.2">
      <c r="A987" s="1">
        <v>41163</v>
      </c>
      <c r="B987">
        <v>255</v>
      </c>
      <c r="C987" s="6">
        <f>IF('weather data'!C987&gt;'user input'!$C$3,'user input'!$C$3,'weather data'!C987)</f>
        <v>25.555555555555554</v>
      </c>
      <c r="D987" s="6">
        <f>IF('weather data'!D987&lt;'user input'!$C$2,'user input'!$C$2,'weather data'!D987)</f>
        <v>10</v>
      </c>
      <c r="E987">
        <f t="shared" si="16"/>
        <v>17.777777777777779</v>
      </c>
      <c r="F987">
        <f>IF((E987-'user input'!$C$2)&lt;0,0,E987-'user input'!$C$2)</f>
        <v>7.7777777777777786</v>
      </c>
      <c r="G987">
        <f>IF(B987&lt;'user input'!$C$5,0,(F987+G986))</f>
        <v>1433.3333333333333</v>
      </c>
      <c r="H987">
        <f>G987/'user input'!$C$4</f>
        <v>1.1944444444444444</v>
      </c>
    </row>
    <row r="988" spans="1:8" x14ac:dyDescent="0.2">
      <c r="A988" s="1">
        <v>41164</v>
      </c>
      <c r="B988">
        <v>256</v>
      </c>
      <c r="C988" s="6">
        <f>IF('weather data'!C988&gt;'user input'!$C$3,'user input'!$C$3,'weather data'!C988)</f>
        <v>30</v>
      </c>
      <c r="D988" s="6">
        <f>IF('weather data'!D988&lt;'user input'!$C$2,'user input'!$C$2,'weather data'!D988)</f>
        <v>12.222222222222223</v>
      </c>
      <c r="E988">
        <f t="shared" si="16"/>
        <v>21.111111111111111</v>
      </c>
      <c r="F988">
        <f>IF((E988-'user input'!$C$2)&lt;0,0,E988-'user input'!$C$2)</f>
        <v>11.111111111111111</v>
      </c>
      <c r="G988">
        <f>IF(B988&lt;'user input'!$C$5,0,(F988+G987))</f>
        <v>1444.4444444444443</v>
      </c>
      <c r="H988">
        <f>G988/'user input'!$C$4</f>
        <v>1.2037037037037037</v>
      </c>
    </row>
    <row r="989" spans="1:8" x14ac:dyDescent="0.2">
      <c r="A989" s="1">
        <v>41165</v>
      </c>
      <c r="B989">
        <v>257</v>
      </c>
      <c r="C989" s="6">
        <f>IF('weather data'!C989&gt;'user input'!$C$3,'user input'!$C$3,'weather data'!C989)</f>
        <v>30</v>
      </c>
      <c r="D989" s="6">
        <f>IF('weather data'!D989&lt;'user input'!$C$2,'user input'!$C$2,'weather data'!D989)</f>
        <v>11.666666666666668</v>
      </c>
      <c r="E989">
        <f t="shared" si="16"/>
        <v>20.833333333333336</v>
      </c>
      <c r="F989">
        <f>IF((E989-'user input'!$C$2)&lt;0,0,E989-'user input'!$C$2)</f>
        <v>10.833333333333336</v>
      </c>
      <c r="G989">
        <f>IF(B989&lt;'user input'!$C$5,0,(F989+G988))</f>
        <v>1455.2777777777776</v>
      </c>
      <c r="H989">
        <f>G989/'user input'!$C$4</f>
        <v>1.2127314814814814</v>
      </c>
    </row>
    <row r="990" spans="1:8" x14ac:dyDescent="0.2">
      <c r="A990" s="1">
        <v>41166</v>
      </c>
      <c r="B990">
        <v>258</v>
      </c>
      <c r="C990" s="6">
        <f>IF('weather data'!C990&gt;'user input'!$C$3,'user input'!$C$3,'weather data'!C990)</f>
        <v>15.555555555555555</v>
      </c>
      <c r="D990" s="6">
        <f>IF('weather data'!D990&lt;'user input'!$C$2,'user input'!$C$2,'weather data'!D990)</f>
        <v>10</v>
      </c>
      <c r="E990">
        <f t="shared" si="16"/>
        <v>12.777777777777779</v>
      </c>
      <c r="F990">
        <f>IF((E990-'user input'!$C$2)&lt;0,0,E990-'user input'!$C$2)</f>
        <v>2.7777777777777786</v>
      </c>
      <c r="G990">
        <f>IF(B990&lt;'user input'!$C$5,0,(F990+G989))</f>
        <v>1458.0555555555554</v>
      </c>
      <c r="H990">
        <f>G990/'user input'!$C$4</f>
        <v>1.2150462962962962</v>
      </c>
    </row>
    <row r="991" spans="1:8" x14ac:dyDescent="0.2">
      <c r="A991" s="1">
        <v>41167</v>
      </c>
      <c r="B991">
        <v>259</v>
      </c>
      <c r="C991" s="6">
        <f>IF('weather data'!C991&gt;'user input'!$C$3,'user input'!$C$3,'weather data'!C991)</f>
        <v>24.444444444444446</v>
      </c>
      <c r="D991" s="6">
        <f>IF('weather data'!D991&lt;'user input'!$C$2,'user input'!$C$2,'weather data'!D991)</f>
        <v>10</v>
      </c>
      <c r="E991">
        <f t="shared" si="16"/>
        <v>17.222222222222221</v>
      </c>
      <c r="F991">
        <f>IF((E991-'user input'!$C$2)&lt;0,0,E991-'user input'!$C$2)</f>
        <v>7.2222222222222214</v>
      </c>
      <c r="G991">
        <f>IF(B991&lt;'user input'!$C$5,0,(F991+G990))</f>
        <v>1465.2777777777776</v>
      </c>
      <c r="H991">
        <f>G991/'user input'!$C$4</f>
        <v>1.2210648148148147</v>
      </c>
    </row>
    <row r="992" spans="1:8" x14ac:dyDescent="0.2">
      <c r="A992" s="1">
        <v>41168</v>
      </c>
      <c r="B992">
        <v>260</v>
      </c>
      <c r="C992" s="6">
        <f>IF('weather data'!C992&gt;'user input'!$C$3,'user input'!$C$3,'weather data'!C992)</f>
        <v>27.222222222222221</v>
      </c>
      <c r="D992" s="6">
        <f>IF('weather data'!D992&lt;'user input'!$C$2,'user input'!$C$2,'weather data'!D992)</f>
        <v>10</v>
      </c>
      <c r="E992">
        <f t="shared" si="16"/>
        <v>18.611111111111111</v>
      </c>
      <c r="F992">
        <f>IF((E992-'user input'!$C$2)&lt;0,0,E992-'user input'!$C$2)</f>
        <v>8.6111111111111107</v>
      </c>
      <c r="G992">
        <f>IF(B992&lt;'user input'!$C$5,0,(F992+G991))</f>
        <v>1473.8888888888887</v>
      </c>
      <c r="H992">
        <f>G992/'user input'!$C$4</f>
        <v>1.2282407407407405</v>
      </c>
    </row>
    <row r="993" spans="1:8" x14ac:dyDescent="0.2">
      <c r="A993" s="1">
        <v>41169</v>
      </c>
      <c r="B993">
        <v>261</v>
      </c>
      <c r="C993" s="6">
        <f>IF('weather data'!C993&gt;'user input'!$C$3,'user input'!$C$3,'weather data'!C993)</f>
        <v>25</v>
      </c>
      <c r="D993" s="6">
        <f>IF('weather data'!D993&lt;'user input'!$C$2,'user input'!$C$2,'weather data'!D993)</f>
        <v>11.666666666666668</v>
      </c>
      <c r="E993">
        <f t="shared" si="16"/>
        <v>18.333333333333336</v>
      </c>
      <c r="F993">
        <f>IF((E993-'user input'!$C$2)&lt;0,0,E993-'user input'!$C$2)</f>
        <v>8.3333333333333357</v>
      </c>
      <c r="G993">
        <f>IF(B993&lt;'user input'!$C$5,0,(F993+G992))</f>
        <v>1482.2222222222219</v>
      </c>
      <c r="H993">
        <f>G993/'user input'!$C$4</f>
        <v>1.2351851851851849</v>
      </c>
    </row>
    <row r="994" spans="1:8" x14ac:dyDescent="0.2">
      <c r="A994" s="1">
        <v>41170</v>
      </c>
      <c r="B994">
        <v>262</v>
      </c>
      <c r="C994" s="6">
        <f>IF('weather data'!C994&gt;'user input'!$C$3,'user input'!$C$3,'weather data'!C994)</f>
        <v>22.222222222222221</v>
      </c>
      <c r="D994" s="6">
        <f>IF('weather data'!D994&lt;'user input'!$C$2,'user input'!$C$2,'weather data'!D994)</f>
        <v>10</v>
      </c>
      <c r="E994">
        <f t="shared" si="16"/>
        <v>16.111111111111111</v>
      </c>
      <c r="F994">
        <f>IF((E994-'user input'!$C$2)&lt;0,0,E994-'user input'!$C$2)</f>
        <v>6.1111111111111107</v>
      </c>
      <c r="G994">
        <f>IF(B994&lt;'user input'!$C$5,0,(F994+G993))</f>
        <v>1488.333333333333</v>
      </c>
      <c r="H994">
        <f>G994/'user input'!$C$4</f>
        <v>1.2402777777777776</v>
      </c>
    </row>
    <row r="995" spans="1:8" x14ac:dyDescent="0.2">
      <c r="A995" s="1">
        <v>41171</v>
      </c>
      <c r="B995">
        <v>263</v>
      </c>
      <c r="C995" s="6">
        <f>IF('weather data'!C995&gt;'user input'!$C$3,'user input'!$C$3,'weather data'!C995)</f>
        <v>16.666666666666668</v>
      </c>
      <c r="D995" s="6">
        <f>IF('weather data'!D995&lt;'user input'!$C$2,'user input'!$C$2,'weather data'!D995)</f>
        <v>10</v>
      </c>
      <c r="E995">
        <f t="shared" si="16"/>
        <v>13.333333333333334</v>
      </c>
      <c r="F995">
        <f>IF((E995-'user input'!$C$2)&lt;0,0,E995-'user input'!$C$2)</f>
        <v>3.3333333333333339</v>
      </c>
      <c r="G995">
        <f>IF(B995&lt;'user input'!$C$5,0,(F995+G994))</f>
        <v>1491.6666666666663</v>
      </c>
      <c r="H995">
        <f>G995/'user input'!$C$4</f>
        <v>1.2430555555555551</v>
      </c>
    </row>
    <row r="996" spans="1:8" x14ac:dyDescent="0.2">
      <c r="A996" s="1">
        <v>41172</v>
      </c>
      <c r="B996">
        <v>264</v>
      </c>
      <c r="C996" s="6">
        <f>IF('weather data'!C996&gt;'user input'!$C$3,'user input'!$C$3,'weather data'!C996)</f>
        <v>25</v>
      </c>
      <c r="D996" s="6">
        <f>IF('weather data'!D996&lt;'user input'!$C$2,'user input'!$C$2,'weather data'!D996)</f>
        <v>10</v>
      </c>
      <c r="E996">
        <f t="shared" si="16"/>
        <v>17.5</v>
      </c>
      <c r="F996">
        <f>IF((E996-'user input'!$C$2)&lt;0,0,E996-'user input'!$C$2)</f>
        <v>7.5</v>
      </c>
      <c r="G996">
        <f>IF(B996&lt;'user input'!$C$5,0,(F996+G995))</f>
        <v>1499.1666666666663</v>
      </c>
      <c r="H996">
        <f>G996/'user input'!$C$4</f>
        <v>1.2493055555555552</v>
      </c>
    </row>
    <row r="997" spans="1:8" x14ac:dyDescent="0.2">
      <c r="A997" s="1">
        <v>41173</v>
      </c>
      <c r="B997">
        <v>265</v>
      </c>
      <c r="C997" s="6">
        <f>IF('weather data'!C997&gt;'user input'!$C$3,'user input'!$C$3,'weather data'!C997)</f>
        <v>20</v>
      </c>
      <c r="D997" s="6">
        <f>IF('weather data'!D997&lt;'user input'!$C$2,'user input'!$C$2,'weather data'!D997)</f>
        <v>10</v>
      </c>
      <c r="E997">
        <f t="shared" si="16"/>
        <v>15</v>
      </c>
      <c r="F997">
        <f>IF((E997-'user input'!$C$2)&lt;0,0,E997-'user input'!$C$2)</f>
        <v>5</v>
      </c>
      <c r="G997">
        <f>IF(B997&lt;'user input'!$C$5,0,(F997+G996))</f>
        <v>1504.1666666666663</v>
      </c>
      <c r="H997">
        <f>G997/'user input'!$C$4</f>
        <v>1.2534722222222219</v>
      </c>
    </row>
    <row r="998" spans="1:8" x14ac:dyDescent="0.2">
      <c r="A998" s="1">
        <v>41174</v>
      </c>
      <c r="B998">
        <v>266</v>
      </c>
      <c r="C998" s="6">
        <f>IF('weather data'!C998&gt;'user input'!$C$3,'user input'!$C$3,'weather data'!C998)</f>
        <v>17.222222222222221</v>
      </c>
      <c r="D998" s="6">
        <f>IF('weather data'!D998&lt;'user input'!$C$2,'user input'!$C$2,'weather data'!D998)</f>
        <v>10</v>
      </c>
      <c r="E998">
        <f t="shared" si="16"/>
        <v>13.611111111111111</v>
      </c>
      <c r="F998">
        <f>IF((E998-'user input'!$C$2)&lt;0,0,E998-'user input'!$C$2)</f>
        <v>3.6111111111111107</v>
      </c>
      <c r="G998">
        <f>IF(B998&lt;'user input'!$C$5,0,(F998+G997))</f>
        <v>1507.7777777777774</v>
      </c>
      <c r="H998">
        <f>G998/'user input'!$C$4</f>
        <v>1.2564814814814811</v>
      </c>
    </row>
    <row r="999" spans="1:8" x14ac:dyDescent="0.2">
      <c r="A999" s="1">
        <v>41175</v>
      </c>
      <c r="B999">
        <v>267</v>
      </c>
      <c r="C999" s="6">
        <f>IF('weather data'!C999&gt;'user input'!$C$3,'user input'!$C$3,'weather data'!C999)</f>
        <v>11.111111111111111</v>
      </c>
      <c r="D999" s="6">
        <f>IF('weather data'!D999&lt;'user input'!$C$2,'user input'!$C$2,'weather data'!D999)</f>
        <v>10</v>
      </c>
      <c r="E999">
        <f t="shared" si="16"/>
        <v>10.555555555555555</v>
      </c>
      <c r="F999">
        <f>IF((E999-'user input'!$C$2)&lt;0,0,E999-'user input'!$C$2)</f>
        <v>0.55555555555555536</v>
      </c>
      <c r="G999">
        <f>IF(B999&lt;'user input'!$C$5,0,(F999+G998))</f>
        <v>1508.333333333333</v>
      </c>
      <c r="H999">
        <f>G999/'user input'!$C$4</f>
        <v>1.2569444444444442</v>
      </c>
    </row>
    <row r="1000" spans="1:8" x14ac:dyDescent="0.2">
      <c r="A1000" s="1">
        <v>41176</v>
      </c>
      <c r="B1000">
        <v>268</v>
      </c>
      <c r="C1000" s="6">
        <f>IF('weather data'!C1000&gt;'user input'!$C$3,'user input'!$C$3,'weather data'!C1000)</f>
        <v>15.555555555555555</v>
      </c>
      <c r="D1000" s="6">
        <f>IF('weather data'!D1000&lt;'user input'!$C$2,'user input'!$C$2,'weather data'!D1000)</f>
        <v>10</v>
      </c>
      <c r="E1000">
        <f t="shared" si="16"/>
        <v>12.777777777777779</v>
      </c>
      <c r="F1000">
        <f>IF((E1000-'user input'!$C$2)&lt;0,0,E1000-'user input'!$C$2)</f>
        <v>2.7777777777777786</v>
      </c>
      <c r="G1000">
        <f>IF(B1000&lt;'user input'!$C$5,0,(F1000+G999))</f>
        <v>1511.1111111111109</v>
      </c>
      <c r="H1000">
        <f>G1000/'user input'!$C$4</f>
        <v>1.2592592592592591</v>
      </c>
    </row>
    <row r="1001" spans="1:8" x14ac:dyDescent="0.2">
      <c r="A1001" s="1">
        <v>41177</v>
      </c>
      <c r="B1001">
        <v>269</v>
      </c>
      <c r="C1001" s="6">
        <f>IF('weather data'!C1001&gt;'user input'!$C$3,'user input'!$C$3,'weather data'!C1001)</f>
        <v>22.777777777777779</v>
      </c>
      <c r="D1001" s="6">
        <f>IF('weather data'!D1001&lt;'user input'!$C$2,'user input'!$C$2,'weather data'!D1001)</f>
        <v>10</v>
      </c>
      <c r="E1001">
        <f t="shared" si="16"/>
        <v>16.388888888888889</v>
      </c>
      <c r="F1001">
        <f>IF((E1001-'user input'!$C$2)&lt;0,0,E1001-'user input'!$C$2)</f>
        <v>6.3888888888888893</v>
      </c>
      <c r="G1001">
        <f>IF(B1001&lt;'user input'!$C$5,0,(F1001+G1000))</f>
        <v>1517.4999999999998</v>
      </c>
      <c r="H1001">
        <f>G1001/'user input'!$C$4</f>
        <v>1.2645833333333332</v>
      </c>
    </row>
    <row r="1002" spans="1:8" x14ac:dyDescent="0.2">
      <c r="A1002" s="1">
        <v>41178</v>
      </c>
      <c r="B1002">
        <v>270</v>
      </c>
      <c r="C1002" s="6">
        <f>IF('weather data'!C1002&gt;'user input'!$C$3,'user input'!$C$3,'weather data'!C1002)</f>
        <v>27.222222222222221</v>
      </c>
      <c r="D1002" s="6">
        <f>IF('weather data'!D1002&lt;'user input'!$C$2,'user input'!$C$2,'weather data'!D1002)</f>
        <v>10</v>
      </c>
      <c r="E1002">
        <f t="shared" si="16"/>
        <v>18.611111111111111</v>
      </c>
      <c r="F1002">
        <f>IF((E1002-'user input'!$C$2)&lt;0,0,E1002-'user input'!$C$2)</f>
        <v>8.6111111111111107</v>
      </c>
      <c r="G1002">
        <f>IF(B1002&lt;'user input'!$C$5,0,(F1002+G1001))</f>
        <v>1526.1111111111109</v>
      </c>
      <c r="H1002">
        <f>G1002/'user input'!$C$4</f>
        <v>1.271759259259259</v>
      </c>
    </row>
    <row r="1003" spans="1:8" x14ac:dyDescent="0.2">
      <c r="A1003" s="1">
        <v>41179</v>
      </c>
      <c r="B1003">
        <v>271</v>
      </c>
      <c r="C1003" s="6">
        <f>IF('weather data'!C1003&gt;'user input'!$C$3,'user input'!$C$3,'weather data'!C1003)</f>
        <v>18.888888888888889</v>
      </c>
      <c r="D1003" s="6">
        <f>IF('weather data'!D1003&lt;'user input'!$C$2,'user input'!$C$2,'weather data'!D1003)</f>
        <v>10</v>
      </c>
      <c r="E1003">
        <f t="shared" si="16"/>
        <v>14.444444444444445</v>
      </c>
      <c r="F1003">
        <f>IF((E1003-'user input'!$C$2)&lt;0,0,E1003-'user input'!$C$2)</f>
        <v>4.4444444444444446</v>
      </c>
      <c r="G1003">
        <f>IF(B1003&lt;'user input'!$C$5,0,(F1003+G1002))</f>
        <v>1530.5555555555552</v>
      </c>
      <c r="H1003">
        <f>G1003/'user input'!$C$4</f>
        <v>1.2754629629629626</v>
      </c>
    </row>
    <row r="1004" spans="1:8" x14ac:dyDescent="0.2">
      <c r="A1004" s="1">
        <v>41180</v>
      </c>
      <c r="B1004">
        <v>272</v>
      </c>
      <c r="C1004" s="6">
        <f>IF('weather data'!C1004&gt;'user input'!$C$3,'user input'!$C$3,'weather data'!C1004)</f>
        <v>19.444444444444443</v>
      </c>
      <c r="D1004" s="6">
        <f>IF('weather data'!D1004&lt;'user input'!$C$2,'user input'!$C$2,'weather data'!D1004)</f>
        <v>10</v>
      </c>
      <c r="E1004">
        <f t="shared" si="16"/>
        <v>14.722222222222221</v>
      </c>
      <c r="F1004">
        <f>IF((E1004-'user input'!$C$2)&lt;0,0,E1004-'user input'!$C$2)</f>
        <v>4.7222222222222214</v>
      </c>
      <c r="G1004">
        <f>IF(B1004&lt;'user input'!$C$5,0,(F1004+G1003))</f>
        <v>1535.2777777777774</v>
      </c>
      <c r="H1004">
        <f>G1004/'user input'!$C$4</f>
        <v>1.2793981481481478</v>
      </c>
    </row>
    <row r="1005" spans="1:8" x14ac:dyDescent="0.2">
      <c r="A1005" s="1">
        <v>41181</v>
      </c>
      <c r="B1005">
        <v>273</v>
      </c>
      <c r="C1005" s="6">
        <f>IF('weather data'!C1005&gt;'user input'!$C$3,'user input'!$C$3,'weather data'!C1005)</f>
        <v>23.333333333333336</v>
      </c>
      <c r="D1005" s="6">
        <f>IF('weather data'!D1005&lt;'user input'!$C$2,'user input'!$C$2,'weather data'!D1005)</f>
        <v>10</v>
      </c>
      <c r="E1005">
        <f t="shared" si="16"/>
        <v>16.666666666666668</v>
      </c>
      <c r="F1005">
        <f>IF((E1005-'user input'!$C$2)&lt;0,0,E1005-'user input'!$C$2)</f>
        <v>6.6666666666666679</v>
      </c>
      <c r="G1005">
        <f>IF(B1005&lt;'user input'!$C$5,0,(F1005+G1004))</f>
        <v>1541.9444444444441</v>
      </c>
      <c r="H1005">
        <f>G1005/'user input'!$C$4</f>
        <v>1.2849537037037033</v>
      </c>
    </row>
    <row r="1006" spans="1:8" x14ac:dyDescent="0.2">
      <c r="A1006" s="1">
        <v>41182</v>
      </c>
      <c r="B1006">
        <v>274</v>
      </c>
      <c r="C1006" s="6">
        <f>IF('weather data'!C1006&gt;'user input'!$C$3,'user input'!$C$3,'weather data'!C1006)</f>
        <v>26.111111111111111</v>
      </c>
      <c r="D1006" s="6">
        <f>IF('weather data'!D1006&lt;'user input'!$C$2,'user input'!$C$2,'weather data'!D1006)</f>
        <v>10</v>
      </c>
      <c r="E1006">
        <f t="shared" si="16"/>
        <v>18.055555555555557</v>
      </c>
      <c r="F1006">
        <f>IF((E1006-'user input'!$C$2)&lt;0,0,E1006-'user input'!$C$2)</f>
        <v>8.0555555555555571</v>
      </c>
      <c r="G1006">
        <f>IF(B1006&lt;'user input'!$C$5,0,(F1006+G1005))</f>
        <v>1549.9999999999998</v>
      </c>
      <c r="H1006">
        <f>G1006/'user input'!$C$4</f>
        <v>1.2916666666666665</v>
      </c>
    </row>
    <row r="1007" spans="1:8" x14ac:dyDescent="0.2">
      <c r="A1007" s="1">
        <v>41183</v>
      </c>
      <c r="B1007">
        <v>275</v>
      </c>
      <c r="C1007" s="6">
        <f>IF('weather data'!C1007&gt;'user input'!$C$3,'user input'!$C$3,'weather data'!C1007)</f>
        <v>21.111111111111111</v>
      </c>
      <c r="D1007" s="6">
        <f>IF('weather data'!D1007&lt;'user input'!$C$2,'user input'!$C$2,'weather data'!D1007)</f>
        <v>10</v>
      </c>
      <c r="E1007">
        <f t="shared" si="16"/>
        <v>15.555555555555555</v>
      </c>
      <c r="F1007">
        <f>IF((E1007-'user input'!$C$2)&lt;0,0,E1007-'user input'!$C$2)</f>
        <v>5.5555555555555554</v>
      </c>
      <c r="G1007">
        <f>IF(B1007&lt;'user input'!$C$5,0,(F1007+G1006))</f>
        <v>1555.5555555555554</v>
      </c>
      <c r="H1007">
        <f>G1007/'user input'!$C$4</f>
        <v>1.2962962962962963</v>
      </c>
    </row>
    <row r="1008" spans="1:8" x14ac:dyDescent="0.2">
      <c r="A1008" s="1">
        <v>41184</v>
      </c>
      <c r="B1008">
        <v>276</v>
      </c>
      <c r="C1008" s="6">
        <f>IF('weather data'!C1008&gt;'user input'!$C$3,'user input'!$C$3,'weather data'!C1008)</f>
        <v>20</v>
      </c>
      <c r="D1008" s="6">
        <f>IF('weather data'!D1008&lt;'user input'!$C$2,'user input'!$C$2,'weather data'!D1008)</f>
        <v>10</v>
      </c>
      <c r="E1008">
        <f t="shared" si="16"/>
        <v>15</v>
      </c>
      <c r="F1008">
        <f>IF((E1008-'user input'!$C$2)&lt;0,0,E1008-'user input'!$C$2)</f>
        <v>5</v>
      </c>
      <c r="G1008">
        <f>IF(B1008&lt;'user input'!$C$5,0,(F1008+G1007))</f>
        <v>1560.5555555555554</v>
      </c>
      <c r="H1008">
        <f>G1008/'user input'!$C$4</f>
        <v>1.3004629629629629</v>
      </c>
    </row>
    <row r="1009" spans="1:8" x14ac:dyDescent="0.2">
      <c r="A1009" s="1">
        <v>41185</v>
      </c>
      <c r="B1009">
        <v>277</v>
      </c>
      <c r="C1009" s="6">
        <f>IF('weather data'!C1009&gt;'user input'!$C$3,'user input'!$C$3,'weather data'!C1009)</f>
        <v>22.222222222222221</v>
      </c>
      <c r="D1009" s="6">
        <f>IF('weather data'!D1009&lt;'user input'!$C$2,'user input'!$C$2,'weather data'!D1009)</f>
        <v>10</v>
      </c>
      <c r="E1009">
        <f t="shared" si="16"/>
        <v>16.111111111111111</v>
      </c>
      <c r="F1009">
        <f>IF((E1009-'user input'!$C$2)&lt;0,0,E1009-'user input'!$C$2)</f>
        <v>6.1111111111111107</v>
      </c>
      <c r="G1009">
        <f>IF(B1009&lt;'user input'!$C$5,0,(F1009+G1008))</f>
        <v>1566.6666666666665</v>
      </c>
      <c r="H1009">
        <f>G1009/'user input'!$C$4</f>
        <v>1.3055555555555554</v>
      </c>
    </row>
    <row r="1010" spans="1:8" x14ac:dyDescent="0.2">
      <c r="A1010" s="1">
        <v>41186</v>
      </c>
      <c r="B1010">
        <v>278</v>
      </c>
      <c r="C1010" s="6">
        <f>IF('weather data'!C1010&gt;'user input'!$C$3,'user input'!$C$3,'weather data'!C1010)</f>
        <v>23.888888888888889</v>
      </c>
      <c r="D1010" s="6">
        <f>IF('weather data'!D1010&lt;'user input'!$C$2,'user input'!$C$2,'weather data'!D1010)</f>
        <v>10</v>
      </c>
      <c r="E1010">
        <f t="shared" si="16"/>
        <v>16.944444444444443</v>
      </c>
      <c r="F1010">
        <f>IF((E1010-'user input'!$C$2)&lt;0,0,E1010-'user input'!$C$2)</f>
        <v>6.9444444444444429</v>
      </c>
      <c r="G1010">
        <f>IF(B1010&lt;'user input'!$C$5,0,(F1010+G1009))</f>
        <v>1573.6111111111109</v>
      </c>
      <c r="H1010">
        <f>G1010/'user input'!$C$4</f>
        <v>1.3113425925925923</v>
      </c>
    </row>
    <row r="1011" spans="1:8" x14ac:dyDescent="0.2">
      <c r="A1011" s="1">
        <v>41187</v>
      </c>
      <c r="B1011">
        <v>279</v>
      </c>
      <c r="C1011" s="6">
        <f>IF('weather data'!C1011&gt;'user input'!$C$3,'user input'!$C$3,'weather data'!C1011)</f>
        <v>18.333333333333332</v>
      </c>
      <c r="D1011" s="6">
        <f>IF('weather data'!D1011&lt;'user input'!$C$2,'user input'!$C$2,'weather data'!D1011)</f>
        <v>10</v>
      </c>
      <c r="E1011">
        <f t="shared" si="16"/>
        <v>14.166666666666666</v>
      </c>
      <c r="F1011">
        <f>IF((E1011-'user input'!$C$2)&lt;0,0,E1011-'user input'!$C$2)</f>
        <v>4.1666666666666661</v>
      </c>
      <c r="G1011">
        <f>IF(B1011&lt;'user input'!$C$5,0,(F1011+G1010))</f>
        <v>1577.7777777777776</v>
      </c>
      <c r="H1011">
        <f>G1011/'user input'!$C$4</f>
        <v>1.3148148148148147</v>
      </c>
    </row>
    <row r="1012" spans="1:8" x14ac:dyDescent="0.2">
      <c r="A1012" s="1">
        <v>41188</v>
      </c>
      <c r="B1012">
        <v>280</v>
      </c>
      <c r="C1012" s="6">
        <f>IF('weather data'!C1012&gt;'user input'!$C$3,'user input'!$C$3,'weather data'!C1012)</f>
        <v>10</v>
      </c>
      <c r="D1012" s="6">
        <f>IF('weather data'!D1012&lt;'user input'!$C$2,'user input'!$C$2,'weather data'!D1012)</f>
        <v>10</v>
      </c>
      <c r="E1012">
        <f t="shared" si="16"/>
        <v>10</v>
      </c>
      <c r="F1012">
        <f>IF((E1012-'user input'!$C$2)&lt;0,0,E1012-'user input'!$C$2)</f>
        <v>0</v>
      </c>
      <c r="G1012">
        <f>IF(B1012&lt;'user input'!$C$5,0,(F1012+G1011))</f>
        <v>1577.7777777777776</v>
      </c>
      <c r="H1012">
        <f>G1012/'user input'!$C$4</f>
        <v>1.3148148148148147</v>
      </c>
    </row>
    <row r="1013" spans="1:8" x14ac:dyDescent="0.2">
      <c r="A1013" s="1">
        <v>41189</v>
      </c>
      <c r="B1013">
        <v>281</v>
      </c>
      <c r="C1013" s="6">
        <f>IF('weather data'!C1013&gt;'user input'!$C$3,'user input'!$C$3,'weather data'!C1013)</f>
        <v>8.8888888888888893</v>
      </c>
      <c r="D1013" s="6">
        <f>IF('weather data'!D1013&lt;'user input'!$C$2,'user input'!$C$2,'weather data'!D1013)</f>
        <v>10</v>
      </c>
      <c r="E1013">
        <f t="shared" si="16"/>
        <v>9.4444444444444446</v>
      </c>
      <c r="F1013">
        <f>IF((E1013-'user input'!$C$2)&lt;0,0,E1013-'user input'!$C$2)</f>
        <v>0</v>
      </c>
      <c r="G1013">
        <f>IF(B1013&lt;'user input'!$C$5,0,(F1013+G1012))</f>
        <v>1577.7777777777776</v>
      </c>
      <c r="H1013">
        <f>G1013/'user input'!$C$4</f>
        <v>1.3148148148148147</v>
      </c>
    </row>
    <row r="1014" spans="1:8" x14ac:dyDescent="0.2">
      <c r="A1014" s="1">
        <v>41190</v>
      </c>
      <c r="B1014">
        <v>282</v>
      </c>
      <c r="C1014" s="6">
        <f>IF('weather data'!C1014&gt;'user input'!$C$3,'user input'!$C$3,'weather data'!C1014)</f>
        <v>11.666666666666668</v>
      </c>
      <c r="D1014" s="6">
        <f>IF('weather data'!D1014&lt;'user input'!$C$2,'user input'!$C$2,'weather data'!D1014)</f>
        <v>10</v>
      </c>
      <c r="E1014">
        <f t="shared" si="16"/>
        <v>10.833333333333334</v>
      </c>
      <c r="F1014">
        <f>IF((E1014-'user input'!$C$2)&lt;0,0,E1014-'user input'!$C$2)</f>
        <v>0.83333333333333393</v>
      </c>
      <c r="G1014">
        <f>IF(B1014&lt;'user input'!$C$5,0,(F1014+G1013))</f>
        <v>1578.6111111111109</v>
      </c>
      <c r="H1014">
        <f>G1014/'user input'!$C$4</f>
        <v>1.315509259259259</v>
      </c>
    </row>
    <row r="1015" spans="1:8" x14ac:dyDescent="0.2">
      <c r="A1015" s="1">
        <v>41191</v>
      </c>
      <c r="B1015">
        <v>283</v>
      </c>
      <c r="C1015" s="6">
        <f>IF('weather data'!C1015&gt;'user input'!$C$3,'user input'!$C$3,'weather data'!C1015)</f>
        <v>16.111111111111111</v>
      </c>
      <c r="D1015" s="6">
        <f>IF('weather data'!D1015&lt;'user input'!$C$2,'user input'!$C$2,'weather data'!D1015)</f>
        <v>10</v>
      </c>
      <c r="E1015">
        <f t="shared" si="16"/>
        <v>13.055555555555555</v>
      </c>
      <c r="F1015">
        <f>IF((E1015-'user input'!$C$2)&lt;0,0,E1015-'user input'!$C$2)</f>
        <v>3.0555555555555554</v>
      </c>
      <c r="G1015">
        <f>IF(B1015&lt;'user input'!$C$5,0,(F1015+G1014))</f>
        <v>1581.6666666666665</v>
      </c>
      <c r="H1015">
        <f>G1015/'user input'!$C$4</f>
        <v>1.3180555555555555</v>
      </c>
    </row>
    <row r="1016" spans="1:8" x14ac:dyDescent="0.2">
      <c r="A1016" s="1">
        <v>41192</v>
      </c>
      <c r="B1016">
        <v>284</v>
      </c>
      <c r="C1016" s="6">
        <f>IF('weather data'!C1016&gt;'user input'!$C$3,'user input'!$C$3,'weather data'!C1016)</f>
        <v>15.555555555555555</v>
      </c>
      <c r="D1016" s="6">
        <f>IF('weather data'!D1016&lt;'user input'!$C$2,'user input'!$C$2,'weather data'!D1016)</f>
        <v>10</v>
      </c>
      <c r="E1016">
        <f t="shared" si="16"/>
        <v>12.777777777777779</v>
      </c>
      <c r="F1016">
        <f>IF((E1016-'user input'!$C$2)&lt;0,0,E1016-'user input'!$C$2)</f>
        <v>2.7777777777777786</v>
      </c>
      <c r="G1016">
        <f>IF(B1016&lt;'user input'!$C$5,0,(F1016+G1015))</f>
        <v>1584.4444444444443</v>
      </c>
      <c r="H1016">
        <f>G1016/'user input'!$C$4</f>
        <v>1.3203703703703702</v>
      </c>
    </row>
    <row r="1017" spans="1:8" x14ac:dyDescent="0.2">
      <c r="A1017" s="1">
        <v>41193</v>
      </c>
      <c r="B1017">
        <v>285</v>
      </c>
      <c r="C1017" s="6">
        <f>IF('weather data'!C1017&gt;'user input'!$C$3,'user input'!$C$3,'weather data'!C1017)</f>
        <v>10</v>
      </c>
      <c r="D1017" s="6">
        <f>IF('weather data'!D1017&lt;'user input'!$C$2,'user input'!$C$2,'weather data'!D1017)</f>
        <v>10</v>
      </c>
      <c r="E1017">
        <f t="shared" si="16"/>
        <v>10</v>
      </c>
      <c r="F1017">
        <f>IF((E1017-'user input'!$C$2)&lt;0,0,E1017-'user input'!$C$2)</f>
        <v>0</v>
      </c>
      <c r="G1017">
        <f>IF(B1017&lt;'user input'!$C$5,0,(F1017+G1016))</f>
        <v>1584.4444444444443</v>
      </c>
      <c r="H1017">
        <f>G1017/'user input'!$C$4</f>
        <v>1.3203703703703702</v>
      </c>
    </row>
    <row r="1018" spans="1:8" x14ac:dyDescent="0.2">
      <c r="A1018" s="1">
        <v>41194</v>
      </c>
      <c r="B1018">
        <v>286</v>
      </c>
      <c r="C1018" s="6">
        <f>IF('weather data'!C1018&gt;'user input'!$C$3,'user input'!$C$3,'weather data'!C1018)</f>
        <v>15.555555555555555</v>
      </c>
      <c r="D1018" s="6">
        <f>IF('weather data'!D1018&lt;'user input'!$C$2,'user input'!$C$2,'weather data'!D1018)</f>
        <v>10</v>
      </c>
      <c r="E1018">
        <f t="shared" si="16"/>
        <v>12.777777777777779</v>
      </c>
      <c r="F1018">
        <f>IF((E1018-'user input'!$C$2)&lt;0,0,E1018-'user input'!$C$2)</f>
        <v>2.7777777777777786</v>
      </c>
      <c r="G1018">
        <f>IF(B1018&lt;'user input'!$C$5,0,(F1018+G1017))</f>
        <v>1587.2222222222222</v>
      </c>
      <c r="H1018">
        <f>G1018/'user input'!$C$4</f>
        <v>1.3226851851851851</v>
      </c>
    </row>
    <row r="1019" spans="1:8" x14ac:dyDescent="0.2">
      <c r="A1019" s="1">
        <v>41195</v>
      </c>
      <c r="B1019">
        <v>287</v>
      </c>
      <c r="C1019" s="6">
        <f>IF('weather data'!C1019&gt;'user input'!$C$3,'user input'!$C$3,'weather data'!C1019)</f>
        <v>11.666666666666668</v>
      </c>
      <c r="D1019" s="6">
        <f>IF('weather data'!D1019&lt;'user input'!$C$2,'user input'!$C$2,'weather data'!D1019)</f>
        <v>10</v>
      </c>
      <c r="E1019">
        <f t="shared" si="16"/>
        <v>10.833333333333334</v>
      </c>
      <c r="F1019">
        <f>IF((E1019-'user input'!$C$2)&lt;0,0,E1019-'user input'!$C$2)</f>
        <v>0.83333333333333393</v>
      </c>
      <c r="G1019">
        <f>IF(B1019&lt;'user input'!$C$5,0,(F1019+G1018))</f>
        <v>1588.0555555555554</v>
      </c>
      <c r="H1019">
        <f>G1019/'user input'!$C$4</f>
        <v>1.3233796296296296</v>
      </c>
    </row>
    <row r="1020" spans="1:8" x14ac:dyDescent="0.2">
      <c r="A1020" s="1">
        <v>41196</v>
      </c>
      <c r="B1020">
        <v>288</v>
      </c>
      <c r="C1020" s="6">
        <f>IF('weather data'!C1020&gt;'user input'!$C$3,'user input'!$C$3,'weather data'!C1020)</f>
        <v>17.222222222222221</v>
      </c>
      <c r="D1020" s="6">
        <f>IF('weather data'!D1020&lt;'user input'!$C$2,'user input'!$C$2,'weather data'!D1020)</f>
        <v>10</v>
      </c>
      <c r="E1020">
        <f t="shared" si="16"/>
        <v>13.611111111111111</v>
      </c>
      <c r="F1020">
        <f>IF((E1020-'user input'!$C$2)&lt;0,0,E1020-'user input'!$C$2)</f>
        <v>3.6111111111111107</v>
      </c>
      <c r="G1020">
        <f>IF(B1020&lt;'user input'!$C$5,0,(F1020+G1019))</f>
        <v>1591.6666666666665</v>
      </c>
      <c r="H1020">
        <f>G1020/'user input'!$C$4</f>
        <v>1.3263888888888888</v>
      </c>
    </row>
    <row r="1021" spans="1:8" x14ac:dyDescent="0.2">
      <c r="A1021" s="1">
        <v>41197</v>
      </c>
      <c r="B1021">
        <v>289</v>
      </c>
      <c r="C1021" s="6">
        <f>IF('weather data'!C1021&gt;'user input'!$C$3,'user input'!$C$3,'weather data'!C1021)</f>
        <v>9.4444444444444446</v>
      </c>
      <c r="D1021" s="6">
        <f>IF('weather data'!D1021&lt;'user input'!$C$2,'user input'!$C$2,'weather data'!D1021)</f>
        <v>10</v>
      </c>
      <c r="E1021">
        <f t="shared" si="16"/>
        <v>9.7222222222222214</v>
      </c>
      <c r="F1021">
        <f>IF((E1021-'user input'!$C$2)&lt;0,0,E1021-'user input'!$C$2)</f>
        <v>0</v>
      </c>
      <c r="G1021">
        <f>IF(B1021&lt;'user input'!$C$5,0,(F1021+G1020))</f>
        <v>1591.6666666666665</v>
      </c>
      <c r="H1021">
        <f>G1021/'user input'!$C$4</f>
        <v>1.3263888888888888</v>
      </c>
    </row>
    <row r="1022" spans="1:8" x14ac:dyDescent="0.2">
      <c r="A1022" s="1">
        <v>41198</v>
      </c>
      <c r="B1022">
        <v>290</v>
      </c>
      <c r="C1022" s="6">
        <f>IF('weather data'!C1022&gt;'user input'!$C$3,'user input'!$C$3,'weather data'!C1022)</f>
        <v>15.555555555555555</v>
      </c>
      <c r="D1022" s="6">
        <f>IF('weather data'!D1022&lt;'user input'!$C$2,'user input'!$C$2,'weather data'!D1022)</f>
        <v>10</v>
      </c>
      <c r="E1022">
        <f t="shared" si="16"/>
        <v>12.777777777777779</v>
      </c>
      <c r="F1022">
        <f>IF((E1022-'user input'!$C$2)&lt;0,0,E1022-'user input'!$C$2)</f>
        <v>2.7777777777777786</v>
      </c>
      <c r="G1022">
        <f>IF(B1022&lt;'user input'!$C$5,0,(F1022+G1021))</f>
        <v>1594.4444444444443</v>
      </c>
      <c r="H1022">
        <f>G1022/'user input'!$C$4</f>
        <v>1.3287037037037037</v>
      </c>
    </row>
    <row r="1023" spans="1:8" x14ac:dyDescent="0.2">
      <c r="A1023" s="1">
        <v>41199</v>
      </c>
      <c r="B1023">
        <v>291</v>
      </c>
      <c r="C1023" s="6">
        <f>IF('weather data'!C1023&gt;'user input'!$C$3,'user input'!$C$3,'weather data'!C1023)</f>
        <v>20.555555555555554</v>
      </c>
      <c r="D1023" s="6">
        <f>IF('weather data'!D1023&lt;'user input'!$C$2,'user input'!$C$2,'weather data'!D1023)</f>
        <v>10</v>
      </c>
      <c r="E1023">
        <f t="shared" si="16"/>
        <v>15.277777777777777</v>
      </c>
      <c r="F1023">
        <f>IF((E1023-'user input'!$C$2)&lt;0,0,E1023-'user input'!$C$2)</f>
        <v>5.2777777777777768</v>
      </c>
      <c r="G1023">
        <f>IF(B1023&lt;'user input'!$C$5,0,(F1023+G1022))</f>
        <v>1599.7222222222222</v>
      </c>
      <c r="H1023">
        <f>G1023/'user input'!$C$4</f>
        <v>1.3331018518518518</v>
      </c>
    </row>
    <row r="1024" spans="1:8" x14ac:dyDescent="0.2">
      <c r="A1024" s="1">
        <v>41200</v>
      </c>
      <c r="B1024">
        <v>292</v>
      </c>
      <c r="C1024" s="6">
        <f>IF('weather data'!C1024&gt;'user input'!$C$3,'user input'!$C$3,'weather data'!C1024)</f>
        <v>18.333333333333332</v>
      </c>
      <c r="D1024" s="6">
        <f>IF('weather data'!D1024&lt;'user input'!$C$2,'user input'!$C$2,'weather data'!D1024)</f>
        <v>10</v>
      </c>
      <c r="E1024">
        <f t="shared" si="16"/>
        <v>14.166666666666666</v>
      </c>
      <c r="F1024">
        <f>IF((E1024-'user input'!$C$2)&lt;0,0,E1024-'user input'!$C$2)</f>
        <v>4.1666666666666661</v>
      </c>
      <c r="G1024">
        <f>IF(B1024&lt;'user input'!$C$5,0,(F1024+G1023))</f>
        <v>1603.8888888888889</v>
      </c>
      <c r="H1024">
        <f>G1024/'user input'!$C$4</f>
        <v>1.3365740740740741</v>
      </c>
    </row>
    <row r="1025" spans="1:8" x14ac:dyDescent="0.2">
      <c r="A1025" s="1">
        <v>41201</v>
      </c>
      <c r="B1025">
        <v>293</v>
      </c>
      <c r="C1025" s="6">
        <f>IF('weather data'!C1025&gt;'user input'!$C$3,'user input'!$C$3,'weather data'!C1025)</f>
        <v>7.7777777777777777</v>
      </c>
      <c r="D1025" s="6">
        <f>IF('weather data'!D1025&lt;'user input'!$C$2,'user input'!$C$2,'weather data'!D1025)</f>
        <v>10</v>
      </c>
      <c r="E1025">
        <f t="shared" si="16"/>
        <v>8.8888888888888893</v>
      </c>
      <c r="F1025">
        <f>IF((E1025-'user input'!$C$2)&lt;0,0,E1025-'user input'!$C$2)</f>
        <v>0</v>
      </c>
      <c r="G1025">
        <f>IF(B1025&lt;'user input'!$C$5,0,(F1025+G1024))</f>
        <v>1603.8888888888889</v>
      </c>
      <c r="H1025">
        <f>G1025/'user input'!$C$4</f>
        <v>1.3365740740740741</v>
      </c>
    </row>
    <row r="1026" spans="1:8" x14ac:dyDescent="0.2">
      <c r="A1026" s="1">
        <v>41202</v>
      </c>
      <c r="B1026">
        <v>294</v>
      </c>
      <c r="C1026" s="6">
        <f>IF('weather data'!C1026&gt;'user input'!$C$3,'user input'!$C$3,'weather data'!C1026)</f>
        <v>10</v>
      </c>
      <c r="D1026" s="6">
        <f>IF('weather data'!D1026&lt;'user input'!$C$2,'user input'!$C$2,'weather data'!D1026)</f>
        <v>10</v>
      </c>
      <c r="E1026">
        <f t="shared" si="16"/>
        <v>10</v>
      </c>
      <c r="F1026">
        <f>IF((E1026-'user input'!$C$2)&lt;0,0,E1026-'user input'!$C$2)</f>
        <v>0</v>
      </c>
      <c r="G1026">
        <f>IF(B1026&lt;'user input'!$C$5,0,(F1026+G1025))</f>
        <v>1603.8888888888889</v>
      </c>
      <c r="H1026">
        <f>G1026/'user input'!$C$4</f>
        <v>1.3365740740740741</v>
      </c>
    </row>
    <row r="1027" spans="1:8" x14ac:dyDescent="0.2">
      <c r="A1027" s="1">
        <v>41203</v>
      </c>
      <c r="B1027">
        <v>295</v>
      </c>
      <c r="C1027" s="6">
        <f>IF('weather data'!C1027&gt;'user input'!$C$3,'user input'!$C$3,'weather data'!C1027)</f>
        <v>19.444444444444443</v>
      </c>
      <c r="D1027" s="6">
        <f>IF('weather data'!D1027&lt;'user input'!$C$2,'user input'!$C$2,'weather data'!D1027)</f>
        <v>10</v>
      </c>
      <c r="E1027">
        <f t="shared" si="16"/>
        <v>14.722222222222221</v>
      </c>
      <c r="F1027">
        <f>IF((E1027-'user input'!$C$2)&lt;0,0,E1027-'user input'!$C$2)</f>
        <v>4.7222222222222214</v>
      </c>
      <c r="G1027">
        <f>IF(B1027&lt;'user input'!$C$5,0,(F1027+G1026))</f>
        <v>1608.6111111111111</v>
      </c>
      <c r="H1027">
        <f>G1027/'user input'!$C$4</f>
        <v>1.3405092592592593</v>
      </c>
    </row>
    <row r="1028" spans="1:8" x14ac:dyDescent="0.2">
      <c r="A1028" s="1">
        <v>41204</v>
      </c>
      <c r="B1028">
        <v>296</v>
      </c>
      <c r="C1028" s="6">
        <f>IF('weather data'!C1028&gt;'user input'!$C$3,'user input'!$C$3,'weather data'!C1028)</f>
        <v>20</v>
      </c>
      <c r="D1028" s="6">
        <f>IF('weather data'!D1028&lt;'user input'!$C$2,'user input'!$C$2,'weather data'!D1028)</f>
        <v>10</v>
      </c>
      <c r="E1028">
        <f t="shared" si="16"/>
        <v>15</v>
      </c>
      <c r="F1028">
        <f>IF((E1028-'user input'!$C$2)&lt;0,0,E1028-'user input'!$C$2)</f>
        <v>5</v>
      </c>
      <c r="G1028">
        <f>IF(B1028&lt;'user input'!$C$5,0,(F1028+G1027))</f>
        <v>1613.6111111111111</v>
      </c>
      <c r="H1028">
        <f>G1028/'user input'!$C$4</f>
        <v>1.344675925925926</v>
      </c>
    </row>
    <row r="1029" spans="1:8" x14ac:dyDescent="0.2">
      <c r="A1029" s="1">
        <v>41205</v>
      </c>
      <c r="B1029">
        <v>297</v>
      </c>
      <c r="C1029" s="6">
        <f>IF('weather data'!C1029&gt;'user input'!$C$3,'user input'!$C$3,'weather data'!C1029)</f>
        <v>15.555555555555555</v>
      </c>
      <c r="D1029" s="6">
        <f>IF('weather data'!D1029&lt;'user input'!$C$2,'user input'!$C$2,'weather data'!D1029)</f>
        <v>10.555555555555555</v>
      </c>
      <c r="E1029">
        <f t="shared" si="16"/>
        <v>13.055555555555555</v>
      </c>
      <c r="F1029">
        <f>IF((E1029-'user input'!$C$2)&lt;0,0,E1029-'user input'!$C$2)</f>
        <v>3.0555555555555554</v>
      </c>
      <c r="G1029">
        <f>IF(B1029&lt;'user input'!$C$5,0,(F1029+G1028))</f>
        <v>1616.6666666666667</v>
      </c>
      <c r="H1029">
        <f>G1029/'user input'!$C$4</f>
        <v>1.3472222222222223</v>
      </c>
    </row>
    <row r="1030" spans="1:8" x14ac:dyDescent="0.2">
      <c r="A1030" s="1">
        <v>41206</v>
      </c>
      <c r="B1030">
        <v>298</v>
      </c>
      <c r="C1030" s="6">
        <f>IF('weather data'!C1030&gt;'user input'!$C$3,'user input'!$C$3,'weather data'!C1030)</f>
        <v>18.888888888888889</v>
      </c>
      <c r="D1030" s="6">
        <f>IF('weather data'!D1030&lt;'user input'!$C$2,'user input'!$C$2,'weather data'!D1030)</f>
        <v>12.777777777777777</v>
      </c>
      <c r="E1030">
        <f t="shared" si="16"/>
        <v>15.833333333333332</v>
      </c>
      <c r="F1030">
        <f>IF((E1030-'user input'!$C$2)&lt;0,0,E1030-'user input'!$C$2)</f>
        <v>5.8333333333333321</v>
      </c>
      <c r="G1030">
        <f>IF(B1030&lt;'user input'!$C$5,0,(F1030+G1029))</f>
        <v>1622.5</v>
      </c>
      <c r="H1030">
        <f>G1030/'user input'!$C$4</f>
        <v>1.3520833333333333</v>
      </c>
    </row>
    <row r="1031" spans="1:8" x14ac:dyDescent="0.2">
      <c r="A1031" s="1">
        <v>41207</v>
      </c>
      <c r="B1031">
        <v>299</v>
      </c>
      <c r="C1031" s="6">
        <f>IF('weather data'!C1031&gt;'user input'!$C$3,'user input'!$C$3,'weather data'!C1031)</f>
        <v>25</v>
      </c>
      <c r="D1031" s="6">
        <f>IF('weather data'!D1031&lt;'user input'!$C$2,'user input'!$C$2,'weather data'!D1031)</f>
        <v>15.555555555555555</v>
      </c>
      <c r="E1031">
        <f t="shared" si="16"/>
        <v>20.277777777777779</v>
      </c>
      <c r="F1031">
        <f>IF((E1031-'user input'!$C$2)&lt;0,0,E1031-'user input'!$C$2)</f>
        <v>10.277777777777779</v>
      </c>
      <c r="G1031">
        <f>IF(B1031&lt;'user input'!$C$5,0,(F1031+G1030))</f>
        <v>1632.7777777777778</v>
      </c>
      <c r="H1031">
        <f>G1031/'user input'!$C$4</f>
        <v>1.3606481481481483</v>
      </c>
    </row>
    <row r="1032" spans="1:8" x14ac:dyDescent="0.2">
      <c r="A1032" s="1">
        <v>41208</v>
      </c>
      <c r="B1032">
        <v>300</v>
      </c>
      <c r="C1032" s="6">
        <f>IF('weather data'!C1032&gt;'user input'!$C$3,'user input'!$C$3,'weather data'!C1032)</f>
        <v>21.666666666666664</v>
      </c>
      <c r="D1032" s="6">
        <f>IF('weather data'!D1032&lt;'user input'!$C$2,'user input'!$C$2,'weather data'!D1032)</f>
        <v>10</v>
      </c>
      <c r="E1032">
        <f t="shared" si="16"/>
        <v>15.833333333333332</v>
      </c>
      <c r="F1032">
        <f>IF((E1032-'user input'!$C$2)&lt;0,0,E1032-'user input'!$C$2)</f>
        <v>5.8333333333333321</v>
      </c>
      <c r="G1032">
        <f>IF(B1032&lt;'user input'!$C$5,0,(F1032+G1031))</f>
        <v>1638.6111111111111</v>
      </c>
      <c r="H1032">
        <f>G1032/'user input'!$C$4</f>
        <v>1.3655092592592593</v>
      </c>
    </row>
    <row r="1033" spans="1:8" x14ac:dyDescent="0.2">
      <c r="A1033" s="1">
        <v>41209</v>
      </c>
      <c r="B1033">
        <v>301</v>
      </c>
      <c r="C1033" s="6">
        <f>IF('weather data'!C1033&gt;'user input'!$C$3,'user input'!$C$3,'weather data'!C1033)</f>
        <v>8.3333333333333339</v>
      </c>
      <c r="D1033" s="6">
        <f>IF('weather data'!D1033&lt;'user input'!$C$2,'user input'!$C$2,'weather data'!D1033)</f>
        <v>10</v>
      </c>
      <c r="E1033">
        <f t="shared" si="16"/>
        <v>9.1666666666666679</v>
      </c>
      <c r="F1033">
        <f>IF((E1033-'user input'!$C$2)&lt;0,0,E1033-'user input'!$C$2)</f>
        <v>0</v>
      </c>
      <c r="G1033">
        <f>IF(B1033&lt;'user input'!$C$5,0,(F1033+G1032))</f>
        <v>1638.6111111111111</v>
      </c>
      <c r="H1033">
        <f>G1033/'user input'!$C$4</f>
        <v>1.3655092592592593</v>
      </c>
    </row>
    <row r="1034" spans="1:8" x14ac:dyDescent="0.2">
      <c r="A1034" s="1">
        <v>41210</v>
      </c>
      <c r="B1034">
        <v>302</v>
      </c>
      <c r="C1034" s="6">
        <f>IF('weather data'!C1034&gt;'user input'!$C$3,'user input'!$C$3,'weather data'!C1034)</f>
        <v>7.2222222222222223</v>
      </c>
      <c r="D1034" s="6">
        <f>IF('weather data'!D1034&lt;'user input'!$C$2,'user input'!$C$2,'weather data'!D1034)</f>
        <v>10</v>
      </c>
      <c r="E1034">
        <f t="shared" si="16"/>
        <v>8.6111111111111107</v>
      </c>
      <c r="F1034">
        <f>IF((E1034-'user input'!$C$2)&lt;0,0,E1034-'user input'!$C$2)</f>
        <v>0</v>
      </c>
      <c r="G1034">
        <f>IF(B1034&lt;'user input'!$C$5,0,(F1034+G1033))</f>
        <v>1638.6111111111111</v>
      </c>
      <c r="H1034">
        <f>G1034/'user input'!$C$4</f>
        <v>1.3655092592592593</v>
      </c>
    </row>
    <row r="1035" spans="1:8" x14ac:dyDescent="0.2">
      <c r="A1035" s="1">
        <v>41211</v>
      </c>
      <c r="B1035">
        <v>303</v>
      </c>
      <c r="C1035" s="6">
        <f>IF('weather data'!C1035&gt;'user input'!$C$3,'user input'!$C$3,'weather data'!C1035)</f>
        <v>8.3333333333333339</v>
      </c>
      <c r="D1035" s="6">
        <f>IF('weather data'!D1035&lt;'user input'!$C$2,'user input'!$C$2,'weather data'!D1035)</f>
        <v>10</v>
      </c>
      <c r="E1035">
        <f t="shared" si="16"/>
        <v>9.1666666666666679</v>
      </c>
      <c r="F1035">
        <f>IF((E1035-'user input'!$C$2)&lt;0,0,E1035-'user input'!$C$2)</f>
        <v>0</v>
      </c>
      <c r="G1035">
        <f>IF(B1035&lt;'user input'!$C$5,0,(F1035+G1034))</f>
        <v>1638.6111111111111</v>
      </c>
      <c r="H1035">
        <f>G1035/'user input'!$C$4</f>
        <v>1.3655092592592593</v>
      </c>
    </row>
    <row r="1036" spans="1:8" x14ac:dyDescent="0.2">
      <c r="A1036" s="1">
        <v>41212</v>
      </c>
      <c r="B1036">
        <v>304</v>
      </c>
      <c r="C1036" s="6">
        <f>IF('weather data'!C1036&gt;'user input'!$C$3,'user input'!$C$3,'weather data'!C1036)</f>
        <v>10</v>
      </c>
      <c r="D1036" s="6">
        <f>IF('weather data'!D1036&lt;'user input'!$C$2,'user input'!$C$2,'weather data'!D1036)</f>
        <v>10</v>
      </c>
      <c r="E1036">
        <f t="shared" si="16"/>
        <v>10</v>
      </c>
      <c r="F1036">
        <f>IF((E1036-'user input'!$C$2)&lt;0,0,E1036-'user input'!$C$2)</f>
        <v>0</v>
      </c>
      <c r="G1036">
        <f>IF(B1036&lt;'user input'!$C$5,0,(F1036+G1035))</f>
        <v>1638.6111111111111</v>
      </c>
      <c r="H1036">
        <f>G1036/'user input'!$C$4</f>
        <v>1.3655092592592593</v>
      </c>
    </row>
    <row r="1037" spans="1:8" x14ac:dyDescent="0.2">
      <c r="A1037" s="1">
        <v>41213</v>
      </c>
      <c r="B1037">
        <v>305</v>
      </c>
      <c r="C1037" s="6">
        <f>IF('weather data'!C1037&gt;'user input'!$C$3,'user input'!$C$3,'weather data'!C1037)</f>
        <v>8.8888888888888893</v>
      </c>
      <c r="D1037" s="6">
        <f>IF('weather data'!D1037&lt;'user input'!$C$2,'user input'!$C$2,'weather data'!D1037)</f>
        <v>10</v>
      </c>
      <c r="E1037">
        <f t="shared" si="16"/>
        <v>9.4444444444444446</v>
      </c>
      <c r="F1037">
        <f>IF((E1037-'user input'!$C$2)&lt;0,0,E1037-'user input'!$C$2)</f>
        <v>0</v>
      </c>
      <c r="G1037">
        <f>IF(B1037&lt;'user input'!$C$5,0,(F1037+G1036))</f>
        <v>1638.6111111111111</v>
      </c>
      <c r="H1037">
        <f>G1037/'user input'!$C$4</f>
        <v>1.3655092592592593</v>
      </c>
    </row>
    <row r="1038" spans="1:8" x14ac:dyDescent="0.2">
      <c r="A1038" s="1">
        <v>41214</v>
      </c>
      <c r="B1038">
        <v>306</v>
      </c>
      <c r="C1038" s="6">
        <f>IF('weather data'!C1038&gt;'user input'!$C$3,'user input'!$C$3,'weather data'!C1038)</f>
        <v>8.8888888888888893</v>
      </c>
      <c r="D1038" s="6">
        <f>IF('weather data'!D1038&lt;'user input'!$C$2,'user input'!$C$2,'weather data'!D1038)</f>
        <v>10</v>
      </c>
      <c r="E1038">
        <f t="shared" si="16"/>
        <v>9.4444444444444446</v>
      </c>
      <c r="F1038">
        <f>IF((E1038-'user input'!$C$2)&lt;0,0,E1038-'user input'!$C$2)</f>
        <v>0</v>
      </c>
      <c r="G1038">
        <f>IF(B1038&lt;'user input'!$C$5,0,(F1038+G1037))</f>
        <v>1638.6111111111111</v>
      </c>
      <c r="H1038">
        <f>G1038/'user input'!$C$4</f>
        <v>1.3655092592592593</v>
      </c>
    </row>
    <row r="1039" spans="1:8" x14ac:dyDescent="0.2">
      <c r="A1039" s="1">
        <v>41215</v>
      </c>
      <c r="B1039">
        <v>307</v>
      </c>
      <c r="C1039" s="6">
        <f>IF('weather data'!C1039&gt;'user input'!$C$3,'user input'!$C$3,'weather data'!C1039)</f>
        <v>11.666666666666668</v>
      </c>
      <c r="D1039" s="6">
        <f>IF('weather data'!D1039&lt;'user input'!$C$2,'user input'!$C$2,'weather data'!D1039)</f>
        <v>10</v>
      </c>
      <c r="E1039">
        <f t="shared" si="16"/>
        <v>10.833333333333334</v>
      </c>
      <c r="F1039">
        <f>IF((E1039-'user input'!$C$2)&lt;0,0,E1039-'user input'!$C$2)</f>
        <v>0.83333333333333393</v>
      </c>
      <c r="G1039">
        <f>IF(B1039&lt;'user input'!$C$5,0,(F1039+G1038))</f>
        <v>1639.4444444444443</v>
      </c>
      <c r="H1039">
        <f>G1039/'user input'!$C$4</f>
        <v>1.3662037037037036</v>
      </c>
    </row>
    <row r="1040" spans="1:8" x14ac:dyDescent="0.2">
      <c r="A1040" s="1">
        <v>41216</v>
      </c>
      <c r="B1040">
        <v>308</v>
      </c>
      <c r="C1040" s="6">
        <f>IF('weather data'!C1040&gt;'user input'!$C$3,'user input'!$C$3,'weather data'!C1040)</f>
        <v>7.2222222222222223</v>
      </c>
      <c r="D1040" s="6">
        <f>IF('weather data'!D1040&lt;'user input'!$C$2,'user input'!$C$2,'weather data'!D1040)</f>
        <v>10</v>
      </c>
      <c r="E1040">
        <f t="shared" si="16"/>
        <v>8.6111111111111107</v>
      </c>
      <c r="F1040">
        <f>IF((E1040-'user input'!$C$2)&lt;0,0,E1040-'user input'!$C$2)</f>
        <v>0</v>
      </c>
      <c r="G1040">
        <f>IF(B1040&lt;'user input'!$C$5,0,(F1040+G1039))</f>
        <v>1639.4444444444443</v>
      </c>
      <c r="H1040">
        <f>G1040/'user input'!$C$4</f>
        <v>1.3662037037037036</v>
      </c>
    </row>
    <row r="1041" spans="1:8" x14ac:dyDescent="0.2">
      <c r="A1041" s="1">
        <v>41217</v>
      </c>
      <c r="B1041">
        <v>309</v>
      </c>
      <c r="C1041" s="6">
        <f>IF('weather data'!C1041&gt;'user input'!$C$3,'user input'!$C$3,'weather data'!C1041)</f>
        <v>7.2222222222222223</v>
      </c>
      <c r="D1041" s="6">
        <f>IF('weather data'!D1041&lt;'user input'!$C$2,'user input'!$C$2,'weather data'!D1041)</f>
        <v>10</v>
      </c>
      <c r="E1041">
        <f t="shared" si="16"/>
        <v>8.6111111111111107</v>
      </c>
      <c r="F1041">
        <f>IF((E1041-'user input'!$C$2)&lt;0,0,E1041-'user input'!$C$2)</f>
        <v>0</v>
      </c>
      <c r="G1041">
        <f>IF(B1041&lt;'user input'!$C$5,0,(F1041+G1040))</f>
        <v>1639.4444444444443</v>
      </c>
      <c r="H1041">
        <f>G1041/'user input'!$C$4</f>
        <v>1.3662037037037036</v>
      </c>
    </row>
    <row r="1042" spans="1:8" x14ac:dyDescent="0.2">
      <c r="A1042" s="1">
        <v>41218</v>
      </c>
      <c r="B1042">
        <v>310</v>
      </c>
      <c r="C1042" s="6">
        <f>IF('weather data'!C1042&gt;'user input'!$C$3,'user input'!$C$3,'weather data'!C1042)</f>
        <v>8.8888888888888893</v>
      </c>
      <c r="D1042" s="6">
        <f>IF('weather data'!D1042&lt;'user input'!$C$2,'user input'!$C$2,'weather data'!D1042)</f>
        <v>10</v>
      </c>
      <c r="E1042">
        <f t="shared" ref="E1042:E1105" si="17">(C1042+D1042)/2</f>
        <v>9.4444444444444446</v>
      </c>
      <c r="F1042">
        <f>IF((E1042-'user input'!$C$2)&lt;0,0,E1042-'user input'!$C$2)</f>
        <v>0</v>
      </c>
      <c r="G1042">
        <f>IF(B1042&lt;'user input'!$C$5,0,(F1042+G1041))</f>
        <v>1639.4444444444443</v>
      </c>
      <c r="H1042">
        <f>G1042/'user input'!$C$4</f>
        <v>1.3662037037037036</v>
      </c>
    </row>
    <row r="1043" spans="1:8" x14ac:dyDescent="0.2">
      <c r="A1043" s="1">
        <v>41219</v>
      </c>
      <c r="B1043">
        <v>311</v>
      </c>
      <c r="C1043" s="6">
        <f>IF('weather data'!C1043&gt;'user input'!$C$3,'user input'!$C$3,'weather data'!C1043)</f>
        <v>6.6666666666666661</v>
      </c>
      <c r="D1043" s="6">
        <f>IF('weather data'!D1043&lt;'user input'!$C$2,'user input'!$C$2,'weather data'!D1043)</f>
        <v>10</v>
      </c>
      <c r="E1043">
        <f t="shared" si="17"/>
        <v>8.3333333333333321</v>
      </c>
      <c r="F1043">
        <f>IF((E1043-'user input'!$C$2)&lt;0,0,E1043-'user input'!$C$2)</f>
        <v>0</v>
      </c>
      <c r="G1043">
        <f>IF(B1043&lt;'user input'!$C$5,0,(F1043+G1042))</f>
        <v>1639.4444444444443</v>
      </c>
      <c r="H1043">
        <f>G1043/'user input'!$C$4</f>
        <v>1.3662037037037036</v>
      </c>
    </row>
    <row r="1044" spans="1:8" x14ac:dyDescent="0.2">
      <c r="A1044" s="1">
        <v>41220</v>
      </c>
      <c r="B1044">
        <v>312</v>
      </c>
      <c r="C1044" s="6">
        <f>IF('weather data'!C1044&gt;'user input'!$C$3,'user input'!$C$3,'weather data'!C1044)</f>
        <v>2.7777777777777777</v>
      </c>
      <c r="D1044" s="6">
        <f>IF('weather data'!D1044&lt;'user input'!$C$2,'user input'!$C$2,'weather data'!D1044)</f>
        <v>10</v>
      </c>
      <c r="E1044">
        <f t="shared" si="17"/>
        <v>6.3888888888888893</v>
      </c>
      <c r="F1044">
        <f>IF((E1044-'user input'!$C$2)&lt;0,0,E1044-'user input'!$C$2)</f>
        <v>0</v>
      </c>
      <c r="G1044">
        <f>IF(B1044&lt;'user input'!$C$5,0,(F1044+G1043))</f>
        <v>1639.4444444444443</v>
      </c>
      <c r="H1044">
        <f>G1044/'user input'!$C$4</f>
        <v>1.3662037037037036</v>
      </c>
    </row>
    <row r="1045" spans="1:8" x14ac:dyDescent="0.2">
      <c r="A1045" s="1">
        <v>41221</v>
      </c>
      <c r="B1045">
        <v>313</v>
      </c>
      <c r="C1045" s="6">
        <f>IF('weather data'!C1045&gt;'user input'!$C$3,'user input'!$C$3,'weather data'!C1045)</f>
        <v>4.4444444444444446</v>
      </c>
      <c r="D1045" s="6">
        <f>IF('weather data'!D1045&lt;'user input'!$C$2,'user input'!$C$2,'weather data'!D1045)</f>
        <v>10</v>
      </c>
      <c r="E1045">
        <f t="shared" si="17"/>
        <v>7.2222222222222223</v>
      </c>
      <c r="F1045">
        <f>IF((E1045-'user input'!$C$2)&lt;0,0,E1045-'user input'!$C$2)</f>
        <v>0</v>
      </c>
      <c r="G1045">
        <f>IF(B1045&lt;'user input'!$C$5,0,(F1045+G1044))</f>
        <v>1639.4444444444443</v>
      </c>
      <c r="H1045">
        <f>G1045/'user input'!$C$4</f>
        <v>1.3662037037037036</v>
      </c>
    </row>
    <row r="1046" spans="1:8" x14ac:dyDescent="0.2">
      <c r="A1046" s="1">
        <v>41222</v>
      </c>
      <c r="B1046">
        <v>314</v>
      </c>
      <c r="C1046" s="6">
        <f>IF('weather data'!C1046&gt;'user input'!$C$3,'user input'!$C$3,'weather data'!C1046)</f>
        <v>10</v>
      </c>
      <c r="D1046" s="6">
        <f>IF('weather data'!D1046&lt;'user input'!$C$2,'user input'!$C$2,'weather data'!D1046)</f>
        <v>10</v>
      </c>
      <c r="E1046">
        <f t="shared" si="17"/>
        <v>10</v>
      </c>
      <c r="F1046">
        <f>IF((E1046-'user input'!$C$2)&lt;0,0,E1046-'user input'!$C$2)</f>
        <v>0</v>
      </c>
      <c r="G1046">
        <f>IF(B1046&lt;'user input'!$C$5,0,(F1046+G1045))</f>
        <v>1639.4444444444443</v>
      </c>
      <c r="H1046">
        <f>G1046/'user input'!$C$4</f>
        <v>1.3662037037037036</v>
      </c>
    </row>
    <row r="1047" spans="1:8" x14ac:dyDescent="0.2">
      <c r="A1047" s="1">
        <v>41223</v>
      </c>
      <c r="B1047">
        <v>315</v>
      </c>
      <c r="C1047" s="6">
        <f>IF('weather data'!C1047&gt;'user input'!$C$3,'user input'!$C$3,'weather data'!C1047)</f>
        <v>19.444444444444443</v>
      </c>
      <c r="D1047" s="6">
        <f>IF('weather data'!D1047&lt;'user input'!$C$2,'user input'!$C$2,'weather data'!D1047)</f>
        <v>10</v>
      </c>
      <c r="E1047">
        <f t="shared" si="17"/>
        <v>14.722222222222221</v>
      </c>
      <c r="F1047">
        <f>IF((E1047-'user input'!$C$2)&lt;0,0,E1047-'user input'!$C$2)</f>
        <v>4.7222222222222214</v>
      </c>
      <c r="G1047">
        <f>IF(B1047&lt;'user input'!$C$5,0,(F1047+G1046))</f>
        <v>1644.1666666666665</v>
      </c>
      <c r="H1047">
        <f>G1047/'user input'!$C$4</f>
        <v>1.3701388888888888</v>
      </c>
    </row>
    <row r="1048" spans="1:8" x14ac:dyDescent="0.2">
      <c r="A1048" s="1">
        <v>41224</v>
      </c>
      <c r="B1048">
        <v>316</v>
      </c>
      <c r="C1048" s="6">
        <f>IF('weather data'!C1048&gt;'user input'!$C$3,'user input'!$C$3,'weather data'!C1048)</f>
        <v>19.444444444444443</v>
      </c>
      <c r="D1048" s="6">
        <f>IF('weather data'!D1048&lt;'user input'!$C$2,'user input'!$C$2,'weather data'!D1048)</f>
        <v>15</v>
      </c>
      <c r="E1048">
        <f t="shared" si="17"/>
        <v>17.222222222222221</v>
      </c>
      <c r="F1048">
        <f>IF((E1048-'user input'!$C$2)&lt;0,0,E1048-'user input'!$C$2)</f>
        <v>7.2222222222222214</v>
      </c>
      <c r="G1048">
        <f>IF(B1048&lt;'user input'!$C$5,0,(F1048+G1047))</f>
        <v>1651.3888888888887</v>
      </c>
      <c r="H1048">
        <f>G1048/'user input'!$C$4</f>
        <v>1.3761574074074072</v>
      </c>
    </row>
    <row r="1049" spans="1:8" x14ac:dyDescent="0.2">
      <c r="A1049" s="1">
        <v>41225</v>
      </c>
      <c r="B1049">
        <v>317</v>
      </c>
      <c r="C1049" s="6">
        <f>IF('weather data'!C1049&gt;'user input'!$C$3,'user input'!$C$3,'weather data'!C1049)</f>
        <v>16.111111111111111</v>
      </c>
      <c r="D1049" s="6">
        <f>IF('weather data'!D1049&lt;'user input'!$C$2,'user input'!$C$2,'weather data'!D1049)</f>
        <v>10</v>
      </c>
      <c r="E1049">
        <f t="shared" si="17"/>
        <v>13.055555555555555</v>
      </c>
      <c r="F1049">
        <f>IF((E1049-'user input'!$C$2)&lt;0,0,E1049-'user input'!$C$2)</f>
        <v>3.0555555555555554</v>
      </c>
      <c r="G1049">
        <f>IF(B1049&lt;'user input'!$C$5,0,(F1049+G1048))</f>
        <v>1654.4444444444443</v>
      </c>
      <c r="H1049">
        <f>G1049/'user input'!$C$4</f>
        <v>1.3787037037037035</v>
      </c>
    </row>
    <row r="1050" spans="1:8" x14ac:dyDescent="0.2">
      <c r="A1050" s="1">
        <v>41226</v>
      </c>
      <c r="B1050">
        <v>318</v>
      </c>
      <c r="C1050" s="6">
        <f>IF('weather data'!C1050&gt;'user input'!$C$3,'user input'!$C$3,'weather data'!C1050)</f>
        <v>-2.2222222222222223</v>
      </c>
      <c r="D1050" s="6">
        <f>IF('weather data'!D1050&lt;'user input'!$C$2,'user input'!$C$2,'weather data'!D1050)</f>
        <v>10</v>
      </c>
      <c r="E1050">
        <f t="shared" si="17"/>
        <v>3.8888888888888888</v>
      </c>
      <c r="F1050">
        <f>IF((E1050-'user input'!$C$2)&lt;0,0,E1050-'user input'!$C$2)</f>
        <v>0</v>
      </c>
      <c r="G1050">
        <f>IF(B1050&lt;'user input'!$C$5,0,(F1050+G1049))</f>
        <v>1654.4444444444443</v>
      </c>
      <c r="H1050">
        <f>G1050/'user input'!$C$4</f>
        <v>1.3787037037037035</v>
      </c>
    </row>
    <row r="1051" spans="1:8" x14ac:dyDescent="0.2">
      <c r="A1051" s="1">
        <v>41227</v>
      </c>
      <c r="B1051">
        <v>319</v>
      </c>
      <c r="C1051" s="6">
        <f>IF('weather data'!C1051&gt;'user input'!$C$3,'user input'!$C$3,'weather data'!C1051)</f>
        <v>4.4444444444444446</v>
      </c>
      <c r="D1051" s="6">
        <f>IF('weather data'!D1051&lt;'user input'!$C$2,'user input'!$C$2,'weather data'!D1051)</f>
        <v>10</v>
      </c>
      <c r="E1051">
        <f t="shared" si="17"/>
        <v>7.2222222222222223</v>
      </c>
      <c r="F1051">
        <f>IF((E1051-'user input'!$C$2)&lt;0,0,E1051-'user input'!$C$2)</f>
        <v>0</v>
      </c>
      <c r="G1051">
        <f>IF(B1051&lt;'user input'!$C$5,0,(F1051+G1050))</f>
        <v>1654.4444444444443</v>
      </c>
      <c r="H1051">
        <f>G1051/'user input'!$C$4</f>
        <v>1.3787037037037035</v>
      </c>
    </row>
    <row r="1052" spans="1:8" x14ac:dyDescent="0.2">
      <c r="A1052" s="1">
        <v>41228</v>
      </c>
      <c r="B1052">
        <v>320</v>
      </c>
      <c r="C1052" s="6">
        <f>IF('weather data'!C1052&gt;'user input'!$C$3,'user input'!$C$3,'weather data'!C1052)</f>
        <v>9.4444444444444446</v>
      </c>
      <c r="D1052" s="6">
        <f>IF('weather data'!D1052&lt;'user input'!$C$2,'user input'!$C$2,'weather data'!D1052)</f>
        <v>10</v>
      </c>
      <c r="E1052">
        <f t="shared" si="17"/>
        <v>9.7222222222222214</v>
      </c>
      <c r="F1052">
        <f>IF((E1052-'user input'!$C$2)&lt;0,0,E1052-'user input'!$C$2)</f>
        <v>0</v>
      </c>
      <c r="G1052">
        <f>IF(B1052&lt;'user input'!$C$5,0,(F1052+G1051))</f>
        <v>1654.4444444444443</v>
      </c>
      <c r="H1052">
        <f>G1052/'user input'!$C$4</f>
        <v>1.3787037037037035</v>
      </c>
    </row>
    <row r="1053" spans="1:8" x14ac:dyDescent="0.2">
      <c r="A1053" s="1">
        <v>41229</v>
      </c>
      <c r="B1053">
        <v>321</v>
      </c>
      <c r="C1053" s="6">
        <f>IF('weather data'!C1053&gt;'user input'!$C$3,'user input'!$C$3,'weather data'!C1053)</f>
        <v>12.222222222222223</v>
      </c>
      <c r="D1053" s="6">
        <f>IF('weather data'!D1053&lt;'user input'!$C$2,'user input'!$C$2,'weather data'!D1053)</f>
        <v>10</v>
      </c>
      <c r="E1053">
        <f t="shared" si="17"/>
        <v>11.111111111111111</v>
      </c>
      <c r="F1053">
        <f>IF((E1053-'user input'!$C$2)&lt;0,0,E1053-'user input'!$C$2)</f>
        <v>1.1111111111111107</v>
      </c>
      <c r="G1053">
        <f>IF(B1053&lt;'user input'!$C$5,0,(F1053+G1052))</f>
        <v>1655.5555555555554</v>
      </c>
      <c r="H1053">
        <f>G1053/'user input'!$C$4</f>
        <v>1.3796296296296295</v>
      </c>
    </row>
    <row r="1054" spans="1:8" x14ac:dyDescent="0.2">
      <c r="A1054" s="1">
        <v>41230</v>
      </c>
      <c r="B1054">
        <v>322</v>
      </c>
      <c r="C1054" s="6">
        <f>IF('weather data'!C1054&gt;'user input'!$C$3,'user input'!$C$3,'weather data'!C1054)</f>
        <v>8.8888888888888893</v>
      </c>
      <c r="D1054" s="6">
        <f>IF('weather data'!D1054&lt;'user input'!$C$2,'user input'!$C$2,'weather data'!D1054)</f>
        <v>10</v>
      </c>
      <c r="E1054">
        <f t="shared" si="17"/>
        <v>9.4444444444444446</v>
      </c>
      <c r="F1054">
        <f>IF((E1054-'user input'!$C$2)&lt;0,0,E1054-'user input'!$C$2)</f>
        <v>0</v>
      </c>
      <c r="G1054">
        <f>IF(B1054&lt;'user input'!$C$5,0,(F1054+G1053))</f>
        <v>1655.5555555555554</v>
      </c>
      <c r="H1054">
        <f>G1054/'user input'!$C$4</f>
        <v>1.3796296296296295</v>
      </c>
    </row>
    <row r="1055" spans="1:8" x14ac:dyDescent="0.2">
      <c r="A1055" s="1">
        <v>41231</v>
      </c>
      <c r="B1055">
        <v>323</v>
      </c>
      <c r="C1055" s="6">
        <f>IF('weather data'!C1055&gt;'user input'!$C$3,'user input'!$C$3,'weather data'!C1055)</f>
        <v>11.666666666666668</v>
      </c>
      <c r="D1055" s="6">
        <f>IF('weather data'!D1055&lt;'user input'!$C$2,'user input'!$C$2,'weather data'!D1055)</f>
        <v>10</v>
      </c>
      <c r="E1055">
        <f t="shared" si="17"/>
        <v>10.833333333333334</v>
      </c>
      <c r="F1055">
        <f>IF((E1055-'user input'!$C$2)&lt;0,0,E1055-'user input'!$C$2)</f>
        <v>0.83333333333333393</v>
      </c>
      <c r="G1055">
        <f>IF(B1055&lt;'user input'!$C$5,0,(F1055+G1054))</f>
        <v>1656.3888888888887</v>
      </c>
      <c r="H1055">
        <f>G1055/'user input'!$C$4</f>
        <v>1.3803240740740739</v>
      </c>
    </row>
    <row r="1056" spans="1:8" x14ac:dyDescent="0.2">
      <c r="A1056" s="1">
        <v>41232</v>
      </c>
      <c r="B1056">
        <v>324</v>
      </c>
      <c r="C1056" s="6">
        <f>IF('weather data'!C1056&gt;'user input'!$C$3,'user input'!$C$3,'weather data'!C1056)</f>
        <v>15</v>
      </c>
      <c r="D1056" s="6">
        <f>IF('weather data'!D1056&lt;'user input'!$C$2,'user input'!$C$2,'weather data'!D1056)</f>
        <v>10</v>
      </c>
      <c r="E1056">
        <f t="shared" si="17"/>
        <v>12.5</v>
      </c>
      <c r="F1056">
        <f>IF((E1056-'user input'!$C$2)&lt;0,0,E1056-'user input'!$C$2)</f>
        <v>2.5</v>
      </c>
      <c r="G1056">
        <f>IF(B1056&lt;'user input'!$C$5,0,(F1056+G1055))</f>
        <v>1658.8888888888887</v>
      </c>
      <c r="H1056">
        <f>G1056/'user input'!$C$4</f>
        <v>1.3824074074074073</v>
      </c>
    </row>
    <row r="1057" spans="1:8" x14ac:dyDescent="0.2">
      <c r="A1057" s="1">
        <v>41233</v>
      </c>
      <c r="B1057">
        <v>325</v>
      </c>
      <c r="C1057" s="6">
        <f>IF('weather data'!C1057&gt;'user input'!$C$3,'user input'!$C$3,'weather data'!C1057)</f>
        <v>11.666666666666668</v>
      </c>
      <c r="D1057" s="6">
        <f>IF('weather data'!D1057&lt;'user input'!$C$2,'user input'!$C$2,'weather data'!D1057)</f>
        <v>10</v>
      </c>
      <c r="E1057">
        <f t="shared" si="17"/>
        <v>10.833333333333334</v>
      </c>
      <c r="F1057">
        <f>IF((E1057-'user input'!$C$2)&lt;0,0,E1057-'user input'!$C$2)</f>
        <v>0.83333333333333393</v>
      </c>
      <c r="G1057">
        <f>IF(B1057&lt;'user input'!$C$5,0,(F1057+G1056))</f>
        <v>1659.7222222222219</v>
      </c>
      <c r="H1057">
        <f>G1057/'user input'!$C$4</f>
        <v>1.3831018518518516</v>
      </c>
    </row>
    <row r="1058" spans="1:8" x14ac:dyDescent="0.2">
      <c r="A1058" s="1">
        <v>41234</v>
      </c>
      <c r="B1058">
        <v>326</v>
      </c>
      <c r="C1058" s="6">
        <f>IF('weather data'!C1058&gt;'user input'!$C$3,'user input'!$C$3,'weather data'!C1058)</f>
        <v>13.333333333333332</v>
      </c>
      <c r="D1058" s="6">
        <f>IF('weather data'!D1058&lt;'user input'!$C$2,'user input'!$C$2,'weather data'!D1058)</f>
        <v>10</v>
      </c>
      <c r="E1058">
        <f t="shared" si="17"/>
        <v>11.666666666666666</v>
      </c>
      <c r="F1058">
        <f>IF((E1058-'user input'!$C$2)&lt;0,0,E1058-'user input'!$C$2)</f>
        <v>1.6666666666666661</v>
      </c>
      <c r="G1058">
        <f>IF(B1058&lt;'user input'!$C$5,0,(F1058+G1057))</f>
        <v>1661.3888888888887</v>
      </c>
      <c r="H1058">
        <f>G1058/'user input'!$C$4</f>
        <v>1.3844907407407405</v>
      </c>
    </row>
    <row r="1059" spans="1:8" x14ac:dyDescent="0.2">
      <c r="A1059" s="1">
        <v>41235</v>
      </c>
      <c r="B1059">
        <v>327</v>
      </c>
      <c r="C1059" s="6">
        <f>IF('weather data'!C1059&gt;'user input'!$C$3,'user input'!$C$3,'weather data'!C1059)</f>
        <v>14.444444444444445</v>
      </c>
      <c r="D1059" s="6">
        <f>IF('weather data'!D1059&lt;'user input'!$C$2,'user input'!$C$2,'weather data'!D1059)</f>
        <v>10</v>
      </c>
      <c r="E1059">
        <f t="shared" si="17"/>
        <v>12.222222222222221</v>
      </c>
      <c r="F1059">
        <f>IF((E1059-'user input'!$C$2)&lt;0,0,E1059-'user input'!$C$2)</f>
        <v>2.2222222222222214</v>
      </c>
      <c r="G1059">
        <f>IF(B1059&lt;'user input'!$C$5,0,(F1059+G1058))</f>
        <v>1663.6111111111109</v>
      </c>
      <c r="H1059">
        <f>G1059/'user input'!$C$4</f>
        <v>1.3863425925925923</v>
      </c>
    </row>
    <row r="1060" spans="1:8" x14ac:dyDescent="0.2">
      <c r="A1060" s="1">
        <v>41236</v>
      </c>
      <c r="B1060">
        <v>328</v>
      </c>
      <c r="C1060" s="6">
        <f>IF('weather data'!C1060&gt;'user input'!$C$3,'user input'!$C$3,'weather data'!C1060)</f>
        <v>16.666666666666668</v>
      </c>
      <c r="D1060" s="6">
        <f>IF('weather data'!D1060&lt;'user input'!$C$2,'user input'!$C$2,'weather data'!D1060)</f>
        <v>10</v>
      </c>
      <c r="E1060">
        <f t="shared" si="17"/>
        <v>13.333333333333334</v>
      </c>
      <c r="F1060">
        <f>IF((E1060-'user input'!$C$2)&lt;0,0,E1060-'user input'!$C$2)</f>
        <v>3.3333333333333339</v>
      </c>
      <c r="G1060">
        <f>IF(B1060&lt;'user input'!$C$5,0,(F1060+G1059))</f>
        <v>1666.9444444444441</v>
      </c>
      <c r="H1060">
        <f>G1060/'user input'!$C$4</f>
        <v>1.3891203703703701</v>
      </c>
    </row>
    <row r="1061" spans="1:8" x14ac:dyDescent="0.2">
      <c r="A1061" s="1">
        <v>41237</v>
      </c>
      <c r="B1061">
        <v>329</v>
      </c>
      <c r="C1061" s="6">
        <f>IF('weather data'!C1061&gt;'user input'!$C$3,'user input'!$C$3,'weather data'!C1061)</f>
        <v>-1.1111111111111112</v>
      </c>
      <c r="D1061" s="6">
        <f>IF('weather data'!D1061&lt;'user input'!$C$2,'user input'!$C$2,'weather data'!D1061)</f>
        <v>10</v>
      </c>
      <c r="E1061">
        <f t="shared" si="17"/>
        <v>4.4444444444444446</v>
      </c>
      <c r="F1061">
        <f>IF((E1061-'user input'!$C$2)&lt;0,0,E1061-'user input'!$C$2)</f>
        <v>0</v>
      </c>
      <c r="G1061">
        <f>IF(B1061&lt;'user input'!$C$5,0,(F1061+G1060))</f>
        <v>1666.9444444444441</v>
      </c>
      <c r="H1061">
        <f>G1061/'user input'!$C$4</f>
        <v>1.3891203703703701</v>
      </c>
    </row>
    <row r="1062" spans="1:8" x14ac:dyDescent="0.2">
      <c r="A1062" s="1">
        <v>41238</v>
      </c>
      <c r="B1062">
        <v>330</v>
      </c>
      <c r="C1062" s="6">
        <f>IF('weather data'!C1062&gt;'user input'!$C$3,'user input'!$C$3,'weather data'!C1062)</f>
        <v>2.2222222222222223</v>
      </c>
      <c r="D1062" s="6">
        <f>IF('weather data'!D1062&lt;'user input'!$C$2,'user input'!$C$2,'weather data'!D1062)</f>
        <v>10</v>
      </c>
      <c r="E1062">
        <f t="shared" si="17"/>
        <v>6.1111111111111107</v>
      </c>
      <c r="F1062">
        <f>IF((E1062-'user input'!$C$2)&lt;0,0,E1062-'user input'!$C$2)</f>
        <v>0</v>
      </c>
      <c r="G1062">
        <f>IF(B1062&lt;'user input'!$C$5,0,(F1062+G1061))</f>
        <v>1666.9444444444441</v>
      </c>
      <c r="H1062">
        <f>G1062/'user input'!$C$4</f>
        <v>1.3891203703703701</v>
      </c>
    </row>
    <row r="1063" spans="1:8" x14ac:dyDescent="0.2">
      <c r="A1063" s="1">
        <v>41239</v>
      </c>
      <c r="B1063">
        <v>331</v>
      </c>
      <c r="C1063" s="6">
        <f>IF('weather data'!C1063&gt;'user input'!$C$3,'user input'!$C$3,'weather data'!C1063)</f>
        <v>3.333333333333333</v>
      </c>
      <c r="D1063" s="6">
        <f>IF('weather data'!D1063&lt;'user input'!$C$2,'user input'!$C$2,'weather data'!D1063)</f>
        <v>10</v>
      </c>
      <c r="E1063">
        <f t="shared" si="17"/>
        <v>6.6666666666666661</v>
      </c>
      <c r="F1063">
        <f>IF((E1063-'user input'!$C$2)&lt;0,0,E1063-'user input'!$C$2)</f>
        <v>0</v>
      </c>
      <c r="G1063">
        <f>IF(B1063&lt;'user input'!$C$5,0,(F1063+G1062))</f>
        <v>1666.9444444444441</v>
      </c>
      <c r="H1063">
        <f>G1063/'user input'!$C$4</f>
        <v>1.3891203703703701</v>
      </c>
    </row>
    <row r="1064" spans="1:8" x14ac:dyDescent="0.2">
      <c r="A1064" s="1">
        <v>41240</v>
      </c>
      <c r="B1064">
        <v>332</v>
      </c>
      <c r="C1064" s="6">
        <f>IF('weather data'!C1064&gt;'user input'!$C$3,'user input'!$C$3,'weather data'!C1064)</f>
        <v>-1.1111111111111112</v>
      </c>
      <c r="D1064" s="6">
        <f>IF('weather data'!D1064&lt;'user input'!$C$2,'user input'!$C$2,'weather data'!D1064)</f>
        <v>10</v>
      </c>
      <c r="E1064">
        <f t="shared" si="17"/>
        <v>4.4444444444444446</v>
      </c>
      <c r="F1064">
        <f>IF((E1064-'user input'!$C$2)&lt;0,0,E1064-'user input'!$C$2)</f>
        <v>0</v>
      </c>
      <c r="G1064">
        <f>IF(B1064&lt;'user input'!$C$5,0,(F1064+G1063))</f>
        <v>1666.9444444444441</v>
      </c>
      <c r="H1064">
        <f>G1064/'user input'!$C$4</f>
        <v>1.3891203703703701</v>
      </c>
    </row>
    <row r="1065" spans="1:8" x14ac:dyDescent="0.2">
      <c r="A1065" s="1">
        <v>41241</v>
      </c>
      <c r="B1065">
        <v>333</v>
      </c>
      <c r="C1065" s="6">
        <f>IF('weather data'!C1065&gt;'user input'!$C$3,'user input'!$C$3,'weather data'!C1065)</f>
        <v>-0.55555555555555558</v>
      </c>
      <c r="D1065" s="6">
        <f>IF('weather data'!D1065&lt;'user input'!$C$2,'user input'!$C$2,'weather data'!D1065)</f>
        <v>10</v>
      </c>
      <c r="E1065">
        <f t="shared" si="17"/>
        <v>4.7222222222222223</v>
      </c>
      <c r="F1065">
        <f>IF((E1065-'user input'!$C$2)&lt;0,0,E1065-'user input'!$C$2)</f>
        <v>0</v>
      </c>
      <c r="G1065">
        <f>IF(B1065&lt;'user input'!$C$5,0,(F1065+G1064))</f>
        <v>1666.9444444444441</v>
      </c>
      <c r="H1065">
        <f>G1065/'user input'!$C$4</f>
        <v>1.3891203703703701</v>
      </c>
    </row>
    <row r="1066" spans="1:8" x14ac:dyDescent="0.2">
      <c r="A1066" s="1">
        <v>41242</v>
      </c>
      <c r="B1066">
        <v>334</v>
      </c>
      <c r="C1066" s="6">
        <f>IF('weather data'!C1066&gt;'user input'!$C$3,'user input'!$C$3,'weather data'!C1066)</f>
        <v>5</v>
      </c>
      <c r="D1066" s="6">
        <f>IF('weather data'!D1066&lt;'user input'!$C$2,'user input'!$C$2,'weather data'!D1066)</f>
        <v>10</v>
      </c>
      <c r="E1066">
        <f t="shared" si="17"/>
        <v>7.5</v>
      </c>
      <c r="F1066">
        <f>IF((E1066-'user input'!$C$2)&lt;0,0,E1066-'user input'!$C$2)</f>
        <v>0</v>
      </c>
      <c r="G1066">
        <f>IF(B1066&lt;'user input'!$C$5,0,(F1066+G1065))</f>
        <v>1666.9444444444441</v>
      </c>
      <c r="H1066">
        <f>G1066/'user input'!$C$4</f>
        <v>1.3891203703703701</v>
      </c>
    </row>
    <row r="1067" spans="1:8" x14ac:dyDescent="0.2">
      <c r="A1067" s="1">
        <v>41243</v>
      </c>
      <c r="B1067">
        <v>335</v>
      </c>
      <c r="C1067" s="6">
        <f>IF('weather data'!C1067&gt;'user input'!$C$3,'user input'!$C$3,'weather data'!C1067)</f>
        <v>10.555555555555555</v>
      </c>
      <c r="D1067" s="6">
        <f>IF('weather data'!D1067&lt;'user input'!$C$2,'user input'!$C$2,'weather data'!D1067)</f>
        <v>10</v>
      </c>
      <c r="E1067">
        <f t="shared" si="17"/>
        <v>10.277777777777779</v>
      </c>
      <c r="F1067">
        <f>IF((E1067-'user input'!$C$2)&lt;0,0,E1067-'user input'!$C$2)</f>
        <v>0.27777777777777857</v>
      </c>
      <c r="G1067">
        <f>IF(B1067&lt;'user input'!$C$5,0,(F1067+G1066))</f>
        <v>1667.2222222222219</v>
      </c>
      <c r="H1067">
        <f>G1067/'user input'!$C$4</f>
        <v>1.3893518518518517</v>
      </c>
    </row>
    <row r="1068" spans="1:8" x14ac:dyDescent="0.2">
      <c r="A1068" s="1">
        <v>41244</v>
      </c>
      <c r="B1068">
        <v>336</v>
      </c>
      <c r="C1068" s="6">
        <f>IF('weather data'!C1068&gt;'user input'!$C$3,'user input'!$C$3,'weather data'!C1068)</f>
        <v>4.4444444444444446</v>
      </c>
      <c r="D1068" s="6">
        <f>IF('weather data'!D1068&lt;'user input'!$C$2,'user input'!$C$2,'weather data'!D1068)</f>
        <v>10</v>
      </c>
      <c r="E1068">
        <f t="shared" si="17"/>
        <v>7.2222222222222223</v>
      </c>
      <c r="F1068">
        <f>IF((E1068-'user input'!$C$2)&lt;0,0,E1068-'user input'!$C$2)</f>
        <v>0</v>
      </c>
      <c r="G1068">
        <f>IF(B1068&lt;'user input'!$C$5,0,(F1068+G1067))</f>
        <v>1667.2222222222219</v>
      </c>
      <c r="H1068">
        <f>G1068/'user input'!$C$4</f>
        <v>1.3893518518518517</v>
      </c>
    </row>
    <row r="1069" spans="1:8" x14ac:dyDescent="0.2">
      <c r="A1069" s="1">
        <v>41245</v>
      </c>
      <c r="B1069">
        <v>337</v>
      </c>
      <c r="C1069" s="6">
        <f>IF('weather data'!C1069&gt;'user input'!$C$3,'user input'!$C$3,'weather data'!C1069)</f>
        <v>11.111111111111111</v>
      </c>
      <c r="D1069" s="6">
        <f>IF('weather data'!D1069&lt;'user input'!$C$2,'user input'!$C$2,'weather data'!D1069)</f>
        <v>10</v>
      </c>
      <c r="E1069">
        <f t="shared" si="17"/>
        <v>10.555555555555555</v>
      </c>
      <c r="F1069">
        <f>IF((E1069-'user input'!$C$2)&lt;0,0,E1069-'user input'!$C$2)</f>
        <v>0.55555555555555536</v>
      </c>
      <c r="G1069">
        <f>IF(B1069&lt;'user input'!$C$5,0,(F1069+G1068))</f>
        <v>1667.7777777777776</v>
      </c>
      <c r="H1069">
        <f>G1069/'user input'!$C$4</f>
        <v>1.3898148148148146</v>
      </c>
    </row>
    <row r="1070" spans="1:8" x14ac:dyDescent="0.2">
      <c r="A1070" s="1">
        <v>41246</v>
      </c>
      <c r="B1070">
        <v>338</v>
      </c>
      <c r="C1070" s="6">
        <f>IF('weather data'!C1070&gt;'user input'!$C$3,'user input'!$C$3,'weather data'!C1070)</f>
        <v>12.222222222222223</v>
      </c>
      <c r="D1070" s="6">
        <f>IF('weather data'!D1070&lt;'user input'!$C$2,'user input'!$C$2,'weather data'!D1070)</f>
        <v>10</v>
      </c>
      <c r="E1070">
        <f t="shared" si="17"/>
        <v>11.111111111111111</v>
      </c>
      <c r="F1070">
        <f>IF((E1070-'user input'!$C$2)&lt;0,0,E1070-'user input'!$C$2)</f>
        <v>1.1111111111111107</v>
      </c>
      <c r="G1070">
        <f>IF(B1070&lt;'user input'!$C$5,0,(F1070+G1069))</f>
        <v>1668.8888888888887</v>
      </c>
      <c r="H1070">
        <f>G1070/'user input'!$C$4</f>
        <v>1.3907407407407406</v>
      </c>
    </row>
    <row r="1071" spans="1:8" x14ac:dyDescent="0.2">
      <c r="A1071" s="1">
        <v>41247</v>
      </c>
      <c r="B1071">
        <v>339</v>
      </c>
      <c r="C1071" s="6">
        <f>IF('weather data'!C1071&gt;'user input'!$C$3,'user input'!$C$3,'weather data'!C1071)</f>
        <v>17.777777777777779</v>
      </c>
      <c r="D1071" s="6">
        <f>IF('weather data'!D1071&lt;'user input'!$C$2,'user input'!$C$2,'weather data'!D1071)</f>
        <v>10</v>
      </c>
      <c r="E1071">
        <f t="shared" si="17"/>
        <v>13.888888888888889</v>
      </c>
      <c r="F1071">
        <f>IF((E1071-'user input'!$C$2)&lt;0,0,E1071-'user input'!$C$2)</f>
        <v>3.8888888888888893</v>
      </c>
      <c r="G1071">
        <f>IF(B1071&lt;'user input'!$C$5,0,(F1071+G1070))</f>
        <v>1672.7777777777776</v>
      </c>
      <c r="H1071">
        <f>G1071/'user input'!$C$4</f>
        <v>1.3939814814814813</v>
      </c>
    </row>
    <row r="1072" spans="1:8" x14ac:dyDescent="0.2">
      <c r="A1072" s="1">
        <v>41248</v>
      </c>
      <c r="B1072">
        <v>340</v>
      </c>
      <c r="C1072" s="6">
        <f>IF('weather data'!C1072&gt;'user input'!$C$3,'user input'!$C$3,'weather data'!C1072)</f>
        <v>12.222222222222223</v>
      </c>
      <c r="D1072" s="6">
        <f>IF('weather data'!D1072&lt;'user input'!$C$2,'user input'!$C$2,'weather data'!D1072)</f>
        <v>10</v>
      </c>
      <c r="E1072">
        <f t="shared" si="17"/>
        <v>11.111111111111111</v>
      </c>
      <c r="F1072">
        <f>IF((E1072-'user input'!$C$2)&lt;0,0,E1072-'user input'!$C$2)</f>
        <v>1.1111111111111107</v>
      </c>
      <c r="G1072">
        <f>IF(B1072&lt;'user input'!$C$5,0,(F1072+G1071))</f>
        <v>1673.8888888888887</v>
      </c>
      <c r="H1072">
        <f>G1072/'user input'!$C$4</f>
        <v>1.3949074074074073</v>
      </c>
    </row>
    <row r="1073" spans="1:8" x14ac:dyDescent="0.2">
      <c r="A1073" s="1">
        <v>41249</v>
      </c>
      <c r="B1073">
        <v>341</v>
      </c>
      <c r="C1073" s="6">
        <f>IF('weather data'!C1073&gt;'user input'!$C$3,'user input'!$C$3,'weather data'!C1073)</f>
        <v>2.2222222222222223</v>
      </c>
      <c r="D1073" s="6">
        <f>IF('weather data'!D1073&lt;'user input'!$C$2,'user input'!$C$2,'weather data'!D1073)</f>
        <v>10</v>
      </c>
      <c r="E1073">
        <f t="shared" si="17"/>
        <v>6.1111111111111107</v>
      </c>
      <c r="F1073">
        <f>IF((E1073-'user input'!$C$2)&lt;0,0,E1073-'user input'!$C$2)</f>
        <v>0</v>
      </c>
      <c r="G1073">
        <f>IF(B1073&lt;'user input'!$C$5,0,(F1073+G1072))</f>
        <v>1673.8888888888887</v>
      </c>
      <c r="H1073">
        <f>G1073/'user input'!$C$4</f>
        <v>1.3949074074074073</v>
      </c>
    </row>
    <row r="1074" spans="1:8" x14ac:dyDescent="0.2">
      <c r="A1074" s="1">
        <v>41250</v>
      </c>
      <c r="B1074">
        <v>342</v>
      </c>
      <c r="C1074" s="6">
        <f>IF('weather data'!C1074&gt;'user input'!$C$3,'user input'!$C$3,'weather data'!C1074)</f>
        <v>6.6666666666666661</v>
      </c>
      <c r="D1074" s="6">
        <f>IF('weather data'!D1074&lt;'user input'!$C$2,'user input'!$C$2,'weather data'!D1074)</f>
        <v>10</v>
      </c>
      <c r="E1074">
        <f t="shared" si="17"/>
        <v>8.3333333333333321</v>
      </c>
      <c r="F1074">
        <f>IF((E1074-'user input'!$C$2)&lt;0,0,E1074-'user input'!$C$2)</f>
        <v>0</v>
      </c>
      <c r="G1074">
        <f>IF(B1074&lt;'user input'!$C$5,0,(F1074+G1073))</f>
        <v>1673.8888888888887</v>
      </c>
      <c r="H1074">
        <f>G1074/'user input'!$C$4</f>
        <v>1.3949074074074073</v>
      </c>
    </row>
    <row r="1075" spans="1:8" x14ac:dyDescent="0.2">
      <c r="A1075" s="1">
        <v>41251</v>
      </c>
      <c r="B1075">
        <v>343</v>
      </c>
      <c r="C1075" s="6">
        <f>IF('weather data'!C1075&gt;'user input'!$C$3,'user input'!$C$3,'weather data'!C1075)</f>
        <v>4.4444444444444446</v>
      </c>
      <c r="D1075" s="6">
        <f>IF('weather data'!D1075&lt;'user input'!$C$2,'user input'!$C$2,'weather data'!D1075)</f>
        <v>10</v>
      </c>
      <c r="E1075">
        <f t="shared" si="17"/>
        <v>7.2222222222222223</v>
      </c>
      <c r="F1075">
        <f>IF((E1075-'user input'!$C$2)&lt;0,0,E1075-'user input'!$C$2)</f>
        <v>0</v>
      </c>
      <c r="G1075">
        <f>IF(B1075&lt;'user input'!$C$5,0,(F1075+G1074))</f>
        <v>1673.8888888888887</v>
      </c>
      <c r="H1075">
        <f>G1075/'user input'!$C$4</f>
        <v>1.3949074074074073</v>
      </c>
    </row>
    <row r="1076" spans="1:8" x14ac:dyDescent="0.2">
      <c r="A1076" s="1">
        <v>41252</v>
      </c>
      <c r="B1076">
        <v>344</v>
      </c>
      <c r="C1076" s="6">
        <f>IF('weather data'!C1076&gt;'user input'!$C$3,'user input'!$C$3,'weather data'!C1076)</f>
        <v>3.8888888888888888</v>
      </c>
      <c r="D1076" s="6">
        <f>IF('weather data'!D1076&lt;'user input'!$C$2,'user input'!$C$2,'weather data'!D1076)</f>
        <v>10</v>
      </c>
      <c r="E1076">
        <f t="shared" si="17"/>
        <v>6.9444444444444446</v>
      </c>
      <c r="F1076">
        <f>IF((E1076-'user input'!$C$2)&lt;0,0,E1076-'user input'!$C$2)</f>
        <v>0</v>
      </c>
      <c r="G1076">
        <f>IF(B1076&lt;'user input'!$C$5,0,(F1076+G1075))</f>
        <v>1673.8888888888887</v>
      </c>
      <c r="H1076">
        <f>G1076/'user input'!$C$4</f>
        <v>1.3949074074074073</v>
      </c>
    </row>
    <row r="1077" spans="1:8" x14ac:dyDescent="0.2">
      <c r="A1077" s="1">
        <v>41253</v>
      </c>
      <c r="B1077">
        <v>345</v>
      </c>
      <c r="C1077" s="6">
        <f>IF('weather data'!C1077&gt;'user input'!$C$3,'user input'!$C$3,'weather data'!C1077)</f>
        <v>0.55555555555555558</v>
      </c>
      <c r="D1077" s="6">
        <f>IF('weather data'!D1077&lt;'user input'!$C$2,'user input'!$C$2,'weather data'!D1077)</f>
        <v>10</v>
      </c>
      <c r="E1077">
        <f t="shared" si="17"/>
        <v>5.2777777777777777</v>
      </c>
      <c r="F1077">
        <f>IF((E1077-'user input'!$C$2)&lt;0,0,E1077-'user input'!$C$2)</f>
        <v>0</v>
      </c>
      <c r="G1077">
        <f>IF(B1077&lt;'user input'!$C$5,0,(F1077+G1076))</f>
        <v>1673.8888888888887</v>
      </c>
      <c r="H1077">
        <f>G1077/'user input'!$C$4</f>
        <v>1.3949074074074073</v>
      </c>
    </row>
    <row r="1078" spans="1:8" x14ac:dyDescent="0.2">
      <c r="A1078" s="1">
        <v>41254</v>
      </c>
      <c r="B1078">
        <v>346</v>
      </c>
      <c r="C1078" s="6">
        <f>IF('weather data'!C1078&gt;'user input'!$C$3,'user input'!$C$3,'weather data'!C1078)</f>
        <v>-1.6666666666666665</v>
      </c>
      <c r="D1078" s="6">
        <f>IF('weather data'!D1078&lt;'user input'!$C$2,'user input'!$C$2,'weather data'!D1078)</f>
        <v>10</v>
      </c>
      <c r="E1078">
        <f t="shared" si="17"/>
        <v>4.166666666666667</v>
      </c>
      <c r="F1078">
        <f>IF((E1078-'user input'!$C$2)&lt;0,0,E1078-'user input'!$C$2)</f>
        <v>0</v>
      </c>
      <c r="G1078">
        <f>IF(B1078&lt;'user input'!$C$5,0,(F1078+G1077))</f>
        <v>1673.8888888888887</v>
      </c>
      <c r="H1078">
        <f>G1078/'user input'!$C$4</f>
        <v>1.3949074074074073</v>
      </c>
    </row>
    <row r="1079" spans="1:8" x14ac:dyDescent="0.2">
      <c r="A1079" s="1">
        <v>41255</v>
      </c>
      <c r="B1079">
        <v>347</v>
      </c>
      <c r="C1079" s="6">
        <f>IF('weather data'!C1079&gt;'user input'!$C$3,'user input'!$C$3,'weather data'!C1079)</f>
        <v>-1.6666666666666665</v>
      </c>
      <c r="D1079" s="6">
        <f>IF('weather data'!D1079&lt;'user input'!$C$2,'user input'!$C$2,'weather data'!D1079)</f>
        <v>10</v>
      </c>
      <c r="E1079">
        <f t="shared" si="17"/>
        <v>4.166666666666667</v>
      </c>
      <c r="F1079">
        <f>IF((E1079-'user input'!$C$2)&lt;0,0,E1079-'user input'!$C$2)</f>
        <v>0</v>
      </c>
      <c r="G1079">
        <f>IF(B1079&lt;'user input'!$C$5,0,(F1079+G1078))</f>
        <v>1673.8888888888887</v>
      </c>
      <c r="H1079">
        <f>G1079/'user input'!$C$4</f>
        <v>1.3949074074074073</v>
      </c>
    </row>
    <row r="1080" spans="1:8" x14ac:dyDescent="0.2">
      <c r="A1080" s="1">
        <v>41256</v>
      </c>
      <c r="B1080">
        <v>348</v>
      </c>
      <c r="C1080" s="6">
        <f>IF('weather data'!C1080&gt;'user input'!$C$3,'user input'!$C$3,'weather data'!C1080)</f>
        <v>5.5555555555555554</v>
      </c>
      <c r="D1080" s="6">
        <f>IF('weather data'!D1080&lt;'user input'!$C$2,'user input'!$C$2,'weather data'!D1080)</f>
        <v>10</v>
      </c>
      <c r="E1080">
        <f t="shared" si="17"/>
        <v>7.7777777777777777</v>
      </c>
      <c r="F1080">
        <f>IF((E1080-'user input'!$C$2)&lt;0,0,E1080-'user input'!$C$2)</f>
        <v>0</v>
      </c>
      <c r="G1080">
        <f>IF(B1080&lt;'user input'!$C$5,0,(F1080+G1079))</f>
        <v>1673.8888888888887</v>
      </c>
      <c r="H1080">
        <f>G1080/'user input'!$C$4</f>
        <v>1.3949074074074073</v>
      </c>
    </row>
    <row r="1081" spans="1:8" x14ac:dyDescent="0.2">
      <c r="A1081" s="1">
        <v>41257</v>
      </c>
      <c r="B1081">
        <v>349</v>
      </c>
      <c r="C1081" s="6">
        <f>IF('weather data'!C1081&gt;'user input'!$C$3,'user input'!$C$3,'weather data'!C1081)</f>
        <v>6.1111111111111116</v>
      </c>
      <c r="D1081" s="6">
        <f>IF('weather data'!D1081&lt;'user input'!$C$2,'user input'!$C$2,'weather data'!D1081)</f>
        <v>10</v>
      </c>
      <c r="E1081">
        <f t="shared" si="17"/>
        <v>8.0555555555555554</v>
      </c>
      <c r="F1081">
        <f>IF((E1081-'user input'!$C$2)&lt;0,0,E1081-'user input'!$C$2)</f>
        <v>0</v>
      </c>
      <c r="G1081">
        <f>IF(B1081&lt;'user input'!$C$5,0,(F1081+G1080))</f>
        <v>1673.8888888888887</v>
      </c>
      <c r="H1081">
        <f>G1081/'user input'!$C$4</f>
        <v>1.3949074074074073</v>
      </c>
    </row>
    <row r="1082" spans="1:8" x14ac:dyDescent="0.2">
      <c r="A1082" s="1">
        <v>41258</v>
      </c>
      <c r="B1082">
        <v>350</v>
      </c>
      <c r="C1082" s="6">
        <f>IF('weather data'!C1082&gt;'user input'!$C$3,'user input'!$C$3,'weather data'!C1082)</f>
        <v>7.7777777777777777</v>
      </c>
      <c r="D1082" s="6">
        <f>IF('weather data'!D1082&lt;'user input'!$C$2,'user input'!$C$2,'weather data'!D1082)</f>
        <v>10</v>
      </c>
      <c r="E1082">
        <f t="shared" si="17"/>
        <v>8.8888888888888893</v>
      </c>
      <c r="F1082">
        <f>IF((E1082-'user input'!$C$2)&lt;0,0,E1082-'user input'!$C$2)</f>
        <v>0</v>
      </c>
      <c r="G1082">
        <f>IF(B1082&lt;'user input'!$C$5,0,(F1082+G1081))</f>
        <v>1673.8888888888887</v>
      </c>
      <c r="H1082">
        <f>G1082/'user input'!$C$4</f>
        <v>1.3949074074074073</v>
      </c>
    </row>
    <row r="1083" spans="1:8" x14ac:dyDescent="0.2">
      <c r="A1083" s="1">
        <v>41259</v>
      </c>
      <c r="B1083">
        <v>351</v>
      </c>
      <c r="C1083" s="6">
        <f>IF('weather data'!C1083&gt;'user input'!$C$3,'user input'!$C$3,'weather data'!C1083)</f>
        <v>6.1111111111111116</v>
      </c>
      <c r="D1083" s="6">
        <f>IF('weather data'!D1083&lt;'user input'!$C$2,'user input'!$C$2,'weather data'!D1083)</f>
        <v>10</v>
      </c>
      <c r="E1083">
        <f t="shared" si="17"/>
        <v>8.0555555555555554</v>
      </c>
      <c r="F1083">
        <f>IF((E1083-'user input'!$C$2)&lt;0,0,E1083-'user input'!$C$2)</f>
        <v>0</v>
      </c>
      <c r="G1083">
        <f>IF(B1083&lt;'user input'!$C$5,0,(F1083+G1082))</f>
        <v>1673.8888888888887</v>
      </c>
      <c r="H1083">
        <f>G1083/'user input'!$C$4</f>
        <v>1.3949074074074073</v>
      </c>
    </row>
    <row r="1084" spans="1:8" x14ac:dyDescent="0.2">
      <c r="A1084" s="1">
        <v>41260</v>
      </c>
      <c r="B1084">
        <v>352</v>
      </c>
      <c r="C1084" s="6">
        <f>IF('weather data'!C1084&gt;'user input'!$C$3,'user input'!$C$3,'weather data'!C1084)</f>
        <v>4.4444444444444446</v>
      </c>
      <c r="D1084" s="6">
        <f>IF('weather data'!D1084&lt;'user input'!$C$2,'user input'!$C$2,'weather data'!D1084)</f>
        <v>10</v>
      </c>
      <c r="E1084">
        <f t="shared" si="17"/>
        <v>7.2222222222222223</v>
      </c>
      <c r="F1084">
        <f>IF((E1084-'user input'!$C$2)&lt;0,0,E1084-'user input'!$C$2)</f>
        <v>0</v>
      </c>
      <c r="G1084">
        <f>IF(B1084&lt;'user input'!$C$5,0,(F1084+G1083))</f>
        <v>1673.8888888888887</v>
      </c>
      <c r="H1084">
        <f>G1084/'user input'!$C$4</f>
        <v>1.3949074074074073</v>
      </c>
    </row>
    <row r="1085" spans="1:8" x14ac:dyDescent="0.2">
      <c r="A1085" s="1">
        <v>41261</v>
      </c>
      <c r="B1085">
        <v>353</v>
      </c>
      <c r="C1085" s="6">
        <f>IF('weather data'!C1085&gt;'user input'!$C$3,'user input'!$C$3,'weather data'!C1085)</f>
        <v>-1.6666666666666665</v>
      </c>
      <c r="D1085" s="6">
        <f>IF('weather data'!D1085&lt;'user input'!$C$2,'user input'!$C$2,'weather data'!D1085)</f>
        <v>10</v>
      </c>
      <c r="E1085">
        <f t="shared" si="17"/>
        <v>4.166666666666667</v>
      </c>
      <c r="F1085">
        <f>IF((E1085-'user input'!$C$2)&lt;0,0,E1085-'user input'!$C$2)</f>
        <v>0</v>
      </c>
      <c r="G1085">
        <f>IF(B1085&lt;'user input'!$C$5,0,(F1085+G1084))</f>
        <v>1673.8888888888887</v>
      </c>
      <c r="H1085">
        <f>G1085/'user input'!$C$4</f>
        <v>1.3949074074074073</v>
      </c>
    </row>
    <row r="1086" spans="1:8" x14ac:dyDescent="0.2">
      <c r="A1086" s="1">
        <v>41262</v>
      </c>
      <c r="B1086">
        <v>354</v>
      </c>
      <c r="C1086" s="6">
        <f>IF('weather data'!C1086&gt;'user input'!$C$3,'user input'!$C$3,'weather data'!C1086)</f>
        <v>-1.1111111111111112</v>
      </c>
      <c r="D1086" s="6">
        <f>IF('weather data'!D1086&lt;'user input'!$C$2,'user input'!$C$2,'weather data'!D1086)</f>
        <v>10</v>
      </c>
      <c r="E1086">
        <f t="shared" si="17"/>
        <v>4.4444444444444446</v>
      </c>
      <c r="F1086">
        <f>IF((E1086-'user input'!$C$2)&lt;0,0,E1086-'user input'!$C$2)</f>
        <v>0</v>
      </c>
      <c r="G1086">
        <f>IF(B1086&lt;'user input'!$C$5,0,(F1086+G1085))</f>
        <v>1673.8888888888887</v>
      </c>
      <c r="H1086">
        <f>G1086/'user input'!$C$4</f>
        <v>1.3949074074074073</v>
      </c>
    </row>
    <row r="1087" spans="1:8" x14ac:dyDescent="0.2">
      <c r="A1087" s="1">
        <v>41263</v>
      </c>
      <c r="B1087">
        <v>355</v>
      </c>
      <c r="C1087" s="6">
        <f>IF('weather data'!C1087&gt;'user input'!$C$3,'user input'!$C$3,'weather data'!C1087)</f>
        <v>-1.6666666666666665</v>
      </c>
      <c r="D1087" s="6">
        <f>IF('weather data'!D1087&lt;'user input'!$C$2,'user input'!$C$2,'weather data'!D1087)</f>
        <v>10</v>
      </c>
      <c r="E1087">
        <f t="shared" si="17"/>
        <v>4.166666666666667</v>
      </c>
      <c r="F1087">
        <f>IF((E1087-'user input'!$C$2)&lt;0,0,E1087-'user input'!$C$2)</f>
        <v>0</v>
      </c>
      <c r="G1087">
        <f>IF(B1087&lt;'user input'!$C$5,0,(F1087+G1086))</f>
        <v>1673.8888888888887</v>
      </c>
      <c r="H1087">
        <f>G1087/'user input'!$C$4</f>
        <v>1.3949074074074073</v>
      </c>
    </row>
    <row r="1088" spans="1:8" x14ac:dyDescent="0.2">
      <c r="A1088" s="1">
        <v>41264</v>
      </c>
      <c r="B1088">
        <v>356</v>
      </c>
      <c r="C1088" s="6">
        <f>IF('weather data'!C1088&gt;'user input'!$C$3,'user input'!$C$3,'weather data'!C1088)</f>
        <v>-3.8888888888888888</v>
      </c>
      <c r="D1088" s="6">
        <f>IF('weather data'!D1088&lt;'user input'!$C$2,'user input'!$C$2,'weather data'!D1088)</f>
        <v>10</v>
      </c>
      <c r="E1088">
        <f t="shared" si="17"/>
        <v>3.0555555555555554</v>
      </c>
      <c r="F1088">
        <f>IF((E1088-'user input'!$C$2)&lt;0,0,E1088-'user input'!$C$2)</f>
        <v>0</v>
      </c>
      <c r="G1088">
        <f>IF(B1088&lt;'user input'!$C$5,0,(F1088+G1087))</f>
        <v>1673.8888888888887</v>
      </c>
      <c r="H1088">
        <f>G1088/'user input'!$C$4</f>
        <v>1.3949074074074073</v>
      </c>
    </row>
    <row r="1089" spans="1:8" x14ac:dyDescent="0.2">
      <c r="A1089" s="1">
        <v>41265</v>
      </c>
      <c r="B1089">
        <v>357</v>
      </c>
      <c r="C1089" s="6">
        <f>IF('weather data'!C1089&gt;'user input'!$C$3,'user input'!$C$3,'weather data'!C1089)</f>
        <v>-1.6666666666666665</v>
      </c>
      <c r="D1089" s="6">
        <f>IF('weather data'!D1089&lt;'user input'!$C$2,'user input'!$C$2,'weather data'!D1089)</f>
        <v>10</v>
      </c>
      <c r="E1089">
        <f t="shared" si="17"/>
        <v>4.166666666666667</v>
      </c>
      <c r="F1089">
        <f>IF((E1089-'user input'!$C$2)&lt;0,0,E1089-'user input'!$C$2)</f>
        <v>0</v>
      </c>
      <c r="G1089">
        <f>IF(B1089&lt;'user input'!$C$5,0,(F1089+G1088))</f>
        <v>1673.8888888888887</v>
      </c>
      <c r="H1089">
        <f>G1089/'user input'!$C$4</f>
        <v>1.3949074074074073</v>
      </c>
    </row>
    <row r="1090" spans="1:8" x14ac:dyDescent="0.2">
      <c r="A1090" s="1">
        <v>41266</v>
      </c>
      <c r="B1090">
        <v>358</v>
      </c>
      <c r="C1090" s="6">
        <f>IF('weather data'!C1090&gt;'user input'!$C$3,'user input'!$C$3,'weather data'!C1090)</f>
        <v>0.55555555555555558</v>
      </c>
      <c r="D1090" s="6">
        <f>IF('weather data'!D1090&lt;'user input'!$C$2,'user input'!$C$2,'weather data'!D1090)</f>
        <v>10</v>
      </c>
      <c r="E1090">
        <f t="shared" si="17"/>
        <v>5.2777777777777777</v>
      </c>
      <c r="F1090">
        <f>IF((E1090-'user input'!$C$2)&lt;0,0,E1090-'user input'!$C$2)</f>
        <v>0</v>
      </c>
      <c r="G1090">
        <f>IF(B1090&lt;'user input'!$C$5,0,(F1090+G1089))</f>
        <v>1673.8888888888887</v>
      </c>
      <c r="H1090">
        <f>G1090/'user input'!$C$4</f>
        <v>1.3949074074074073</v>
      </c>
    </row>
    <row r="1091" spans="1:8" x14ac:dyDescent="0.2">
      <c r="A1091" s="1">
        <v>41267</v>
      </c>
      <c r="B1091">
        <v>359</v>
      </c>
      <c r="C1091" s="6">
        <f>IF('weather data'!C1091&gt;'user input'!$C$3,'user input'!$C$3,'weather data'!C1091)</f>
        <v>-5.5555555555555554</v>
      </c>
      <c r="D1091" s="6">
        <f>IF('weather data'!D1091&lt;'user input'!$C$2,'user input'!$C$2,'weather data'!D1091)</f>
        <v>10</v>
      </c>
      <c r="E1091">
        <f t="shared" si="17"/>
        <v>2.2222222222222223</v>
      </c>
      <c r="F1091">
        <f>IF((E1091-'user input'!$C$2)&lt;0,0,E1091-'user input'!$C$2)</f>
        <v>0</v>
      </c>
      <c r="G1091">
        <f>IF(B1091&lt;'user input'!$C$5,0,(F1091+G1090))</f>
        <v>1673.8888888888887</v>
      </c>
      <c r="H1091">
        <f>G1091/'user input'!$C$4</f>
        <v>1.3949074074074073</v>
      </c>
    </row>
    <row r="1092" spans="1:8" x14ac:dyDescent="0.2">
      <c r="A1092" s="1">
        <v>41268</v>
      </c>
      <c r="B1092">
        <v>360</v>
      </c>
      <c r="C1092" s="6">
        <f>IF('weather data'!C1092&gt;'user input'!$C$3,'user input'!$C$3,'weather data'!C1092)</f>
        <v>-5</v>
      </c>
      <c r="D1092" s="6">
        <f>IF('weather data'!D1092&lt;'user input'!$C$2,'user input'!$C$2,'weather data'!D1092)</f>
        <v>10</v>
      </c>
      <c r="E1092">
        <f t="shared" si="17"/>
        <v>2.5</v>
      </c>
      <c r="F1092">
        <f>IF((E1092-'user input'!$C$2)&lt;0,0,E1092-'user input'!$C$2)</f>
        <v>0</v>
      </c>
      <c r="G1092">
        <f>IF(B1092&lt;'user input'!$C$5,0,(F1092+G1091))</f>
        <v>1673.8888888888887</v>
      </c>
      <c r="H1092">
        <f>G1092/'user input'!$C$4</f>
        <v>1.3949074074074073</v>
      </c>
    </row>
    <row r="1093" spans="1:8" x14ac:dyDescent="0.2">
      <c r="A1093" s="1">
        <v>41269</v>
      </c>
      <c r="B1093">
        <v>361</v>
      </c>
      <c r="C1093" s="6">
        <f>IF('weather data'!C1093&gt;'user input'!$C$3,'user input'!$C$3,'weather data'!C1093)</f>
        <v>-6.6666666666666661</v>
      </c>
      <c r="D1093" s="6">
        <f>IF('weather data'!D1093&lt;'user input'!$C$2,'user input'!$C$2,'weather data'!D1093)</f>
        <v>10</v>
      </c>
      <c r="E1093">
        <f t="shared" si="17"/>
        <v>1.666666666666667</v>
      </c>
      <c r="F1093">
        <f>IF((E1093-'user input'!$C$2)&lt;0,0,E1093-'user input'!$C$2)</f>
        <v>0</v>
      </c>
      <c r="G1093">
        <f>IF(B1093&lt;'user input'!$C$5,0,(F1093+G1092))</f>
        <v>1673.8888888888887</v>
      </c>
      <c r="H1093">
        <f>G1093/'user input'!$C$4</f>
        <v>1.3949074074074073</v>
      </c>
    </row>
    <row r="1094" spans="1:8" x14ac:dyDescent="0.2">
      <c r="A1094" s="1">
        <v>41270</v>
      </c>
      <c r="B1094">
        <v>362</v>
      </c>
      <c r="C1094" s="6">
        <f>IF('weather data'!C1094&gt;'user input'!$C$3,'user input'!$C$3,'weather data'!C1094)</f>
        <v>-3.333333333333333</v>
      </c>
      <c r="D1094" s="6">
        <f>IF('weather data'!D1094&lt;'user input'!$C$2,'user input'!$C$2,'weather data'!D1094)</f>
        <v>10</v>
      </c>
      <c r="E1094">
        <f t="shared" si="17"/>
        <v>3.3333333333333335</v>
      </c>
      <c r="F1094">
        <f>IF((E1094-'user input'!$C$2)&lt;0,0,E1094-'user input'!$C$2)</f>
        <v>0</v>
      </c>
      <c r="G1094">
        <f>IF(B1094&lt;'user input'!$C$5,0,(F1094+G1093))</f>
        <v>1673.8888888888887</v>
      </c>
      <c r="H1094">
        <f>G1094/'user input'!$C$4</f>
        <v>1.3949074074074073</v>
      </c>
    </row>
    <row r="1095" spans="1:8" x14ac:dyDescent="0.2">
      <c r="A1095" s="1">
        <v>41271</v>
      </c>
      <c r="B1095">
        <v>363</v>
      </c>
      <c r="C1095" s="6">
        <f>IF('weather data'!C1095&gt;'user input'!$C$3,'user input'!$C$3,'weather data'!C1095)</f>
        <v>-3.8888888888888888</v>
      </c>
      <c r="D1095" s="6">
        <f>IF('weather data'!D1095&lt;'user input'!$C$2,'user input'!$C$2,'weather data'!D1095)</f>
        <v>10</v>
      </c>
      <c r="E1095">
        <f t="shared" si="17"/>
        <v>3.0555555555555554</v>
      </c>
      <c r="F1095">
        <f>IF((E1095-'user input'!$C$2)&lt;0,0,E1095-'user input'!$C$2)</f>
        <v>0</v>
      </c>
      <c r="G1095">
        <f>IF(B1095&lt;'user input'!$C$5,0,(F1095+G1094))</f>
        <v>1673.8888888888887</v>
      </c>
      <c r="H1095">
        <f>G1095/'user input'!$C$4</f>
        <v>1.3949074074074073</v>
      </c>
    </row>
    <row r="1096" spans="1:8" x14ac:dyDescent="0.2">
      <c r="A1096" s="1">
        <v>41272</v>
      </c>
      <c r="B1096">
        <v>364</v>
      </c>
      <c r="C1096" s="6">
        <f>IF('weather data'!C1096&gt;'user input'!$C$3,'user input'!$C$3,'weather data'!C1096)</f>
        <v>-3.333333333333333</v>
      </c>
      <c r="D1096" s="6">
        <f>IF('weather data'!D1096&lt;'user input'!$C$2,'user input'!$C$2,'weather data'!D1096)</f>
        <v>10</v>
      </c>
      <c r="E1096">
        <f t="shared" si="17"/>
        <v>3.3333333333333335</v>
      </c>
      <c r="F1096">
        <f>IF((E1096-'user input'!$C$2)&lt;0,0,E1096-'user input'!$C$2)</f>
        <v>0</v>
      </c>
      <c r="G1096">
        <f>IF(B1096&lt;'user input'!$C$5,0,(F1096+G1095))</f>
        <v>1673.8888888888887</v>
      </c>
      <c r="H1096">
        <f>G1096/'user input'!$C$4</f>
        <v>1.3949074074074073</v>
      </c>
    </row>
    <row r="1097" spans="1:8" x14ac:dyDescent="0.2">
      <c r="A1097" s="1">
        <v>41273</v>
      </c>
      <c r="B1097">
        <v>365</v>
      </c>
      <c r="C1097" s="6">
        <f>IF('weather data'!C1097&gt;'user input'!$C$3,'user input'!$C$3,'weather data'!C1097)</f>
        <v>-1.6666666666666665</v>
      </c>
      <c r="D1097" s="6">
        <f>IF('weather data'!D1097&lt;'user input'!$C$2,'user input'!$C$2,'weather data'!D1097)</f>
        <v>10</v>
      </c>
      <c r="E1097">
        <f t="shared" si="17"/>
        <v>4.166666666666667</v>
      </c>
      <c r="F1097">
        <f>IF((E1097-'user input'!$C$2)&lt;0,0,E1097-'user input'!$C$2)</f>
        <v>0</v>
      </c>
      <c r="G1097">
        <f>IF(B1097&lt;'user input'!$C$5,0,(F1097+G1096))</f>
        <v>1673.8888888888887</v>
      </c>
      <c r="H1097">
        <f>G1097/'user input'!$C$4</f>
        <v>1.3949074074074073</v>
      </c>
    </row>
    <row r="1098" spans="1:8" x14ac:dyDescent="0.2">
      <c r="A1098" s="1">
        <v>41274</v>
      </c>
      <c r="B1098">
        <v>1</v>
      </c>
      <c r="C1098" s="6">
        <f>IF('weather data'!C1098&gt;'user input'!$C$3,'user input'!$C$3,'weather data'!C1098)</f>
        <v>0</v>
      </c>
      <c r="D1098" s="6">
        <f>IF('weather data'!D1098&lt;'user input'!$C$2,'user input'!$C$2,'weather data'!D1098)</f>
        <v>10</v>
      </c>
      <c r="E1098">
        <f t="shared" si="17"/>
        <v>5</v>
      </c>
      <c r="F1098">
        <f>IF((E1098-'user input'!$C$2)&lt;0,0,E1098-'user input'!$C$2)</f>
        <v>0</v>
      </c>
      <c r="G1098">
        <f>IF(B1098&lt;'user input'!$C$5,0,(F1098+G1097))</f>
        <v>0</v>
      </c>
      <c r="H1098">
        <f>G1098/'user input'!$C$4</f>
        <v>0</v>
      </c>
    </row>
    <row r="1099" spans="1:8" x14ac:dyDescent="0.2">
      <c r="A1099" s="1">
        <v>41275</v>
      </c>
      <c r="B1099">
        <v>2</v>
      </c>
      <c r="C1099" s="6">
        <f>IF('weather data'!C1099&gt;'user input'!$C$3,'user input'!$C$3,'weather data'!C1099)</f>
        <v>0</v>
      </c>
      <c r="D1099" s="6">
        <f>IF('weather data'!D1099&lt;'user input'!$C$2,'user input'!$C$2,'weather data'!D1099)</f>
        <v>10</v>
      </c>
      <c r="E1099">
        <f t="shared" si="17"/>
        <v>5</v>
      </c>
      <c r="F1099">
        <f>IF((E1099-'user input'!$C$2)&lt;0,0,E1099-'user input'!$C$2)</f>
        <v>0</v>
      </c>
      <c r="G1099">
        <f>IF(B1099&lt;'user input'!$C$5,0,(F1099+G1098))</f>
        <v>0</v>
      </c>
      <c r="H1099">
        <f>G1099/'user input'!$C$4</f>
        <v>0</v>
      </c>
    </row>
    <row r="1100" spans="1:8" x14ac:dyDescent="0.2">
      <c r="A1100" s="1">
        <v>41276</v>
      </c>
      <c r="B1100">
        <v>3</v>
      </c>
      <c r="C1100" s="6">
        <f>IF('weather data'!C1100&gt;'user input'!$C$3,'user input'!$C$3,'weather data'!C1100)</f>
        <v>-9.4444444444444446</v>
      </c>
      <c r="D1100" s="6">
        <f>IF('weather data'!D1100&lt;'user input'!$C$2,'user input'!$C$2,'weather data'!D1100)</f>
        <v>10</v>
      </c>
      <c r="E1100">
        <f t="shared" si="17"/>
        <v>0.27777777777777768</v>
      </c>
      <c r="F1100">
        <f>IF((E1100-'user input'!$C$2)&lt;0,0,E1100-'user input'!$C$2)</f>
        <v>0</v>
      </c>
      <c r="G1100">
        <f>IF(B1100&lt;'user input'!$C$5,0,(F1100+G1099))</f>
        <v>0</v>
      </c>
      <c r="H1100">
        <f>G1100/'user input'!$C$4</f>
        <v>0</v>
      </c>
    </row>
    <row r="1101" spans="1:8" x14ac:dyDescent="0.2">
      <c r="A1101" s="1">
        <v>41277</v>
      </c>
      <c r="B1101">
        <v>4</v>
      </c>
      <c r="C1101" s="6">
        <f>IF('weather data'!C1101&gt;'user input'!$C$3,'user input'!$C$3,'weather data'!C1101)</f>
        <v>-5.5555555555555554</v>
      </c>
      <c r="D1101" s="6">
        <f>IF('weather data'!D1101&lt;'user input'!$C$2,'user input'!$C$2,'weather data'!D1101)</f>
        <v>10</v>
      </c>
      <c r="E1101">
        <f t="shared" si="17"/>
        <v>2.2222222222222223</v>
      </c>
      <c r="F1101">
        <f>IF((E1101-'user input'!$C$2)&lt;0,0,E1101-'user input'!$C$2)</f>
        <v>0</v>
      </c>
      <c r="G1101">
        <f>IF(B1101&lt;'user input'!$C$5,0,(F1101+G1100))</f>
        <v>0</v>
      </c>
      <c r="H1101">
        <f>G1101/'user input'!$C$4</f>
        <v>0</v>
      </c>
    </row>
    <row r="1102" spans="1:8" x14ac:dyDescent="0.2">
      <c r="A1102" s="1">
        <v>41278</v>
      </c>
      <c r="B1102">
        <v>5</v>
      </c>
      <c r="C1102" s="6">
        <f>IF('weather data'!C1102&gt;'user input'!$C$3,'user input'!$C$3,'weather data'!C1102)</f>
        <v>-3.8888888888888888</v>
      </c>
      <c r="D1102" s="6">
        <f>IF('weather data'!D1102&lt;'user input'!$C$2,'user input'!$C$2,'weather data'!D1102)</f>
        <v>10</v>
      </c>
      <c r="E1102">
        <f t="shared" si="17"/>
        <v>3.0555555555555554</v>
      </c>
      <c r="F1102">
        <f>IF((E1102-'user input'!$C$2)&lt;0,0,E1102-'user input'!$C$2)</f>
        <v>0</v>
      </c>
      <c r="G1102">
        <f>IF(B1102&lt;'user input'!$C$5,0,(F1102+G1101))</f>
        <v>0</v>
      </c>
      <c r="H1102">
        <f>G1102/'user input'!$C$4</f>
        <v>0</v>
      </c>
    </row>
    <row r="1103" spans="1:8" x14ac:dyDescent="0.2">
      <c r="A1103" s="1">
        <v>41279</v>
      </c>
      <c r="B1103">
        <v>6</v>
      </c>
      <c r="C1103" s="6">
        <f>IF('weather data'!C1103&gt;'user input'!$C$3,'user input'!$C$3,'weather data'!C1103)</f>
        <v>-1.1111111111111112</v>
      </c>
      <c r="D1103" s="6">
        <f>IF('weather data'!D1103&lt;'user input'!$C$2,'user input'!$C$2,'weather data'!D1103)</f>
        <v>10</v>
      </c>
      <c r="E1103">
        <f t="shared" si="17"/>
        <v>4.4444444444444446</v>
      </c>
      <c r="F1103">
        <f>IF((E1103-'user input'!$C$2)&lt;0,0,E1103-'user input'!$C$2)</f>
        <v>0</v>
      </c>
      <c r="G1103">
        <f>IF(B1103&lt;'user input'!$C$5,0,(F1103+G1102))</f>
        <v>0</v>
      </c>
      <c r="H1103">
        <f>G1103/'user input'!$C$4</f>
        <v>0</v>
      </c>
    </row>
    <row r="1104" spans="1:8" x14ac:dyDescent="0.2">
      <c r="A1104" s="1">
        <v>41280</v>
      </c>
      <c r="B1104">
        <v>7</v>
      </c>
      <c r="C1104" s="6">
        <f>IF('weather data'!C1104&gt;'user input'!$C$3,'user input'!$C$3,'weather data'!C1104)</f>
        <v>1.6666666666666665</v>
      </c>
      <c r="D1104" s="6">
        <f>IF('weather data'!D1104&lt;'user input'!$C$2,'user input'!$C$2,'weather data'!D1104)</f>
        <v>10</v>
      </c>
      <c r="E1104">
        <f t="shared" si="17"/>
        <v>5.833333333333333</v>
      </c>
      <c r="F1104">
        <f>IF((E1104-'user input'!$C$2)&lt;0,0,E1104-'user input'!$C$2)</f>
        <v>0</v>
      </c>
      <c r="G1104">
        <f>IF(B1104&lt;'user input'!$C$5,0,(F1104+G1103))</f>
        <v>0</v>
      </c>
      <c r="H1104">
        <f>G1104/'user input'!$C$4</f>
        <v>0</v>
      </c>
    </row>
    <row r="1105" spans="1:8" x14ac:dyDescent="0.2">
      <c r="A1105" s="1">
        <v>41281</v>
      </c>
      <c r="B1105">
        <v>8</v>
      </c>
      <c r="C1105" s="6">
        <f>IF('weather data'!C1105&gt;'user input'!$C$3,'user input'!$C$3,'weather data'!C1105)</f>
        <v>-2.7777777777777777</v>
      </c>
      <c r="D1105" s="6">
        <f>IF('weather data'!D1105&lt;'user input'!$C$2,'user input'!$C$2,'weather data'!D1105)</f>
        <v>10</v>
      </c>
      <c r="E1105">
        <f t="shared" si="17"/>
        <v>3.6111111111111112</v>
      </c>
      <c r="F1105">
        <f>IF((E1105-'user input'!$C$2)&lt;0,0,E1105-'user input'!$C$2)</f>
        <v>0</v>
      </c>
      <c r="G1105">
        <f>IF(B1105&lt;'user input'!$C$5,0,(F1105+G1104))</f>
        <v>0</v>
      </c>
      <c r="H1105">
        <f>G1105/'user input'!$C$4</f>
        <v>0</v>
      </c>
    </row>
    <row r="1106" spans="1:8" x14ac:dyDescent="0.2">
      <c r="A1106" s="1">
        <v>41282</v>
      </c>
      <c r="B1106">
        <v>9</v>
      </c>
      <c r="C1106" s="6">
        <f>IF('weather data'!C1106&gt;'user input'!$C$3,'user input'!$C$3,'weather data'!C1106)</f>
        <v>2.2222222222222223</v>
      </c>
      <c r="D1106" s="6">
        <f>IF('weather data'!D1106&lt;'user input'!$C$2,'user input'!$C$2,'weather data'!D1106)</f>
        <v>10</v>
      </c>
      <c r="E1106">
        <f t="shared" ref="E1106:E1169" si="18">(C1106+D1106)/2</f>
        <v>6.1111111111111107</v>
      </c>
      <c r="F1106">
        <f>IF((E1106-'user input'!$C$2)&lt;0,0,E1106-'user input'!$C$2)</f>
        <v>0</v>
      </c>
      <c r="G1106">
        <f>IF(B1106&lt;'user input'!$C$5,0,(F1106+G1105))</f>
        <v>0</v>
      </c>
      <c r="H1106">
        <f>G1106/'user input'!$C$4</f>
        <v>0</v>
      </c>
    </row>
    <row r="1107" spans="1:8" x14ac:dyDescent="0.2">
      <c r="A1107" s="1">
        <v>41283</v>
      </c>
      <c r="B1107">
        <v>10</v>
      </c>
      <c r="C1107" s="6">
        <f>IF('weather data'!C1107&gt;'user input'!$C$3,'user input'!$C$3,'weather data'!C1107)</f>
        <v>3.8888888888888888</v>
      </c>
      <c r="D1107" s="6">
        <f>IF('weather data'!D1107&lt;'user input'!$C$2,'user input'!$C$2,'weather data'!D1107)</f>
        <v>10</v>
      </c>
      <c r="E1107">
        <f t="shared" si="18"/>
        <v>6.9444444444444446</v>
      </c>
      <c r="F1107">
        <f>IF((E1107-'user input'!$C$2)&lt;0,0,E1107-'user input'!$C$2)</f>
        <v>0</v>
      </c>
      <c r="G1107">
        <f>IF(B1107&lt;'user input'!$C$5,0,(F1107+G1106))</f>
        <v>0</v>
      </c>
      <c r="H1107">
        <f>G1107/'user input'!$C$4</f>
        <v>0</v>
      </c>
    </row>
    <row r="1108" spans="1:8" x14ac:dyDescent="0.2">
      <c r="A1108" s="1">
        <v>41284</v>
      </c>
      <c r="B1108">
        <v>11</v>
      </c>
      <c r="C1108" s="6">
        <f>IF('weather data'!C1108&gt;'user input'!$C$3,'user input'!$C$3,'weather data'!C1108)</f>
        <v>3.333333333333333</v>
      </c>
      <c r="D1108" s="6">
        <f>IF('weather data'!D1108&lt;'user input'!$C$2,'user input'!$C$2,'weather data'!D1108)</f>
        <v>10</v>
      </c>
      <c r="E1108">
        <f t="shared" si="18"/>
        <v>6.6666666666666661</v>
      </c>
      <c r="F1108">
        <f>IF((E1108-'user input'!$C$2)&lt;0,0,E1108-'user input'!$C$2)</f>
        <v>0</v>
      </c>
      <c r="G1108">
        <f>IF(B1108&lt;'user input'!$C$5,0,(F1108+G1107))</f>
        <v>0</v>
      </c>
      <c r="H1108">
        <f>G1108/'user input'!$C$4</f>
        <v>0</v>
      </c>
    </row>
    <row r="1109" spans="1:8" x14ac:dyDescent="0.2">
      <c r="A1109" s="1">
        <v>41285</v>
      </c>
      <c r="B1109">
        <v>12</v>
      </c>
      <c r="C1109" s="6">
        <f>IF('weather data'!C1109&gt;'user input'!$C$3,'user input'!$C$3,'weather data'!C1109)</f>
        <v>4.4444444444444446</v>
      </c>
      <c r="D1109" s="6">
        <f>IF('weather data'!D1109&lt;'user input'!$C$2,'user input'!$C$2,'weather data'!D1109)</f>
        <v>10</v>
      </c>
      <c r="E1109">
        <f t="shared" si="18"/>
        <v>7.2222222222222223</v>
      </c>
      <c r="F1109">
        <f>IF((E1109-'user input'!$C$2)&lt;0,0,E1109-'user input'!$C$2)</f>
        <v>0</v>
      </c>
      <c r="G1109">
        <f>IF(B1109&lt;'user input'!$C$5,0,(F1109+G1108))</f>
        <v>0</v>
      </c>
      <c r="H1109">
        <f>G1109/'user input'!$C$4</f>
        <v>0</v>
      </c>
    </row>
    <row r="1110" spans="1:8" x14ac:dyDescent="0.2">
      <c r="A1110" s="1">
        <v>41286</v>
      </c>
      <c r="B1110">
        <v>13</v>
      </c>
      <c r="C1110" s="6">
        <f>IF('weather data'!C1110&gt;'user input'!$C$3,'user input'!$C$3,'weather data'!C1110)</f>
        <v>9.4444444444444446</v>
      </c>
      <c r="D1110" s="6">
        <f>IF('weather data'!D1110&lt;'user input'!$C$2,'user input'!$C$2,'weather data'!D1110)</f>
        <v>10</v>
      </c>
      <c r="E1110">
        <f t="shared" si="18"/>
        <v>9.7222222222222214</v>
      </c>
      <c r="F1110">
        <f>IF((E1110-'user input'!$C$2)&lt;0,0,E1110-'user input'!$C$2)</f>
        <v>0</v>
      </c>
      <c r="G1110">
        <f>IF(B1110&lt;'user input'!$C$5,0,(F1110+G1109))</f>
        <v>0</v>
      </c>
      <c r="H1110">
        <f>G1110/'user input'!$C$4</f>
        <v>0</v>
      </c>
    </row>
    <row r="1111" spans="1:8" x14ac:dyDescent="0.2">
      <c r="A1111" s="1">
        <v>41287</v>
      </c>
      <c r="B1111">
        <v>14</v>
      </c>
      <c r="C1111" s="6">
        <f>IF('weather data'!C1111&gt;'user input'!$C$3,'user input'!$C$3,'weather data'!C1111)</f>
        <v>2.7777777777777777</v>
      </c>
      <c r="D1111" s="6">
        <f>IF('weather data'!D1111&lt;'user input'!$C$2,'user input'!$C$2,'weather data'!D1111)</f>
        <v>10</v>
      </c>
      <c r="E1111">
        <f t="shared" si="18"/>
        <v>6.3888888888888893</v>
      </c>
      <c r="F1111">
        <f>IF((E1111-'user input'!$C$2)&lt;0,0,E1111-'user input'!$C$2)</f>
        <v>0</v>
      </c>
      <c r="G1111">
        <f>IF(B1111&lt;'user input'!$C$5,0,(F1111+G1110))</f>
        <v>0</v>
      </c>
      <c r="H1111">
        <f>G1111/'user input'!$C$4</f>
        <v>0</v>
      </c>
    </row>
    <row r="1112" spans="1:8" x14ac:dyDescent="0.2">
      <c r="A1112" s="1">
        <v>41288</v>
      </c>
      <c r="B1112">
        <v>15</v>
      </c>
      <c r="C1112" s="6">
        <f>IF('weather data'!C1112&gt;'user input'!$C$3,'user input'!$C$3,'weather data'!C1112)</f>
        <v>2.7777777777777777</v>
      </c>
      <c r="D1112" s="6">
        <f>IF('weather data'!D1112&lt;'user input'!$C$2,'user input'!$C$2,'weather data'!D1112)</f>
        <v>10</v>
      </c>
      <c r="E1112">
        <f t="shared" si="18"/>
        <v>6.3888888888888893</v>
      </c>
      <c r="F1112">
        <f>IF((E1112-'user input'!$C$2)&lt;0,0,E1112-'user input'!$C$2)</f>
        <v>0</v>
      </c>
      <c r="G1112">
        <f>IF(B1112&lt;'user input'!$C$5,0,(F1112+G1111))</f>
        <v>0</v>
      </c>
      <c r="H1112">
        <f>G1112/'user input'!$C$4</f>
        <v>0</v>
      </c>
    </row>
    <row r="1113" spans="1:8" x14ac:dyDescent="0.2">
      <c r="A1113" s="1">
        <v>41289</v>
      </c>
      <c r="B1113">
        <v>16</v>
      </c>
      <c r="C1113" s="6">
        <f>IF('weather data'!C1113&gt;'user input'!$C$3,'user input'!$C$3,'weather data'!C1113)</f>
        <v>-4.4444444444444446</v>
      </c>
      <c r="D1113" s="6">
        <f>IF('weather data'!D1113&lt;'user input'!$C$2,'user input'!$C$2,'weather data'!D1113)</f>
        <v>10</v>
      </c>
      <c r="E1113">
        <f t="shared" si="18"/>
        <v>2.7777777777777777</v>
      </c>
      <c r="F1113">
        <f>IF((E1113-'user input'!$C$2)&lt;0,0,E1113-'user input'!$C$2)</f>
        <v>0</v>
      </c>
      <c r="G1113">
        <f>IF(B1113&lt;'user input'!$C$5,0,(F1113+G1112))</f>
        <v>0</v>
      </c>
      <c r="H1113">
        <f>G1113/'user input'!$C$4</f>
        <v>0</v>
      </c>
    </row>
    <row r="1114" spans="1:8" x14ac:dyDescent="0.2">
      <c r="A1114" s="1">
        <v>41290</v>
      </c>
      <c r="B1114">
        <v>17</v>
      </c>
      <c r="C1114" s="6">
        <f>IF('weather data'!C1114&gt;'user input'!$C$3,'user input'!$C$3,'weather data'!C1114)</f>
        <v>-1.1111111111111112</v>
      </c>
      <c r="D1114" s="6">
        <f>IF('weather data'!D1114&lt;'user input'!$C$2,'user input'!$C$2,'weather data'!D1114)</f>
        <v>10</v>
      </c>
      <c r="E1114">
        <f t="shared" si="18"/>
        <v>4.4444444444444446</v>
      </c>
      <c r="F1114">
        <f>IF((E1114-'user input'!$C$2)&lt;0,0,E1114-'user input'!$C$2)</f>
        <v>0</v>
      </c>
      <c r="G1114">
        <f>IF(B1114&lt;'user input'!$C$5,0,(F1114+G1113))</f>
        <v>0</v>
      </c>
      <c r="H1114">
        <f>G1114/'user input'!$C$4</f>
        <v>0</v>
      </c>
    </row>
    <row r="1115" spans="1:8" x14ac:dyDescent="0.2">
      <c r="A1115" s="1">
        <v>41291</v>
      </c>
      <c r="B1115">
        <v>18</v>
      </c>
      <c r="C1115" s="6">
        <f>IF('weather data'!C1115&gt;'user input'!$C$3,'user input'!$C$3,'weather data'!C1115)</f>
        <v>0.55555555555555558</v>
      </c>
      <c r="D1115" s="6">
        <f>IF('weather data'!D1115&lt;'user input'!$C$2,'user input'!$C$2,'weather data'!D1115)</f>
        <v>10</v>
      </c>
      <c r="E1115">
        <f t="shared" si="18"/>
        <v>5.2777777777777777</v>
      </c>
      <c r="F1115">
        <f>IF((E1115-'user input'!$C$2)&lt;0,0,E1115-'user input'!$C$2)</f>
        <v>0</v>
      </c>
      <c r="G1115">
        <f>IF(B1115&lt;'user input'!$C$5,0,(F1115+G1114))</f>
        <v>0</v>
      </c>
      <c r="H1115">
        <f>G1115/'user input'!$C$4</f>
        <v>0</v>
      </c>
    </row>
    <row r="1116" spans="1:8" x14ac:dyDescent="0.2">
      <c r="A1116" s="1">
        <v>41292</v>
      </c>
      <c r="B1116">
        <v>19</v>
      </c>
      <c r="C1116" s="6">
        <f>IF('weather data'!C1116&gt;'user input'!$C$3,'user input'!$C$3,'weather data'!C1116)</f>
        <v>-2.7777777777777777</v>
      </c>
      <c r="D1116" s="6">
        <f>IF('weather data'!D1116&lt;'user input'!$C$2,'user input'!$C$2,'weather data'!D1116)</f>
        <v>10</v>
      </c>
      <c r="E1116">
        <f t="shared" si="18"/>
        <v>3.6111111111111112</v>
      </c>
      <c r="F1116">
        <f>IF((E1116-'user input'!$C$2)&lt;0,0,E1116-'user input'!$C$2)</f>
        <v>0</v>
      </c>
      <c r="G1116">
        <f>IF(B1116&lt;'user input'!$C$5,0,(F1116+G1115))</f>
        <v>0</v>
      </c>
      <c r="H1116">
        <f>G1116/'user input'!$C$4</f>
        <v>0</v>
      </c>
    </row>
    <row r="1117" spans="1:8" x14ac:dyDescent="0.2">
      <c r="A1117" s="1">
        <v>41293</v>
      </c>
      <c r="B1117">
        <v>20</v>
      </c>
      <c r="C1117" s="6">
        <f>IF('weather data'!C1117&gt;'user input'!$C$3,'user input'!$C$3,'weather data'!C1117)</f>
        <v>6.6666666666666661</v>
      </c>
      <c r="D1117" s="6">
        <f>IF('weather data'!D1117&lt;'user input'!$C$2,'user input'!$C$2,'weather data'!D1117)</f>
        <v>10</v>
      </c>
      <c r="E1117">
        <f t="shared" si="18"/>
        <v>8.3333333333333321</v>
      </c>
      <c r="F1117">
        <f>IF((E1117-'user input'!$C$2)&lt;0,0,E1117-'user input'!$C$2)</f>
        <v>0</v>
      </c>
      <c r="G1117">
        <f>IF(B1117&lt;'user input'!$C$5,0,(F1117+G1116))</f>
        <v>0</v>
      </c>
      <c r="H1117">
        <f>G1117/'user input'!$C$4</f>
        <v>0</v>
      </c>
    </row>
    <row r="1118" spans="1:8" x14ac:dyDescent="0.2">
      <c r="A1118" s="1">
        <v>41294</v>
      </c>
      <c r="B1118">
        <v>21</v>
      </c>
      <c r="C1118" s="6">
        <f>IF('weather data'!C1118&gt;'user input'!$C$3,'user input'!$C$3,'weather data'!C1118)</f>
        <v>7.7777777777777777</v>
      </c>
      <c r="D1118" s="6">
        <f>IF('weather data'!D1118&lt;'user input'!$C$2,'user input'!$C$2,'weather data'!D1118)</f>
        <v>10</v>
      </c>
      <c r="E1118">
        <f t="shared" si="18"/>
        <v>8.8888888888888893</v>
      </c>
      <c r="F1118">
        <f>IF((E1118-'user input'!$C$2)&lt;0,0,E1118-'user input'!$C$2)</f>
        <v>0</v>
      </c>
      <c r="G1118">
        <f>IF(B1118&lt;'user input'!$C$5,0,(F1118+G1117))</f>
        <v>0</v>
      </c>
      <c r="H1118">
        <f>G1118/'user input'!$C$4</f>
        <v>0</v>
      </c>
    </row>
    <row r="1119" spans="1:8" x14ac:dyDescent="0.2">
      <c r="A1119" s="1">
        <v>41295</v>
      </c>
      <c r="B1119">
        <v>22</v>
      </c>
      <c r="C1119" s="6">
        <f>IF('weather data'!C1119&gt;'user input'!$C$3,'user input'!$C$3,'weather data'!C1119)</f>
        <v>-5</v>
      </c>
      <c r="D1119" s="6">
        <f>IF('weather data'!D1119&lt;'user input'!$C$2,'user input'!$C$2,'weather data'!D1119)</f>
        <v>10</v>
      </c>
      <c r="E1119">
        <f t="shared" si="18"/>
        <v>2.5</v>
      </c>
      <c r="F1119">
        <f>IF((E1119-'user input'!$C$2)&lt;0,0,E1119-'user input'!$C$2)</f>
        <v>0</v>
      </c>
      <c r="G1119">
        <f>IF(B1119&lt;'user input'!$C$5,0,(F1119+G1118))</f>
        <v>0</v>
      </c>
      <c r="H1119">
        <f>G1119/'user input'!$C$4</f>
        <v>0</v>
      </c>
    </row>
    <row r="1120" spans="1:8" x14ac:dyDescent="0.2">
      <c r="A1120" s="1">
        <v>41296</v>
      </c>
      <c r="B1120">
        <v>23</v>
      </c>
      <c r="C1120" s="6">
        <f>IF('weather data'!C1120&gt;'user input'!$C$3,'user input'!$C$3,'weather data'!C1120)</f>
        <v>-7.2222222222222223</v>
      </c>
      <c r="D1120" s="6">
        <f>IF('weather data'!D1120&lt;'user input'!$C$2,'user input'!$C$2,'weather data'!D1120)</f>
        <v>10</v>
      </c>
      <c r="E1120">
        <f t="shared" si="18"/>
        <v>1.3888888888888888</v>
      </c>
      <c r="F1120">
        <f>IF((E1120-'user input'!$C$2)&lt;0,0,E1120-'user input'!$C$2)</f>
        <v>0</v>
      </c>
      <c r="G1120">
        <f>IF(B1120&lt;'user input'!$C$5,0,(F1120+G1119))</f>
        <v>0</v>
      </c>
      <c r="H1120">
        <f>G1120/'user input'!$C$4</f>
        <v>0</v>
      </c>
    </row>
    <row r="1121" spans="1:8" x14ac:dyDescent="0.2">
      <c r="A1121" s="1">
        <v>41297</v>
      </c>
      <c r="B1121">
        <v>24</v>
      </c>
      <c r="C1121" s="6">
        <f>IF('weather data'!C1121&gt;'user input'!$C$3,'user input'!$C$3,'weather data'!C1121)</f>
        <v>-5.5555555555555554</v>
      </c>
      <c r="D1121" s="6">
        <f>IF('weather data'!D1121&lt;'user input'!$C$2,'user input'!$C$2,'weather data'!D1121)</f>
        <v>10</v>
      </c>
      <c r="E1121">
        <f t="shared" si="18"/>
        <v>2.2222222222222223</v>
      </c>
      <c r="F1121">
        <f>IF((E1121-'user input'!$C$2)&lt;0,0,E1121-'user input'!$C$2)</f>
        <v>0</v>
      </c>
      <c r="G1121">
        <f>IF(B1121&lt;'user input'!$C$5,0,(F1121+G1120))</f>
        <v>0</v>
      </c>
      <c r="H1121">
        <f>G1121/'user input'!$C$4</f>
        <v>0</v>
      </c>
    </row>
    <row r="1122" spans="1:8" x14ac:dyDescent="0.2">
      <c r="A1122" s="1">
        <v>41298</v>
      </c>
      <c r="B1122">
        <v>25</v>
      </c>
      <c r="C1122" s="6">
        <f>IF('weather data'!C1122&gt;'user input'!$C$3,'user input'!$C$3,'weather data'!C1122)</f>
        <v>0.55555555555555558</v>
      </c>
      <c r="D1122" s="6">
        <f>IF('weather data'!D1122&lt;'user input'!$C$2,'user input'!$C$2,'weather data'!D1122)</f>
        <v>10</v>
      </c>
      <c r="E1122">
        <f t="shared" si="18"/>
        <v>5.2777777777777777</v>
      </c>
      <c r="F1122">
        <f>IF((E1122-'user input'!$C$2)&lt;0,0,E1122-'user input'!$C$2)</f>
        <v>0</v>
      </c>
      <c r="G1122">
        <f>IF(B1122&lt;'user input'!$C$5,0,(F1122+G1121))</f>
        <v>0</v>
      </c>
      <c r="H1122">
        <f>G1122/'user input'!$C$4</f>
        <v>0</v>
      </c>
    </row>
    <row r="1123" spans="1:8" x14ac:dyDescent="0.2">
      <c r="A1123" s="1">
        <v>41299</v>
      </c>
      <c r="B1123">
        <v>26</v>
      </c>
      <c r="C1123" s="6">
        <f>IF('weather data'!C1123&gt;'user input'!$C$3,'user input'!$C$3,'weather data'!C1123)</f>
        <v>6.1111111111111116</v>
      </c>
      <c r="D1123" s="6">
        <f>IF('weather data'!D1123&lt;'user input'!$C$2,'user input'!$C$2,'weather data'!D1123)</f>
        <v>10</v>
      </c>
      <c r="E1123">
        <f t="shared" si="18"/>
        <v>8.0555555555555554</v>
      </c>
      <c r="F1123">
        <f>IF((E1123-'user input'!$C$2)&lt;0,0,E1123-'user input'!$C$2)</f>
        <v>0</v>
      </c>
      <c r="G1123">
        <f>IF(B1123&lt;'user input'!$C$5,0,(F1123+G1122))</f>
        <v>0</v>
      </c>
      <c r="H1123">
        <f>G1123/'user input'!$C$4</f>
        <v>0</v>
      </c>
    </row>
    <row r="1124" spans="1:8" x14ac:dyDescent="0.2">
      <c r="A1124" s="1">
        <v>41300</v>
      </c>
      <c r="B1124">
        <v>27</v>
      </c>
      <c r="C1124" s="6">
        <f>IF('weather data'!C1124&gt;'user input'!$C$3,'user input'!$C$3,'weather data'!C1124)</f>
        <v>-2.2222222222222223</v>
      </c>
      <c r="D1124" s="6">
        <f>IF('weather data'!D1124&lt;'user input'!$C$2,'user input'!$C$2,'weather data'!D1124)</f>
        <v>10</v>
      </c>
      <c r="E1124">
        <f t="shared" si="18"/>
        <v>3.8888888888888888</v>
      </c>
      <c r="F1124">
        <f>IF((E1124-'user input'!$C$2)&lt;0,0,E1124-'user input'!$C$2)</f>
        <v>0</v>
      </c>
      <c r="G1124">
        <f>IF(B1124&lt;'user input'!$C$5,0,(F1124+G1123))</f>
        <v>0</v>
      </c>
      <c r="H1124">
        <f>G1124/'user input'!$C$4</f>
        <v>0</v>
      </c>
    </row>
    <row r="1125" spans="1:8" x14ac:dyDescent="0.2">
      <c r="A1125" s="1">
        <v>41301</v>
      </c>
      <c r="B1125">
        <v>28</v>
      </c>
      <c r="C1125" s="6">
        <f>IF('weather data'!C1125&gt;'user input'!$C$3,'user input'!$C$3,'weather data'!C1125)</f>
        <v>-5</v>
      </c>
      <c r="D1125" s="6">
        <f>IF('weather data'!D1125&lt;'user input'!$C$2,'user input'!$C$2,'weather data'!D1125)</f>
        <v>10</v>
      </c>
      <c r="E1125">
        <f t="shared" si="18"/>
        <v>2.5</v>
      </c>
      <c r="F1125">
        <f>IF((E1125-'user input'!$C$2)&lt;0,0,E1125-'user input'!$C$2)</f>
        <v>0</v>
      </c>
      <c r="G1125">
        <f>IF(B1125&lt;'user input'!$C$5,0,(F1125+G1124))</f>
        <v>0</v>
      </c>
      <c r="H1125">
        <f>G1125/'user input'!$C$4</f>
        <v>0</v>
      </c>
    </row>
    <row r="1126" spans="1:8" x14ac:dyDescent="0.2">
      <c r="A1126" s="1">
        <v>41302</v>
      </c>
      <c r="B1126">
        <v>29</v>
      </c>
      <c r="C1126" s="6">
        <f>IF('weather data'!C1126&gt;'user input'!$C$3,'user input'!$C$3,'weather data'!C1126)</f>
        <v>-15.555555555555555</v>
      </c>
      <c r="D1126" s="6">
        <f>IF('weather data'!D1126&lt;'user input'!$C$2,'user input'!$C$2,'weather data'!D1126)</f>
        <v>10</v>
      </c>
      <c r="E1126">
        <f t="shared" si="18"/>
        <v>-2.7777777777777777</v>
      </c>
      <c r="F1126">
        <f>IF((E1126-'user input'!$C$2)&lt;0,0,E1126-'user input'!$C$2)</f>
        <v>0</v>
      </c>
      <c r="G1126">
        <f>IF(B1126&lt;'user input'!$C$5,0,(F1126+G1125))</f>
        <v>0</v>
      </c>
      <c r="H1126">
        <f>G1126/'user input'!$C$4</f>
        <v>0</v>
      </c>
    </row>
    <row r="1127" spans="1:8" x14ac:dyDescent="0.2">
      <c r="A1127" s="1">
        <v>41303</v>
      </c>
      <c r="B1127">
        <v>30</v>
      </c>
      <c r="C1127" s="6">
        <f>IF('weather data'!C1127&gt;'user input'!$C$3,'user input'!$C$3,'weather data'!C1127)</f>
        <v>-15</v>
      </c>
      <c r="D1127" s="6">
        <f>IF('weather data'!D1127&lt;'user input'!$C$2,'user input'!$C$2,'weather data'!D1127)</f>
        <v>10</v>
      </c>
      <c r="E1127">
        <f t="shared" si="18"/>
        <v>-2.5</v>
      </c>
      <c r="F1127">
        <f>IF((E1127-'user input'!$C$2)&lt;0,0,E1127-'user input'!$C$2)</f>
        <v>0</v>
      </c>
      <c r="G1127">
        <f>IF(B1127&lt;'user input'!$C$5,0,(F1127+G1126))</f>
        <v>0</v>
      </c>
      <c r="H1127">
        <f>G1127/'user input'!$C$4</f>
        <v>0</v>
      </c>
    </row>
    <row r="1128" spans="1:8" x14ac:dyDescent="0.2">
      <c r="A1128" s="1">
        <v>41304</v>
      </c>
      <c r="B1128">
        <v>31</v>
      </c>
      <c r="C1128" s="6">
        <f>IF('weather data'!C1128&gt;'user input'!$C$3,'user input'!$C$3,'weather data'!C1128)</f>
        <v>-4.4444444444444446</v>
      </c>
      <c r="D1128" s="6">
        <f>IF('weather data'!D1128&lt;'user input'!$C$2,'user input'!$C$2,'weather data'!D1128)</f>
        <v>10</v>
      </c>
      <c r="E1128">
        <f t="shared" si="18"/>
        <v>2.7777777777777777</v>
      </c>
      <c r="F1128">
        <f>IF((E1128-'user input'!$C$2)&lt;0,0,E1128-'user input'!$C$2)</f>
        <v>0</v>
      </c>
      <c r="G1128">
        <f>IF(B1128&lt;'user input'!$C$5,0,(F1128+G1127))</f>
        <v>0</v>
      </c>
      <c r="H1128">
        <f>G1128/'user input'!$C$4</f>
        <v>0</v>
      </c>
    </row>
    <row r="1129" spans="1:8" x14ac:dyDescent="0.2">
      <c r="A1129" s="1">
        <v>41305</v>
      </c>
      <c r="B1129">
        <v>32</v>
      </c>
      <c r="C1129" s="6">
        <f>IF('weather data'!C1129&gt;'user input'!$C$3,'user input'!$C$3,'weather data'!C1129)</f>
        <v>0.55555555555555558</v>
      </c>
      <c r="D1129" s="6">
        <f>IF('weather data'!D1129&lt;'user input'!$C$2,'user input'!$C$2,'weather data'!D1129)</f>
        <v>10</v>
      </c>
      <c r="E1129">
        <f t="shared" si="18"/>
        <v>5.2777777777777777</v>
      </c>
      <c r="F1129">
        <f>IF((E1129-'user input'!$C$2)&lt;0,0,E1129-'user input'!$C$2)</f>
        <v>0</v>
      </c>
      <c r="G1129">
        <f>IF(B1129&lt;'user input'!$C$5,0,(F1129+G1128))</f>
        <v>0</v>
      </c>
      <c r="H1129">
        <f>G1129/'user input'!$C$4</f>
        <v>0</v>
      </c>
    </row>
    <row r="1130" spans="1:8" x14ac:dyDescent="0.2">
      <c r="A1130" s="1">
        <v>41306</v>
      </c>
      <c r="B1130">
        <v>33</v>
      </c>
      <c r="C1130" s="6">
        <f>IF('weather data'!C1130&gt;'user input'!$C$3,'user input'!$C$3,'weather data'!C1130)</f>
        <v>0</v>
      </c>
      <c r="D1130" s="6">
        <f>IF('weather data'!D1130&lt;'user input'!$C$2,'user input'!$C$2,'weather data'!D1130)</f>
        <v>10</v>
      </c>
      <c r="E1130">
        <f t="shared" si="18"/>
        <v>5</v>
      </c>
      <c r="F1130">
        <f>IF((E1130-'user input'!$C$2)&lt;0,0,E1130-'user input'!$C$2)</f>
        <v>0</v>
      </c>
      <c r="G1130">
        <f>IF(B1130&lt;'user input'!$C$5,0,(F1130+G1129))</f>
        <v>0</v>
      </c>
      <c r="H1130">
        <f>G1130/'user input'!$C$4</f>
        <v>0</v>
      </c>
    </row>
    <row r="1131" spans="1:8" x14ac:dyDescent="0.2">
      <c r="A1131" s="1">
        <v>41307</v>
      </c>
      <c r="B1131">
        <v>34</v>
      </c>
      <c r="C1131" s="6">
        <f>IF('weather data'!C1131&gt;'user input'!$C$3,'user input'!$C$3,'weather data'!C1131)</f>
        <v>-1.1111111111111112</v>
      </c>
      <c r="D1131" s="6">
        <f>IF('weather data'!D1131&lt;'user input'!$C$2,'user input'!$C$2,'weather data'!D1131)</f>
        <v>10</v>
      </c>
      <c r="E1131">
        <f t="shared" si="18"/>
        <v>4.4444444444444446</v>
      </c>
      <c r="F1131">
        <f>IF((E1131-'user input'!$C$2)&lt;0,0,E1131-'user input'!$C$2)</f>
        <v>0</v>
      </c>
      <c r="G1131">
        <f>IF(B1131&lt;'user input'!$C$5,0,(F1131+G1130))</f>
        <v>0</v>
      </c>
      <c r="H1131">
        <f>G1131/'user input'!$C$4</f>
        <v>0</v>
      </c>
    </row>
    <row r="1132" spans="1:8" x14ac:dyDescent="0.2">
      <c r="A1132" s="1">
        <v>41308</v>
      </c>
      <c r="B1132">
        <v>35</v>
      </c>
      <c r="C1132" s="6">
        <f>IF('weather data'!C1132&gt;'user input'!$C$3,'user input'!$C$3,'weather data'!C1132)</f>
        <v>0.55555555555555558</v>
      </c>
      <c r="D1132" s="6">
        <f>IF('weather data'!D1132&lt;'user input'!$C$2,'user input'!$C$2,'weather data'!D1132)</f>
        <v>10</v>
      </c>
      <c r="E1132">
        <f t="shared" si="18"/>
        <v>5.2777777777777777</v>
      </c>
      <c r="F1132">
        <f>IF((E1132-'user input'!$C$2)&lt;0,0,E1132-'user input'!$C$2)</f>
        <v>0</v>
      </c>
      <c r="G1132">
        <f>IF(B1132&lt;'user input'!$C$5,0,(F1132+G1131))</f>
        <v>0</v>
      </c>
      <c r="H1132">
        <f>G1132/'user input'!$C$4</f>
        <v>0</v>
      </c>
    </row>
    <row r="1133" spans="1:8" x14ac:dyDescent="0.2">
      <c r="A1133" s="1">
        <v>41309</v>
      </c>
      <c r="B1133">
        <v>36</v>
      </c>
      <c r="C1133" s="6">
        <f>IF('weather data'!C1133&gt;'user input'!$C$3,'user input'!$C$3,'weather data'!C1133)</f>
        <v>1.1111111111111112</v>
      </c>
      <c r="D1133" s="6">
        <f>IF('weather data'!D1133&lt;'user input'!$C$2,'user input'!$C$2,'weather data'!D1133)</f>
        <v>10</v>
      </c>
      <c r="E1133">
        <f t="shared" si="18"/>
        <v>5.5555555555555554</v>
      </c>
      <c r="F1133">
        <f>IF((E1133-'user input'!$C$2)&lt;0,0,E1133-'user input'!$C$2)</f>
        <v>0</v>
      </c>
      <c r="G1133">
        <f>IF(B1133&lt;'user input'!$C$5,0,(F1133+G1132))</f>
        <v>0</v>
      </c>
      <c r="H1133">
        <f>G1133/'user input'!$C$4</f>
        <v>0</v>
      </c>
    </row>
    <row r="1134" spans="1:8" x14ac:dyDescent="0.2">
      <c r="A1134" s="1">
        <v>41310</v>
      </c>
      <c r="B1134">
        <v>37</v>
      </c>
      <c r="C1134" s="6">
        <f>IF('weather data'!C1134&gt;'user input'!$C$3,'user input'!$C$3,'weather data'!C1134)</f>
        <v>3.333333333333333</v>
      </c>
      <c r="D1134" s="6">
        <f>IF('weather data'!D1134&lt;'user input'!$C$2,'user input'!$C$2,'weather data'!D1134)</f>
        <v>10</v>
      </c>
      <c r="E1134">
        <f t="shared" si="18"/>
        <v>6.6666666666666661</v>
      </c>
      <c r="F1134">
        <f>IF((E1134-'user input'!$C$2)&lt;0,0,E1134-'user input'!$C$2)</f>
        <v>0</v>
      </c>
      <c r="G1134">
        <f>IF(B1134&lt;'user input'!$C$5,0,(F1134+G1133))</f>
        <v>0</v>
      </c>
      <c r="H1134">
        <f>G1134/'user input'!$C$4</f>
        <v>0</v>
      </c>
    </row>
    <row r="1135" spans="1:8" x14ac:dyDescent="0.2">
      <c r="A1135" s="1">
        <v>41311</v>
      </c>
      <c r="B1135">
        <v>38</v>
      </c>
      <c r="C1135" s="6">
        <f>IF('weather data'!C1135&gt;'user input'!$C$3,'user input'!$C$3,'weather data'!C1135)</f>
        <v>-5</v>
      </c>
      <c r="D1135" s="6">
        <f>IF('weather data'!D1135&lt;'user input'!$C$2,'user input'!$C$2,'weather data'!D1135)</f>
        <v>10</v>
      </c>
      <c r="E1135">
        <f t="shared" si="18"/>
        <v>2.5</v>
      </c>
      <c r="F1135">
        <f>IF((E1135-'user input'!$C$2)&lt;0,0,E1135-'user input'!$C$2)</f>
        <v>0</v>
      </c>
      <c r="G1135">
        <f>IF(B1135&lt;'user input'!$C$5,0,(F1135+G1134))</f>
        <v>0</v>
      </c>
      <c r="H1135">
        <f>G1135/'user input'!$C$4</f>
        <v>0</v>
      </c>
    </row>
    <row r="1136" spans="1:8" x14ac:dyDescent="0.2">
      <c r="A1136" s="1">
        <v>41312</v>
      </c>
      <c r="B1136">
        <v>39</v>
      </c>
      <c r="C1136" s="6">
        <f>IF('weather data'!C1136&gt;'user input'!$C$3,'user input'!$C$3,'weather data'!C1136)</f>
        <v>-2.2222222222222223</v>
      </c>
      <c r="D1136" s="6">
        <f>IF('weather data'!D1136&lt;'user input'!$C$2,'user input'!$C$2,'weather data'!D1136)</f>
        <v>10</v>
      </c>
      <c r="E1136">
        <f t="shared" si="18"/>
        <v>3.8888888888888888</v>
      </c>
      <c r="F1136">
        <f>IF((E1136-'user input'!$C$2)&lt;0,0,E1136-'user input'!$C$2)</f>
        <v>0</v>
      </c>
      <c r="G1136">
        <f>IF(B1136&lt;'user input'!$C$5,0,(F1136+G1135))</f>
        <v>0</v>
      </c>
      <c r="H1136">
        <f>G1136/'user input'!$C$4</f>
        <v>0</v>
      </c>
    </row>
    <row r="1137" spans="1:8" x14ac:dyDescent="0.2">
      <c r="A1137" s="1">
        <v>41313</v>
      </c>
      <c r="B1137">
        <v>40</v>
      </c>
      <c r="C1137" s="6">
        <f>IF('weather data'!C1137&gt;'user input'!$C$3,'user input'!$C$3,'weather data'!C1137)</f>
        <v>6.1111111111111116</v>
      </c>
      <c r="D1137" s="6">
        <f>IF('weather data'!D1137&lt;'user input'!$C$2,'user input'!$C$2,'weather data'!D1137)</f>
        <v>10</v>
      </c>
      <c r="E1137">
        <f t="shared" si="18"/>
        <v>8.0555555555555554</v>
      </c>
      <c r="F1137">
        <f>IF((E1137-'user input'!$C$2)&lt;0,0,E1137-'user input'!$C$2)</f>
        <v>0</v>
      </c>
      <c r="G1137">
        <f>IF(B1137&lt;'user input'!$C$5,0,(F1137+G1136))</f>
        <v>0</v>
      </c>
      <c r="H1137">
        <f>G1137/'user input'!$C$4</f>
        <v>0</v>
      </c>
    </row>
    <row r="1138" spans="1:8" x14ac:dyDescent="0.2">
      <c r="A1138" s="1">
        <v>41314</v>
      </c>
      <c r="B1138">
        <v>41</v>
      </c>
      <c r="C1138" s="6">
        <f>IF('weather data'!C1138&gt;'user input'!$C$3,'user input'!$C$3,'weather data'!C1138)</f>
        <v>8.3333333333333339</v>
      </c>
      <c r="D1138" s="6">
        <f>IF('weather data'!D1138&lt;'user input'!$C$2,'user input'!$C$2,'weather data'!D1138)</f>
        <v>10</v>
      </c>
      <c r="E1138">
        <f t="shared" si="18"/>
        <v>9.1666666666666679</v>
      </c>
      <c r="F1138">
        <f>IF((E1138-'user input'!$C$2)&lt;0,0,E1138-'user input'!$C$2)</f>
        <v>0</v>
      </c>
      <c r="G1138">
        <f>IF(B1138&lt;'user input'!$C$5,0,(F1138+G1137))</f>
        <v>0</v>
      </c>
      <c r="H1138">
        <f>G1138/'user input'!$C$4</f>
        <v>0</v>
      </c>
    </row>
    <row r="1139" spans="1:8" x14ac:dyDescent="0.2">
      <c r="A1139" s="1">
        <v>41315</v>
      </c>
      <c r="B1139">
        <v>42</v>
      </c>
      <c r="C1139" s="6">
        <f>IF('weather data'!C1139&gt;'user input'!$C$3,'user input'!$C$3,'weather data'!C1139)</f>
        <v>3.8888888888888888</v>
      </c>
      <c r="D1139" s="6">
        <f>IF('weather data'!D1139&lt;'user input'!$C$2,'user input'!$C$2,'weather data'!D1139)</f>
        <v>10</v>
      </c>
      <c r="E1139">
        <f t="shared" si="18"/>
        <v>6.9444444444444446</v>
      </c>
      <c r="F1139">
        <f>IF((E1139-'user input'!$C$2)&lt;0,0,E1139-'user input'!$C$2)</f>
        <v>0</v>
      </c>
      <c r="G1139">
        <f>IF(B1139&lt;'user input'!$C$5,0,(F1139+G1138))</f>
        <v>0</v>
      </c>
      <c r="H1139">
        <f>G1139/'user input'!$C$4</f>
        <v>0</v>
      </c>
    </row>
    <row r="1140" spans="1:8" x14ac:dyDescent="0.2">
      <c r="A1140" s="1">
        <v>41316</v>
      </c>
      <c r="B1140">
        <v>43</v>
      </c>
      <c r="C1140" s="6">
        <f>IF('weather data'!C1140&gt;'user input'!$C$3,'user input'!$C$3,'weather data'!C1140)</f>
        <v>0.55555555555555558</v>
      </c>
      <c r="D1140" s="6">
        <f>IF('weather data'!D1140&lt;'user input'!$C$2,'user input'!$C$2,'weather data'!D1140)</f>
        <v>10</v>
      </c>
      <c r="E1140">
        <f t="shared" si="18"/>
        <v>5.2777777777777777</v>
      </c>
      <c r="F1140">
        <f>IF((E1140-'user input'!$C$2)&lt;0,0,E1140-'user input'!$C$2)</f>
        <v>0</v>
      </c>
      <c r="G1140">
        <f>IF(B1140&lt;'user input'!$C$5,0,(F1140+G1139))</f>
        <v>0</v>
      </c>
      <c r="H1140">
        <f>G1140/'user input'!$C$4</f>
        <v>0</v>
      </c>
    </row>
    <row r="1141" spans="1:8" x14ac:dyDescent="0.2">
      <c r="A1141" s="1">
        <v>41317</v>
      </c>
      <c r="B1141">
        <v>44</v>
      </c>
      <c r="C1141" s="6">
        <f>IF('weather data'!C1141&gt;'user input'!$C$3,'user input'!$C$3,'weather data'!C1141)</f>
        <v>2.2222222222222223</v>
      </c>
      <c r="D1141" s="6">
        <f>IF('weather data'!D1141&lt;'user input'!$C$2,'user input'!$C$2,'weather data'!D1141)</f>
        <v>10</v>
      </c>
      <c r="E1141">
        <f t="shared" si="18"/>
        <v>6.1111111111111107</v>
      </c>
      <c r="F1141">
        <f>IF((E1141-'user input'!$C$2)&lt;0,0,E1141-'user input'!$C$2)</f>
        <v>0</v>
      </c>
      <c r="G1141">
        <f>IF(B1141&lt;'user input'!$C$5,0,(F1141+G1140))</f>
        <v>0</v>
      </c>
      <c r="H1141">
        <f>G1141/'user input'!$C$4</f>
        <v>0</v>
      </c>
    </row>
    <row r="1142" spans="1:8" x14ac:dyDescent="0.2">
      <c r="A1142" s="1">
        <v>41318</v>
      </c>
      <c r="B1142">
        <v>45</v>
      </c>
      <c r="C1142" s="6">
        <f>IF('weather data'!C1142&gt;'user input'!$C$3,'user input'!$C$3,'weather data'!C1142)</f>
        <v>5.5555555555555554</v>
      </c>
      <c r="D1142" s="6">
        <f>IF('weather data'!D1142&lt;'user input'!$C$2,'user input'!$C$2,'weather data'!D1142)</f>
        <v>10</v>
      </c>
      <c r="E1142">
        <f t="shared" si="18"/>
        <v>7.7777777777777777</v>
      </c>
      <c r="F1142">
        <f>IF((E1142-'user input'!$C$2)&lt;0,0,E1142-'user input'!$C$2)</f>
        <v>0</v>
      </c>
      <c r="G1142">
        <f>IF(B1142&lt;'user input'!$C$5,0,(F1142+G1141))</f>
        <v>0</v>
      </c>
      <c r="H1142">
        <f>G1142/'user input'!$C$4</f>
        <v>0</v>
      </c>
    </row>
    <row r="1143" spans="1:8" x14ac:dyDescent="0.2">
      <c r="A1143" s="1">
        <v>41319</v>
      </c>
      <c r="B1143">
        <v>46</v>
      </c>
      <c r="C1143" s="6">
        <f>IF('weather data'!C1143&gt;'user input'!$C$3,'user input'!$C$3,'weather data'!C1143)</f>
        <v>2.7777777777777777</v>
      </c>
      <c r="D1143" s="6">
        <f>IF('weather data'!D1143&lt;'user input'!$C$2,'user input'!$C$2,'weather data'!D1143)</f>
        <v>10</v>
      </c>
      <c r="E1143">
        <f t="shared" si="18"/>
        <v>6.3888888888888893</v>
      </c>
      <c r="F1143">
        <f>IF((E1143-'user input'!$C$2)&lt;0,0,E1143-'user input'!$C$2)</f>
        <v>0</v>
      </c>
      <c r="G1143">
        <f>IF(B1143&lt;'user input'!$C$5,0,(F1143+G1142))</f>
        <v>0</v>
      </c>
      <c r="H1143">
        <f>G1143/'user input'!$C$4</f>
        <v>0</v>
      </c>
    </row>
    <row r="1144" spans="1:8" x14ac:dyDescent="0.2">
      <c r="A1144" s="1">
        <v>41320</v>
      </c>
      <c r="B1144">
        <v>47</v>
      </c>
      <c r="C1144" s="6">
        <f>IF('weather data'!C1144&gt;'user input'!$C$3,'user input'!$C$3,'weather data'!C1144)</f>
        <v>2.2222222222222223</v>
      </c>
      <c r="D1144" s="6">
        <f>IF('weather data'!D1144&lt;'user input'!$C$2,'user input'!$C$2,'weather data'!D1144)</f>
        <v>10</v>
      </c>
      <c r="E1144">
        <f t="shared" si="18"/>
        <v>6.1111111111111107</v>
      </c>
      <c r="F1144">
        <f>IF((E1144-'user input'!$C$2)&lt;0,0,E1144-'user input'!$C$2)</f>
        <v>0</v>
      </c>
      <c r="G1144">
        <f>IF(B1144&lt;'user input'!$C$5,0,(F1144+G1143))</f>
        <v>0</v>
      </c>
      <c r="H1144">
        <f>G1144/'user input'!$C$4</f>
        <v>0</v>
      </c>
    </row>
    <row r="1145" spans="1:8" x14ac:dyDescent="0.2">
      <c r="A1145" s="1">
        <v>41321</v>
      </c>
      <c r="B1145">
        <v>48</v>
      </c>
      <c r="C1145" s="6">
        <f>IF('weather data'!C1145&gt;'user input'!$C$3,'user input'!$C$3,'weather data'!C1145)</f>
        <v>0</v>
      </c>
      <c r="D1145" s="6">
        <f>IF('weather data'!D1145&lt;'user input'!$C$2,'user input'!$C$2,'weather data'!D1145)</f>
        <v>10</v>
      </c>
      <c r="E1145">
        <f t="shared" si="18"/>
        <v>5</v>
      </c>
      <c r="F1145">
        <f>IF((E1145-'user input'!$C$2)&lt;0,0,E1145-'user input'!$C$2)</f>
        <v>0</v>
      </c>
      <c r="G1145">
        <f>IF(B1145&lt;'user input'!$C$5,0,(F1145+G1144))</f>
        <v>0</v>
      </c>
      <c r="H1145">
        <f>G1145/'user input'!$C$4</f>
        <v>0</v>
      </c>
    </row>
    <row r="1146" spans="1:8" x14ac:dyDescent="0.2">
      <c r="A1146" s="1">
        <v>41322</v>
      </c>
      <c r="B1146">
        <v>49</v>
      </c>
      <c r="C1146" s="6">
        <f>IF('weather data'!C1146&gt;'user input'!$C$3,'user input'!$C$3,'weather data'!C1146)</f>
        <v>0.55555555555555558</v>
      </c>
      <c r="D1146" s="6">
        <f>IF('weather data'!D1146&lt;'user input'!$C$2,'user input'!$C$2,'weather data'!D1146)</f>
        <v>10</v>
      </c>
      <c r="E1146">
        <f t="shared" si="18"/>
        <v>5.2777777777777777</v>
      </c>
      <c r="F1146">
        <f>IF((E1146-'user input'!$C$2)&lt;0,0,E1146-'user input'!$C$2)</f>
        <v>0</v>
      </c>
      <c r="G1146">
        <f>IF(B1146&lt;'user input'!$C$5,0,(F1146+G1145))</f>
        <v>0</v>
      </c>
      <c r="H1146">
        <f>G1146/'user input'!$C$4</f>
        <v>0</v>
      </c>
    </row>
    <row r="1147" spans="1:8" x14ac:dyDescent="0.2">
      <c r="A1147" s="1">
        <v>41323</v>
      </c>
      <c r="B1147">
        <v>50</v>
      </c>
      <c r="C1147" s="6">
        <f>IF('weather data'!C1147&gt;'user input'!$C$3,'user input'!$C$3,'weather data'!C1147)</f>
        <v>1.1111111111111112</v>
      </c>
      <c r="D1147" s="6">
        <f>IF('weather data'!D1147&lt;'user input'!$C$2,'user input'!$C$2,'weather data'!D1147)</f>
        <v>10</v>
      </c>
      <c r="E1147">
        <f t="shared" si="18"/>
        <v>5.5555555555555554</v>
      </c>
      <c r="F1147">
        <f>IF((E1147-'user input'!$C$2)&lt;0,0,E1147-'user input'!$C$2)</f>
        <v>0</v>
      </c>
      <c r="G1147">
        <f>IF(B1147&lt;'user input'!$C$5,0,(F1147+G1146))</f>
        <v>0</v>
      </c>
      <c r="H1147">
        <f>G1147/'user input'!$C$4</f>
        <v>0</v>
      </c>
    </row>
    <row r="1148" spans="1:8" x14ac:dyDescent="0.2">
      <c r="A1148" s="1">
        <v>41324</v>
      </c>
      <c r="B1148">
        <v>51</v>
      </c>
      <c r="C1148" s="6">
        <f>IF('weather data'!C1148&gt;'user input'!$C$3,'user input'!$C$3,'weather data'!C1148)</f>
        <v>-0.55555555555555558</v>
      </c>
      <c r="D1148" s="6">
        <f>IF('weather data'!D1148&lt;'user input'!$C$2,'user input'!$C$2,'weather data'!D1148)</f>
        <v>10</v>
      </c>
      <c r="E1148">
        <f t="shared" si="18"/>
        <v>4.7222222222222223</v>
      </c>
      <c r="F1148">
        <f>IF((E1148-'user input'!$C$2)&lt;0,0,E1148-'user input'!$C$2)</f>
        <v>0</v>
      </c>
      <c r="G1148">
        <f>IF(B1148&lt;'user input'!$C$5,0,(F1148+G1147))</f>
        <v>0</v>
      </c>
      <c r="H1148">
        <f>G1148/'user input'!$C$4</f>
        <v>0</v>
      </c>
    </row>
    <row r="1149" spans="1:8" x14ac:dyDescent="0.2">
      <c r="A1149" s="1">
        <v>41325</v>
      </c>
      <c r="B1149">
        <v>52</v>
      </c>
      <c r="C1149" s="6">
        <f>IF('weather data'!C1149&gt;'user input'!$C$3,'user input'!$C$3,'weather data'!C1149)</f>
        <v>-2.7777777777777777</v>
      </c>
      <c r="D1149" s="6">
        <f>IF('weather data'!D1149&lt;'user input'!$C$2,'user input'!$C$2,'weather data'!D1149)</f>
        <v>10</v>
      </c>
      <c r="E1149">
        <f t="shared" si="18"/>
        <v>3.6111111111111112</v>
      </c>
      <c r="F1149">
        <f>IF((E1149-'user input'!$C$2)&lt;0,0,E1149-'user input'!$C$2)</f>
        <v>0</v>
      </c>
      <c r="G1149">
        <f>IF(B1149&lt;'user input'!$C$5,0,(F1149+G1148))</f>
        <v>0</v>
      </c>
      <c r="H1149">
        <f>G1149/'user input'!$C$4</f>
        <v>0</v>
      </c>
    </row>
    <row r="1150" spans="1:8" x14ac:dyDescent="0.2">
      <c r="A1150" s="1">
        <v>41326</v>
      </c>
      <c r="B1150">
        <v>53</v>
      </c>
      <c r="C1150" s="6">
        <f>IF('weather data'!C1150&gt;'user input'!$C$3,'user input'!$C$3,'weather data'!C1150)</f>
        <v>0</v>
      </c>
      <c r="D1150" s="6">
        <f>IF('weather data'!D1150&lt;'user input'!$C$2,'user input'!$C$2,'weather data'!D1150)</f>
        <v>10</v>
      </c>
      <c r="E1150">
        <f t="shared" si="18"/>
        <v>5</v>
      </c>
      <c r="F1150">
        <f>IF((E1150-'user input'!$C$2)&lt;0,0,E1150-'user input'!$C$2)</f>
        <v>0</v>
      </c>
      <c r="G1150">
        <f>IF(B1150&lt;'user input'!$C$5,0,(F1150+G1149))</f>
        <v>0</v>
      </c>
      <c r="H1150">
        <f>G1150/'user input'!$C$4</f>
        <v>0</v>
      </c>
    </row>
    <row r="1151" spans="1:8" x14ac:dyDescent="0.2">
      <c r="A1151" s="1">
        <v>41327</v>
      </c>
      <c r="B1151">
        <v>54</v>
      </c>
      <c r="C1151" s="6">
        <f>IF('weather data'!C1151&gt;'user input'!$C$3,'user input'!$C$3,'weather data'!C1151)</f>
        <v>-0.55555555555555558</v>
      </c>
      <c r="D1151" s="6">
        <f>IF('weather data'!D1151&lt;'user input'!$C$2,'user input'!$C$2,'weather data'!D1151)</f>
        <v>10</v>
      </c>
      <c r="E1151">
        <f t="shared" si="18"/>
        <v>4.7222222222222223</v>
      </c>
      <c r="F1151">
        <f>IF((E1151-'user input'!$C$2)&lt;0,0,E1151-'user input'!$C$2)</f>
        <v>0</v>
      </c>
      <c r="G1151">
        <f>IF(B1151&lt;'user input'!$C$5,0,(F1151+G1150))</f>
        <v>0</v>
      </c>
      <c r="H1151">
        <f>G1151/'user input'!$C$4</f>
        <v>0</v>
      </c>
    </row>
    <row r="1152" spans="1:8" x14ac:dyDescent="0.2">
      <c r="A1152" s="1">
        <v>41328</v>
      </c>
      <c r="B1152">
        <v>55</v>
      </c>
      <c r="C1152" s="6">
        <f>IF('weather data'!C1152&gt;'user input'!$C$3,'user input'!$C$3,'weather data'!C1152)</f>
        <v>0.55555555555555558</v>
      </c>
      <c r="D1152" s="6">
        <f>IF('weather data'!D1152&lt;'user input'!$C$2,'user input'!$C$2,'weather data'!D1152)</f>
        <v>10</v>
      </c>
      <c r="E1152">
        <f t="shared" si="18"/>
        <v>5.2777777777777777</v>
      </c>
      <c r="F1152">
        <f>IF((E1152-'user input'!$C$2)&lt;0,0,E1152-'user input'!$C$2)</f>
        <v>0</v>
      </c>
      <c r="G1152">
        <f>IF(B1152&lt;'user input'!$C$5,0,(F1152+G1151))</f>
        <v>0</v>
      </c>
      <c r="H1152">
        <f>G1152/'user input'!$C$4</f>
        <v>0</v>
      </c>
    </row>
    <row r="1153" spans="1:8" x14ac:dyDescent="0.2">
      <c r="A1153" s="1">
        <v>41329</v>
      </c>
      <c r="B1153">
        <v>56</v>
      </c>
      <c r="C1153" s="6">
        <f>IF('weather data'!C1153&gt;'user input'!$C$3,'user input'!$C$3,'weather data'!C1153)</f>
        <v>8.3333333333333339</v>
      </c>
      <c r="D1153" s="6">
        <f>IF('weather data'!D1153&lt;'user input'!$C$2,'user input'!$C$2,'weather data'!D1153)</f>
        <v>10</v>
      </c>
      <c r="E1153">
        <f t="shared" si="18"/>
        <v>9.1666666666666679</v>
      </c>
      <c r="F1153">
        <f>IF((E1153-'user input'!$C$2)&lt;0,0,E1153-'user input'!$C$2)</f>
        <v>0</v>
      </c>
      <c r="G1153">
        <f>IF(B1153&lt;'user input'!$C$5,0,(F1153+G1152))</f>
        <v>0</v>
      </c>
      <c r="H1153">
        <f>G1153/'user input'!$C$4</f>
        <v>0</v>
      </c>
    </row>
    <row r="1154" spans="1:8" x14ac:dyDescent="0.2">
      <c r="A1154" s="1">
        <v>41330</v>
      </c>
      <c r="B1154">
        <v>57</v>
      </c>
      <c r="C1154" s="6">
        <f>IF('weather data'!C1154&gt;'user input'!$C$3,'user input'!$C$3,'weather data'!C1154)</f>
        <v>7.2222222222222223</v>
      </c>
      <c r="D1154" s="6">
        <f>IF('weather data'!D1154&lt;'user input'!$C$2,'user input'!$C$2,'weather data'!D1154)</f>
        <v>10</v>
      </c>
      <c r="E1154">
        <f t="shared" si="18"/>
        <v>8.6111111111111107</v>
      </c>
      <c r="F1154">
        <f>IF((E1154-'user input'!$C$2)&lt;0,0,E1154-'user input'!$C$2)</f>
        <v>0</v>
      </c>
      <c r="G1154">
        <f>IF(B1154&lt;'user input'!$C$5,0,(F1154+G1153))</f>
        <v>0</v>
      </c>
      <c r="H1154">
        <f>G1154/'user input'!$C$4</f>
        <v>0</v>
      </c>
    </row>
    <row r="1155" spans="1:8" x14ac:dyDescent="0.2">
      <c r="A1155" s="1">
        <v>41331</v>
      </c>
      <c r="B1155">
        <v>58</v>
      </c>
      <c r="C1155" s="6">
        <f>IF('weather data'!C1155&gt;'user input'!$C$3,'user input'!$C$3,'weather data'!C1155)</f>
        <v>6.1111111111111116</v>
      </c>
      <c r="D1155" s="6">
        <f>IF('weather data'!D1155&lt;'user input'!$C$2,'user input'!$C$2,'weather data'!D1155)</f>
        <v>10</v>
      </c>
      <c r="E1155">
        <f t="shared" si="18"/>
        <v>8.0555555555555554</v>
      </c>
      <c r="F1155">
        <f>IF((E1155-'user input'!$C$2)&lt;0,0,E1155-'user input'!$C$2)</f>
        <v>0</v>
      </c>
      <c r="G1155">
        <f>IF(B1155&lt;'user input'!$C$5,0,(F1155+G1154))</f>
        <v>0</v>
      </c>
      <c r="H1155">
        <f>G1155/'user input'!$C$4</f>
        <v>0</v>
      </c>
    </row>
    <row r="1156" spans="1:8" x14ac:dyDescent="0.2">
      <c r="A1156" s="1">
        <v>41332</v>
      </c>
      <c r="B1156">
        <v>59</v>
      </c>
      <c r="C1156" s="6">
        <f>IF('weather data'!C1156&gt;'user input'!$C$3,'user input'!$C$3,'weather data'!C1156)</f>
        <v>2.7777777777777777</v>
      </c>
      <c r="D1156" s="6">
        <f>IF('weather data'!D1156&lt;'user input'!$C$2,'user input'!$C$2,'weather data'!D1156)</f>
        <v>10</v>
      </c>
      <c r="E1156">
        <f t="shared" si="18"/>
        <v>6.3888888888888893</v>
      </c>
      <c r="F1156">
        <f>IF((E1156-'user input'!$C$2)&lt;0,0,E1156-'user input'!$C$2)</f>
        <v>0</v>
      </c>
      <c r="G1156">
        <f>IF(B1156&lt;'user input'!$C$5,0,(F1156+G1155))</f>
        <v>0</v>
      </c>
      <c r="H1156">
        <f>G1156/'user input'!$C$4</f>
        <v>0</v>
      </c>
    </row>
    <row r="1157" spans="1:8" x14ac:dyDescent="0.2">
      <c r="A1157" s="1">
        <v>41333</v>
      </c>
      <c r="B1157">
        <v>60</v>
      </c>
      <c r="C1157" s="6">
        <f>IF('weather data'!C1157&gt;'user input'!$C$3,'user input'!$C$3,'weather data'!C1157)</f>
        <v>5</v>
      </c>
      <c r="D1157" s="6">
        <f>IF('weather data'!D1157&lt;'user input'!$C$2,'user input'!$C$2,'weather data'!D1157)</f>
        <v>10</v>
      </c>
      <c r="E1157">
        <f t="shared" si="18"/>
        <v>7.5</v>
      </c>
      <c r="F1157">
        <f>IF((E1157-'user input'!$C$2)&lt;0,0,E1157-'user input'!$C$2)</f>
        <v>0</v>
      </c>
      <c r="G1157">
        <f>IF(B1157&lt;'user input'!$C$5,0,(F1157+G1156))</f>
        <v>0</v>
      </c>
      <c r="H1157">
        <f>G1157/'user input'!$C$4</f>
        <v>0</v>
      </c>
    </row>
    <row r="1158" spans="1:8" x14ac:dyDescent="0.2">
      <c r="A1158" s="1">
        <v>41334</v>
      </c>
      <c r="B1158">
        <v>61</v>
      </c>
      <c r="C1158" s="6">
        <f>IF('weather data'!C1158&gt;'user input'!$C$3,'user input'!$C$3,'weather data'!C1158)</f>
        <v>5.5555555555555554</v>
      </c>
      <c r="D1158" s="6">
        <f>IF('weather data'!D1158&lt;'user input'!$C$2,'user input'!$C$2,'weather data'!D1158)</f>
        <v>10</v>
      </c>
      <c r="E1158">
        <f t="shared" si="18"/>
        <v>7.7777777777777777</v>
      </c>
      <c r="F1158">
        <f>IF((E1158-'user input'!$C$2)&lt;0,0,E1158-'user input'!$C$2)</f>
        <v>0</v>
      </c>
      <c r="G1158">
        <f>IF(B1158&lt;'user input'!$C$5,0,(F1158+G1157))</f>
        <v>0</v>
      </c>
      <c r="H1158">
        <f>G1158/'user input'!$C$4</f>
        <v>0</v>
      </c>
    </row>
    <row r="1159" spans="1:8" x14ac:dyDescent="0.2">
      <c r="A1159" s="1">
        <v>41335</v>
      </c>
      <c r="B1159">
        <v>62</v>
      </c>
      <c r="C1159" s="6">
        <f>IF('weather data'!C1159&gt;'user input'!$C$3,'user input'!$C$3,'weather data'!C1159)</f>
        <v>6.6666666666666661</v>
      </c>
      <c r="D1159" s="6">
        <f>IF('weather data'!D1159&lt;'user input'!$C$2,'user input'!$C$2,'weather data'!D1159)</f>
        <v>10</v>
      </c>
      <c r="E1159">
        <f t="shared" si="18"/>
        <v>8.3333333333333321</v>
      </c>
      <c r="F1159">
        <f>IF((E1159-'user input'!$C$2)&lt;0,0,E1159-'user input'!$C$2)</f>
        <v>0</v>
      </c>
      <c r="G1159">
        <f>IF(B1159&lt;'user input'!$C$5,0,(F1159+G1158))</f>
        <v>0</v>
      </c>
      <c r="H1159">
        <f>G1159/'user input'!$C$4</f>
        <v>0</v>
      </c>
    </row>
    <row r="1160" spans="1:8" x14ac:dyDescent="0.2">
      <c r="A1160" s="1">
        <v>41336</v>
      </c>
      <c r="B1160">
        <v>63</v>
      </c>
      <c r="C1160" s="6">
        <f>IF('weather data'!C1160&gt;'user input'!$C$3,'user input'!$C$3,'weather data'!C1160)</f>
        <v>3.8888888888888888</v>
      </c>
      <c r="D1160" s="6">
        <f>IF('weather data'!D1160&lt;'user input'!$C$2,'user input'!$C$2,'weather data'!D1160)</f>
        <v>10</v>
      </c>
      <c r="E1160">
        <f t="shared" si="18"/>
        <v>6.9444444444444446</v>
      </c>
      <c r="F1160">
        <f>IF((E1160-'user input'!$C$2)&lt;0,0,E1160-'user input'!$C$2)</f>
        <v>0</v>
      </c>
      <c r="G1160">
        <f>IF(B1160&lt;'user input'!$C$5,0,(F1160+G1159))</f>
        <v>0</v>
      </c>
      <c r="H1160">
        <f>G1160/'user input'!$C$4</f>
        <v>0</v>
      </c>
    </row>
    <row r="1161" spans="1:8" x14ac:dyDescent="0.2">
      <c r="A1161" s="1">
        <v>41337</v>
      </c>
      <c r="B1161">
        <v>64</v>
      </c>
      <c r="C1161" s="6">
        <f>IF('weather data'!C1161&gt;'user input'!$C$3,'user input'!$C$3,'weather data'!C1161)</f>
        <v>5</v>
      </c>
      <c r="D1161" s="6">
        <f>IF('weather data'!D1161&lt;'user input'!$C$2,'user input'!$C$2,'weather data'!D1161)</f>
        <v>10</v>
      </c>
      <c r="E1161">
        <f t="shared" si="18"/>
        <v>7.5</v>
      </c>
      <c r="F1161">
        <f>IF((E1161-'user input'!$C$2)&lt;0,0,E1161-'user input'!$C$2)</f>
        <v>0</v>
      </c>
      <c r="G1161">
        <f>IF(B1161&lt;'user input'!$C$5,0,(F1161+G1160))</f>
        <v>0</v>
      </c>
      <c r="H1161">
        <f>G1161/'user input'!$C$4</f>
        <v>0</v>
      </c>
    </row>
    <row r="1162" spans="1:8" x14ac:dyDescent="0.2">
      <c r="A1162" s="1">
        <v>41338</v>
      </c>
      <c r="B1162">
        <v>65</v>
      </c>
      <c r="C1162" s="6">
        <f>IF('weather data'!C1162&gt;'user input'!$C$3,'user input'!$C$3,'weather data'!C1162)</f>
        <v>0.55555555555555558</v>
      </c>
      <c r="D1162" s="6">
        <f>IF('weather data'!D1162&lt;'user input'!$C$2,'user input'!$C$2,'weather data'!D1162)</f>
        <v>10</v>
      </c>
      <c r="E1162">
        <f t="shared" si="18"/>
        <v>5.2777777777777777</v>
      </c>
      <c r="F1162">
        <f>IF((E1162-'user input'!$C$2)&lt;0,0,E1162-'user input'!$C$2)</f>
        <v>0</v>
      </c>
      <c r="G1162">
        <f>IF(B1162&lt;'user input'!$C$5,0,(F1162+G1161))</f>
        <v>0</v>
      </c>
      <c r="H1162">
        <f>G1162/'user input'!$C$4</f>
        <v>0</v>
      </c>
    </row>
    <row r="1163" spans="1:8" x14ac:dyDescent="0.2">
      <c r="A1163" s="1">
        <v>41339</v>
      </c>
      <c r="B1163">
        <v>66</v>
      </c>
      <c r="C1163" s="6">
        <f>IF('weather data'!C1163&gt;'user input'!$C$3,'user input'!$C$3,'weather data'!C1163)</f>
        <v>3.8888888888888888</v>
      </c>
      <c r="D1163" s="6">
        <f>IF('weather data'!D1163&lt;'user input'!$C$2,'user input'!$C$2,'weather data'!D1163)</f>
        <v>10</v>
      </c>
      <c r="E1163">
        <f t="shared" si="18"/>
        <v>6.9444444444444446</v>
      </c>
      <c r="F1163">
        <f>IF((E1163-'user input'!$C$2)&lt;0,0,E1163-'user input'!$C$2)</f>
        <v>0</v>
      </c>
      <c r="G1163">
        <f>IF(B1163&lt;'user input'!$C$5,0,(F1163+G1162))</f>
        <v>0</v>
      </c>
      <c r="H1163">
        <f>G1163/'user input'!$C$4</f>
        <v>0</v>
      </c>
    </row>
    <row r="1164" spans="1:8" x14ac:dyDescent="0.2">
      <c r="A1164" s="1">
        <v>41340</v>
      </c>
      <c r="B1164">
        <v>67</v>
      </c>
      <c r="C1164" s="6">
        <f>IF('weather data'!C1164&gt;'user input'!$C$3,'user input'!$C$3,'weather data'!C1164)</f>
        <v>7.7777777777777777</v>
      </c>
      <c r="D1164" s="6">
        <f>IF('weather data'!D1164&lt;'user input'!$C$2,'user input'!$C$2,'weather data'!D1164)</f>
        <v>10</v>
      </c>
      <c r="E1164">
        <f t="shared" si="18"/>
        <v>8.8888888888888893</v>
      </c>
      <c r="F1164">
        <f>IF((E1164-'user input'!$C$2)&lt;0,0,E1164-'user input'!$C$2)</f>
        <v>0</v>
      </c>
      <c r="G1164">
        <f>IF(B1164&lt;'user input'!$C$5,0,(F1164+G1163))</f>
        <v>0</v>
      </c>
      <c r="H1164">
        <f>G1164/'user input'!$C$4</f>
        <v>0</v>
      </c>
    </row>
    <row r="1165" spans="1:8" x14ac:dyDescent="0.2">
      <c r="A1165" s="1">
        <v>41341</v>
      </c>
      <c r="B1165">
        <v>68</v>
      </c>
      <c r="C1165" s="6">
        <f>IF('weather data'!C1165&gt;'user input'!$C$3,'user input'!$C$3,'weather data'!C1165)</f>
        <v>2.2222222222222223</v>
      </c>
      <c r="D1165" s="6">
        <f>IF('weather data'!D1165&lt;'user input'!$C$2,'user input'!$C$2,'weather data'!D1165)</f>
        <v>10</v>
      </c>
      <c r="E1165">
        <f t="shared" si="18"/>
        <v>6.1111111111111107</v>
      </c>
      <c r="F1165">
        <f>IF((E1165-'user input'!$C$2)&lt;0,0,E1165-'user input'!$C$2)</f>
        <v>0</v>
      </c>
      <c r="G1165">
        <f>IF(B1165&lt;'user input'!$C$5,0,(F1165+G1164))</f>
        <v>0</v>
      </c>
      <c r="H1165">
        <f>G1165/'user input'!$C$4</f>
        <v>0</v>
      </c>
    </row>
    <row r="1166" spans="1:8" x14ac:dyDescent="0.2">
      <c r="A1166" s="1">
        <v>41342</v>
      </c>
      <c r="B1166">
        <v>69</v>
      </c>
      <c r="C1166" s="6">
        <f>IF('weather data'!C1166&gt;'user input'!$C$3,'user input'!$C$3,'weather data'!C1166)</f>
        <v>3.8888888888888888</v>
      </c>
      <c r="D1166" s="6">
        <f>IF('weather data'!D1166&lt;'user input'!$C$2,'user input'!$C$2,'weather data'!D1166)</f>
        <v>10</v>
      </c>
      <c r="E1166">
        <f t="shared" si="18"/>
        <v>6.9444444444444446</v>
      </c>
      <c r="F1166">
        <f>IF((E1166-'user input'!$C$2)&lt;0,0,E1166-'user input'!$C$2)</f>
        <v>0</v>
      </c>
      <c r="G1166">
        <f>IF(B1166&lt;'user input'!$C$5,0,(F1166+G1165))</f>
        <v>0</v>
      </c>
      <c r="H1166">
        <f>G1166/'user input'!$C$4</f>
        <v>0</v>
      </c>
    </row>
    <row r="1167" spans="1:8" x14ac:dyDescent="0.2">
      <c r="A1167" s="1">
        <v>41343</v>
      </c>
      <c r="B1167">
        <v>70</v>
      </c>
      <c r="C1167" s="6">
        <f>IF('weather data'!C1167&gt;'user input'!$C$3,'user input'!$C$3,'weather data'!C1167)</f>
        <v>7.7777777777777777</v>
      </c>
      <c r="D1167" s="6">
        <f>IF('weather data'!D1167&lt;'user input'!$C$2,'user input'!$C$2,'weather data'!D1167)</f>
        <v>10</v>
      </c>
      <c r="E1167">
        <f t="shared" si="18"/>
        <v>8.8888888888888893</v>
      </c>
      <c r="F1167">
        <f>IF((E1167-'user input'!$C$2)&lt;0,0,E1167-'user input'!$C$2)</f>
        <v>0</v>
      </c>
      <c r="G1167">
        <f>IF(B1167&lt;'user input'!$C$5,0,(F1167+G1166))</f>
        <v>0</v>
      </c>
      <c r="H1167">
        <f>G1167/'user input'!$C$4</f>
        <v>0</v>
      </c>
    </row>
    <row r="1168" spans="1:8" x14ac:dyDescent="0.2">
      <c r="A1168" s="1">
        <v>41344</v>
      </c>
      <c r="B1168">
        <v>71</v>
      </c>
      <c r="C1168" s="6">
        <f>IF('weather data'!C1168&gt;'user input'!$C$3,'user input'!$C$3,'weather data'!C1168)</f>
        <v>2.7777777777777777</v>
      </c>
      <c r="D1168" s="6">
        <f>IF('weather data'!D1168&lt;'user input'!$C$2,'user input'!$C$2,'weather data'!D1168)</f>
        <v>10</v>
      </c>
      <c r="E1168">
        <f t="shared" si="18"/>
        <v>6.3888888888888893</v>
      </c>
      <c r="F1168">
        <f>IF((E1168-'user input'!$C$2)&lt;0,0,E1168-'user input'!$C$2)</f>
        <v>0</v>
      </c>
      <c r="G1168">
        <f>IF(B1168&lt;'user input'!$C$5,0,(F1168+G1167))</f>
        <v>0</v>
      </c>
      <c r="H1168">
        <f>G1168/'user input'!$C$4</f>
        <v>0</v>
      </c>
    </row>
    <row r="1169" spans="1:8" x14ac:dyDescent="0.2">
      <c r="A1169" s="1">
        <v>41345</v>
      </c>
      <c r="B1169">
        <v>72</v>
      </c>
      <c r="C1169" s="6">
        <f>IF('weather data'!C1169&gt;'user input'!$C$3,'user input'!$C$3,'weather data'!C1169)</f>
        <v>1.1111111111111112</v>
      </c>
      <c r="D1169" s="6">
        <f>IF('weather data'!D1169&lt;'user input'!$C$2,'user input'!$C$2,'weather data'!D1169)</f>
        <v>10</v>
      </c>
      <c r="E1169">
        <f t="shared" si="18"/>
        <v>5.5555555555555554</v>
      </c>
      <c r="F1169">
        <f>IF((E1169-'user input'!$C$2)&lt;0,0,E1169-'user input'!$C$2)</f>
        <v>0</v>
      </c>
      <c r="G1169">
        <f>IF(B1169&lt;'user input'!$C$5,0,(F1169+G1168))</f>
        <v>0</v>
      </c>
      <c r="H1169">
        <f>G1169/'user input'!$C$4</f>
        <v>0</v>
      </c>
    </row>
    <row r="1170" spans="1:8" x14ac:dyDescent="0.2">
      <c r="A1170" s="1">
        <v>41346</v>
      </c>
      <c r="B1170">
        <v>73</v>
      </c>
      <c r="C1170" s="6">
        <f>IF('weather data'!C1170&gt;'user input'!$C$3,'user input'!$C$3,'weather data'!C1170)</f>
        <v>-1.1111111111111112</v>
      </c>
      <c r="D1170" s="6">
        <f>IF('weather data'!D1170&lt;'user input'!$C$2,'user input'!$C$2,'weather data'!D1170)</f>
        <v>10</v>
      </c>
      <c r="E1170">
        <f t="shared" ref="E1170:E1233" si="19">(C1170+D1170)/2</f>
        <v>4.4444444444444446</v>
      </c>
      <c r="F1170">
        <f>IF((E1170-'user input'!$C$2)&lt;0,0,E1170-'user input'!$C$2)</f>
        <v>0</v>
      </c>
      <c r="G1170">
        <f>IF(B1170&lt;'user input'!$C$5,0,(F1170+G1169))</f>
        <v>0</v>
      </c>
      <c r="H1170">
        <f>G1170/'user input'!$C$4</f>
        <v>0</v>
      </c>
    </row>
    <row r="1171" spans="1:8" x14ac:dyDescent="0.2">
      <c r="A1171" s="1">
        <v>41347</v>
      </c>
      <c r="B1171">
        <v>74</v>
      </c>
      <c r="C1171" s="6">
        <f>IF('weather data'!C1171&gt;'user input'!$C$3,'user input'!$C$3,'weather data'!C1171)</f>
        <v>-2.2222222222222223</v>
      </c>
      <c r="D1171" s="6">
        <f>IF('weather data'!D1171&lt;'user input'!$C$2,'user input'!$C$2,'weather data'!D1171)</f>
        <v>10</v>
      </c>
      <c r="E1171">
        <f t="shared" si="19"/>
        <v>3.8888888888888888</v>
      </c>
      <c r="F1171">
        <f>IF((E1171-'user input'!$C$2)&lt;0,0,E1171-'user input'!$C$2)</f>
        <v>0</v>
      </c>
      <c r="G1171">
        <f>IF(B1171&lt;'user input'!$C$5,0,(F1171+G1170))</f>
        <v>0</v>
      </c>
      <c r="H1171">
        <f>G1171/'user input'!$C$4</f>
        <v>0</v>
      </c>
    </row>
    <row r="1172" spans="1:8" x14ac:dyDescent="0.2">
      <c r="A1172" s="1">
        <v>41348</v>
      </c>
      <c r="B1172">
        <v>75</v>
      </c>
      <c r="C1172" s="6">
        <f>IF('weather data'!C1172&gt;'user input'!$C$3,'user input'!$C$3,'weather data'!C1172)</f>
        <v>1.1111111111111112</v>
      </c>
      <c r="D1172" s="6">
        <f>IF('weather data'!D1172&lt;'user input'!$C$2,'user input'!$C$2,'weather data'!D1172)</f>
        <v>10</v>
      </c>
      <c r="E1172">
        <f t="shared" si="19"/>
        <v>5.5555555555555554</v>
      </c>
      <c r="F1172">
        <f>IF((E1172-'user input'!$C$2)&lt;0,0,E1172-'user input'!$C$2)</f>
        <v>0</v>
      </c>
      <c r="G1172">
        <f>IF(B1172&lt;'user input'!$C$5,0,(F1172+G1171))</f>
        <v>0</v>
      </c>
      <c r="H1172">
        <f>G1172/'user input'!$C$4</f>
        <v>0</v>
      </c>
    </row>
    <row r="1173" spans="1:8" x14ac:dyDescent="0.2">
      <c r="A1173" s="1">
        <v>41349</v>
      </c>
      <c r="B1173">
        <v>76</v>
      </c>
      <c r="C1173" s="6">
        <f>IF('weather data'!C1173&gt;'user input'!$C$3,'user input'!$C$3,'weather data'!C1173)</f>
        <v>18.333333333333332</v>
      </c>
      <c r="D1173" s="6">
        <f>IF('weather data'!D1173&lt;'user input'!$C$2,'user input'!$C$2,'weather data'!D1173)</f>
        <v>10</v>
      </c>
      <c r="E1173">
        <f t="shared" si="19"/>
        <v>14.166666666666666</v>
      </c>
      <c r="F1173">
        <f>IF((E1173-'user input'!$C$2)&lt;0,0,E1173-'user input'!$C$2)</f>
        <v>4.1666666666666661</v>
      </c>
      <c r="G1173">
        <f>IF(B1173&lt;'user input'!$C$5,0,(F1173+G1172))</f>
        <v>0</v>
      </c>
      <c r="H1173">
        <f>G1173/'user input'!$C$4</f>
        <v>0</v>
      </c>
    </row>
    <row r="1174" spans="1:8" x14ac:dyDescent="0.2">
      <c r="A1174" s="1">
        <v>41350</v>
      </c>
      <c r="B1174">
        <v>77</v>
      </c>
      <c r="C1174" s="6">
        <f>IF('weather data'!C1174&gt;'user input'!$C$3,'user input'!$C$3,'weather data'!C1174)</f>
        <v>17.222222222222221</v>
      </c>
      <c r="D1174" s="6">
        <f>IF('weather data'!D1174&lt;'user input'!$C$2,'user input'!$C$2,'weather data'!D1174)</f>
        <v>10</v>
      </c>
      <c r="E1174">
        <f t="shared" si="19"/>
        <v>13.611111111111111</v>
      </c>
      <c r="F1174">
        <f>IF((E1174-'user input'!$C$2)&lt;0,0,E1174-'user input'!$C$2)</f>
        <v>3.6111111111111107</v>
      </c>
      <c r="G1174">
        <f>IF(B1174&lt;'user input'!$C$5,0,(F1174+G1173))</f>
        <v>0</v>
      </c>
      <c r="H1174">
        <f>G1174/'user input'!$C$4</f>
        <v>0</v>
      </c>
    </row>
    <row r="1175" spans="1:8" x14ac:dyDescent="0.2">
      <c r="A1175" s="1">
        <v>41351</v>
      </c>
      <c r="B1175">
        <v>78</v>
      </c>
      <c r="C1175" s="6">
        <f>IF('weather data'!C1175&gt;'user input'!$C$3,'user input'!$C$3,'weather data'!C1175)</f>
        <v>5</v>
      </c>
      <c r="D1175" s="6">
        <f>IF('weather data'!D1175&lt;'user input'!$C$2,'user input'!$C$2,'weather data'!D1175)</f>
        <v>10</v>
      </c>
      <c r="E1175">
        <f t="shared" si="19"/>
        <v>7.5</v>
      </c>
      <c r="F1175">
        <f>IF((E1175-'user input'!$C$2)&lt;0,0,E1175-'user input'!$C$2)</f>
        <v>0</v>
      </c>
      <c r="G1175">
        <f>IF(B1175&lt;'user input'!$C$5,0,(F1175+G1174))</f>
        <v>0</v>
      </c>
      <c r="H1175">
        <f>G1175/'user input'!$C$4</f>
        <v>0</v>
      </c>
    </row>
    <row r="1176" spans="1:8" x14ac:dyDescent="0.2">
      <c r="A1176" s="1">
        <v>41352</v>
      </c>
      <c r="B1176">
        <v>79</v>
      </c>
      <c r="C1176" s="6">
        <f>IF('weather data'!C1176&gt;'user input'!$C$3,'user input'!$C$3,'weather data'!C1176)</f>
        <v>10.555555555555555</v>
      </c>
      <c r="D1176" s="6">
        <f>IF('weather data'!D1176&lt;'user input'!$C$2,'user input'!$C$2,'weather data'!D1176)</f>
        <v>10</v>
      </c>
      <c r="E1176">
        <f t="shared" si="19"/>
        <v>10.277777777777779</v>
      </c>
      <c r="F1176">
        <f>IF((E1176-'user input'!$C$2)&lt;0,0,E1176-'user input'!$C$2)</f>
        <v>0.27777777777777857</v>
      </c>
      <c r="G1176">
        <f>IF(B1176&lt;'user input'!$C$5,0,(F1176+G1175))</f>
        <v>0</v>
      </c>
      <c r="H1176">
        <f>G1176/'user input'!$C$4</f>
        <v>0</v>
      </c>
    </row>
    <row r="1177" spans="1:8" x14ac:dyDescent="0.2">
      <c r="A1177" s="1">
        <v>41353</v>
      </c>
      <c r="B1177">
        <v>80</v>
      </c>
      <c r="C1177" s="6">
        <f>IF('weather data'!C1177&gt;'user input'!$C$3,'user input'!$C$3,'weather data'!C1177)</f>
        <v>18.333333333333332</v>
      </c>
      <c r="D1177" s="6">
        <f>IF('weather data'!D1177&lt;'user input'!$C$2,'user input'!$C$2,'weather data'!D1177)</f>
        <v>10</v>
      </c>
      <c r="E1177">
        <f t="shared" si="19"/>
        <v>14.166666666666666</v>
      </c>
      <c r="F1177">
        <f>IF((E1177-'user input'!$C$2)&lt;0,0,E1177-'user input'!$C$2)</f>
        <v>4.1666666666666661</v>
      </c>
      <c r="G1177">
        <f>IF(B1177&lt;'user input'!$C$5,0,(F1177+G1176))</f>
        <v>0</v>
      </c>
      <c r="H1177">
        <f>G1177/'user input'!$C$4</f>
        <v>0</v>
      </c>
    </row>
    <row r="1178" spans="1:8" x14ac:dyDescent="0.2">
      <c r="A1178" s="1">
        <v>41354</v>
      </c>
      <c r="B1178">
        <v>81</v>
      </c>
      <c r="C1178" s="6">
        <f>IF('weather data'!C1178&gt;'user input'!$C$3,'user input'!$C$3,'weather data'!C1178)</f>
        <v>19.444444444444443</v>
      </c>
      <c r="D1178" s="6">
        <f>IF('weather data'!D1178&lt;'user input'!$C$2,'user input'!$C$2,'weather data'!D1178)</f>
        <v>10</v>
      </c>
      <c r="E1178">
        <f t="shared" si="19"/>
        <v>14.722222222222221</v>
      </c>
      <c r="F1178">
        <f>IF((E1178-'user input'!$C$2)&lt;0,0,E1178-'user input'!$C$2)</f>
        <v>4.7222222222222214</v>
      </c>
      <c r="G1178">
        <f>IF(B1178&lt;'user input'!$C$5,0,(F1178+G1177))</f>
        <v>0</v>
      </c>
      <c r="H1178">
        <f>G1178/'user input'!$C$4</f>
        <v>0</v>
      </c>
    </row>
    <row r="1179" spans="1:8" x14ac:dyDescent="0.2">
      <c r="A1179" s="1">
        <v>41355</v>
      </c>
      <c r="B1179">
        <v>82</v>
      </c>
      <c r="C1179" s="6">
        <f>IF('weather data'!C1179&gt;'user input'!$C$3,'user input'!$C$3,'weather data'!C1179)</f>
        <v>15.555555555555555</v>
      </c>
      <c r="D1179" s="6">
        <f>IF('weather data'!D1179&lt;'user input'!$C$2,'user input'!$C$2,'weather data'!D1179)</f>
        <v>10</v>
      </c>
      <c r="E1179">
        <f t="shared" si="19"/>
        <v>12.777777777777779</v>
      </c>
      <c r="F1179">
        <f>IF((E1179-'user input'!$C$2)&lt;0,0,E1179-'user input'!$C$2)</f>
        <v>2.7777777777777786</v>
      </c>
      <c r="G1179">
        <f>IF(B1179&lt;'user input'!$C$5,0,(F1179+G1178))</f>
        <v>0</v>
      </c>
      <c r="H1179">
        <f>G1179/'user input'!$C$4</f>
        <v>0</v>
      </c>
    </row>
    <row r="1180" spans="1:8" x14ac:dyDescent="0.2">
      <c r="A1180" s="1">
        <v>41356</v>
      </c>
      <c r="B1180">
        <v>83</v>
      </c>
      <c r="C1180" s="6">
        <f>IF('weather data'!C1180&gt;'user input'!$C$3,'user input'!$C$3,'weather data'!C1180)</f>
        <v>20</v>
      </c>
      <c r="D1180" s="6">
        <f>IF('weather data'!D1180&lt;'user input'!$C$2,'user input'!$C$2,'weather data'!D1180)</f>
        <v>10</v>
      </c>
      <c r="E1180">
        <f t="shared" si="19"/>
        <v>15</v>
      </c>
      <c r="F1180">
        <f>IF((E1180-'user input'!$C$2)&lt;0,0,E1180-'user input'!$C$2)</f>
        <v>5</v>
      </c>
      <c r="G1180">
        <f>IF(B1180&lt;'user input'!$C$5,0,(F1180+G1179))</f>
        <v>0</v>
      </c>
      <c r="H1180">
        <f>G1180/'user input'!$C$4</f>
        <v>0</v>
      </c>
    </row>
    <row r="1181" spans="1:8" x14ac:dyDescent="0.2">
      <c r="A1181" s="1">
        <v>41357</v>
      </c>
      <c r="B1181">
        <v>84</v>
      </c>
      <c r="C1181" s="6">
        <f>IF('weather data'!C1181&gt;'user input'!$C$3,'user input'!$C$3,'weather data'!C1181)</f>
        <v>25</v>
      </c>
      <c r="D1181" s="6">
        <f>IF('weather data'!D1181&lt;'user input'!$C$2,'user input'!$C$2,'weather data'!D1181)</f>
        <v>10</v>
      </c>
      <c r="E1181">
        <f t="shared" si="19"/>
        <v>17.5</v>
      </c>
      <c r="F1181">
        <f>IF((E1181-'user input'!$C$2)&lt;0,0,E1181-'user input'!$C$2)</f>
        <v>7.5</v>
      </c>
      <c r="G1181">
        <f>IF(B1181&lt;'user input'!$C$5,0,(F1181+G1180))</f>
        <v>0</v>
      </c>
      <c r="H1181">
        <f>G1181/'user input'!$C$4</f>
        <v>0</v>
      </c>
    </row>
    <row r="1182" spans="1:8" x14ac:dyDescent="0.2">
      <c r="A1182" s="1">
        <v>41358</v>
      </c>
      <c r="B1182">
        <v>85</v>
      </c>
      <c r="C1182" s="6">
        <f>IF('weather data'!C1182&gt;'user input'!$C$3,'user input'!$C$3,'weather data'!C1182)</f>
        <v>26.666666666666664</v>
      </c>
      <c r="D1182" s="6">
        <f>IF('weather data'!D1182&lt;'user input'!$C$2,'user input'!$C$2,'weather data'!D1182)</f>
        <v>10</v>
      </c>
      <c r="E1182">
        <f t="shared" si="19"/>
        <v>18.333333333333332</v>
      </c>
      <c r="F1182">
        <f>IF((E1182-'user input'!$C$2)&lt;0,0,E1182-'user input'!$C$2)</f>
        <v>8.3333333333333321</v>
      </c>
      <c r="G1182">
        <f>IF(B1182&lt;'user input'!$C$5,0,(F1182+G1181))</f>
        <v>0</v>
      </c>
      <c r="H1182">
        <f>G1182/'user input'!$C$4</f>
        <v>0</v>
      </c>
    </row>
    <row r="1183" spans="1:8" x14ac:dyDescent="0.2">
      <c r="A1183" s="1">
        <v>41359</v>
      </c>
      <c r="B1183">
        <v>86</v>
      </c>
      <c r="C1183" s="6">
        <f>IF('weather data'!C1183&gt;'user input'!$C$3,'user input'!$C$3,'weather data'!C1183)</f>
        <v>26.666666666666664</v>
      </c>
      <c r="D1183" s="6">
        <f>IF('weather data'!D1183&lt;'user input'!$C$2,'user input'!$C$2,'weather data'!D1183)</f>
        <v>10</v>
      </c>
      <c r="E1183">
        <f t="shared" si="19"/>
        <v>18.333333333333332</v>
      </c>
      <c r="F1183">
        <f>IF((E1183-'user input'!$C$2)&lt;0,0,E1183-'user input'!$C$2)</f>
        <v>8.3333333333333321</v>
      </c>
      <c r="G1183">
        <f>IF(B1183&lt;'user input'!$C$5,0,(F1183+G1182))</f>
        <v>0</v>
      </c>
      <c r="H1183">
        <f>G1183/'user input'!$C$4</f>
        <v>0</v>
      </c>
    </row>
    <row r="1184" spans="1:8" x14ac:dyDescent="0.2">
      <c r="A1184" s="1">
        <v>41360</v>
      </c>
      <c r="B1184">
        <v>87</v>
      </c>
      <c r="C1184" s="6">
        <f>IF('weather data'!C1184&gt;'user input'!$C$3,'user input'!$C$3,'weather data'!C1184)</f>
        <v>26.666666666666664</v>
      </c>
      <c r="D1184" s="6">
        <f>IF('weather data'!D1184&lt;'user input'!$C$2,'user input'!$C$2,'weather data'!D1184)</f>
        <v>13.333333333333332</v>
      </c>
      <c r="E1184">
        <f t="shared" si="19"/>
        <v>20</v>
      </c>
      <c r="F1184">
        <f>IF((E1184-'user input'!$C$2)&lt;0,0,E1184-'user input'!$C$2)</f>
        <v>10</v>
      </c>
      <c r="G1184">
        <f>IF(B1184&lt;'user input'!$C$5,0,(F1184+G1183))</f>
        <v>0</v>
      </c>
      <c r="H1184">
        <f>G1184/'user input'!$C$4</f>
        <v>0</v>
      </c>
    </row>
    <row r="1185" spans="1:8" x14ac:dyDescent="0.2">
      <c r="A1185" s="1">
        <v>41361</v>
      </c>
      <c r="B1185">
        <v>88</v>
      </c>
      <c r="C1185" s="6">
        <f>IF('weather data'!C1185&gt;'user input'!$C$3,'user input'!$C$3,'weather data'!C1185)</f>
        <v>26.666666666666664</v>
      </c>
      <c r="D1185" s="6">
        <f>IF('weather data'!D1185&lt;'user input'!$C$2,'user input'!$C$2,'weather data'!D1185)</f>
        <v>17.222222222222221</v>
      </c>
      <c r="E1185">
        <f t="shared" si="19"/>
        <v>21.944444444444443</v>
      </c>
      <c r="F1185">
        <f>IF((E1185-'user input'!$C$2)&lt;0,0,E1185-'user input'!$C$2)</f>
        <v>11.944444444444443</v>
      </c>
      <c r="G1185">
        <f>IF(B1185&lt;'user input'!$C$5,0,(F1185+G1184))</f>
        <v>0</v>
      </c>
      <c r="H1185">
        <f>G1185/'user input'!$C$4</f>
        <v>0</v>
      </c>
    </row>
    <row r="1186" spans="1:8" x14ac:dyDescent="0.2">
      <c r="A1186" s="1">
        <v>41362</v>
      </c>
      <c r="B1186">
        <v>89</v>
      </c>
      <c r="C1186" s="6">
        <f>IF('weather data'!C1186&gt;'user input'!$C$3,'user input'!$C$3,'weather data'!C1186)</f>
        <v>23.888888888888889</v>
      </c>
      <c r="D1186" s="6">
        <f>IF('weather data'!D1186&lt;'user input'!$C$2,'user input'!$C$2,'weather data'!D1186)</f>
        <v>15.555555555555555</v>
      </c>
      <c r="E1186">
        <f t="shared" si="19"/>
        <v>19.722222222222221</v>
      </c>
      <c r="F1186">
        <f>IF((E1186-'user input'!$C$2)&lt;0,0,E1186-'user input'!$C$2)</f>
        <v>9.7222222222222214</v>
      </c>
      <c r="G1186">
        <f>IF(B1186&lt;'user input'!$C$5,0,(F1186+G1185))</f>
        <v>0</v>
      </c>
      <c r="H1186">
        <f>G1186/'user input'!$C$4</f>
        <v>0</v>
      </c>
    </row>
    <row r="1187" spans="1:8" x14ac:dyDescent="0.2">
      <c r="A1187" s="1">
        <v>41363</v>
      </c>
      <c r="B1187">
        <v>90</v>
      </c>
      <c r="C1187" s="6">
        <f>IF('weather data'!C1187&gt;'user input'!$C$3,'user input'!$C$3,'weather data'!C1187)</f>
        <v>27.222222222222221</v>
      </c>
      <c r="D1187" s="6">
        <f>IF('weather data'!D1187&lt;'user input'!$C$2,'user input'!$C$2,'weather data'!D1187)</f>
        <v>15</v>
      </c>
      <c r="E1187">
        <f t="shared" si="19"/>
        <v>21.111111111111111</v>
      </c>
      <c r="F1187">
        <f>IF((E1187-'user input'!$C$2)&lt;0,0,E1187-'user input'!$C$2)</f>
        <v>11.111111111111111</v>
      </c>
      <c r="G1187">
        <f>IF(B1187&lt;'user input'!$C$5,0,(F1187+G1186))</f>
        <v>0</v>
      </c>
      <c r="H1187">
        <f>G1187/'user input'!$C$4</f>
        <v>0</v>
      </c>
    </row>
    <row r="1188" spans="1:8" x14ac:dyDescent="0.2">
      <c r="A1188" s="1">
        <v>41364</v>
      </c>
      <c r="B1188">
        <v>91</v>
      </c>
      <c r="C1188" s="6">
        <f>IF('weather data'!C1188&gt;'user input'!$C$3,'user input'!$C$3,'weather data'!C1188)</f>
        <v>27.777777777777779</v>
      </c>
      <c r="D1188" s="6">
        <f>IF('weather data'!D1188&lt;'user input'!$C$2,'user input'!$C$2,'weather data'!D1188)</f>
        <v>14.444444444444445</v>
      </c>
      <c r="E1188">
        <f t="shared" si="19"/>
        <v>21.111111111111111</v>
      </c>
      <c r="F1188">
        <f>IF((E1188-'user input'!$C$2)&lt;0,0,E1188-'user input'!$C$2)</f>
        <v>11.111111111111111</v>
      </c>
      <c r="G1188">
        <f>IF(B1188&lt;'user input'!$C$5,0,(F1188+G1187))</f>
        <v>0</v>
      </c>
      <c r="H1188">
        <f>G1188/'user input'!$C$4</f>
        <v>0</v>
      </c>
    </row>
    <row r="1189" spans="1:8" x14ac:dyDescent="0.2">
      <c r="A1189" s="1">
        <v>41365</v>
      </c>
      <c r="B1189">
        <v>92</v>
      </c>
      <c r="C1189" s="6">
        <f>IF('weather data'!C1189&gt;'user input'!$C$3,'user input'!$C$3,'weather data'!C1189)</f>
        <v>26.111111111111111</v>
      </c>
      <c r="D1189" s="6">
        <f>IF('weather data'!D1189&lt;'user input'!$C$2,'user input'!$C$2,'weather data'!D1189)</f>
        <v>13.888888888888889</v>
      </c>
      <c r="E1189">
        <f t="shared" si="19"/>
        <v>20</v>
      </c>
      <c r="F1189">
        <f>IF((E1189-'user input'!$C$2)&lt;0,0,E1189-'user input'!$C$2)</f>
        <v>10</v>
      </c>
      <c r="G1189">
        <f>IF(B1189&lt;'user input'!$C$5,0,(F1189+G1188))</f>
        <v>0</v>
      </c>
      <c r="H1189">
        <f>G1189/'user input'!$C$4</f>
        <v>0</v>
      </c>
    </row>
    <row r="1190" spans="1:8" x14ac:dyDescent="0.2">
      <c r="A1190" s="1">
        <v>41366</v>
      </c>
      <c r="B1190">
        <v>93</v>
      </c>
      <c r="C1190" s="6">
        <f>IF('weather data'!C1190&gt;'user input'!$C$3,'user input'!$C$3,'weather data'!C1190)</f>
        <v>18.333333333333332</v>
      </c>
      <c r="D1190" s="6">
        <f>IF('weather data'!D1190&lt;'user input'!$C$2,'user input'!$C$2,'weather data'!D1190)</f>
        <v>12.222222222222223</v>
      </c>
      <c r="E1190">
        <f t="shared" si="19"/>
        <v>15.277777777777779</v>
      </c>
      <c r="F1190">
        <f>IF((E1190-'user input'!$C$2)&lt;0,0,E1190-'user input'!$C$2)</f>
        <v>5.2777777777777786</v>
      </c>
      <c r="G1190">
        <f>IF(B1190&lt;'user input'!$C$5,0,(F1190+G1189))</f>
        <v>0</v>
      </c>
      <c r="H1190">
        <f>G1190/'user input'!$C$4</f>
        <v>0</v>
      </c>
    </row>
    <row r="1191" spans="1:8" x14ac:dyDescent="0.2">
      <c r="A1191" s="1">
        <v>41367</v>
      </c>
      <c r="B1191">
        <v>94</v>
      </c>
      <c r="C1191" s="6">
        <f>IF('weather data'!C1191&gt;'user input'!$C$3,'user input'!$C$3,'weather data'!C1191)</f>
        <v>15.555555555555555</v>
      </c>
      <c r="D1191" s="6">
        <f>IF('weather data'!D1191&lt;'user input'!$C$2,'user input'!$C$2,'weather data'!D1191)</f>
        <v>10</v>
      </c>
      <c r="E1191">
        <f t="shared" si="19"/>
        <v>12.777777777777779</v>
      </c>
      <c r="F1191">
        <f>IF((E1191-'user input'!$C$2)&lt;0,0,E1191-'user input'!$C$2)</f>
        <v>2.7777777777777786</v>
      </c>
      <c r="G1191">
        <f>IF(B1191&lt;'user input'!$C$5,0,(F1191+G1190))</f>
        <v>0</v>
      </c>
      <c r="H1191">
        <f>G1191/'user input'!$C$4</f>
        <v>0</v>
      </c>
    </row>
    <row r="1192" spans="1:8" x14ac:dyDescent="0.2">
      <c r="A1192" s="1">
        <v>41368</v>
      </c>
      <c r="B1192">
        <v>95</v>
      </c>
      <c r="C1192" s="6">
        <f>IF('weather data'!C1192&gt;'user input'!$C$3,'user input'!$C$3,'weather data'!C1192)</f>
        <v>19.444444444444443</v>
      </c>
      <c r="D1192" s="6">
        <f>IF('weather data'!D1192&lt;'user input'!$C$2,'user input'!$C$2,'weather data'!D1192)</f>
        <v>10</v>
      </c>
      <c r="E1192">
        <f t="shared" si="19"/>
        <v>14.722222222222221</v>
      </c>
      <c r="F1192">
        <f>IF((E1192-'user input'!$C$2)&lt;0,0,E1192-'user input'!$C$2)</f>
        <v>4.7222222222222214</v>
      </c>
      <c r="G1192">
        <f>IF(B1192&lt;'user input'!$C$5,0,(F1192+G1191))</f>
        <v>0</v>
      </c>
      <c r="H1192">
        <f>G1192/'user input'!$C$4</f>
        <v>0</v>
      </c>
    </row>
    <row r="1193" spans="1:8" x14ac:dyDescent="0.2">
      <c r="A1193" s="1">
        <v>41369</v>
      </c>
      <c r="B1193">
        <v>96</v>
      </c>
      <c r="C1193" s="6">
        <f>IF('weather data'!C1193&gt;'user input'!$C$3,'user input'!$C$3,'weather data'!C1193)</f>
        <v>6.1111111111111116</v>
      </c>
      <c r="D1193" s="6">
        <f>IF('weather data'!D1193&lt;'user input'!$C$2,'user input'!$C$2,'weather data'!D1193)</f>
        <v>10</v>
      </c>
      <c r="E1193">
        <f t="shared" si="19"/>
        <v>8.0555555555555554</v>
      </c>
      <c r="F1193">
        <f>IF((E1193-'user input'!$C$2)&lt;0,0,E1193-'user input'!$C$2)</f>
        <v>0</v>
      </c>
      <c r="G1193">
        <f>IF(B1193&lt;'user input'!$C$5,0,(F1193+G1192))</f>
        <v>0</v>
      </c>
      <c r="H1193">
        <f>G1193/'user input'!$C$4</f>
        <v>0</v>
      </c>
    </row>
    <row r="1194" spans="1:8" x14ac:dyDescent="0.2">
      <c r="A1194" s="1">
        <v>41370</v>
      </c>
      <c r="B1194">
        <v>97</v>
      </c>
      <c r="C1194" s="6">
        <f>IF('weather data'!C1194&gt;'user input'!$C$3,'user input'!$C$3,'weather data'!C1194)</f>
        <v>23.333333333333336</v>
      </c>
      <c r="D1194" s="6">
        <f>IF('weather data'!D1194&lt;'user input'!$C$2,'user input'!$C$2,'weather data'!D1194)</f>
        <v>10</v>
      </c>
      <c r="E1194">
        <f t="shared" si="19"/>
        <v>16.666666666666668</v>
      </c>
      <c r="F1194">
        <f>IF((E1194-'user input'!$C$2)&lt;0,0,E1194-'user input'!$C$2)</f>
        <v>6.6666666666666679</v>
      </c>
      <c r="G1194">
        <f>IF(B1194&lt;'user input'!$C$5,0,(F1194+G1193))</f>
        <v>0</v>
      </c>
      <c r="H1194">
        <f>G1194/'user input'!$C$4</f>
        <v>0</v>
      </c>
    </row>
    <row r="1195" spans="1:8" x14ac:dyDescent="0.2">
      <c r="A1195" s="1">
        <v>41371</v>
      </c>
      <c r="B1195">
        <v>98</v>
      </c>
      <c r="C1195" s="6">
        <f>IF('weather data'!C1195&gt;'user input'!$C$3,'user input'!$C$3,'weather data'!C1195)</f>
        <v>15.555555555555555</v>
      </c>
      <c r="D1195" s="6">
        <f>IF('weather data'!D1195&lt;'user input'!$C$2,'user input'!$C$2,'weather data'!D1195)</f>
        <v>10</v>
      </c>
      <c r="E1195">
        <f t="shared" si="19"/>
        <v>12.777777777777779</v>
      </c>
      <c r="F1195">
        <f>IF((E1195-'user input'!$C$2)&lt;0,0,E1195-'user input'!$C$2)</f>
        <v>2.7777777777777786</v>
      </c>
      <c r="G1195">
        <f>IF(B1195&lt;'user input'!$C$5,0,(F1195+G1194))</f>
        <v>0</v>
      </c>
      <c r="H1195">
        <f>G1195/'user input'!$C$4</f>
        <v>0</v>
      </c>
    </row>
    <row r="1196" spans="1:8" x14ac:dyDescent="0.2">
      <c r="A1196" s="1">
        <v>41372</v>
      </c>
      <c r="B1196">
        <v>99</v>
      </c>
      <c r="C1196" s="6">
        <f>IF('weather data'!C1196&gt;'user input'!$C$3,'user input'!$C$3,'weather data'!C1196)</f>
        <v>12.777777777777777</v>
      </c>
      <c r="D1196" s="6">
        <f>IF('weather data'!D1196&lt;'user input'!$C$2,'user input'!$C$2,'weather data'!D1196)</f>
        <v>10</v>
      </c>
      <c r="E1196">
        <f t="shared" si="19"/>
        <v>11.388888888888889</v>
      </c>
      <c r="F1196">
        <f>IF((E1196-'user input'!$C$2)&lt;0,0,E1196-'user input'!$C$2)</f>
        <v>1.3888888888888893</v>
      </c>
      <c r="G1196">
        <f>IF(B1196&lt;'user input'!$C$5,0,(F1196+G1195))</f>
        <v>0</v>
      </c>
      <c r="H1196">
        <f>G1196/'user input'!$C$4</f>
        <v>0</v>
      </c>
    </row>
    <row r="1197" spans="1:8" x14ac:dyDescent="0.2">
      <c r="A1197" s="1">
        <v>41373</v>
      </c>
      <c r="B1197">
        <v>100</v>
      </c>
      <c r="C1197" s="6">
        <f>IF('weather data'!C1197&gt;'user input'!$C$3,'user input'!$C$3,'weather data'!C1197)</f>
        <v>5.5555555555555554</v>
      </c>
      <c r="D1197" s="6">
        <f>IF('weather data'!D1197&lt;'user input'!$C$2,'user input'!$C$2,'weather data'!D1197)</f>
        <v>10</v>
      </c>
      <c r="E1197">
        <f t="shared" si="19"/>
        <v>7.7777777777777777</v>
      </c>
      <c r="F1197">
        <f>IF((E1197-'user input'!$C$2)&lt;0,0,E1197-'user input'!$C$2)</f>
        <v>0</v>
      </c>
      <c r="G1197">
        <f>IF(B1197&lt;'user input'!$C$5,0,(F1197+G1196))</f>
        <v>0</v>
      </c>
      <c r="H1197">
        <f>G1197/'user input'!$C$4</f>
        <v>0</v>
      </c>
    </row>
    <row r="1198" spans="1:8" x14ac:dyDescent="0.2">
      <c r="A1198" s="1">
        <v>41374</v>
      </c>
      <c r="B1198">
        <v>101</v>
      </c>
      <c r="C1198" s="6">
        <f>IF('weather data'!C1198&gt;'user input'!$C$3,'user input'!$C$3,'weather data'!C1198)</f>
        <v>7.2222222222222223</v>
      </c>
      <c r="D1198" s="6">
        <f>IF('weather data'!D1198&lt;'user input'!$C$2,'user input'!$C$2,'weather data'!D1198)</f>
        <v>10</v>
      </c>
      <c r="E1198">
        <f t="shared" si="19"/>
        <v>8.6111111111111107</v>
      </c>
      <c r="F1198">
        <f>IF((E1198-'user input'!$C$2)&lt;0,0,E1198-'user input'!$C$2)</f>
        <v>0</v>
      </c>
      <c r="G1198">
        <f>IF(B1198&lt;'user input'!$C$5,0,(F1198+G1197))</f>
        <v>0</v>
      </c>
      <c r="H1198">
        <f>G1198/'user input'!$C$4</f>
        <v>0</v>
      </c>
    </row>
    <row r="1199" spans="1:8" x14ac:dyDescent="0.2">
      <c r="A1199" s="1">
        <v>41375</v>
      </c>
      <c r="B1199">
        <v>102</v>
      </c>
      <c r="C1199" s="6">
        <f>IF('weather data'!C1199&gt;'user input'!$C$3,'user input'!$C$3,'weather data'!C1199)</f>
        <v>15.555555555555555</v>
      </c>
      <c r="D1199" s="6">
        <f>IF('weather data'!D1199&lt;'user input'!$C$2,'user input'!$C$2,'weather data'!D1199)</f>
        <v>10</v>
      </c>
      <c r="E1199">
        <f t="shared" si="19"/>
        <v>12.777777777777779</v>
      </c>
      <c r="F1199">
        <f>IF((E1199-'user input'!$C$2)&lt;0,0,E1199-'user input'!$C$2)</f>
        <v>2.7777777777777786</v>
      </c>
      <c r="G1199">
        <f>IF(B1199&lt;'user input'!$C$5,0,(F1199+G1198))</f>
        <v>0</v>
      </c>
      <c r="H1199">
        <f>G1199/'user input'!$C$4</f>
        <v>0</v>
      </c>
    </row>
    <row r="1200" spans="1:8" x14ac:dyDescent="0.2">
      <c r="A1200" s="1">
        <v>41376</v>
      </c>
      <c r="B1200">
        <v>103</v>
      </c>
      <c r="C1200" s="6">
        <f>IF('weather data'!C1200&gt;'user input'!$C$3,'user input'!$C$3,'weather data'!C1200)</f>
        <v>18.333333333333332</v>
      </c>
      <c r="D1200" s="6">
        <f>IF('weather data'!D1200&lt;'user input'!$C$2,'user input'!$C$2,'weather data'!D1200)</f>
        <v>10</v>
      </c>
      <c r="E1200">
        <f t="shared" si="19"/>
        <v>14.166666666666666</v>
      </c>
      <c r="F1200">
        <f>IF((E1200-'user input'!$C$2)&lt;0,0,E1200-'user input'!$C$2)</f>
        <v>4.1666666666666661</v>
      </c>
      <c r="G1200">
        <f>IF(B1200&lt;'user input'!$C$5,0,(F1200+G1199))</f>
        <v>0</v>
      </c>
      <c r="H1200">
        <f>G1200/'user input'!$C$4</f>
        <v>0</v>
      </c>
    </row>
    <row r="1201" spans="1:8" x14ac:dyDescent="0.2">
      <c r="A1201" s="1">
        <v>41377</v>
      </c>
      <c r="B1201">
        <v>104</v>
      </c>
      <c r="C1201" s="6">
        <f>IF('weather data'!C1201&gt;'user input'!$C$3,'user input'!$C$3,'weather data'!C1201)</f>
        <v>17.777777777777779</v>
      </c>
      <c r="D1201" s="6">
        <f>IF('weather data'!D1201&lt;'user input'!$C$2,'user input'!$C$2,'weather data'!D1201)</f>
        <v>10</v>
      </c>
      <c r="E1201">
        <f t="shared" si="19"/>
        <v>13.888888888888889</v>
      </c>
      <c r="F1201">
        <f>IF((E1201-'user input'!$C$2)&lt;0,0,E1201-'user input'!$C$2)</f>
        <v>3.8888888888888893</v>
      </c>
      <c r="G1201">
        <f>IF(B1201&lt;'user input'!$C$5,0,(F1201+G1200))</f>
        <v>0</v>
      </c>
      <c r="H1201">
        <f>G1201/'user input'!$C$4</f>
        <v>0</v>
      </c>
    </row>
    <row r="1202" spans="1:8" x14ac:dyDescent="0.2">
      <c r="A1202" s="1">
        <v>41378</v>
      </c>
      <c r="B1202">
        <v>105</v>
      </c>
      <c r="C1202" s="6">
        <f>IF('weather data'!C1202&gt;'user input'!$C$3,'user input'!$C$3,'weather data'!C1202)</f>
        <v>16.666666666666668</v>
      </c>
      <c r="D1202" s="6">
        <f>IF('weather data'!D1202&lt;'user input'!$C$2,'user input'!$C$2,'weather data'!D1202)</f>
        <v>10</v>
      </c>
      <c r="E1202">
        <f t="shared" si="19"/>
        <v>13.333333333333334</v>
      </c>
      <c r="F1202">
        <f>IF((E1202-'user input'!$C$2)&lt;0,0,E1202-'user input'!$C$2)</f>
        <v>3.3333333333333339</v>
      </c>
      <c r="G1202">
        <f>IF(B1202&lt;'user input'!$C$5,0,(F1202+G1201))</f>
        <v>0</v>
      </c>
      <c r="H1202">
        <f>G1202/'user input'!$C$4</f>
        <v>0</v>
      </c>
    </row>
    <row r="1203" spans="1:8" x14ac:dyDescent="0.2">
      <c r="A1203" s="1">
        <v>41379</v>
      </c>
      <c r="B1203">
        <v>106</v>
      </c>
      <c r="C1203" s="6">
        <f>IF('weather data'!C1203&gt;'user input'!$C$3,'user input'!$C$3,'weather data'!C1203)</f>
        <v>11.111111111111111</v>
      </c>
      <c r="D1203" s="6">
        <f>IF('weather data'!D1203&lt;'user input'!$C$2,'user input'!$C$2,'weather data'!D1203)</f>
        <v>10</v>
      </c>
      <c r="E1203">
        <f t="shared" si="19"/>
        <v>10.555555555555555</v>
      </c>
      <c r="F1203">
        <f>IF((E1203-'user input'!$C$2)&lt;0,0,E1203-'user input'!$C$2)</f>
        <v>0.55555555555555536</v>
      </c>
      <c r="G1203">
        <f>IF(B1203&lt;'user input'!$C$5,0,(F1203+G1202))</f>
        <v>0</v>
      </c>
      <c r="H1203">
        <f>G1203/'user input'!$C$4</f>
        <v>0</v>
      </c>
    </row>
    <row r="1204" spans="1:8" x14ac:dyDescent="0.2">
      <c r="A1204" s="1">
        <v>41380</v>
      </c>
      <c r="B1204">
        <v>107</v>
      </c>
      <c r="C1204" s="6">
        <f>IF('weather data'!C1204&gt;'user input'!$C$3,'user input'!$C$3,'weather data'!C1204)</f>
        <v>14.444444444444445</v>
      </c>
      <c r="D1204" s="6">
        <f>IF('weather data'!D1204&lt;'user input'!$C$2,'user input'!$C$2,'weather data'!D1204)</f>
        <v>10</v>
      </c>
      <c r="E1204">
        <f t="shared" si="19"/>
        <v>12.222222222222221</v>
      </c>
      <c r="F1204">
        <f>IF((E1204-'user input'!$C$2)&lt;0,0,E1204-'user input'!$C$2)</f>
        <v>2.2222222222222214</v>
      </c>
      <c r="G1204">
        <f>IF(B1204&lt;'user input'!$C$5,0,(F1204+G1203))</f>
        <v>0</v>
      </c>
      <c r="H1204">
        <f>G1204/'user input'!$C$4</f>
        <v>0</v>
      </c>
    </row>
    <row r="1205" spans="1:8" x14ac:dyDescent="0.2">
      <c r="A1205" s="1">
        <v>41381</v>
      </c>
      <c r="B1205">
        <v>108</v>
      </c>
      <c r="C1205" s="6">
        <f>IF('weather data'!C1205&gt;'user input'!$C$3,'user input'!$C$3,'weather data'!C1205)</f>
        <v>17.777777777777779</v>
      </c>
      <c r="D1205" s="6">
        <f>IF('weather data'!D1205&lt;'user input'!$C$2,'user input'!$C$2,'weather data'!D1205)</f>
        <v>10</v>
      </c>
      <c r="E1205">
        <f t="shared" si="19"/>
        <v>13.888888888888889</v>
      </c>
      <c r="F1205">
        <f>IF((E1205-'user input'!$C$2)&lt;0,0,E1205-'user input'!$C$2)</f>
        <v>3.8888888888888893</v>
      </c>
      <c r="G1205">
        <f>IF(B1205&lt;'user input'!$C$5,0,(F1205+G1204))</f>
        <v>0</v>
      </c>
      <c r="H1205">
        <f>G1205/'user input'!$C$4</f>
        <v>0</v>
      </c>
    </row>
    <row r="1206" spans="1:8" x14ac:dyDescent="0.2">
      <c r="A1206" s="1">
        <v>41382</v>
      </c>
      <c r="B1206">
        <v>109</v>
      </c>
      <c r="C1206" s="6">
        <f>IF('weather data'!C1206&gt;'user input'!$C$3,'user input'!$C$3,'weather data'!C1206)</f>
        <v>17.222222222222221</v>
      </c>
      <c r="D1206" s="6">
        <f>IF('weather data'!D1206&lt;'user input'!$C$2,'user input'!$C$2,'weather data'!D1206)</f>
        <v>10</v>
      </c>
      <c r="E1206">
        <f t="shared" si="19"/>
        <v>13.611111111111111</v>
      </c>
      <c r="F1206">
        <f>IF((E1206-'user input'!$C$2)&lt;0,0,E1206-'user input'!$C$2)</f>
        <v>3.6111111111111107</v>
      </c>
      <c r="G1206">
        <f>IF(B1206&lt;'user input'!$C$5,0,(F1206+G1205))</f>
        <v>0</v>
      </c>
      <c r="H1206">
        <f>G1206/'user input'!$C$4</f>
        <v>0</v>
      </c>
    </row>
    <row r="1207" spans="1:8" x14ac:dyDescent="0.2">
      <c r="A1207" s="1">
        <v>41383</v>
      </c>
      <c r="B1207">
        <v>110</v>
      </c>
      <c r="C1207" s="6">
        <f>IF('weather data'!C1207&gt;'user input'!$C$3,'user input'!$C$3,'weather data'!C1207)</f>
        <v>13.333333333333332</v>
      </c>
      <c r="D1207" s="6">
        <f>IF('weather data'!D1207&lt;'user input'!$C$2,'user input'!$C$2,'weather data'!D1207)</f>
        <v>10</v>
      </c>
      <c r="E1207">
        <f t="shared" si="19"/>
        <v>11.666666666666666</v>
      </c>
      <c r="F1207">
        <f>IF((E1207-'user input'!$C$2)&lt;0,0,E1207-'user input'!$C$2)</f>
        <v>1.6666666666666661</v>
      </c>
      <c r="G1207">
        <f>IF(B1207&lt;'user input'!$C$5,0,(F1207+G1206))</f>
        <v>0</v>
      </c>
      <c r="H1207">
        <f>G1207/'user input'!$C$4</f>
        <v>0</v>
      </c>
    </row>
    <row r="1208" spans="1:8" x14ac:dyDescent="0.2">
      <c r="A1208" s="1">
        <v>41384</v>
      </c>
      <c r="B1208">
        <v>111</v>
      </c>
      <c r="C1208" s="6">
        <f>IF('weather data'!C1208&gt;'user input'!$C$3,'user input'!$C$3,'weather data'!C1208)</f>
        <v>7.2222222222222223</v>
      </c>
      <c r="D1208" s="6">
        <f>IF('weather data'!D1208&lt;'user input'!$C$2,'user input'!$C$2,'weather data'!D1208)</f>
        <v>10</v>
      </c>
      <c r="E1208">
        <f t="shared" si="19"/>
        <v>8.6111111111111107</v>
      </c>
      <c r="F1208">
        <f>IF((E1208-'user input'!$C$2)&lt;0,0,E1208-'user input'!$C$2)</f>
        <v>0</v>
      </c>
      <c r="G1208">
        <f>IF(B1208&lt;'user input'!$C$5,0,(F1208+G1207))</f>
        <v>0</v>
      </c>
      <c r="H1208">
        <f>G1208/'user input'!$C$4</f>
        <v>0</v>
      </c>
    </row>
    <row r="1209" spans="1:8" x14ac:dyDescent="0.2">
      <c r="A1209" s="1">
        <v>41385</v>
      </c>
      <c r="B1209">
        <v>112</v>
      </c>
      <c r="C1209" s="6">
        <f>IF('weather data'!C1209&gt;'user input'!$C$3,'user input'!$C$3,'weather data'!C1209)</f>
        <v>12.777777777777777</v>
      </c>
      <c r="D1209" s="6">
        <f>IF('weather data'!D1209&lt;'user input'!$C$2,'user input'!$C$2,'weather data'!D1209)</f>
        <v>10</v>
      </c>
      <c r="E1209">
        <f t="shared" si="19"/>
        <v>11.388888888888889</v>
      </c>
      <c r="F1209">
        <f>IF((E1209-'user input'!$C$2)&lt;0,0,E1209-'user input'!$C$2)</f>
        <v>1.3888888888888893</v>
      </c>
      <c r="G1209">
        <f>IF(B1209&lt;'user input'!$C$5,0,(F1209+G1208))</f>
        <v>0</v>
      </c>
      <c r="H1209">
        <f>G1209/'user input'!$C$4</f>
        <v>0</v>
      </c>
    </row>
    <row r="1210" spans="1:8" x14ac:dyDescent="0.2">
      <c r="A1210" s="1">
        <v>41386</v>
      </c>
      <c r="B1210">
        <v>113</v>
      </c>
      <c r="C1210" s="6">
        <f>IF('weather data'!C1210&gt;'user input'!$C$3,'user input'!$C$3,'weather data'!C1210)</f>
        <v>16.666666666666668</v>
      </c>
      <c r="D1210" s="6">
        <f>IF('weather data'!D1210&lt;'user input'!$C$2,'user input'!$C$2,'weather data'!D1210)</f>
        <v>10</v>
      </c>
      <c r="E1210">
        <f t="shared" si="19"/>
        <v>13.333333333333334</v>
      </c>
      <c r="F1210">
        <f>IF((E1210-'user input'!$C$2)&lt;0,0,E1210-'user input'!$C$2)</f>
        <v>3.3333333333333339</v>
      </c>
      <c r="G1210">
        <f>IF(B1210&lt;'user input'!$C$5,0,(F1210+G1209))</f>
        <v>0</v>
      </c>
      <c r="H1210">
        <f>G1210/'user input'!$C$4</f>
        <v>0</v>
      </c>
    </row>
    <row r="1211" spans="1:8" x14ac:dyDescent="0.2">
      <c r="A1211" s="1">
        <v>41387</v>
      </c>
      <c r="B1211">
        <v>114</v>
      </c>
      <c r="C1211" s="6">
        <f>IF('weather data'!C1211&gt;'user input'!$C$3,'user input'!$C$3,'weather data'!C1211)</f>
        <v>18.333333333333332</v>
      </c>
      <c r="D1211" s="6">
        <f>IF('weather data'!D1211&lt;'user input'!$C$2,'user input'!$C$2,'weather data'!D1211)</f>
        <v>10</v>
      </c>
      <c r="E1211">
        <f t="shared" si="19"/>
        <v>14.166666666666666</v>
      </c>
      <c r="F1211">
        <f>IF((E1211-'user input'!$C$2)&lt;0,0,E1211-'user input'!$C$2)</f>
        <v>4.1666666666666661</v>
      </c>
      <c r="G1211">
        <f>IF(B1211&lt;'user input'!$C$5,0,(F1211+G1210))</f>
        <v>0</v>
      </c>
      <c r="H1211">
        <f>G1211/'user input'!$C$4</f>
        <v>0</v>
      </c>
    </row>
    <row r="1212" spans="1:8" x14ac:dyDescent="0.2">
      <c r="A1212" s="1">
        <v>41388</v>
      </c>
      <c r="B1212">
        <v>115</v>
      </c>
      <c r="C1212" s="6">
        <f>IF('weather data'!C1212&gt;'user input'!$C$3,'user input'!$C$3,'weather data'!C1212)</f>
        <v>23.888888888888889</v>
      </c>
      <c r="D1212" s="6">
        <f>IF('weather data'!D1212&lt;'user input'!$C$2,'user input'!$C$2,'weather data'!D1212)</f>
        <v>15</v>
      </c>
      <c r="E1212">
        <f t="shared" si="19"/>
        <v>19.444444444444443</v>
      </c>
      <c r="F1212">
        <f>IF((E1212-'user input'!$C$2)&lt;0,0,E1212-'user input'!$C$2)</f>
        <v>9.4444444444444429</v>
      </c>
      <c r="G1212">
        <f>IF(B1212&lt;'user input'!$C$5,0,(F1212+G1211))</f>
        <v>0</v>
      </c>
      <c r="H1212">
        <f>G1212/'user input'!$C$4</f>
        <v>0</v>
      </c>
    </row>
    <row r="1213" spans="1:8" x14ac:dyDescent="0.2">
      <c r="A1213" s="1">
        <v>41389</v>
      </c>
      <c r="B1213">
        <v>116</v>
      </c>
      <c r="C1213" s="6">
        <f>IF('weather data'!C1213&gt;'user input'!$C$3,'user input'!$C$3,'weather data'!C1213)</f>
        <v>23.888888888888889</v>
      </c>
      <c r="D1213" s="6">
        <f>IF('weather data'!D1213&lt;'user input'!$C$2,'user input'!$C$2,'weather data'!D1213)</f>
        <v>12.777777777777777</v>
      </c>
      <c r="E1213">
        <f t="shared" si="19"/>
        <v>18.333333333333332</v>
      </c>
      <c r="F1213">
        <f>IF((E1213-'user input'!$C$2)&lt;0,0,E1213-'user input'!$C$2)</f>
        <v>8.3333333333333321</v>
      </c>
      <c r="G1213">
        <f>IF(B1213&lt;'user input'!$C$5,0,(F1213+G1212))</f>
        <v>0</v>
      </c>
      <c r="H1213">
        <f>G1213/'user input'!$C$4</f>
        <v>0</v>
      </c>
    </row>
    <row r="1214" spans="1:8" x14ac:dyDescent="0.2">
      <c r="A1214" s="1">
        <v>41390</v>
      </c>
      <c r="B1214">
        <v>117</v>
      </c>
      <c r="C1214" s="6">
        <f>IF('weather data'!C1214&gt;'user input'!$C$3,'user input'!$C$3,'weather data'!C1214)</f>
        <v>12.777777777777777</v>
      </c>
      <c r="D1214" s="6">
        <f>IF('weather data'!D1214&lt;'user input'!$C$2,'user input'!$C$2,'weather data'!D1214)</f>
        <v>10</v>
      </c>
      <c r="E1214">
        <f t="shared" si="19"/>
        <v>11.388888888888889</v>
      </c>
      <c r="F1214">
        <f>IF((E1214-'user input'!$C$2)&lt;0,0,E1214-'user input'!$C$2)</f>
        <v>1.3888888888888893</v>
      </c>
      <c r="G1214">
        <f>IF(B1214&lt;'user input'!$C$5,0,(F1214+G1213))</f>
        <v>0</v>
      </c>
      <c r="H1214">
        <f>G1214/'user input'!$C$4</f>
        <v>0</v>
      </c>
    </row>
    <row r="1215" spans="1:8" x14ac:dyDescent="0.2">
      <c r="A1215" s="1">
        <v>41391</v>
      </c>
      <c r="B1215">
        <v>118</v>
      </c>
      <c r="C1215" s="6">
        <f>IF('weather data'!C1215&gt;'user input'!$C$3,'user input'!$C$3,'weather data'!C1215)</f>
        <v>15</v>
      </c>
      <c r="D1215" s="6">
        <f>IF('weather data'!D1215&lt;'user input'!$C$2,'user input'!$C$2,'weather data'!D1215)</f>
        <v>10</v>
      </c>
      <c r="E1215">
        <f t="shared" si="19"/>
        <v>12.5</v>
      </c>
      <c r="F1215">
        <f>IF((E1215-'user input'!$C$2)&lt;0,0,E1215-'user input'!$C$2)</f>
        <v>2.5</v>
      </c>
      <c r="G1215">
        <f>IF(B1215&lt;'user input'!$C$5,0,(F1215+G1214))</f>
        <v>0</v>
      </c>
      <c r="H1215">
        <f>G1215/'user input'!$C$4</f>
        <v>0</v>
      </c>
    </row>
    <row r="1216" spans="1:8" x14ac:dyDescent="0.2">
      <c r="A1216" s="1">
        <v>41392</v>
      </c>
      <c r="B1216">
        <v>119</v>
      </c>
      <c r="C1216" s="6">
        <f>IF('weather data'!C1216&gt;'user input'!$C$3,'user input'!$C$3,'weather data'!C1216)</f>
        <v>21.666666666666664</v>
      </c>
      <c r="D1216" s="6">
        <f>IF('weather data'!D1216&lt;'user input'!$C$2,'user input'!$C$2,'weather data'!D1216)</f>
        <v>10</v>
      </c>
      <c r="E1216">
        <f t="shared" si="19"/>
        <v>15.833333333333332</v>
      </c>
      <c r="F1216">
        <f>IF((E1216-'user input'!$C$2)&lt;0,0,E1216-'user input'!$C$2)</f>
        <v>5.8333333333333321</v>
      </c>
      <c r="G1216">
        <f>IF(B1216&lt;'user input'!$C$5,0,(F1216+G1215))</f>
        <v>0</v>
      </c>
      <c r="H1216">
        <f>G1216/'user input'!$C$4</f>
        <v>0</v>
      </c>
    </row>
    <row r="1217" spans="1:8" x14ac:dyDescent="0.2">
      <c r="A1217" s="1">
        <v>41393</v>
      </c>
      <c r="B1217">
        <v>120</v>
      </c>
      <c r="C1217" s="6">
        <f>IF('weather data'!C1217&gt;'user input'!$C$3,'user input'!$C$3,'weather data'!C1217)</f>
        <v>11.111111111111111</v>
      </c>
      <c r="D1217" s="6">
        <f>IF('weather data'!D1217&lt;'user input'!$C$2,'user input'!$C$2,'weather data'!D1217)</f>
        <v>10</v>
      </c>
      <c r="E1217">
        <f t="shared" si="19"/>
        <v>10.555555555555555</v>
      </c>
      <c r="F1217">
        <f>IF((E1217-'user input'!$C$2)&lt;0,0,E1217-'user input'!$C$2)</f>
        <v>0.55555555555555536</v>
      </c>
      <c r="G1217">
        <f>IF(B1217&lt;'user input'!$C$5,0,(F1217+G1216))</f>
        <v>0</v>
      </c>
      <c r="H1217">
        <f>G1217/'user input'!$C$4</f>
        <v>0</v>
      </c>
    </row>
    <row r="1218" spans="1:8" x14ac:dyDescent="0.2">
      <c r="A1218" s="1">
        <v>41394</v>
      </c>
      <c r="B1218">
        <v>121</v>
      </c>
      <c r="C1218" s="6">
        <f>IF('weather data'!C1218&gt;'user input'!$C$3,'user input'!$C$3,'weather data'!C1218)</f>
        <v>10.555555555555555</v>
      </c>
      <c r="D1218" s="6">
        <f>IF('weather data'!D1218&lt;'user input'!$C$2,'user input'!$C$2,'weather data'!D1218)</f>
        <v>10</v>
      </c>
      <c r="E1218">
        <f t="shared" si="19"/>
        <v>10.277777777777779</v>
      </c>
      <c r="F1218">
        <f>IF((E1218-'user input'!$C$2)&lt;0,0,E1218-'user input'!$C$2)</f>
        <v>0.27777777777777857</v>
      </c>
      <c r="G1218">
        <f>IF(B1218&lt;'user input'!$C$5,0,(F1218+G1217))</f>
        <v>0.27777777777777857</v>
      </c>
      <c r="H1218">
        <f>G1218/'user input'!$C$4</f>
        <v>2.3148148148148214E-4</v>
      </c>
    </row>
    <row r="1219" spans="1:8" x14ac:dyDescent="0.2">
      <c r="A1219" s="1">
        <v>41395</v>
      </c>
      <c r="B1219">
        <v>122</v>
      </c>
      <c r="C1219" s="6">
        <f>IF('weather data'!C1219&gt;'user input'!$C$3,'user input'!$C$3,'weather data'!C1219)</f>
        <v>12.222222222222223</v>
      </c>
      <c r="D1219" s="6">
        <f>IF('weather data'!D1219&lt;'user input'!$C$2,'user input'!$C$2,'weather data'!D1219)</f>
        <v>10</v>
      </c>
      <c r="E1219">
        <f t="shared" si="19"/>
        <v>11.111111111111111</v>
      </c>
      <c r="F1219">
        <f>IF((E1219-'user input'!$C$2)&lt;0,0,E1219-'user input'!$C$2)</f>
        <v>1.1111111111111107</v>
      </c>
      <c r="G1219">
        <f>IF(B1219&lt;'user input'!$C$5,0,(F1219+G1218))</f>
        <v>1.3888888888888893</v>
      </c>
      <c r="H1219">
        <f>G1219/'user input'!$C$4</f>
        <v>1.1574074074074078E-3</v>
      </c>
    </row>
    <row r="1220" spans="1:8" x14ac:dyDescent="0.2">
      <c r="A1220" s="1">
        <v>41396</v>
      </c>
      <c r="B1220">
        <v>123</v>
      </c>
      <c r="C1220" s="6">
        <f>IF('weather data'!C1220&gt;'user input'!$C$3,'user input'!$C$3,'weather data'!C1220)</f>
        <v>12.777777777777777</v>
      </c>
      <c r="D1220" s="6">
        <f>IF('weather data'!D1220&lt;'user input'!$C$2,'user input'!$C$2,'weather data'!D1220)</f>
        <v>10</v>
      </c>
      <c r="E1220">
        <f t="shared" si="19"/>
        <v>11.388888888888889</v>
      </c>
      <c r="F1220">
        <f>IF((E1220-'user input'!$C$2)&lt;0,0,E1220-'user input'!$C$2)</f>
        <v>1.3888888888888893</v>
      </c>
      <c r="G1220">
        <f>IF(B1220&lt;'user input'!$C$5,0,(F1220+G1219))</f>
        <v>2.7777777777777786</v>
      </c>
      <c r="H1220">
        <f>G1220/'user input'!$C$4</f>
        <v>2.3148148148148156E-3</v>
      </c>
    </row>
    <row r="1221" spans="1:8" x14ac:dyDescent="0.2">
      <c r="A1221" s="1">
        <v>41397</v>
      </c>
      <c r="B1221">
        <v>124</v>
      </c>
      <c r="C1221" s="6">
        <f>IF('weather data'!C1221&gt;'user input'!$C$3,'user input'!$C$3,'weather data'!C1221)</f>
        <v>15.555555555555555</v>
      </c>
      <c r="D1221" s="6">
        <f>IF('weather data'!D1221&lt;'user input'!$C$2,'user input'!$C$2,'weather data'!D1221)</f>
        <v>10</v>
      </c>
      <c r="E1221">
        <f t="shared" si="19"/>
        <v>12.777777777777779</v>
      </c>
      <c r="F1221">
        <f>IF((E1221-'user input'!$C$2)&lt;0,0,E1221-'user input'!$C$2)</f>
        <v>2.7777777777777786</v>
      </c>
      <c r="G1221">
        <f>IF(B1221&lt;'user input'!$C$5,0,(F1221+G1220))</f>
        <v>5.5555555555555571</v>
      </c>
      <c r="H1221">
        <f>G1221/'user input'!$C$4</f>
        <v>4.6296296296296311E-3</v>
      </c>
    </row>
    <row r="1222" spans="1:8" x14ac:dyDescent="0.2">
      <c r="A1222" s="1">
        <v>41398</v>
      </c>
      <c r="B1222">
        <v>125</v>
      </c>
      <c r="C1222" s="6">
        <f>IF('weather data'!C1222&gt;'user input'!$C$3,'user input'!$C$3,'weather data'!C1222)</f>
        <v>20</v>
      </c>
      <c r="D1222" s="6">
        <f>IF('weather data'!D1222&lt;'user input'!$C$2,'user input'!$C$2,'weather data'!D1222)</f>
        <v>10</v>
      </c>
      <c r="E1222">
        <f t="shared" si="19"/>
        <v>15</v>
      </c>
      <c r="F1222">
        <f>IF((E1222-'user input'!$C$2)&lt;0,0,E1222-'user input'!$C$2)</f>
        <v>5</v>
      </c>
      <c r="G1222">
        <f>IF(B1222&lt;'user input'!$C$5,0,(F1222+G1221))</f>
        <v>10.555555555555557</v>
      </c>
      <c r="H1222">
        <f>G1222/'user input'!$C$4</f>
        <v>8.7962962962962968E-3</v>
      </c>
    </row>
    <row r="1223" spans="1:8" x14ac:dyDescent="0.2">
      <c r="A1223" s="1">
        <v>41399</v>
      </c>
      <c r="B1223">
        <v>126</v>
      </c>
      <c r="C1223" s="6">
        <f>IF('weather data'!C1223&gt;'user input'!$C$3,'user input'!$C$3,'weather data'!C1223)</f>
        <v>15.555555555555555</v>
      </c>
      <c r="D1223" s="6">
        <f>IF('weather data'!D1223&lt;'user input'!$C$2,'user input'!$C$2,'weather data'!D1223)</f>
        <v>10</v>
      </c>
      <c r="E1223">
        <f t="shared" si="19"/>
        <v>12.777777777777779</v>
      </c>
      <c r="F1223">
        <f>IF((E1223-'user input'!$C$2)&lt;0,0,E1223-'user input'!$C$2)</f>
        <v>2.7777777777777786</v>
      </c>
      <c r="G1223">
        <f>IF(B1223&lt;'user input'!$C$5,0,(F1223+G1222))</f>
        <v>13.333333333333336</v>
      </c>
      <c r="H1223">
        <f>G1223/'user input'!$C$4</f>
        <v>1.1111111111111113E-2</v>
      </c>
    </row>
    <row r="1224" spans="1:8" x14ac:dyDescent="0.2">
      <c r="A1224" s="1">
        <v>41400</v>
      </c>
      <c r="B1224">
        <v>127</v>
      </c>
      <c r="C1224" s="6">
        <f>IF('weather data'!C1224&gt;'user input'!$C$3,'user input'!$C$3,'weather data'!C1224)</f>
        <v>13.888888888888889</v>
      </c>
      <c r="D1224" s="6">
        <f>IF('weather data'!D1224&lt;'user input'!$C$2,'user input'!$C$2,'weather data'!D1224)</f>
        <v>10</v>
      </c>
      <c r="E1224">
        <f t="shared" si="19"/>
        <v>11.944444444444445</v>
      </c>
      <c r="F1224">
        <f>IF((E1224-'user input'!$C$2)&lt;0,0,E1224-'user input'!$C$2)</f>
        <v>1.9444444444444446</v>
      </c>
      <c r="G1224">
        <f>IF(B1224&lt;'user input'!$C$5,0,(F1224+G1223))</f>
        <v>15.27777777777778</v>
      </c>
      <c r="H1224">
        <f>G1224/'user input'!$C$4</f>
        <v>1.2731481481481484E-2</v>
      </c>
    </row>
    <row r="1225" spans="1:8" x14ac:dyDescent="0.2">
      <c r="A1225" s="1">
        <v>41401</v>
      </c>
      <c r="B1225">
        <v>128</v>
      </c>
      <c r="C1225" s="6">
        <f>IF('weather data'!C1225&gt;'user input'!$C$3,'user input'!$C$3,'weather data'!C1225)</f>
        <v>13.333333333333332</v>
      </c>
      <c r="D1225" s="6">
        <f>IF('weather data'!D1225&lt;'user input'!$C$2,'user input'!$C$2,'weather data'!D1225)</f>
        <v>10</v>
      </c>
      <c r="E1225">
        <f t="shared" si="19"/>
        <v>11.666666666666666</v>
      </c>
      <c r="F1225">
        <f>IF((E1225-'user input'!$C$2)&lt;0,0,E1225-'user input'!$C$2)</f>
        <v>1.6666666666666661</v>
      </c>
      <c r="G1225">
        <f>IF(B1225&lt;'user input'!$C$5,0,(F1225+G1224))</f>
        <v>16.944444444444446</v>
      </c>
      <c r="H1225">
        <f>G1225/'user input'!$C$4</f>
        <v>1.4120370370370372E-2</v>
      </c>
    </row>
    <row r="1226" spans="1:8" x14ac:dyDescent="0.2">
      <c r="A1226" s="1">
        <v>41402</v>
      </c>
      <c r="B1226">
        <v>129</v>
      </c>
      <c r="C1226" s="6">
        <f>IF('weather data'!C1226&gt;'user input'!$C$3,'user input'!$C$3,'weather data'!C1226)</f>
        <v>8.8888888888888893</v>
      </c>
      <c r="D1226" s="6">
        <f>IF('weather data'!D1226&lt;'user input'!$C$2,'user input'!$C$2,'weather data'!D1226)</f>
        <v>10</v>
      </c>
      <c r="E1226">
        <f t="shared" si="19"/>
        <v>9.4444444444444446</v>
      </c>
      <c r="F1226">
        <f>IF((E1226-'user input'!$C$2)&lt;0,0,E1226-'user input'!$C$2)</f>
        <v>0</v>
      </c>
      <c r="G1226">
        <f>IF(B1226&lt;'user input'!$C$5,0,(F1226+G1225))</f>
        <v>16.944444444444446</v>
      </c>
      <c r="H1226">
        <f>G1226/'user input'!$C$4</f>
        <v>1.4120370370370372E-2</v>
      </c>
    </row>
    <row r="1227" spans="1:8" x14ac:dyDescent="0.2">
      <c r="A1227" s="1">
        <v>41403</v>
      </c>
      <c r="B1227">
        <v>130</v>
      </c>
      <c r="C1227" s="6">
        <f>IF('weather data'!C1227&gt;'user input'!$C$3,'user input'!$C$3,'weather data'!C1227)</f>
        <v>13.333333333333332</v>
      </c>
      <c r="D1227" s="6">
        <f>IF('weather data'!D1227&lt;'user input'!$C$2,'user input'!$C$2,'weather data'!D1227)</f>
        <v>10</v>
      </c>
      <c r="E1227">
        <f t="shared" si="19"/>
        <v>11.666666666666666</v>
      </c>
      <c r="F1227">
        <f>IF((E1227-'user input'!$C$2)&lt;0,0,E1227-'user input'!$C$2)</f>
        <v>1.6666666666666661</v>
      </c>
      <c r="G1227">
        <f>IF(B1227&lt;'user input'!$C$5,0,(F1227+G1226))</f>
        <v>18.611111111111114</v>
      </c>
      <c r="H1227">
        <f>G1227/'user input'!$C$4</f>
        <v>1.5509259259259263E-2</v>
      </c>
    </row>
    <row r="1228" spans="1:8" x14ac:dyDescent="0.2">
      <c r="A1228" s="1">
        <v>41404</v>
      </c>
      <c r="B1228">
        <v>131</v>
      </c>
      <c r="C1228" s="6">
        <f>IF('weather data'!C1228&gt;'user input'!$C$3,'user input'!$C$3,'weather data'!C1228)</f>
        <v>12.222222222222223</v>
      </c>
      <c r="D1228" s="6">
        <f>IF('weather data'!D1228&lt;'user input'!$C$2,'user input'!$C$2,'weather data'!D1228)</f>
        <v>10</v>
      </c>
      <c r="E1228">
        <f t="shared" si="19"/>
        <v>11.111111111111111</v>
      </c>
      <c r="F1228">
        <f>IF((E1228-'user input'!$C$2)&lt;0,0,E1228-'user input'!$C$2)</f>
        <v>1.1111111111111107</v>
      </c>
      <c r="G1228">
        <f>IF(B1228&lt;'user input'!$C$5,0,(F1228+G1227))</f>
        <v>19.722222222222225</v>
      </c>
      <c r="H1228">
        <f>G1228/'user input'!$C$4</f>
        <v>1.6435185185185188E-2</v>
      </c>
    </row>
    <row r="1229" spans="1:8" x14ac:dyDescent="0.2">
      <c r="A1229" s="1">
        <v>41405</v>
      </c>
      <c r="B1229">
        <v>132</v>
      </c>
      <c r="C1229" s="6">
        <f>IF('weather data'!C1229&gt;'user input'!$C$3,'user input'!$C$3,'weather data'!C1229)</f>
        <v>18.888888888888889</v>
      </c>
      <c r="D1229" s="6">
        <f>IF('weather data'!D1229&lt;'user input'!$C$2,'user input'!$C$2,'weather data'!D1229)</f>
        <v>10</v>
      </c>
      <c r="E1229">
        <f t="shared" si="19"/>
        <v>14.444444444444445</v>
      </c>
      <c r="F1229">
        <f>IF((E1229-'user input'!$C$2)&lt;0,0,E1229-'user input'!$C$2)</f>
        <v>4.4444444444444446</v>
      </c>
      <c r="G1229">
        <f>IF(B1229&lt;'user input'!$C$5,0,(F1229+G1228))</f>
        <v>24.166666666666671</v>
      </c>
      <c r="H1229">
        <f>G1229/'user input'!$C$4</f>
        <v>2.0138888888888894E-2</v>
      </c>
    </row>
    <row r="1230" spans="1:8" x14ac:dyDescent="0.2">
      <c r="A1230" s="1">
        <v>41406</v>
      </c>
      <c r="B1230">
        <v>133</v>
      </c>
      <c r="C1230" s="6">
        <f>IF('weather data'!C1230&gt;'user input'!$C$3,'user input'!$C$3,'weather data'!C1230)</f>
        <v>26.666666666666664</v>
      </c>
      <c r="D1230" s="6">
        <f>IF('weather data'!D1230&lt;'user input'!$C$2,'user input'!$C$2,'weather data'!D1230)</f>
        <v>15</v>
      </c>
      <c r="E1230">
        <f t="shared" si="19"/>
        <v>20.833333333333332</v>
      </c>
      <c r="F1230">
        <f>IF((E1230-'user input'!$C$2)&lt;0,0,E1230-'user input'!$C$2)</f>
        <v>10.833333333333332</v>
      </c>
      <c r="G1230">
        <f>IF(B1230&lt;'user input'!$C$5,0,(F1230+G1229))</f>
        <v>35</v>
      </c>
      <c r="H1230">
        <f>G1230/'user input'!$C$4</f>
        <v>2.9166666666666667E-2</v>
      </c>
    </row>
    <row r="1231" spans="1:8" x14ac:dyDescent="0.2">
      <c r="A1231" s="1">
        <v>41407</v>
      </c>
      <c r="B1231">
        <v>134</v>
      </c>
      <c r="C1231" s="6">
        <f>IF('weather data'!C1231&gt;'user input'!$C$3,'user input'!$C$3,'weather data'!C1231)</f>
        <v>28.888888888888889</v>
      </c>
      <c r="D1231" s="6">
        <f>IF('weather data'!D1231&lt;'user input'!$C$2,'user input'!$C$2,'weather data'!D1231)</f>
        <v>14.444444444444445</v>
      </c>
      <c r="E1231">
        <f t="shared" si="19"/>
        <v>21.666666666666668</v>
      </c>
      <c r="F1231">
        <f>IF((E1231-'user input'!$C$2)&lt;0,0,E1231-'user input'!$C$2)</f>
        <v>11.666666666666668</v>
      </c>
      <c r="G1231">
        <f>IF(B1231&lt;'user input'!$C$5,0,(F1231+G1230))</f>
        <v>46.666666666666671</v>
      </c>
      <c r="H1231">
        <f>G1231/'user input'!$C$4</f>
        <v>3.888888888888889E-2</v>
      </c>
    </row>
    <row r="1232" spans="1:8" x14ac:dyDescent="0.2">
      <c r="A1232" s="1">
        <v>41408</v>
      </c>
      <c r="B1232">
        <v>135</v>
      </c>
      <c r="C1232" s="6">
        <f>IF('weather data'!C1232&gt;'user input'!$C$3,'user input'!$C$3,'weather data'!C1232)</f>
        <v>18.333333333333332</v>
      </c>
      <c r="D1232" s="6">
        <f>IF('weather data'!D1232&lt;'user input'!$C$2,'user input'!$C$2,'weather data'!D1232)</f>
        <v>10.555555555555555</v>
      </c>
      <c r="E1232">
        <f t="shared" si="19"/>
        <v>14.444444444444443</v>
      </c>
      <c r="F1232">
        <f>IF((E1232-'user input'!$C$2)&lt;0,0,E1232-'user input'!$C$2)</f>
        <v>4.4444444444444429</v>
      </c>
      <c r="G1232">
        <f>IF(B1232&lt;'user input'!$C$5,0,(F1232+G1231))</f>
        <v>51.111111111111114</v>
      </c>
      <c r="H1232">
        <f>G1232/'user input'!$C$4</f>
        <v>4.2592592592592599E-2</v>
      </c>
    </row>
    <row r="1233" spans="1:8" x14ac:dyDescent="0.2">
      <c r="A1233" s="1">
        <v>41409</v>
      </c>
      <c r="B1233">
        <v>136</v>
      </c>
      <c r="C1233" s="6">
        <f>IF('weather data'!C1233&gt;'user input'!$C$3,'user input'!$C$3,'weather data'!C1233)</f>
        <v>20</v>
      </c>
      <c r="D1233" s="6">
        <f>IF('weather data'!D1233&lt;'user input'!$C$2,'user input'!$C$2,'weather data'!D1233)</f>
        <v>10.555555555555555</v>
      </c>
      <c r="E1233">
        <f t="shared" si="19"/>
        <v>15.277777777777779</v>
      </c>
      <c r="F1233">
        <f>IF((E1233-'user input'!$C$2)&lt;0,0,E1233-'user input'!$C$2)</f>
        <v>5.2777777777777786</v>
      </c>
      <c r="G1233">
        <f>IF(B1233&lt;'user input'!$C$5,0,(F1233+G1232))</f>
        <v>56.388888888888893</v>
      </c>
      <c r="H1233">
        <f>G1233/'user input'!$C$4</f>
        <v>4.6990740740740743E-2</v>
      </c>
    </row>
    <row r="1234" spans="1:8" x14ac:dyDescent="0.2">
      <c r="A1234" s="1">
        <v>41410</v>
      </c>
      <c r="B1234">
        <v>137</v>
      </c>
      <c r="C1234" s="6">
        <f>IF('weather data'!C1234&gt;'user input'!$C$3,'user input'!$C$3,'weather data'!C1234)</f>
        <v>18.888888888888889</v>
      </c>
      <c r="D1234" s="6">
        <f>IF('weather data'!D1234&lt;'user input'!$C$2,'user input'!$C$2,'weather data'!D1234)</f>
        <v>10.555555555555555</v>
      </c>
      <c r="E1234">
        <f t="shared" ref="E1234:E1297" si="20">(C1234+D1234)/2</f>
        <v>14.722222222222221</v>
      </c>
      <c r="F1234">
        <f>IF((E1234-'user input'!$C$2)&lt;0,0,E1234-'user input'!$C$2)</f>
        <v>4.7222222222222214</v>
      </c>
      <c r="G1234">
        <f>IF(B1234&lt;'user input'!$C$5,0,(F1234+G1233))</f>
        <v>61.111111111111114</v>
      </c>
      <c r="H1234">
        <f>G1234/'user input'!$C$4</f>
        <v>5.092592592592593E-2</v>
      </c>
    </row>
    <row r="1235" spans="1:8" x14ac:dyDescent="0.2">
      <c r="A1235" s="1">
        <v>41411</v>
      </c>
      <c r="B1235">
        <v>138</v>
      </c>
      <c r="C1235" s="6">
        <f>IF('weather data'!C1235&gt;'user input'!$C$3,'user input'!$C$3,'weather data'!C1235)</f>
        <v>22.222222222222221</v>
      </c>
      <c r="D1235" s="6">
        <f>IF('weather data'!D1235&lt;'user input'!$C$2,'user input'!$C$2,'weather data'!D1235)</f>
        <v>10</v>
      </c>
      <c r="E1235">
        <f t="shared" si="20"/>
        <v>16.111111111111111</v>
      </c>
      <c r="F1235">
        <f>IF((E1235-'user input'!$C$2)&lt;0,0,E1235-'user input'!$C$2)</f>
        <v>6.1111111111111107</v>
      </c>
      <c r="G1235">
        <f>IF(B1235&lt;'user input'!$C$5,0,(F1235+G1234))</f>
        <v>67.222222222222229</v>
      </c>
      <c r="H1235">
        <f>G1235/'user input'!$C$4</f>
        <v>5.6018518518518523E-2</v>
      </c>
    </row>
    <row r="1236" spans="1:8" x14ac:dyDescent="0.2">
      <c r="A1236" s="1">
        <v>41412</v>
      </c>
      <c r="B1236">
        <v>139</v>
      </c>
      <c r="C1236" s="6">
        <f>IF('weather data'!C1236&gt;'user input'!$C$3,'user input'!$C$3,'weather data'!C1236)</f>
        <v>18.888888888888889</v>
      </c>
      <c r="D1236" s="6">
        <f>IF('weather data'!D1236&lt;'user input'!$C$2,'user input'!$C$2,'weather data'!D1236)</f>
        <v>10</v>
      </c>
      <c r="E1236">
        <f t="shared" si="20"/>
        <v>14.444444444444445</v>
      </c>
      <c r="F1236">
        <f>IF((E1236-'user input'!$C$2)&lt;0,0,E1236-'user input'!$C$2)</f>
        <v>4.4444444444444446</v>
      </c>
      <c r="G1236">
        <f>IF(B1236&lt;'user input'!$C$5,0,(F1236+G1235))</f>
        <v>71.666666666666671</v>
      </c>
      <c r="H1236">
        <f>G1236/'user input'!$C$4</f>
        <v>5.9722222222222225E-2</v>
      </c>
    </row>
    <row r="1237" spans="1:8" x14ac:dyDescent="0.2">
      <c r="A1237" s="1">
        <v>41413</v>
      </c>
      <c r="B1237">
        <v>140</v>
      </c>
      <c r="C1237" s="6">
        <f>IF('weather data'!C1237&gt;'user input'!$C$3,'user input'!$C$3,'weather data'!C1237)</f>
        <v>17.222222222222221</v>
      </c>
      <c r="D1237" s="6">
        <f>IF('weather data'!D1237&lt;'user input'!$C$2,'user input'!$C$2,'weather data'!D1237)</f>
        <v>10</v>
      </c>
      <c r="E1237">
        <f t="shared" si="20"/>
        <v>13.611111111111111</v>
      </c>
      <c r="F1237">
        <f>IF((E1237-'user input'!$C$2)&lt;0,0,E1237-'user input'!$C$2)</f>
        <v>3.6111111111111107</v>
      </c>
      <c r="G1237">
        <f>IF(B1237&lt;'user input'!$C$5,0,(F1237+G1236))</f>
        <v>75.277777777777786</v>
      </c>
      <c r="H1237">
        <f>G1237/'user input'!$C$4</f>
        <v>6.2731481481481485E-2</v>
      </c>
    </row>
    <row r="1238" spans="1:8" x14ac:dyDescent="0.2">
      <c r="A1238" s="1">
        <v>41414</v>
      </c>
      <c r="B1238">
        <v>141</v>
      </c>
      <c r="C1238" s="6">
        <f>IF('weather data'!C1238&gt;'user input'!$C$3,'user input'!$C$3,'weather data'!C1238)</f>
        <v>21.666666666666664</v>
      </c>
      <c r="D1238" s="6">
        <f>IF('weather data'!D1238&lt;'user input'!$C$2,'user input'!$C$2,'weather data'!D1238)</f>
        <v>10</v>
      </c>
      <c r="E1238">
        <f t="shared" si="20"/>
        <v>15.833333333333332</v>
      </c>
      <c r="F1238">
        <f>IF((E1238-'user input'!$C$2)&lt;0,0,E1238-'user input'!$C$2)</f>
        <v>5.8333333333333321</v>
      </c>
      <c r="G1238">
        <f>IF(B1238&lt;'user input'!$C$5,0,(F1238+G1237))</f>
        <v>81.111111111111114</v>
      </c>
      <c r="H1238">
        <f>G1238/'user input'!$C$4</f>
        <v>6.7592592592592593E-2</v>
      </c>
    </row>
    <row r="1239" spans="1:8" x14ac:dyDescent="0.2">
      <c r="A1239" s="1">
        <v>41415</v>
      </c>
      <c r="B1239">
        <v>142</v>
      </c>
      <c r="C1239" s="6">
        <f>IF('weather data'!C1239&gt;'user input'!$C$3,'user input'!$C$3,'weather data'!C1239)</f>
        <v>26.666666666666664</v>
      </c>
      <c r="D1239" s="6">
        <f>IF('weather data'!D1239&lt;'user input'!$C$2,'user input'!$C$2,'weather data'!D1239)</f>
        <v>11.111111111111111</v>
      </c>
      <c r="E1239">
        <f t="shared" si="20"/>
        <v>18.888888888888886</v>
      </c>
      <c r="F1239">
        <f>IF((E1239-'user input'!$C$2)&lt;0,0,E1239-'user input'!$C$2)</f>
        <v>8.8888888888888857</v>
      </c>
      <c r="G1239">
        <f>IF(B1239&lt;'user input'!$C$5,0,(F1239+G1238))</f>
        <v>90</v>
      </c>
      <c r="H1239">
        <f>G1239/'user input'!$C$4</f>
        <v>7.4999999999999997E-2</v>
      </c>
    </row>
    <row r="1240" spans="1:8" x14ac:dyDescent="0.2">
      <c r="A1240" s="1">
        <v>41416</v>
      </c>
      <c r="B1240">
        <v>143</v>
      </c>
      <c r="C1240" s="6">
        <f>IF('weather data'!C1240&gt;'user input'!$C$3,'user input'!$C$3,'weather data'!C1240)</f>
        <v>20</v>
      </c>
      <c r="D1240" s="6">
        <f>IF('weather data'!D1240&lt;'user input'!$C$2,'user input'!$C$2,'weather data'!D1240)</f>
        <v>10</v>
      </c>
      <c r="E1240">
        <f t="shared" si="20"/>
        <v>15</v>
      </c>
      <c r="F1240">
        <f>IF((E1240-'user input'!$C$2)&lt;0,0,E1240-'user input'!$C$2)</f>
        <v>5</v>
      </c>
      <c r="G1240">
        <f>IF(B1240&lt;'user input'!$C$5,0,(F1240+G1239))</f>
        <v>95</v>
      </c>
      <c r="H1240">
        <f>G1240/'user input'!$C$4</f>
        <v>7.9166666666666663E-2</v>
      </c>
    </row>
    <row r="1241" spans="1:8" x14ac:dyDescent="0.2">
      <c r="A1241" s="1">
        <v>41417</v>
      </c>
      <c r="B1241">
        <v>144</v>
      </c>
      <c r="C1241" s="6">
        <f>IF('weather data'!C1241&gt;'user input'!$C$3,'user input'!$C$3,'weather data'!C1241)</f>
        <v>23.333333333333336</v>
      </c>
      <c r="D1241" s="6">
        <f>IF('weather data'!D1241&lt;'user input'!$C$2,'user input'!$C$2,'weather data'!D1241)</f>
        <v>10</v>
      </c>
      <c r="E1241">
        <f t="shared" si="20"/>
        <v>16.666666666666668</v>
      </c>
      <c r="F1241">
        <f>IF((E1241-'user input'!$C$2)&lt;0,0,E1241-'user input'!$C$2)</f>
        <v>6.6666666666666679</v>
      </c>
      <c r="G1241">
        <f>IF(B1241&lt;'user input'!$C$5,0,(F1241+G1240))</f>
        <v>101.66666666666667</v>
      </c>
      <c r="H1241">
        <f>G1241/'user input'!$C$4</f>
        <v>8.4722222222222227E-2</v>
      </c>
    </row>
    <row r="1242" spans="1:8" x14ac:dyDescent="0.2">
      <c r="A1242" s="1">
        <v>41418</v>
      </c>
      <c r="B1242">
        <v>145</v>
      </c>
      <c r="C1242" s="6">
        <f>IF('weather data'!C1242&gt;'user input'!$C$3,'user input'!$C$3,'weather data'!C1242)</f>
        <v>26.666666666666664</v>
      </c>
      <c r="D1242" s="6">
        <f>IF('weather data'!D1242&lt;'user input'!$C$2,'user input'!$C$2,'weather data'!D1242)</f>
        <v>10</v>
      </c>
      <c r="E1242">
        <f t="shared" si="20"/>
        <v>18.333333333333332</v>
      </c>
      <c r="F1242">
        <f>IF((E1242-'user input'!$C$2)&lt;0,0,E1242-'user input'!$C$2)</f>
        <v>8.3333333333333321</v>
      </c>
      <c r="G1242">
        <f>IF(B1242&lt;'user input'!$C$5,0,(F1242+G1241))</f>
        <v>110</v>
      </c>
      <c r="H1242">
        <f>G1242/'user input'!$C$4</f>
        <v>9.166666666666666E-2</v>
      </c>
    </row>
    <row r="1243" spans="1:8" x14ac:dyDescent="0.2">
      <c r="A1243" s="1">
        <v>41419</v>
      </c>
      <c r="B1243">
        <v>146</v>
      </c>
      <c r="C1243" s="6">
        <f>IF('weather data'!C1243&gt;'user input'!$C$3,'user input'!$C$3,'weather data'!C1243)</f>
        <v>30</v>
      </c>
      <c r="D1243" s="6">
        <f>IF('weather data'!D1243&lt;'user input'!$C$2,'user input'!$C$2,'weather data'!D1243)</f>
        <v>10</v>
      </c>
      <c r="E1243">
        <f t="shared" si="20"/>
        <v>20</v>
      </c>
      <c r="F1243">
        <f>IF((E1243-'user input'!$C$2)&lt;0,0,E1243-'user input'!$C$2)</f>
        <v>10</v>
      </c>
      <c r="G1243">
        <f>IF(B1243&lt;'user input'!$C$5,0,(F1243+G1242))</f>
        <v>120</v>
      </c>
      <c r="H1243">
        <f>G1243/'user input'!$C$4</f>
        <v>0.1</v>
      </c>
    </row>
    <row r="1244" spans="1:8" x14ac:dyDescent="0.2">
      <c r="A1244" s="1">
        <v>41420</v>
      </c>
      <c r="B1244">
        <v>147</v>
      </c>
      <c r="C1244" s="6">
        <f>IF('weather data'!C1244&gt;'user input'!$C$3,'user input'!$C$3,'weather data'!C1244)</f>
        <v>21.111111111111111</v>
      </c>
      <c r="D1244" s="6">
        <f>IF('weather data'!D1244&lt;'user input'!$C$2,'user input'!$C$2,'weather data'!D1244)</f>
        <v>10</v>
      </c>
      <c r="E1244">
        <f t="shared" si="20"/>
        <v>15.555555555555555</v>
      </c>
      <c r="F1244">
        <f>IF((E1244-'user input'!$C$2)&lt;0,0,E1244-'user input'!$C$2)</f>
        <v>5.5555555555555554</v>
      </c>
      <c r="G1244">
        <f>IF(B1244&lt;'user input'!$C$5,0,(F1244+G1243))</f>
        <v>125.55555555555556</v>
      </c>
      <c r="H1244">
        <f>G1244/'user input'!$C$4</f>
        <v>0.10462962962962963</v>
      </c>
    </row>
    <row r="1245" spans="1:8" x14ac:dyDescent="0.2">
      <c r="A1245" s="1">
        <v>41421</v>
      </c>
      <c r="B1245">
        <v>148</v>
      </c>
      <c r="C1245" s="6">
        <f>IF('weather data'!C1245&gt;'user input'!$C$3,'user input'!$C$3,'weather data'!C1245)</f>
        <v>23.888888888888889</v>
      </c>
      <c r="D1245" s="6">
        <f>IF('weather data'!D1245&lt;'user input'!$C$2,'user input'!$C$2,'weather data'!D1245)</f>
        <v>10</v>
      </c>
      <c r="E1245">
        <f t="shared" si="20"/>
        <v>16.944444444444443</v>
      </c>
      <c r="F1245">
        <f>IF((E1245-'user input'!$C$2)&lt;0,0,E1245-'user input'!$C$2)</f>
        <v>6.9444444444444429</v>
      </c>
      <c r="G1245">
        <f>IF(B1245&lt;'user input'!$C$5,0,(F1245+G1244))</f>
        <v>132.5</v>
      </c>
      <c r="H1245">
        <f>G1245/'user input'!$C$4</f>
        <v>0.11041666666666666</v>
      </c>
    </row>
    <row r="1246" spans="1:8" x14ac:dyDescent="0.2">
      <c r="A1246" s="1">
        <v>41422</v>
      </c>
      <c r="B1246">
        <v>149</v>
      </c>
      <c r="C1246" s="6">
        <f>IF('weather data'!C1246&gt;'user input'!$C$3,'user input'!$C$3,'weather data'!C1246)</f>
        <v>30</v>
      </c>
      <c r="D1246" s="6">
        <f>IF('weather data'!D1246&lt;'user input'!$C$2,'user input'!$C$2,'weather data'!D1246)</f>
        <v>13.333333333333332</v>
      </c>
      <c r="E1246">
        <f t="shared" si="20"/>
        <v>21.666666666666664</v>
      </c>
      <c r="F1246">
        <f>IF((E1246-'user input'!$C$2)&lt;0,0,E1246-'user input'!$C$2)</f>
        <v>11.666666666666664</v>
      </c>
      <c r="G1246">
        <f>IF(B1246&lt;'user input'!$C$5,0,(F1246+G1245))</f>
        <v>144.16666666666666</v>
      </c>
      <c r="H1246">
        <f>G1246/'user input'!$C$4</f>
        <v>0.12013888888888888</v>
      </c>
    </row>
    <row r="1247" spans="1:8" x14ac:dyDescent="0.2">
      <c r="A1247" s="1">
        <v>41423</v>
      </c>
      <c r="B1247">
        <v>150</v>
      </c>
      <c r="C1247" s="6">
        <f>IF('weather data'!C1247&gt;'user input'!$C$3,'user input'!$C$3,'weather data'!C1247)</f>
        <v>30</v>
      </c>
      <c r="D1247" s="6">
        <f>IF('weather data'!D1247&lt;'user input'!$C$2,'user input'!$C$2,'weather data'!D1247)</f>
        <v>16.111111111111111</v>
      </c>
      <c r="E1247">
        <f t="shared" si="20"/>
        <v>23.055555555555557</v>
      </c>
      <c r="F1247">
        <f>IF((E1247-'user input'!$C$2)&lt;0,0,E1247-'user input'!$C$2)</f>
        <v>13.055555555555557</v>
      </c>
      <c r="G1247">
        <f>IF(B1247&lt;'user input'!$C$5,0,(F1247+G1246))</f>
        <v>157.22222222222223</v>
      </c>
      <c r="H1247">
        <f>G1247/'user input'!$C$4</f>
        <v>0.13101851851851853</v>
      </c>
    </row>
    <row r="1248" spans="1:8" x14ac:dyDescent="0.2">
      <c r="A1248" s="1">
        <v>41424</v>
      </c>
      <c r="B1248">
        <v>151</v>
      </c>
      <c r="C1248" s="6">
        <f>IF('weather data'!C1248&gt;'user input'!$C$3,'user input'!$C$3,'weather data'!C1248)</f>
        <v>27.777777777777779</v>
      </c>
      <c r="D1248" s="6">
        <f>IF('weather data'!D1248&lt;'user input'!$C$2,'user input'!$C$2,'weather data'!D1248)</f>
        <v>10</v>
      </c>
      <c r="E1248">
        <f t="shared" si="20"/>
        <v>18.888888888888889</v>
      </c>
      <c r="F1248">
        <f>IF((E1248-'user input'!$C$2)&lt;0,0,E1248-'user input'!$C$2)</f>
        <v>8.8888888888888893</v>
      </c>
      <c r="G1248">
        <f>IF(B1248&lt;'user input'!$C$5,0,(F1248+G1247))</f>
        <v>166.11111111111111</v>
      </c>
      <c r="H1248">
        <f>G1248/'user input'!$C$4</f>
        <v>0.13842592592592592</v>
      </c>
    </row>
    <row r="1249" spans="1:8" x14ac:dyDescent="0.2">
      <c r="A1249" s="1">
        <v>41425</v>
      </c>
      <c r="B1249">
        <v>152</v>
      </c>
      <c r="C1249" s="6">
        <f>IF('weather data'!C1249&gt;'user input'!$C$3,'user input'!$C$3,'weather data'!C1249)</f>
        <v>22.777777777777779</v>
      </c>
      <c r="D1249" s="6">
        <f>IF('weather data'!D1249&lt;'user input'!$C$2,'user input'!$C$2,'weather data'!D1249)</f>
        <v>10</v>
      </c>
      <c r="E1249">
        <f t="shared" si="20"/>
        <v>16.388888888888889</v>
      </c>
      <c r="F1249">
        <f>IF((E1249-'user input'!$C$2)&lt;0,0,E1249-'user input'!$C$2)</f>
        <v>6.3888888888888893</v>
      </c>
      <c r="G1249">
        <f>IF(B1249&lt;'user input'!$C$5,0,(F1249+G1248))</f>
        <v>172.5</v>
      </c>
      <c r="H1249">
        <f>G1249/'user input'!$C$4</f>
        <v>0.14374999999999999</v>
      </c>
    </row>
    <row r="1250" spans="1:8" x14ac:dyDescent="0.2">
      <c r="A1250" s="1">
        <v>41426</v>
      </c>
      <c r="B1250">
        <v>153</v>
      </c>
      <c r="C1250" s="6">
        <f>IF('weather data'!C1250&gt;'user input'!$C$3,'user input'!$C$3,'weather data'!C1250)</f>
        <v>24.444444444444446</v>
      </c>
      <c r="D1250" s="6">
        <f>IF('weather data'!D1250&lt;'user input'!$C$2,'user input'!$C$2,'weather data'!D1250)</f>
        <v>10</v>
      </c>
      <c r="E1250">
        <f t="shared" si="20"/>
        <v>17.222222222222221</v>
      </c>
      <c r="F1250">
        <f>IF((E1250-'user input'!$C$2)&lt;0,0,E1250-'user input'!$C$2)</f>
        <v>7.2222222222222214</v>
      </c>
      <c r="G1250">
        <f>IF(B1250&lt;'user input'!$C$5,0,(F1250+G1249))</f>
        <v>179.72222222222223</v>
      </c>
      <c r="H1250">
        <f>G1250/'user input'!$C$4</f>
        <v>0.14976851851851852</v>
      </c>
    </row>
    <row r="1251" spans="1:8" x14ac:dyDescent="0.2">
      <c r="A1251" s="1">
        <v>41427</v>
      </c>
      <c r="B1251">
        <v>154</v>
      </c>
      <c r="C1251" s="6">
        <f>IF('weather data'!C1251&gt;'user input'!$C$3,'user input'!$C$3,'weather data'!C1251)</f>
        <v>27.222222222222221</v>
      </c>
      <c r="D1251" s="6">
        <f>IF('weather data'!D1251&lt;'user input'!$C$2,'user input'!$C$2,'weather data'!D1251)</f>
        <v>12.222222222222223</v>
      </c>
      <c r="E1251">
        <f t="shared" si="20"/>
        <v>19.722222222222221</v>
      </c>
      <c r="F1251">
        <f>IF((E1251-'user input'!$C$2)&lt;0,0,E1251-'user input'!$C$2)</f>
        <v>9.7222222222222214</v>
      </c>
      <c r="G1251">
        <f>IF(B1251&lt;'user input'!$C$5,0,(F1251+G1250))</f>
        <v>189.44444444444446</v>
      </c>
      <c r="H1251">
        <f>G1251/'user input'!$C$4</f>
        <v>0.15787037037037038</v>
      </c>
    </row>
    <row r="1252" spans="1:8" x14ac:dyDescent="0.2">
      <c r="A1252" s="1">
        <v>41428</v>
      </c>
      <c r="B1252">
        <v>155</v>
      </c>
      <c r="C1252" s="6">
        <f>IF('weather data'!C1252&gt;'user input'!$C$3,'user input'!$C$3,'weather data'!C1252)</f>
        <v>30</v>
      </c>
      <c r="D1252" s="6">
        <f>IF('weather data'!D1252&lt;'user input'!$C$2,'user input'!$C$2,'weather data'!D1252)</f>
        <v>11.111111111111111</v>
      </c>
      <c r="E1252">
        <f t="shared" si="20"/>
        <v>20.555555555555557</v>
      </c>
      <c r="F1252">
        <f>IF((E1252-'user input'!$C$2)&lt;0,0,E1252-'user input'!$C$2)</f>
        <v>10.555555555555557</v>
      </c>
      <c r="G1252">
        <f>IF(B1252&lt;'user input'!$C$5,0,(F1252+G1251))</f>
        <v>200</v>
      </c>
      <c r="H1252">
        <f>G1252/'user input'!$C$4</f>
        <v>0.16666666666666666</v>
      </c>
    </row>
    <row r="1253" spans="1:8" x14ac:dyDescent="0.2">
      <c r="A1253" s="1">
        <v>41429</v>
      </c>
      <c r="B1253">
        <v>156</v>
      </c>
      <c r="C1253" s="6">
        <f>IF('weather data'!C1253&gt;'user input'!$C$3,'user input'!$C$3,'weather data'!C1253)</f>
        <v>23.888888888888889</v>
      </c>
      <c r="D1253" s="6">
        <f>IF('weather data'!D1253&lt;'user input'!$C$2,'user input'!$C$2,'weather data'!D1253)</f>
        <v>12.777777777777777</v>
      </c>
      <c r="E1253">
        <f t="shared" si="20"/>
        <v>18.333333333333332</v>
      </c>
      <c r="F1253">
        <f>IF((E1253-'user input'!$C$2)&lt;0,0,E1253-'user input'!$C$2)</f>
        <v>8.3333333333333321</v>
      </c>
      <c r="G1253">
        <f>IF(B1253&lt;'user input'!$C$5,0,(F1253+G1252))</f>
        <v>208.33333333333334</v>
      </c>
      <c r="H1253">
        <f>G1253/'user input'!$C$4</f>
        <v>0.17361111111111113</v>
      </c>
    </row>
    <row r="1254" spans="1:8" x14ac:dyDescent="0.2">
      <c r="A1254" s="1">
        <v>41430</v>
      </c>
      <c r="B1254">
        <v>157</v>
      </c>
      <c r="C1254" s="6">
        <f>IF('weather data'!C1254&gt;'user input'!$C$3,'user input'!$C$3,'weather data'!C1254)</f>
        <v>29.444444444444446</v>
      </c>
      <c r="D1254" s="6">
        <f>IF('weather data'!D1254&lt;'user input'!$C$2,'user input'!$C$2,'weather data'!D1254)</f>
        <v>17.222222222222221</v>
      </c>
      <c r="E1254">
        <f t="shared" si="20"/>
        <v>23.333333333333336</v>
      </c>
      <c r="F1254">
        <f>IF((E1254-'user input'!$C$2)&lt;0,0,E1254-'user input'!$C$2)</f>
        <v>13.333333333333336</v>
      </c>
      <c r="G1254">
        <f>IF(B1254&lt;'user input'!$C$5,0,(F1254+G1253))</f>
        <v>221.66666666666669</v>
      </c>
      <c r="H1254">
        <f>G1254/'user input'!$C$4</f>
        <v>0.18472222222222223</v>
      </c>
    </row>
    <row r="1255" spans="1:8" x14ac:dyDescent="0.2">
      <c r="A1255" s="1">
        <v>41431</v>
      </c>
      <c r="B1255">
        <v>158</v>
      </c>
      <c r="C1255" s="6">
        <f>IF('weather data'!C1255&gt;'user input'!$C$3,'user input'!$C$3,'weather data'!C1255)</f>
        <v>30</v>
      </c>
      <c r="D1255" s="6">
        <f>IF('weather data'!D1255&lt;'user input'!$C$2,'user input'!$C$2,'weather data'!D1255)</f>
        <v>17.222222222222221</v>
      </c>
      <c r="E1255">
        <f t="shared" si="20"/>
        <v>23.611111111111111</v>
      </c>
      <c r="F1255">
        <f>IF((E1255-'user input'!$C$2)&lt;0,0,E1255-'user input'!$C$2)</f>
        <v>13.611111111111111</v>
      </c>
      <c r="G1255">
        <f>IF(B1255&lt;'user input'!$C$5,0,(F1255+G1254))</f>
        <v>235.2777777777778</v>
      </c>
      <c r="H1255">
        <f>G1255/'user input'!$C$4</f>
        <v>0.19606481481481483</v>
      </c>
    </row>
    <row r="1256" spans="1:8" x14ac:dyDescent="0.2">
      <c r="A1256" s="1">
        <v>41432</v>
      </c>
      <c r="B1256">
        <v>159</v>
      </c>
      <c r="C1256" s="6">
        <f>IF('weather data'!C1256&gt;'user input'!$C$3,'user input'!$C$3,'weather data'!C1256)</f>
        <v>29.444444444444446</v>
      </c>
      <c r="D1256" s="6">
        <f>IF('weather data'!D1256&lt;'user input'!$C$2,'user input'!$C$2,'weather data'!D1256)</f>
        <v>13.333333333333332</v>
      </c>
      <c r="E1256">
        <f t="shared" si="20"/>
        <v>21.388888888888889</v>
      </c>
      <c r="F1256">
        <f>IF((E1256-'user input'!$C$2)&lt;0,0,E1256-'user input'!$C$2)</f>
        <v>11.388888888888889</v>
      </c>
      <c r="G1256">
        <f>IF(B1256&lt;'user input'!$C$5,0,(F1256+G1255))</f>
        <v>246.66666666666669</v>
      </c>
      <c r="H1256">
        <f>G1256/'user input'!$C$4</f>
        <v>0.20555555555555557</v>
      </c>
    </row>
    <row r="1257" spans="1:8" x14ac:dyDescent="0.2">
      <c r="A1257" s="1">
        <v>41433</v>
      </c>
      <c r="B1257">
        <v>160</v>
      </c>
      <c r="C1257" s="6">
        <f>IF('weather data'!C1257&gt;'user input'!$C$3,'user input'!$C$3,'weather data'!C1257)</f>
        <v>23.333333333333336</v>
      </c>
      <c r="D1257" s="6">
        <f>IF('weather data'!D1257&lt;'user input'!$C$2,'user input'!$C$2,'weather data'!D1257)</f>
        <v>10</v>
      </c>
      <c r="E1257">
        <f t="shared" si="20"/>
        <v>16.666666666666668</v>
      </c>
      <c r="F1257">
        <f>IF((E1257-'user input'!$C$2)&lt;0,0,E1257-'user input'!$C$2)</f>
        <v>6.6666666666666679</v>
      </c>
      <c r="G1257">
        <f>IF(B1257&lt;'user input'!$C$5,0,(F1257+G1256))</f>
        <v>253.33333333333334</v>
      </c>
      <c r="H1257">
        <f>G1257/'user input'!$C$4</f>
        <v>0.21111111111111111</v>
      </c>
    </row>
    <row r="1258" spans="1:8" x14ac:dyDescent="0.2">
      <c r="A1258" s="1">
        <v>41434</v>
      </c>
      <c r="B1258">
        <v>161</v>
      </c>
      <c r="C1258" s="6">
        <f>IF('weather data'!C1258&gt;'user input'!$C$3,'user input'!$C$3,'weather data'!C1258)</f>
        <v>17.222222222222221</v>
      </c>
      <c r="D1258" s="6">
        <f>IF('weather data'!D1258&lt;'user input'!$C$2,'user input'!$C$2,'weather data'!D1258)</f>
        <v>10</v>
      </c>
      <c r="E1258">
        <f t="shared" si="20"/>
        <v>13.611111111111111</v>
      </c>
      <c r="F1258">
        <f>IF((E1258-'user input'!$C$2)&lt;0,0,E1258-'user input'!$C$2)</f>
        <v>3.6111111111111107</v>
      </c>
      <c r="G1258">
        <f>IF(B1258&lt;'user input'!$C$5,0,(F1258+G1257))</f>
        <v>256.94444444444446</v>
      </c>
      <c r="H1258">
        <f>G1258/'user input'!$C$4</f>
        <v>0.21412037037037038</v>
      </c>
    </row>
    <row r="1259" spans="1:8" x14ac:dyDescent="0.2">
      <c r="A1259" s="1">
        <v>41435</v>
      </c>
      <c r="B1259">
        <v>162</v>
      </c>
      <c r="C1259" s="6">
        <f>IF('weather data'!C1259&gt;'user input'!$C$3,'user input'!$C$3,'weather data'!C1259)</f>
        <v>13.333333333333332</v>
      </c>
      <c r="D1259" s="6">
        <f>IF('weather data'!D1259&lt;'user input'!$C$2,'user input'!$C$2,'weather data'!D1259)</f>
        <v>10</v>
      </c>
      <c r="E1259">
        <f t="shared" si="20"/>
        <v>11.666666666666666</v>
      </c>
      <c r="F1259">
        <f>IF((E1259-'user input'!$C$2)&lt;0,0,E1259-'user input'!$C$2)</f>
        <v>1.6666666666666661</v>
      </c>
      <c r="G1259">
        <f>IF(B1259&lt;'user input'!$C$5,0,(F1259+G1258))</f>
        <v>258.61111111111114</v>
      </c>
      <c r="H1259">
        <f>G1259/'user input'!$C$4</f>
        <v>0.21550925925925929</v>
      </c>
    </row>
    <row r="1260" spans="1:8" x14ac:dyDescent="0.2">
      <c r="A1260" s="1">
        <v>41436</v>
      </c>
      <c r="B1260">
        <v>163</v>
      </c>
      <c r="C1260" s="6">
        <f>IF('weather data'!C1260&gt;'user input'!$C$3,'user input'!$C$3,'weather data'!C1260)</f>
        <v>20</v>
      </c>
      <c r="D1260" s="6">
        <f>IF('weather data'!D1260&lt;'user input'!$C$2,'user input'!$C$2,'weather data'!D1260)</f>
        <v>10</v>
      </c>
      <c r="E1260">
        <f t="shared" si="20"/>
        <v>15</v>
      </c>
      <c r="F1260">
        <f>IF((E1260-'user input'!$C$2)&lt;0,0,E1260-'user input'!$C$2)</f>
        <v>5</v>
      </c>
      <c r="G1260">
        <f>IF(B1260&lt;'user input'!$C$5,0,(F1260+G1259))</f>
        <v>263.61111111111114</v>
      </c>
      <c r="H1260">
        <f>G1260/'user input'!$C$4</f>
        <v>0.21967592592592594</v>
      </c>
    </row>
    <row r="1261" spans="1:8" x14ac:dyDescent="0.2">
      <c r="A1261" s="1">
        <v>41437</v>
      </c>
      <c r="B1261">
        <v>164</v>
      </c>
      <c r="C1261" s="6">
        <f>IF('weather data'!C1261&gt;'user input'!$C$3,'user input'!$C$3,'weather data'!C1261)</f>
        <v>23.888888888888889</v>
      </c>
      <c r="D1261" s="6">
        <f>IF('weather data'!D1261&lt;'user input'!$C$2,'user input'!$C$2,'weather data'!D1261)</f>
        <v>10</v>
      </c>
      <c r="E1261">
        <f t="shared" si="20"/>
        <v>16.944444444444443</v>
      </c>
      <c r="F1261">
        <f>IF((E1261-'user input'!$C$2)&lt;0,0,E1261-'user input'!$C$2)</f>
        <v>6.9444444444444429</v>
      </c>
      <c r="G1261">
        <f>IF(B1261&lt;'user input'!$C$5,0,(F1261+G1260))</f>
        <v>270.5555555555556</v>
      </c>
      <c r="H1261">
        <f>G1261/'user input'!$C$4</f>
        <v>0.225462962962963</v>
      </c>
    </row>
    <row r="1262" spans="1:8" x14ac:dyDescent="0.2">
      <c r="A1262" s="1">
        <v>41438</v>
      </c>
      <c r="B1262">
        <v>165</v>
      </c>
      <c r="C1262" s="6">
        <f>IF('weather data'!C1262&gt;'user input'!$C$3,'user input'!$C$3,'weather data'!C1262)</f>
        <v>26.666666666666664</v>
      </c>
      <c r="D1262" s="6">
        <f>IF('weather data'!D1262&lt;'user input'!$C$2,'user input'!$C$2,'weather data'!D1262)</f>
        <v>10</v>
      </c>
      <c r="E1262">
        <f t="shared" si="20"/>
        <v>18.333333333333332</v>
      </c>
      <c r="F1262">
        <f>IF((E1262-'user input'!$C$2)&lt;0,0,E1262-'user input'!$C$2)</f>
        <v>8.3333333333333321</v>
      </c>
      <c r="G1262">
        <f>IF(B1262&lt;'user input'!$C$5,0,(F1262+G1261))</f>
        <v>278.88888888888891</v>
      </c>
      <c r="H1262">
        <f>G1262/'user input'!$C$4</f>
        <v>0.23240740740740742</v>
      </c>
    </row>
    <row r="1263" spans="1:8" x14ac:dyDescent="0.2">
      <c r="A1263" s="1">
        <v>41439</v>
      </c>
      <c r="B1263">
        <v>166</v>
      </c>
      <c r="C1263" s="6">
        <f>IF('weather data'!C1263&gt;'user input'!$C$3,'user input'!$C$3,'weather data'!C1263)</f>
        <v>24.444444444444446</v>
      </c>
      <c r="D1263" s="6">
        <f>IF('weather data'!D1263&lt;'user input'!$C$2,'user input'!$C$2,'weather data'!D1263)</f>
        <v>10</v>
      </c>
      <c r="E1263">
        <f t="shared" si="20"/>
        <v>17.222222222222221</v>
      </c>
      <c r="F1263">
        <f>IF((E1263-'user input'!$C$2)&lt;0,0,E1263-'user input'!$C$2)</f>
        <v>7.2222222222222214</v>
      </c>
      <c r="G1263">
        <f>IF(B1263&lt;'user input'!$C$5,0,(F1263+G1262))</f>
        <v>286.11111111111114</v>
      </c>
      <c r="H1263">
        <f>G1263/'user input'!$C$4</f>
        <v>0.23842592592592596</v>
      </c>
    </row>
    <row r="1264" spans="1:8" x14ac:dyDescent="0.2">
      <c r="A1264" s="1">
        <v>41440</v>
      </c>
      <c r="B1264">
        <v>167</v>
      </c>
      <c r="C1264" s="6">
        <f>IF('weather data'!C1264&gt;'user input'!$C$3,'user input'!$C$3,'weather data'!C1264)</f>
        <v>24.444444444444446</v>
      </c>
      <c r="D1264" s="6">
        <f>IF('weather data'!D1264&lt;'user input'!$C$2,'user input'!$C$2,'weather data'!D1264)</f>
        <v>10</v>
      </c>
      <c r="E1264">
        <f t="shared" si="20"/>
        <v>17.222222222222221</v>
      </c>
      <c r="F1264">
        <f>IF((E1264-'user input'!$C$2)&lt;0,0,E1264-'user input'!$C$2)</f>
        <v>7.2222222222222214</v>
      </c>
      <c r="G1264">
        <f>IF(B1264&lt;'user input'!$C$5,0,(F1264+G1263))</f>
        <v>293.33333333333337</v>
      </c>
      <c r="H1264">
        <f>G1264/'user input'!$C$4</f>
        <v>0.24444444444444446</v>
      </c>
    </row>
    <row r="1265" spans="1:8" x14ac:dyDescent="0.2">
      <c r="A1265" s="1">
        <v>41441</v>
      </c>
      <c r="B1265">
        <v>168</v>
      </c>
      <c r="C1265" s="6">
        <f>IF('weather data'!C1265&gt;'user input'!$C$3,'user input'!$C$3,'weather data'!C1265)</f>
        <v>25.555555555555554</v>
      </c>
      <c r="D1265" s="6">
        <f>IF('weather data'!D1265&lt;'user input'!$C$2,'user input'!$C$2,'weather data'!D1265)</f>
        <v>10</v>
      </c>
      <c r="E1265">
        <f t="shared" si="20"/>
        <v>17.777777777777779</v>
      </c>
      <c r="F1265">
        <f>IF((E1265-'user input'!$C$2)&lt;0,0,E1265-'user input'!$C$2)</f>
        <v>7.7777777777777786</v>
      </c>
      <c r="G1265">
        <f>IF(B1265&lt;'user input'!$C$5,0,(F1265+G1264))</f>
        <v>301.11111111111114</v>
      </c>
      <c r="H1265">
        <f>G1265/'user input'!$C$4</f>
        <v>0.25092592592592594</v>
      </c>
    </row>
    <row r="1266" spans="1:8" x14ac:dyDescent="0.2">
      <c r="A1266" s="1">
        <v>41442</v>
      </c>
      <c r="B1266">
        <v>169</v>
      </c>
      <c r="C1266" s="6">
        <f>IF('weather data'!C1266&gt;'user input'!$C$3,'user input'!$C$3,'weather data'!C1266)</f>
        <v>27.777777777777779</v>
      </c>
      <c r="D1266" s="6">
        <f>IF('weather data'!D1266&lt;'user input'!$C$2,'user input'!$C$2,'weather data'!D1266)</f>
        <v>10</v>
      </c>
      <c r="E1266">
        <f t="shared" si="20"/>
        <v>18.888888888888889</v>
      </c>
      <c r="F1266">
        <f>IF((E1266-'user input'!$C$2)&lt;0,0,E1266-'user input'!$C$2)</f>
        <v>8.8888888888888893</v>
      </c>
      <c r="G1266">
        <f>IF(B1266&lt;'user input'!$C$5,0,(F1266+G1265))</f>
        <v>310.00000000000006</v>
      </c>
      <c r="H1266">
        <f>G1266/'user input'!$C$4</f>
        <v>0.25833333333333336</v>
      </c>
    </row>
    <row r="1267" spans="1:8" x14ac:dyDescent="0.2">
      <c r="A1267" s="1">
        <v>41443</v>
      </c>
      <c r="B1267">
        <v>170</v>
      </c>
      <c r="C1267" s="6">
        <f>IF('weather data'!C1267&gt;'user input'!$C$3,'user input'!$C$3,'weather data'!C1267)</f>
        <v>30</v>
      </c>
      <c r="D1267" s="6">
        <f>IF('weather data'!D1267&lt;'user input'!$C$2,'user input'!$C$2,'weather data'!D1267)</f>
        <v>13.888888888888889</v>
      </c>
      <c r="E1267">
        <f t="shared" si="20"/>
        <v>21.944444444444443</v>
      </c>
      <c r="F1267">
        <f>IF((E1267-'user input'!$C$2)&lt;0,0,E1267-'user input'!$C$2)</f>
        <v>11.944444444444443</v>
      </c>
      <c r="G1267">
        <f>IF(B1267&lt;'user input'!$C$5,0,(F1267+G1266))</f>
        <v>321.94444444444451</v>
      </c>
      <c r="H1267">
        <f>G1267/'user input'!$C$4</f>
        <v>0.2682870370370371</v>
      </c>
    </row>
    <row r="1268" spans="1:8" x14ac:dyDescent="0.2">
      <c r="A1268" s="1">
        <v>41444</v>
      </c>
      <c r="B1268">
        <v>171</v>
      </c>
      <c r="C1268" s="6">
        <f>IF('weather data'!C1268&gt;'user input'!$C$3,'user input'!$C$3,'weather data'!C1268)</f>
        <v>30</v>
      </c>
      <c r="D1268" s="6">
        <f>IF('weather data'!D1268&lt;'user input'!$C$2,'user input'!$C$2,'weather data'!D1268)</f>
        <v>17.777777777777779</v>
      </c>
      <c r="E1268">
        <f t="shared" si="20"/>
        <v>23.888888888888889</v>
      </c>
      <c r="F1268">
        <f>IF((E1268-'user input'!$C$2)&lt;0,0,E1268-'user input'!$C$2)</f>
        <v>13.888888888888889</v>
      </c>
      <c r="G1268">
        <f>IF(B1268&lt;'user input'!$C$5,0,(F1268+G1267))</f>
        <v>335.83333333333343</v>
      </c>
      <c r="H1268">
        <f>G1268/'user input'!$C$4</f>
        <v>0.27986111111111117</v>
      </c>
    </row>
    <row r="1269" spans="1:8" x14ac:dyDescent="0.2">
      <c r="A1269" s="1">
        <v>41445</v>
      </c>
      <c r="B1269">
        <v>172</v>
      </c>
      <c r="C1269" s="6">
        <f>IF('weather data'!C1269&gt;'user input'!$C$3,'user input'!$C$3,'weather data'!C1269)</f>
        <v>30</v>
      </c>
      <c r="D1269" s="6">
        <f>IF('weather data'!D1269&lt;'user input'!$C$2,'user input'!$C$2,'weather data'!D1269)</f>
        <v>18.333333333333332</v>
      </c>
      <c r="E1269">
        <f t="shared" si="20"/>
        <v>24.166666666666664</v>
      </c>
      <c r="F1269">
        <f>IF((E1269-'user input'!$C$2)&lt;0,0,E1269-'user input'!$C$2)</f>
        <v>14.166666666666664</v>
      </c>
      <c r="G1269">
        <f>IF(B1269&lt;'user input'!$C$5,0,(F1269+G1268))</f>
        <v>350.00000000000011</v>
      </c>
      <c r="H1269">
        <f>G1269/'user input'!$C$4</f>
        <v>0.29166666666666674</v>
      </c>
    </row>
    <row r="1270" spans="1:8" x14ac:dyDescent="0.2">
      <c r="A1270" s="1">
        <v>41446</v>
      </c>
      <c r="B1270">
        <v>173</v>
      </c>
      <c r="C1270" s="6">
        <f>IF('weather data'!C1270&gt;'user input'!$C$3,'user input'!$C$3,'weather data'!C1270)</f>
        <v>28.888888888888889</v>
      </c>
      <c r="D1270" s="6">
        <f>IF('weather data'!D1270&lt;'user input'!$C$2,'user input'!$C$2,'weather data'!D1270)</f>
        <v>11.111111111111111</v>
      </c>
      <c r="E1270">
        <f t="shared" si="20"/>
        <v>20</v>
      </c>
      <c r="F1270">
        <f>IF((E1270-'user input'!$C$2)&lt;0,0,E1270-'user input'!$C$2)</f>
        <v>10</v>
      </c>
      <c r="G1270">
        <f>IF(B1270&lt;'user input'!$C$5,0,(F1270+G1269))</f>
        <v>360.00000000000011</v>
      </c>
      <c r="H1270">
        <f>G1270/'user input'!$C$4</f>
        <v>0.3000000000000001</v>
      </c>
    </row>
    <row r="1271" spans="1:8" x14ac:dyDescent="0.2">
      <c r="A1271" s="1">
        <v>41447</v>
      </c>
      <c r="B1271">
        <v>174</v>
      </c>
      <c r="C1271" s="6">
        <f>IF('weather data'!C1271&gt;'user input'!$C$3,'user input'!$C$3,'weather data'!C1271)</f>
        <v>21.666666666666664</v>
      </c>
      <c r="D1271" s="6">
        <f>IF('weather data'!D1271&lt;'user input'!$C$2,'user input'!$C$2,'weather data'!D1271)</f>
        <v>10</v>
      </c>
      <c r="E1271">
        <f t="shared" si="20"/>
        <v>15.833333333333332</v>
      </c>
      <c r="F1271">
        <f>IF((E1271-'user input'!$C$2)&lt;0,0,E1271-'user input'!$C$2)</f>
        <v>5.8333333333333321</v>
      </c>
      <c r="G1271">
        <f>IF(B1271&lt;'user input'!$C$5,0,(F1271+G1270))</f>
        <v>365.83333333333343</v>
      </c>
      <c r="H1271">
        <f>G1271/'user input'!$C$4</f>
        <v>0.30486111111111119</v>
      </c>
    </row>
    <row r="1272" spans="1:8" x14ac:dyDescent="0.2">
      <c r="A1272" s="1">
        <v>41448</v>
      </c>
      <c r="B1272">
        <v>175</v>
      </c>
      <c r="C1272" s="6">
        <f>IF('weather data'!C1272&gt;'user input'!$C$3,'user input'!$C$3,'weather data'!C1272)</f>
        <v>23.888888888888889</v>
      </c>
      <c r="D1272" s="6">
        <f>IF('weather data'!D1272&lt;'user input'!$C$2,'user input'!$C$2,'weather data'!D1272)</f>
        <v>10</v>
      </c>
      <c r="E1272">
        <f t="shared" si="20"/>
        <v>16.944444444444443</v>
      </c>
      <c r="F1272">
        <f>IF((E1272-'user input'!$C$2)&lt;0,0,E1272-'user input'!$C$2)</f>
        <v>6.9444444444444429</v>
      </c>
      <c r="G1272">
        <f>IF(B1272&lt;'user input'!$C$5,0,(F1272+G1271))</f>
        <v>372.77777777777789</v>
      </c>
      <c r="H1272">
        <f>G1272/'user input'!$C$4</f>
        <v>0.31064814814814823</v>
      </c>
    </row>
    <row r="1273" spans="1:8" x14ac:dyDescent="0.2">
      <c r="A1273" s="1">
        <v>41449</v>
      </c>
      <c r="B1273">
        <v>176</v>
      </c>
      <c r="C1273" s="6">
        <f>IF('weather data'!C1273&gt;'user input'!$C$3,'user input'!$C$3,'weather data'!C1273)</f>
        <v>27.777777777777779</v>
      </c>
      <c r="D1273" s="6">
        <f>IF('weather data'!D1273&lt;'user input'!$C$2,'user input'!$C$2,'weather data'!D1273)</f>
        <v>12.222222222222223</v>
      </c>
      <c r="E1273">
        <f t="shared" si="20"/>
        <v>20</v>
      </c>
      <c r="F1273">
        <f>IF((E1273-'user input'!$C$2)&lt;0,0,E1273-'user input'!$C$2)</f>
        <v>10</v>
      </c>
      <c r="G1273">
        <f>IF(B1273&lt;'user input'!$C$5,0,(F1273+G1272))</f>
        <v>382.77777777777789</v>
      </c>
      <c r="H1273">
        <f>G1273/'user input'!$C$4</f>
        <v>0.31898148148148159</v>
      </c>
    </row>
    <row r="1274" spans="1:8" x14ac:dyDescent="0.2">
      <c r="A1274" s="1">
        <v>41450</v>
      </c>
      <c r="B1274">
        <v>177</v>
      </c>
      <c r="C1274" s="6">
        <f>IF('weather data'!C1274&gt;'user input'!$C$3,'user input'!$C$3,'weather data'!C1274)</f>
        <v>30</v>
      </c>
      <c r="D1274" s="6">
        <f>IF('weather data'!D1274&lt;'user input'!$C$2,'user input'!$C$2,'weather data'!D1274)</f>
        <v>17.222222222222221</v>
      </c>
      <c r="E1274">
        <f t="shared" si="20"/>
        <v>23.611111111111111</v>
      </c>
      <c r="F1274">
        <f>IF((E1274-'user input'!$C$2)&lt;0,0,E1274-'user input'!$C$2)</f>
        <v>13.611111111111111</v>
      </c>
      <c r="G1274">
        <f>IF(B1274&lt;'user input'!$C$5,0,(F1274+G1273))</f>
        <v>396.38888888888897</v>
      </c>
      <c r="H1274">
        <f>G1274/'user input'!$C$4</f>
        <v>0.33032407407407416</v>
      </c>
    </row>
    <row r="1275" spans="1:8" x14ac:dyDescent="0.2">
      <c r="A1275" s="1">
        <v>41451</v>
      </c>
      <c r="B1275">
        <v>178</v>
      </c>
      <c r="C1275" s="6">
        <f>IF('weather data'!C1275&gt;'user input'!$C$3,'user input'!$C$3,'weather data'!C1275)</f>
        <v>28.888888888888889</v>
      </c>
      <c r="D1275" s="6">
        <f>IF('weather data'!D1275&lt;'user input'!$C$2,'user input'!$C$2,'weather data'!D1275)</f>
        <v>23.333333333333336</v>
      </c>
      <c r="E1275">
        <f t="shared" si="20"/>
        <v>26.111111111111114</v>
      </c>
      <c r="F1275">
        <f>IF((E1275-'user input'!$C$2)&lt;0,0,E1275-'user input'!$C$2)</f>
        <v>16.111111111111114</v>
      </c>
      <c r="G1275">
        <f>IF(B1275&lt;'user input'!$C$5,0,(F1275+G1274))</f>
        <v>412.50000000000011</v>
      </c>
      <c r="H1275">
        <f>G1275/'user input'!$C$4</f>
        <v>0.34375000000000011</v>
      </c>
    </row>
    <row r="1276" spans="1:8" x14ac:dyDescent="0.2">
      <c r="A1276" s="1">
        <v>41452</v>
      </c>
      <c r="B1276">
        <v>179</v>
      </c>
      <c r="C1276" s="6">
        <f>IF('weather data'!C1276&gt;'user input'!$C$3,'user input'!$C$3,'weather data'!C1276)</f>
        <v>30</v>
      </c>
      <c r="D1276" s="6">
        <f>IF('weather data'!D1276&lt;'user input'!$C$2,'user input'!$C$2,'weather data'!D1276)</f>
        <v>23.333333333333336</v>
      </c>
      <c r="E1276">
        <f t="shared" si="20"/>
        <v>26.666666666666668</v>
      </c>
      <c r="F1276">
        <f>IF((E1276-'user input'!$C$2)&lt;0,0,E1276-'user input'!$C$2)</f>
        <v>16.666666666666668</v>
      </c>
      <c r="G1276">
        <f>IF(B1276&lt;'user input'!$C$5,0,(F1276+G1275))</f>
        <v>429.1666666666668</v>
      </c>
      <c r="H1276">
        <f>G1276/'user input'!$C$4</f>
        <v>0.35763888888888901</v>
      </c>
    </row>
    <row r="1277" spans="1:8" x14ac:dyDescent="0.2">
      <c r="A1277" s="1">
        <v>41453</v>
      </c>
      <c r="B1277">
        <v>180</v>
      </c>
      <c r="C1277" s="6">
        <f>IF('weather data'!C1277&gt;'user input'!$C$3,'user input'!$C$3,'weather data'!C1277)</f>
        <v>30</v>
      </c>
      <c r="D1277" s="6">
        <f>IF('weather data'!D1277&lt;'user input'!$C$2,'user input'!$C$2,'weather data'!D1277)</f>
        <v>24.444444444444446</v>
      </c>
      <c r="E1277">
        <f t="shared" si="20"/>
        <v>27.222222222222221</v>
      </c>
      <c r="F1277">
        <f>IF((E1277-'user input'!$C$2)&lt;0,0,E1277-'user input'!$C$2)</f>
        <v>17.222222222222221</v>
      </c>
      <c r="G1277">
        <f>IF(B1277&lt;'user input'!$C$5,0,(F1277+G1276))</f>
        <v>446.38888888888903</v>
      </c>
      <c r="H1277">
        <f>G1277/'user input'!$C$4</f>
        <v>0.37199074074074084</v>
      </c>
    </row>
    <row r="1278" spans="1:8" x14ac:dyDescent="0.2">
      <c r="A1278" s="1">
        <v>41454</v>
      </c>
      <c r="B1278">
        <v>181</v>
      </c>
      <c r="C1278" s="6">
        <f>IF('weather data'!C1278&gt;'user input'!$C$3,'user input'!$C$3,'weather data'!C1278)</f>
        <v>30</v>
      </c>
      <c r="D1278" s="6">
        <f>IF('weather data'!D1278&lt;'user input'!$C$2,'user input'!$C$2,'weather data'!D1278)</f>
        <v>24.444444444444446</v>
      </c>
      <c r="E1278">
        <f t="shared" si="20"/>
        <v>27.222222222222221</v>
      </c>
      <c r="F1278">
        <f>IF((E1278-'user input'!$C$2)&lt;0,0,E1278-'user input'!$C$2)</f>
        <v>17.222222222222221</v>
      </c>
      <c r="G1278">
        <f>IF(B1278&lt;'user input'!$C$5,0,(F1278+G1277))</f>
        <v>463.61111111111126</v>
      </c>
      <c r="H1278">
        <f>G1278/'user input'!$C$4</f>
        <v>0.38634259259259274</v>
      </c>
    </row>
    <row r="1279" spans="1:8" x14ac:dyDescent="0.2">
      <c r="A1279" s="1">
        <v>41455</v>
      </c>
      <c r="B1279">
        <v>182</v>
      </c>
      <c r="C1279" s="6">
        <f>IF('weather data'!C1279&gt;'user input'!$C$3,'user input'!$C$3,'weather data'!C1279)</f>
        <v>30</v>
      </c>
      <c r="D1279" s="6">
        <f>IF('weather data'!D1279&lt;'user input'!$C$2,'user input'!$C$2,'weather data'!D1279)</f>
        <v>17.777777777777779</v>
      </c>
      <c r="E1279">
        <f t="shared" si="20"/>
        <v>23.888888888888889</v>
      </c>
      <c r="F1279">
        <f>IF((E1279-'user input'!$C$2)&lt;0,0,E1279-'user input'!$C$2)</f>
        <v>13.888888888888889</v>
      </c>
      <c r="G1279">
        <f>IF(B1279&lt;'user input'!$C$5,0,(F1279+G1278))</f>
        <v>477.50000000000017</v>
      </c>
      <c r="H1279">
        <f>G1279/'user input'!$C$4</f>
        <v>0.39791666666666681</v>
      </c>
    </row>
    <row r="1280" spans="1:8" x14ac:dyDescent="0.2">
      <c r="A1280" s="1">
        <v>41456</v>
      </c>
      <c r="B1280">
        <v>183</v>
      </c>
      <c r="C1280" s="6">
        <f>IF('weather data'!C1280&gt;'user input'!$C$3,'user input'!$C$3,'weather data'!C1280)</f>
        <v>28.333333333333336</v>
      </c>
      <c r="D1280" s="6">
        <f>IF('weather data'!D1280&lt;'user input'!$C$2,'user input'!$C$2,'weather data'!D1280)</f>
        <v>12.222222222222223</v>
      </c>
      <c r="E1280">
        <f t="shared" si="20"/>
        <v>20.277777777777779</v>
      </c>
      <c r="F1280">
        <f>IF((E1280-'user input'!$C$2)&lt;0,0,E1280-'user input'!$C$2)</f>
        <v>10.277777777777779</v>
      </c>
      <c r="G1280">
        <f>IF(B1280&lt;'user input'!$C$5,0,(F1280+G1279))</f>
        <v>487.77777777777794</v>
      </c>
      <c r="H1280">
        <f>G1280/'user input'!$C$4</f>
        <v>0.40648148148148161</v>
      </c>
    </row>
    <row r="1281" spans="1:8" x14ac:dyDescent="0.2">
      <c r="A1281" s="1">
        <v>41457</v>
      </c>
      <c r="B1281">
        <v>184</v>
      </c>
      <c r="C1281" s="6">
        <f>IF('weather data'!C1281&gt;'user input'!$C$3,'user input'!$C$3,'weather data'!C1281)</f>
        <v>29.444444444444446</v>
      </c>
      <c r="D1281" s="6">
        <f>IF('weather data'!D1281&lt;'user input'!$C$2,'user input'!$C$2,'weather data'!D1281)</f>
        <v>11.111111111111111</v>
      </c>
      <c r="E1281">
        <f t="shared" si="20"/>
        <v>20.277777777777779</v>
      </c>
      <c r="F1281">
        <f>IF((E1281-'user input'!$C$2)&lt;0,0,E1281-'user input'!$C$2)</f>
        <v>10.277777777777779</v>
      </c>
      <c r="G1281">
        <f>IF(B1281&lt;'user input'!$C$5,0,(F1281+G1280))</f>
        <v>498.05555555555571</v>
      </c>
      <c r="H1281">
        <f>G1281/'user input'!$C$4</f>
        <v>0.41504629629629641</v>
      </c>
    </row>
    <row r="1282" spans="1:8" x14ac:dyDescent="0.2">
      <c r="A1282" s="1">
        <v>41458</v>
      </c>
      <c r="B1282">
        <v>185</v>
      </c>
      <c r="C1282" s="6">
        <f>IF('weather data'!C1282&gt;'user input'!$C$3,'user input'!$C$3,'weather data'!C1282)</f>
        <v>27.777777777777779</v>
      </c>
      <c r="D1282" s="6">
        <f>IF('weather data'!D1282&lt;'user input'!$C$2,'user input'!$C$2,'weather data'!D1282)</f>
        <v>14.444444444444445</v>
      </c>
      <c r="E1282">
        <f t="shared" si="20"/>
        <v>21.111111111111111</v>
      </c>
      <c r="F1282">
        <f>IF((E1282-'user input'!$C$2)&lt;0,0,E1282-'user input'!$C$2)</f>
        <v>11.111111111111111</v>
      </c>
      <c r="G1282">
        <f>IF(B1282&lt;'user input'!$C$5,0,(F1282+G1281))</f>
        <v>509.1666666666668</v>
      </c>
      <c r="H1282">
        <f>G1282/'user input'!$C$4</f>
        <v>0.42430555555555566</v>
      </c>
    </row>
    <row r="1283" spans="1:8" x14ac:dyDescent="0.2">
      <c r="A1283" s="1">
        <v>41459</v>
      </c>
      <c r="B1283">
        <v>186</v>
      </c>
      <c r="C1283" s="6">
        <f>IF('weather data'!C1283&gt;'user input'!$C$3,'user input'!$C$3,'weather data'!C1283)</f>
        <v>30</v>
      </c>
      <c r="D1283" s="6">
        <f>IF('weather data'!D1283&lt;'user input'!$C$2,'user input'!$C$2,'weather data'!D1283)</f>
        <v>13.333333333333332</v>
      </c>
      <c r="E1283">
        <f t="shared" si="20"/>
        <v>21.666666666666664</v>
      </c>
      <c r="F1283">
        <f>IF((E1283-'user input'!$C$2)&lt;0,0,E1283-'user input'!$C$2)</f>
        <v>11.666666666666664</v>
      </c>
      <c r="G1283">
        <f>IF(B1283&lt;'user input'!$C$5,0,(F1283+G1282))</f>
        <v>520.83333333333348</v>
      </c>
      <c r="H1283">
        <f>G1283/'user input'!$C$4</f>
        <v>0.4340277777777779</v>
      </c>
    </row>
    <row r="1284" spans="1:8" x14ac:dyDescent="0.2">
      <c r="A1284" s="1">
        <v>41460</v>
      </c>
      <c r="B1284">
        <v>187</v>
      </c>
      <c r="C1284" s="6">
        <f>IF('weather data'!C1284&gt;'user input'!$C$3,'user input'!$C$3,'weather data'!C1284)</f>
        <v>26.111111111111111</v>
      </c>
      <c r="D1284" s="6">
        <f>IF('weather data'!D1284&lt;'user input'!$C$2,'user input'!$C$2,'weather data'!D1284)</f>
        <v>10</v>
      </c>
      <c r="E1284">
        <f t="shared" si="20"/>
        <v>18.055555555555557</v>
      </c>
      <c r="F1284">
        <f>IF((E1284-'user input'!$C$2)&lt;0,0,E1284-'user input'!$C$2)</f>
        <v>8.0555555555555571</v>
      </c>
      <c r="G1284">
        <f>IF(B1284&lt;'user input'!$C$5,0,(F1284+G1283))</f>
        <v>528.88888888888903</v>
      </c>
      <c r="H1284">
        <f>G1284/'user input'!$C$4</f>
        <v>0.44074074074074088</v>
      </c>
    </row>
    <row r="1285" spans="1:8" x14ac:dyDescent="0.2">
      <c r="A1285" s="1">
        <v>41461</v>
      </c>
      <c r="B1285">
        <v>188</v>
      </c>
      <c r="C1285" s="6">
        <f>IF('weather data'!C1285&gt;'user input'!$C$3,'user input'!$C$3,'weather data'!C1285)</f>
        <v>28.888888888888889</v>
      </c>
      <c r="D1285" s="6">
        <f>IF('weather data'!D1285&lt;'user input'!$C$2,'user input'!$C$2,'weather data'!D1285)</f>
        <v>10</v>
      </c>
      <c r="E1285">
        <f t="shared" si="20"/>
        <v>19.444444444444443</v>
      </c>
      <c r="F1285">
        <f>IF((E1285-'user input'!$C$2)&lt;0,0,E1285-'user input'!$C$2)</f>
        <v>9.4444444444444429</v>
      </c>
      <c r="G1285">
        <f>IF(B1285&lt;'user input'!$C$5,0,(F1285+G1284))</f>
        <v>538.33333333333348</v>
      </c>
      <c r="H1285">
        <f>G1285/'user input'!$C$4</f>
        <v>0.44861111111111124</v>
      </c>
    </row>
    <row r="1286" spans="1:8" x14ac:dyDescent="0.2">
      <c r="A1286" s="1">
        <v>41462</v>
      </c>
      <c r="B1286">
        <v>189</v>
      </c>
      <c r="C1286" s="6">
        <f>IF('weather data'!C1286&gt;'user input'!$C$3,'user input'!$C$3,'weather data'!C1286)</f>
        <v>30</v>
      </c>
      <c r="D1286" s="6">
        <f>IF('weather data'!D1286&lt;'user input'!$C$2,'user input'!$C$2,'weather data'!D1286)</f>
        <v>18.333333333333332</v>
      </c>
      <c r="E1286">
        <f t="shared" si="20"/>
        <v>24.166666666666664</v>
      </c>
      <c r="F1286">
        <f>IF((E1286-'user input'!$C$2)&lt;0,0,E1286-'user input'!$C$2)</f>
        <v>14.166666666666664</v>
      </c>
      <c r="G1286">
        <f>IF(B1286&lt;'user input'!$C$5,0,(F1286+G1285))</f>
        <v>552.50000000000011</v>
      </c>
      <c r="H1286">
        <f>G1286/'user input'!$C$4</f>
        <v>0.46041666666666675</v>
      </c>
    </row>
    <row r="1287" spans="1:8" x14ac:dyDescent="0.2">
      <c r="A1287" s="1">
        <v>41463</v>
      </c>
      <c r="B1287">
        <v>190</v>
      </c>
      <c r="C1287" s="6">
        <f>IF('weather data'!C1287&gt;'user input'!$C$3,'user input'!$C$3,'weather data'!C1287)</f>
        <v>30</v>
      </c>
      <c r="D1287" s="6">
        <f>IF('weather data'!D1287&lt;'user input'!$C$2,'user input'!$C$2,'weather data'!D1287)</f>
        <v>13.333333333333332</v>
      </c>
      <c r="E1287">
        <f t="shared" si="20"/>
        <v>21.666666666666664</v>
      </c>
      <c r="F1287">
        <f>IF((E1287-'user input'!$C$2)&lt;0,0,E1287-'user input'!$C$2)</f>
        <v>11.666666666666664</v>
      </c>
      <c r="G1287">
        <f>IF(B1287&lt;'user input'!$C$5,0,(F1287+G1286))</f>
        <v>564.16666666666674</v>
      </c>
      <c r="H1287">
        <f>G1287/'user input'!$C$4</f>
        <v>0.47013888888888894</v>
      </c>
    </row>
    <row r="1288" spans="1:8" x14ac:dyDescent="0.2">
      <c r="A1288" s="1">
        <v>41464</v>
      </c>
      <c r="B1288">
        <v>191</v>
      </c>
      <c r="C1288" s="6">
        <f>IF('weather data'!C1288&gt;'user input'!$C$3,'user input'!$C$3,'weather data'!C1288)</f>
        <v>30</v>
      </c>
      <c r="D1288" s="6">
        <f>IF('weather data'!D1288&lt;'user input'!$C$2,'user input'!$C$2,'weather data'!D1288)</f>
        <v>15</v>
      </c>
      <c r="E1288">
        <f t="shared" si="20"/>
        <v>22.5</v>
      </c>
      <c r="F1288">
        <f>IF((E1288-'user input'!$C$2)&lt;0,0,E1288-'user input'!$C$2)</f>
        <v>12.5</v>
      </c>
      <c r="G1288">
        <f>IF(B1288&lt;'user input'!$C$5,0,(F1288+G1287))</f>
        <v>576.66666666666674</v>
      </c>
      <c r="H1288">
        <f>G1288/'user input'!$C$4</f>
        <v>0.48055555555555562</v>
      </c>
    </row>
    <row r="1289" spans="1:8" x14ac:dyDescent="0.2">
      <c r="A1289" s="1">
        <v>41465</v>
      </c>
      <c r="B1289">
        <v>192</v>
      </c>
      <c r="C1289" s="6">
        <f>IF('weather data'!C1289&gt;'user input'!$C$3,'user input'!$C$3,'weather data'!C1289)</f>
        <v>30</v>
      </c>
      <c r="D1289" s="6">
        <f>IF('weather data'!D1289&lt;'user input'!$C$2,'user input'!$C$2,'weather data'!D1289)</f>
        <v>16.111111111111111</v>
      </c>
      <c r="E1289">
        <f t="shared" si="20"/>
        <v>23.055555555555557</v>
      </c>
      <c r="F1289">
        <f>IF((E1289-'user input'!$C$2)&lt;0,0,E1289-'user input'!$C$2)</f>
        <v>13.055555555555557</v>
      </c>
      <c r="G1289">
        <f>IF(B1289&lt;'user input'!$C$5,0,(F1289+G1288))</f>
        <v>589.72222222222229</v>
      </c>
      <c r="H1289">
        <f>G1289/'user input'!$C$4</f>
        <v>0.49143518518518525</v>
      </c>
    </row>
    <row r="1290" spans="1:8" x14ac:dyDescent="0.2">
      <c r="A1290" s="1">
        <v>41466</v>
      </c>
      <c r="B1290">
        <v>193</v>
      </c>
      <c r="C1290" s="6">
        <f>IF('weather data'!C1290&gt;'user input'!$C$3,'user input'!$C$3,'weather data'!C1290)</f>
        <v>30</v>
      </c>
      <c r="D1290" s="6">
        <f>IF('weather data'!D1290&lt;'user input'!$C$2,'user input'!$C$2,'weather data'!D1290)</f>
        <v>20.555555555555554</v>
      </c>
      <c r="E1290">
        <f t="shared" si="20"/>
        <v>25.277777777777779</v>
      </c>
      <c r="F1290">
        <f>IF((E1290-'user input'!$C$2)&lt;0,0,E1290-'user input'!$C$2)</f>
        <v>15.277777777777779</v>
      </c>
      <c r="G1290">
        <f>IF(B1290&lt;'user input'!$C$5,0,(F1290+G1289))</f>
        <v>605.00000000000011</v>
      </c>
      <c r="H1290">
        <f>G1290/'user input'!$C$4</f>
        <v>0.50416666666666676</v>
      </c>
    </row>
    <row r="1291" spans="1:8" x14ac:dyDescent="0.2">
      <c r="A1291" s="1">
        <v>41467</v>
      </c>
      <c r="B1291">
        <v>194</v>
      </c>
      <c r="C1291" s="6">
        <f>IF('weather data'!C1291&gt;'user input'!$C$3,'user input'!$C$3,'weather data'!C1291)</f>
        <v>30</v>
      </c>
      <c r="D1291" s="6">
        <f>IF('weather data'!D1291&lt;'user input'!$C$2,'user input'!$C$2,'weather data'!D1291)</f>
        <v>21.111111111111111</v>
      </c>
      <c r="E1291">
        <f t="shared" si="20"/>
        <v>25.555555555555557</v>
      </c>
      <c r="F1291">
        <f>IF((E1291-'user input'!$C$2)&lt;0,0,E1291-'user input'!$C$2)</f>
        <v>15.555555555555557</v>
      </c>
      <c r="G1291">
        <f>IF(B1291&lt;'user input'!$C$5,0,(F1291+G1290))</f>
        <v>620.55555555555566</v>
      </c>
      <c r="H1291">
        <f>G1291/'user input'!$C$4</f>
        <v>0.51712962962962972</v>
      </c>
    </row>
    <row r="1292" spans="1:8" x14ac:dyDescent="0.2">
      <c r="A1292" s="1">
        <v>41468</v>
      </c>
      <c r="B1292">
        <v>195</v>
      </c>
      <c r="C1292" s="6">
        <f>IF('weather data'!C1292&gt;'user input'!$C$3,'user input'!$C$3,'weather data'!C1292)</f>
        <v>30</v>
      </c>
      <c r="D1292" s="6">
        <f>IF('weather data'!D1292&lt;'user input'!$C$2,'user input'!$C$2,'weather data'!D1292)</f>
        <v>23.333333333333336</v>
      </c>
      <c r="E1292">
        <f t="shared" si="20"/>
        <v>26.666666666666668</v>
      </c>
      <c r="F1292">
        <f>IF((E1292-'user input'!$C$2)&lt;0,0,E1292-'user input'!$C$2)</f>
        <v>16.666666666666668</v>
      </c>
      <c r="G1292">
        <f>IF(B1292&lt;'user input'!$C$5,0,(F1292+G1291))</f>
        <v>637.22222222222229</v>
      </c>
      <c r="H1292">
        <f>G1292/'user input'!$C$4</f>
        <v>0.53101851851851856</v>
      </c>
    </row>
    <row r="1293" spans="1:8" x14ac:dyDescent="0.2">
      <c r="A1293" s="1">
        <v>41469</v>
      </c>
      <c r="B1293">
        <v>196</v>
      </c>
      <c r="C1293" s="6">
        <f>IF('weather data'!C1293&gt;'user input'!$C$3,'user input'!$C$3,'weather data'!C1293)</f>
        <v>30</v>
      </c>
      <c r="D1293" s="6">
        <f>IF('weather data'!D1293&lt;'user input'!$C$2,'user input'!$C$2,'weather data'!D1293)</f>
        <v>22.777777777777779</v>
      </c>
      <c r="E1293">
        <f t="shared" si="20"/>
        <v>26.388888888888889</v>
      </c>
      <c r="F1293">
        <f>IF((E1293-'user input'!$C$2)&lt;0,0,E1293-'user input'!$C$2)</f>
        <v>16.388888888888889</v>
      </c>
      <c r="G1293">
        <f>IF(B1293&lt;'user input'!$C$5,0,(F1293+G1292))</f>
        <v>653.6111111111112</v>
      </c>
      <c r="H1293">
        <f>G1293/'user input'!$C$4</f>
        <v>0.54467592592592595</v>
      </c>
    </row>
    <row r="1294" spans="1:8" x14ac:dyDescent="0.2">
      <c r="A1294" s="1">
        <v>41470</v>
      </c>
      <c r="B1294">
        <v>197</v>
      </c>
      <c r="C1294" s="6">
        <f>IF('weather data'!C1294&gt;'user input'!$C$3,'user input'!$C$3,'weather data'!C1294)</f>
        <v>30</v>
      </c>
      <c r="D1294" s="6">
        <f>IF('weather data'!D1294&lt;'user input'!$C$2,'user input'!$C$2,'weather data'!D1294)</f>
        <v>23.888888888888889</v>
      </c>
      <c r="E1294">
        <f t="shared" si="20"/>
        <v>26.944444444444443</v>
      </c>
      <c r="F1294">
        <f>IF((E1294-'user input'!$C$2)&lt;0,0,E1294-'user input'!$C$2)</f>
        <v>16.944444444444443</v>
      </c>
      <c r="G1294">
        <f>IF(B1294&lt;'user input'!$C$5,0,(F1294+G1293))</f>
        <v>670.55555555555566</v>
      </c>
      <c r="H1294">
        <f>G1294/'user input'!$C$4</f>
        <v>0.55879629629629635</v>
      </c>
    </row>
    <row r="1295" spans="1:8" x14ac:dyDescent="0.2">
      <c r="A1295" s="1">
        <v>41471</v>
      </c>
      <c r="B1295">
        <v>198</v>
      </c>
      <c r="C1295" s="6">
        <f>IF('weather data'!C1295&gt;'user input'!$C$3,'user input'!$C$3,'weather data'!C1295)</f>
        <v>30</v>
      </c>
      <c r="D1295" s="6">
        <f>IF('weather data'!D1295&lt;'user input'!$C$2,'user input'!$C$2,'weather data'!D1295)</f>
        <v>22.777777777777779</v>
      </c>
      <c r="E1295">
        <f t="shared" si="20"/>
        <v>26.388888888888889</v>
      </c>
      <c r="F1295">
        <f>IF((E1295-'user input'!$C$2)&lt;0,0,E1295-'user input'!$C$2)</f>
        <v>16.388888888888889</v>
      </c>
      <c r="G1295">
        <f>IF(B1295&lt;'user input'!$C$5,0,(F1295+G1294))</f>
        <v>686.94444444444457</v>
      </c>
      <c r="H1295">
        <f>G1295/'user input'!$C$4</f>
        <v>0.57245370370370385</v>
      </c>
    </row>
    <row r="1296" spans="1:8" x14ac:dyDescent="0.2">
      <c r="A1296" s="1">
        <v>41472</v>
      </c>
      <c r="B1296">
        <v>199</v>
      </c>
      <c r="C1296" s="6">
        <f>IF('weather data'!C1296&gt;'user input'!$C$3,'user input'!$C$3,'weather data'!C1296)</f>
        <v>30</v>
      </c>
      <c r="D1296" s="6">
        <f>IF('weather data'!D1296&lt;'user input'!$C$2,'user input'!$C$2,'weather data'!D1296)</f>
        <v>16.666666666666668</v>
      </c>
      <c r="E1296">
        <f t="shared" si="20"/>
        <v>23.333333333333336</v>
      </c>
      <c r="F1296">
        <f>IF((E1296-'user input'!$C$2)&lt;0,0,E1296-'user input'!$C$2)</f>
        <v>13.333333333333336</v>
      </c>
      <c r="G1296">
        <f>IF(B1296&lt;'user input'!$C$5,0,(F1296+G1295))</f>
        <v>700.27777777777794</v>
      </c>
      <c r="H1296">
        <f>G1296/'user input'!$C$4</f>
        <v>0.58356481481481493</v>
      </c>
    </row>
    <row r="1297" spans="1:8" x14ac:dyDescent="0.2">
      <c r="A1297" s="1">
        <v>41473</v>
      </c>
      <c r="B1297">
        <v>200</v>
      </c>
      <c r="C1297" s="6">
        <f>IF('weather data'!C1297&gt;'user input'!$C$3,'user input'!$C$3,'weather data'!C1297)</f>
        <v>30</v>
      </c>
      <c r="D1297" s="6">
        <f>IF('weather data'!D1297&lt;'user input'!$C$2,'user input'!$C$2,'weather data'!D1297)</f>
        <v>16.666666666666668</v>
      </c>
      <c r="E1297">
        <f t="shared" si="20"/>
        <v>23.333333333333336</v>
      </c>
      <c r="F1297">
        <f>IF((E1297-'user input'!$C$2)&lt;0,0,E1297-'user input'!$C$2)</f>
        <v>13.333333333333336</v>
      </c>
      <c r="G1297">
        <f>IF(B1297&lt;'user input'!$C$5,0,(F1297+G1296))</f>
        <v>713.61111111111131</v>
      </c>
      <c r="H1297">
        <f>G1297/'user input'!$C$4</f>
        <v>0.59467592592592611</v>
      </c>
    </row>
    <row r="1298" spans="1:8" x14ac:dyDescent="0.2">
      <c r="A1298" s="1">
        <v>41474</v>
      </c>
      <c r="B1298">
        <v>201</v>
      </c>
      <c r="C1298" s="6">
        <f>IF('weather data'!C1298&gt;'user input'!$C$3,'user input'!$C$3,'weather data'!C1298)</f>
        <v>30</v>
      </c>
      <c r="D1298" s="6">
        <f>IF('weather data'!D1298&lt;'user input'!$C$2,'user input'!$C$2,'weather data'!D1298)</f>
        <v>16.111111111111111</v>
      </c>
      <c r="E1298">
        <f t="shared" ref="E1298:E1361" si="21">(C1298+D1298)/2</f>
        <v>23.055555555555557</v>
      </c>
      <c r="F1298">
        <f>IF((E1298-'user input'!$C$2)&lt;0,0,E1298-'user input'!$C$2)</f>
        <v>13.055555555555557</v>
      </c>
      <c r="G1298">
        <f>IF(B1298&lt;'user input'!$C$5,0,(F1298+G1297))</f>
        <v>726.66666666666686</v>
      </c>
      <c r="H1298">
        <f>G1298/'user input'!$C$4</f>
        <v>0.60555555555555574</v>
      </c>
    </row>
    <row r="1299" spans="1:8" x14ac:dyDescent="0.2">
      <c r="A1299" s="1">
        <v>41475</v>
      </c>
      <c r="B1299">
        <v>202</v>
      </c>
      <c r="C1299" s="6">
        <f>IF('weather data'!C1299&gt;'user input'!$C$3,'user input'!$C$3,'weather data'!C1299)</f>
        <v>30</v>
      </c>
      <c r="D1299" s="6">
        <f>IF('weather data'!D1299&lt;'user input'!$C$2,'user input'!$C$2,'weather data'!D1299)</f>
        <v>12.777777777777777</v>
      </c>
      <c r="E1299">
        <f t="shared" si="21"/>
        <v>21.388888888888889</v>
      </c>
      <c r="F1299">
        <f>IF((E1299-'user input'!$C$2)&lt;0,0,E1299-'user input'!$C$2)</f>
        <v>11.388888888888889</v>
      </c>
      <c r="G1299">
        <f>IF(B1299&lt;'user input'!$C$5,0,(F1299+G1298))</f>
        <v>738.05555555555577</v>
      </c>
      <c r="H1299">
        <f>G1299/'user input'!$C$4</f>
        <v>0.61504629629629648</v>
      </c>
    </row>
    <row r="1300" spans="1:8" x14ac:dyDescent="0.2">
      <c r="A1300" s="1">
        <v>41476</v>
      </c>
      <c r="B1300">
        <v>203</v>
      </c>
      <c r="C1300" s="6">
        <f>IF('weather data'!C1300&gt;'user input'!$C$3,'user input'!$C$3,'weather data'!C1300)</f>
        <v>30</v>
      </c>
      <c r="D1300" s="6">
        <f>IF('weather data'!D1300&lt;'user input'!$C$2,'user input'!$C$2,'weather data'!D1300)</f>
        <v>13.333333333333332</v>
      </c>
      <c r="E1300">
        <f t="shared" si="21"/>
        <v>21.666666666666664</v>
      </c>
      <c r="F1300">
        <f>IF((E1300-'user input'!$C$2)&lt;0,0,E1300-'user input'!$C$2)</f>
        <v>11.666666666666664</v>
      </c>
      <c r="G1300">
        <f>IF(B1300&lt;'user input'!$C$5,0,(F1300+G1299))</f>
        <v>749.7222222222224</v>
      </c>
      <c r="H1300">
        <f>G1300/'user input'!$C$4</f>
        <v>0.62476851851851867</v>
      </c>
    </row>
    <row r="1301" spans="1:8" x14ac:dyDescent="0.2">
      <c r="A1301" s="1">
        <v>41477</v>
      </c>
      <c r="B1301">
        <v>204</v>
      </c>
      <c r="C1301" s="6">
        <f>IF('weather data'!C1301&gt;'user input'!$C$3,'user input'!$C$3,'weather data'!C1301)</f>
        <v>30</v>
      </c>
      <c r="D1301" s="6">
        <f>IF('weather data'!D1301&lt;'user input'!$C$2,'user input'!$C$2,'weather data'!D1301)</f>
        <v>14.444444444444445</v>
      </c>
      <c r="E1301">
        <f t="shared" si="21"/>
        <v>22.222222222222221</v>
      </c>
      <c r="F1301">
        <f>IF((E1301-'user input'!$C$2)&lt;0,0,E1301-'user input'!$C$2)</f>
        <v>12.222222222222221</v>
      </c>
      <c r="G1301">
        <f>IF(B1301&lt;'user input'!$C$5,0,(F1301+G1300))</f>
        <v>761.94444444444457</v>
      </c>
      <c r="H1301">
        <f>G1301/'user input'!$C$4</f>
        <v>0.63495370370370385</v>
      </c>
    </row>
    <row r="1302" spans="1:8" x14ac:dyDescent="0.2">
      <c r="A1302" s="1">
        <v>41478</v>
      </c>
      <c r="B1302">
        <v>205</v>
      </c>
      <c r="C1302" s="6">
        <f>IF('weather data'!C1302&gt;'user input'!$C$3,'user input'!$C$3,'weather data'!C1302)</f>
        <v>30</v>
      </c>
      <c r="D1302" s="6">
        <f>IF('weather data'!D1302&lt;'user input'!$C$2,'user input'!$C$2,'weather data'!D1302)</f>
        <v>16.111111111111111</v>
      </c>
      <c r="E1302">
        <f t="shared" si="21"/>
        <v>23.055555555555557</v>
      </c>
      <c r="F1302">
        <f>IF((E1302-'user input'!$C$2)&lt;0,0,E1302-'user input'!$C$2)</f>
        <v>13.055555555555557</v>
      </c>
      <c r="G1302">
        <f>IF(B1302&lt;'user input'!$C$5,0,(F1302+G1301))</f>
        <v>775.00000000000011</v>
      </c>
      <c r="H1302">
        <f>G1302/'user input'!$C$4</f>
        <v>0.64583333333333348</v>
      </c>
    </row>
    <row r="1303" spans="1:8" x14ac:dyDescent="0.2">
      <c r="A1303" s="1">
        <v>41479</v>
      </c>
      <c r="B1303">
        <v>206</v>
      </c>
      <c r="C1303" s="6">
        <f>IF('weather data'!C1303&gt;'user input'!$C$3,'user input'!$C$3,'weather data'!C1303)</f>
        <v>30</v>
      </c>
      <c r="D1303" s="6">
        <f>IF('weather data'!D1303&lt;'user input'!$C$2,'user input'!$C$2,'weather data'!D1303)</f>
        <v>21.111111111111111</v>
      </c>
      <c r="E1303">
        <f t="shared" si="21"/>
        <v>25.555555555555557</v>
      </c>
      <c r="F1303">
        <f>IF((E1303-'user input'!$C$2)&lt;0,0,E1303-'user input'!$C$2)</f>
        <v>15.555555555555557</v>
      </c>
      <c r="G1303">
        <f>IF(B1303&lt;'user input'!$C$5,0,(F1303+G1302))</f>
        <v>790.55555555555566</v>
      </c>
      <c r="H1303">
        <f>G1303/'user input'!$C$4</f>
        <v>0.65879629629629644</v>
      </c>
    </row>
    <row r="1304" spans="1:8" x14ac:dyDescent="0.2">
      <c r="A1304" s="1">
        <v>41480</v>
      </c>
      <c r="B1304">
        <v>207</v>
      </c>
      <c r="C1304" s="6">
        <f>IF('weather data'!C1304&gt;'user input'!$C$3,'user input'!$C$3,'weather data'!C1304)</f>
        <v>30</v>
      </c>
      <c r="D1304" s="6">
        <f>IF('weather data'!D1304&lt;'user input'!$C$2,'user input'!$C$2,'weather data'!D1304)</f>
        <v>18.888888888888889</v>
      </c>
      <c r="E1304">
        <f t="shared" si="21"/>
        <v>24.444444444444443</v>
      </c>
      <c r="F1304">
        <f>IF((E1304-'user input'!$C$2)&lt;0,0,E1304-'user input'!$C$2)</f>
        <v>14.444444444444443</v>
      </c>
      <c r="G1304">
        <f>IF(B1304&lt;'user input'!$C$5,0,(F1304+G1303))</f>
        <v>805.00000000000011</v>
      </c>
      <c r="H1304">
        <f>G1304/'user input'!$C$4</f>
        <v>0.67083333333333339</v>
      </c>
    </row>
    <row r="1305" spans="1:8" x14ac:dyDescent="0.2">
      <c r="A1305" s="1">
        <v>41481</v>
      </c>
      <c r="B1305">
        <v>208</v>
      </c>
      <c r="C1305" s="6">
        <f>IF('weather data'!C1305&gt;'user input'!$C$3,'user input'!$C$3,'weather data'!C1305)</f>
        <v>30</v>
      </c>
      <c r="D1305" s="6">
        <f>IF('weather data'!D1305&lt;'user input'!$C$2,'user input'!$C$2,'weather data'!D1305)</f>
        <v>20.555555555555554</v>
      </c>
      <c r="E1305">
        <f t="shared" si="21"/>
        <v>25.277777777777779</v>
      </c>
      <c r="F1305">
        <f>IF((E1305-'user input'!$C$2)&lt;0,0,E1305-'user input'!$C$2)</f>
        <v>15.277777777777779</v>
      </c>
      <c r="G1305">
        <f>IF(B1305&lt;'user input'!$C$5,0,(F1305+G1304))</f>
        <v>820.27777777777794</v>
      </c>
      <c r="H1305">
        <f>G1305/'user input'!$C$4</f>
        <v>0.6835648148148149</v>
      </c>
    </row>
    <row r="1306" spans="1:8" x14ac:dyDescent="0.2">
      <c r="A1306" s="1">
        <v>41482</v>
      </c>
      <c r="B1306">
        <v>209</v>
      </c>
      <c r="C1306" s="6">
        <f>IF('weather data'!C1306&gt;'user input'!$C$3,'user input'!$C$3,'weather data'!C1306)</f>
        <v>30</v>
      </c>
      <c r="D1306" s="6">
        <f>IF('weather data'!D1306&lt;'user input'!$C$2,'user input'!$C$2,'weather data'!D1306)</f>
        <v>21.666666666666664</v>
      </c>
      <c r="E1306">
        <f t="shared" si="21"/>
        <v>25.833333333333332</v>
      </c>
      <c r="F1306">
        <f>IF((E1306-'user input'!$C$2)&lt;0,0,E1306-'user input'!$C$2)</f>
        <v>15.833333333333332</v>
      </c>
      <c r="G1306">
        <f>IF(B1306&lt;'user input'!$C$5,0,(F1306+G1305))</f>
        <v>836.11111111111131</v>
      </c>
      <c r="H1306">
        <f>G1306/'user input'!$C$4</f>
        <v>0.69675925925925941</v>
      </c>
    </row>
    <row r="1307" spans="1:8" x14ac:dyDescent="0.2">
      <c r="A1307" s="1">
        <v>41483</v>
      </c>
      <c r="B1307">
        <v>210</v>
      </c>
      <c r="C1307" s="6">
        <f>IF('weather data'!C1307&gt;'user input'!$C$3,'user input'!$C$3,'weather data'!C1307)</f>
        <v>30</v>
      </c>
      <c r="D1307" s="6">
        <f>IF('weather data'!D1307&lt;'user input'!$C$2,'user input'!$C$2,'weather data'!D1307)</f>
        <v>21.111111111111111</v>
      </c>
      <c r="E1307">
        <f t="shared" si="21"/>
        <v>25.555555555555557</v>
      </c>
      <c r="F1307">
        <f>IF((E1307-'user input'!$C$2)&lt;0,0,E1307-'user input'!$C$2)</f>
        <v>15.555555555555557</v>
      </c>
      <c r="G1307">
        <f>IF(B1307&lt;'user input'!$C$5,0,(F1307+G1306))</f>
        <v>851.66666666666686</v>
      </c>
      <c r="H1307">
        <f>G1307/'user input'!$C$4</f>
        <v>0.70972222222222237</v>
      </c>
    </row>
    <row r="1308" spans="1:8" x14ac:dyDescent="0.2">
      <c r="A1308" s="1">
        <v>41484</v>
      </c>
      <c r="B1308">
        <v>211</v>
      </c>
      <c r="C1308" s="6">
        <f>IF('weather data'!C1308&gt;'user input'!$C$3,'user input'!$C$3,'weather data'!C1308)</f>
        <v>22.777777777777779</v>
      </c>
      <c r="D1308" s="6">
        <f>IF('weather data'!D1308&lt;'user input'!$C$2,'user input'!$C$2,'weather data'!D1308)</f>
        <v>17.222222222222221</v>
      </c>
      <c r="E1308">
        <f t="shared" si="21"/>
        <v>20</v>
      </c>
      <c r="F1308">
        <f>IF((E1308-'user input'!$C$2)&lt;0,0,E1308-'user input'!$C$2)</f>
        <v>10</v>
      </c>
      <c r="G1308">
        <f>IF(B1308&lt;'user input'!$C$5,0,(F1308+G1307))</f>
        <v>861.66666666666686</v>
      </c>
      <c r="H1308">
        <f>G1308/'user input'!$C$4</f>
        <v>0.71805555555555567</v>
      </c>
    </row>
    <row r="1309" spans="1:8" x14ac:dyDescent="0.2">
      <c r="A1309" s="1">
        <v>41485</v>
      </c>
      <c r="B1309">
        <v>212</v>
      </c>
      <c r="C1309" s="6">
        <f>IF('weather data'!C1309&gt;'user input'!$C$3,'user input'!$C$3,'weather data'!C1309)</f>
        <v>29.444444444444446</v>
      </c>
      <c r="D1309" s="6">
        <f>IF('weather data'!D1309&lt;'user input'!$C$2,'user input'!$C$2,'weather data'!D1309)</f>
        <v>16.666666666666668</v>
      </c>
      <c r="E1309">
        <f t="shared" si="21"/>
        <v>23.055555555555557</v>
      </c>
      <c r="F1309">
        <f>IF((E1309-'user input'!$C$2)&lt;0,0,E1309-'user input'!$C$2)</f>
        <v>13.055555555555557</v>
      </c>
      <c r="G1309">
        <f>IF(B1309&lt;'user input'!$C$5,0,(F1309+G1308))</f>
        <v>874.7222222222224</v>
      </c>
      <c r="H1309">
        <f>G1309/'user input'!$C$4</f>
        <v>0.7289351851851853</v>
      </c>
    </row>
    <row r="1310" spans="1:8" x14ac:dyDescent="0.2">
      <c r="A1310" s="1">
        <v>41486</v>
      </c>
      <c r="B1310">
        <v>213</v>
      </c>
      <c r="C1310" s="6">
        <f>IF('weather data'!C1310&gt;'user input'!$C$3,'user input'!$C$3,'weather data'!C1310)</f>
        <v>30</v>
      </c>
      <c r="D1310" s="6">
        <f>IF('weather data'!D1310&lt;'user input'!$C$2,'user input'!$C$2,'weather data'!D1310)</f>
        <v>20</v>
      </c>
      <c r="E1310">
        <f t="shared" si="21"/>
        <v>25</v>
      </c>
      <c r="F1310">
        <f>IF((E1310-'user input'!$C$2)&lt;0,0,E1310-'user input'!$C$2)</f>
        <v>15</v>
      </c>
      <c r="G1310">
        <f>IF(B1310&lt;'user input'!$C$5,0,(F1310+G1309))</f>
        <v>889.7222222222224</v>
      </c>
      <c r="H1310">
        <f>G1310/'user input'!$C$4</f>
        <v>0.74143518518518536</v>
      </c>
    </row>
    <row r="1311" spans="1:8" x14ac:dyDescent="0.2">
      <c r="A1311" s="1">
        <v>41487</v>
      </c>
      <c r="B1311">
        <v>214</v>
      </c>
      <c r="C1311" s="6">
        <f>IF('weather data'!C1311&gt;'user input'!$C$3,'user input'!$C$3,'weather data'!C1311)</f>
        <v>30</v>
      </c>
      <c r="D1311" s="6">
        <f>IF('weather data'!D1311&lt;'user input'!$C$2,'user input'!$C$2,'weather data'!D1311)</f>
        <v>21.666666666666664</v>
      </c>
      <c r="E1311">
        <f t="shared" si="21"/>
        <v>25.833333333333332</v>
      </c>
      <c r="F1311">
        <f>IF((E1311-'user input'!$C$2)&lt;0,0,E1311-'user input'!$C$2)</f>
        <v>15.833333333333332</v>
      </c>
      <c r="G1311">
        <f>IF(B1311&lt;'user input'!$C$5,0,(F1311+G1310))</f>
        <v>905.55555555555577</v>
      </c>
      <c r="H1311">
        <f>G1311/'user input'!$C$4</f>
        <v>0.75462962962962976</v>
      </c>
    </row>
    <row r="1312" spans="1:8" x14ac:dyDescent="0.2">
      <c r="A1312" s="1">
        <v>41488</v>
      </c>
      <c r="B1312">
        <v>215</v>
      </c>
      <c r="C1312" s="6">
        <f>IF('weather data'!C1312&gt;'user input'!$C$3,'user input'!$C$3,'weather data'!C1312)</f>
        <v>30</v>
      </c>
      <c r="D1312" s="6">
        <f>IF('weather data'!D1312&lt;'user input'!$C$2,'user input'!$C$2,'weather data'!D1312)</f>
        <v>21.666666666666664</v>
      </c>
      <c r="E1312">
        <f t="shared" si="21"/>
        <v>25.833333333333332</v>
      </c>
      <c r="F1312">
        <f>IF((E1312-'user input'!$C$2)&lt;0,0,E1312-'user input'!$C$2)</f>
        <v>15.833333333333332</v>
      </c>
      <c r="G1312">
        <f>IF(B1312&lt;'user input'!$C$5,0,(F1312+G1311))</f>
        <v>921.38888888888914</v>
      </c>
      <c r="H1312">
        <f>G1312/'user input'!$C$4</f>
        <v>0.76782407407407427</v>
      </c>
    </row>
    <row r="1313" spans="1:8" x14ac:dyDescent="0.2">
      <c r="A1313" s="1">
        <v>41489</v>
      </c>
      <c r="B1313">
        <v>216</v>
      </c>
      <c r="C1313" s="6">
        <f>IF('weather data'!C1313&gt;'user input'!$C$3,'user input'!$C$3,'weather data'!C1313)</f>
        <v>27.222222222222221</v>
      </c>
      <c r="D1313" s="6">
        <f>IF('weather data'!D1313&lt;'user input'!$C$2,'user input'!$C$2,'weather data'!D1313)</f>
        <v>18.333333333333332</v>
      </c>
      <c r="E1313">
        <f t="shared" si="21"/>
        <v>22.777777777777779</v>
      </c>
      <c r="F1313">
        <f>IF((E1313-'user input'!$C$2)&lt;0,0,E1313-'user input'!$C$2)</f>
        <v>12.777777777777779</v>
      </c>
      <c r="G1313">
        <f>IF(B1313&lt;'user input'!$C$5,0,(F1313+G1312))</f>
        <v>934.16666666666697</v>
      </c>
      <c r="H1313">
        <f>G1313/'user input'!$C$4</f>
        <v>0.77847222222222245</v>
      </c>
    </row>
    <row r="1314" spans="1:8" x14ac:dyDescent="0.2">
      <c r="A1314" s="1">
        <v>41490</v>
      </c>
      <c r="B1314">
        <v>217</v>
      </c>
      <c r="C1314" s="6">
        <f>IF('weather data'!C1314&gt;'user input'!$C$3,'user input'!$C$3,'weather data'!C1314)</f>
        <v>30</v>
      </c>
      <c r="D1314" s="6">
        <f>IF('weather data'!D1314&lt;'user input'!$C$2,'user input'!$C$2,'weather data'!D1314)</f>
        <v>19.444444444444443</v>
      </c>
      <c r="E1314">
        <f t="shared" si="21"/>
        <v>24.722222222222221</v>
      </c>
      <c r="F1314">
        <f>IF((E1314-'user input'!$C$2)&lt;0,0,E1314-'user input'!$C$2)</f>
        <v>14.722222222222221</v>
      </c>
      <c r="G1314">
        <f>IF(B1314&lt;'user input'!$C$5,0,(F1314+G1313))</f>
        <v>948.88888888888914</v>
      </c>
      <c r="H1314">
        <f>G1314/'user input'!$C$4</f>
        <v>0.79074074074074097</v>
      </c>
    </row>
    <row r="1315" spans="1:8" x14ac:dyDescent="0.2">
      <c r="A1315" s="1">
        <v>41491</v>
      </c>
      <c r="B1315">
        <v>218</v>
      </c>
      <c r="C1315" s="6">
        <f>IF('weather data'!C1315&gt;'user input'!$C$3,'user input'!$C$3,'weather data'!C1315)</f>
        <v>30</v>
      </c>
      <c r="D1315" s="6">
        <f>IF('weather data'!D1315&lt;'user input'!$C$2,'user input'!$C$2,'weather data'!D1315)</f>
        <v>17.777777777777779</v>
      </c>
      <c r="E1315">
        <f t="shared" si="21"/>
        <v>23.888888888888889</v>
      </c>
      <c r="F1315">
        <f>IF((E1315-'user input'!$C$2)&lt;0,0,E1315-'user input'!$C$2)</f>
        <v>13.888888888888889</v>
      </c>
      <c r="G1315">
        <f>IF(B1315&lt;'user input'!$C$5,0,(F1315+G1314))</f>
        <v>962.77777777777806</v>
      </c>
      <c r="H1315">
        <f>G1315/'user input'!$C$4</f>
        <v>0.80231481481481504</v>
      </c>
    </row>
    <row r="1316" spans="1:8" x14ac:dyDescent="0.2">
      <c r="A1316" s="1">
        <v>41492</v>
      </c>
      <c r="B1316">
        <v>219</v>
      </c>
      <c r="C1316" s="6">
        <f>IF('weather data'!C1316&gt;'user input'!$C$3,'user input'!$C$3,'weather data'!C1316)</f>
        <v>27.222222222222221</v>
      </c>
      <c r="D1316" s="6">
        <f>IF('weather data'!D1316&lt;'user input'!$C$2,'user input'!$C$2,'weather data'!D1316)</f>
        <v>14.444444444444445</v>
      </c>
      <c r="E1316">
        <f t="shared" si="21"/>
        <v>20.833333333333332</v>
      </c>
      <c r="F1316">
        <f>IF((E1316-'user input'!$C$2)&lt;0,0,E1316-'user input'!$C$2)</f>
        <v>10.833333333333332</v>
      </c>
      <c r="G1316">
        <f>IF(B1316&lt;'user input'!$C$5,0,(F1316+G1315))</f>
        <v>973.61111111111143</v>
      </c>
      <c r="H1316">
        <f>G1316/'user input'!$C$4</f>
        <v>0.81134259259259289</v>
      </c>
    </row>
    <row r="1317" spans="1:8" x14ac:dyDescent="0.2">
      <c r="A1317" s="1">
        <v>41493</v>
      </c>
      <c r="B1317">
        <v>220</v>
      </c>
      <c r="C1317" s="6">
        <f>IF('weather data'!C1317&gt;'user input'!$C$3,'user input'!$C$3,'weather data'!C1317)</f>
        <v>27.777777777777779</v>
      </c>
      <c r="D1317" s="6">
        <f>IF('weather data'!D1317&lt;'user input'!$C$2,'user input'!$C$2,'weather data'!D1317)</f>
        <v>16.111111111111111</v>
      </c>
      <c r="E1317">
        <f t="shared" si="21"/>
        <v>21.944444444444443</v>
      </c>
      <c r="F1317">
        <f>IF((E1317-'user input'!$C$2)&lt;0,0,E1317-'user input'!$C$2)</f>
        <v>11.944444444444443</v>
      </c>
      <c r="G1317">
        <f>IF(B1317&lt;'user input'!$C$5,0,(F1317+G1316))</f>
        <v>985.55555555555588</v>
      </c>
      <c r="H1317">
        <f>G1317/'user input'!$C$4</f>
        <v>0.82129629629629652</v>
      </c>
    </row>
    <row r="1318" spans="1:8" x14ac:dyDescent="0.2">
      <c r="A1318" s="1">
        <v>41494</v>
      </c>
      <c r="B1318">
        <v>221</v>
      </c>
      <c r="C1318" s="6">
        <f>IF('weather data'!C1318&gt;'user input'!$C$3,'user input'!$C$3,'weather data'!C1318)</f>
        <v>29.444444444444446</v>
      </c>
      <c r="D1318" s="6">
        <f>IF('weather data'!D1318&lt;'user input'!$C$2,'user input'!$C$2,'weather data'!D1318)</f>
        <v>16.666666666666668</v>
      </c>
      <c r="E1318">
        <f t="shared" si="21"/>
        <v>23.055555555555557</v>
      </c>
      <c r="F1318">
        <f>IF((E1318-'user input'!$C$2)&lt;0,0,E1318-'user input'!$C$2)</f>
        <v>13.055555555555557</v>
      </c>
      <c r="G1318">
        <f>IF(B1318&lt;'user input'!$C$5,0,(F1318+G1317))</f>
        <v>998.61111111111143</v>
      </c>
      <c r="H1318">
        <f>G1318/'user input'!$C$4</f>
        <v>0.83217592592592615</v>
      </c>
    </row>
    <row r="1319" spans="1:8" x14ac:dyDescent="0.2">
      <c r="A1319" s="1">
        <v>41495</v>
      </c>
      <c r="B1319">
        <v>222</v>
      </c>
      <c r="C1319" s="6">
        <f>IF('weather data'!C1319&gt;'user input'!$C$3,'user input'!$C$3,'weather data'!C1319)</f>
        <v>30</v>
      </c>
      <c r="D1319" s="6">
        <f>IF('weather data'!D1319&lt;'user input'!$C$2,'user input'!$C$2,'weather data'!D1319)</f>
        <v>18.333333333333332</v>
      </c>
      <c r="E1319">
        <f t="shared" si="21"/>
        <v>24.166666666666664</v>
      </c>
      <c r="F1319">
        <f>IF((E1319-'user input'!$C$2)&lt;0,0,E1319-'user input'!$C$2)</f>
        <v>14.166666666666664</v>
      </c>
      <c r="G1319">
        <f>IF(B1319&lt;'user input'!$C$5,0,(F1319+G1318))</f>
        <v>1012.7777777777781</v>
      </c>
      <c r="H1319">
        <f>G1319/'user input'!$C$4</f>
        <v>0.84398148148148167</v>
      </c>
    </row>
    <row r="1320" spans="1:8" x14ac:dyDescent="0.2">
      <c r="A1320" s="1">
        <v>41496</v>
      </c>
      <c r="B1320">
        <v>223</v>
      </c>
      <c r="C1320" s="6">
        <f>IF('weather data'!C1320&gt;'user input'!$C$3,'user input'!$C$3,'weather data'!C1320)</f>
        <v>30</v>
      </c>
      <c r="D1320" s="6">
        <f>IF('weather data'!D1320&lt;'user input'!$C$2,'user input'!$C$2,'weather data'!D1320)</f>
        <v>15</v>
      </c>
      <c r="E1320">
        <f t="shared" si="21"/>
        <v>22.5</v>
      </c>
      <c r="F1320">
        <f>IF((E1320-'user input'!$C$2)&lt;0,0,E1320-'user input'!$C$2)</f>
        <v>12.5</v>
      </c>
      <c r="G1320">
        <f>IF(B1320&lt;'user input'!$C$5,0,(F1320+G1319))</f>
        <v>1025.2777777777781</v>
      </c>
      <c r="H1320">
        <f>G1320/'user input'!$C$4</f>
        <v>0.85439814814814841</v>
      </c>
    </row>
    <row r="1321" spans="1:8" x14ac:dyDescent="0.2">
      <c r="A1321" s="1">
        <v>41497</v>
      </c>
      <c r="B1321">
        <v>224</v>
      </c>
      <c r="C1321" s="6">
        <f>IF('weather data'!C1321&gt;'user input'!$C$3,'user input'!$C$3,'weather data'!C1321)</f>
        <v>30</v>
      </c>
      <c r="D1321" s="6">
        <f>IF('weather data'!D1321&lt;'user input'!$C$2,'user input'!$C$2,'weather data'!D1321)</f>
        <v>15.555555555555555</v>
      </c>
      <c r="E1321">
        <f t="shared" si="21"/>
        <v>22.777777777777779</v>
      </c>
      <c r="F1321">
        <f>IF((E1321-'user input'!$C$2)&lt;0,0,E1321-'user input'!$C$2)</f>
        <v>12.777777777777779</v>
      </c>
      <c r="G1321">
        <f>IF(B1321&lt;'user input'!$C$5,0,(F1321+G1320))</f>
        <v>1038.0555555555559</v>
      </c>
      <c r="H1321">
        <f>G1321/'user input'!$C$4</f>
        <v>0.86504629629629659</v>
      </c>
    </row>
    <row r="1322" spans="1:8" x14ac:dyDescent="0.2">
      <c r="A1322" s="1">
        <v>41498</v>
      </c>
      <c r="B1322">
        <v>225</v>
      </c>
      <c r="C1322" s="6">
        <f>IF('weather data'!C1322&gt;'user input'!$C$3,'user input'!$C$3,'weather data'!C1322)</f>
        <v>30</v>
      </c>
      <c r="D1322" s="6">
        <f>IF('weather data'!D1322&lt;'user input'!$C$2,'user input'!$C$2,'weather data'!D1322)</f>
        <v>19.444444444444443</v>
      </c>
      <c r="E1322">
        <f t="shared" si="21"/>
        <v>24.722222222222221</v>
      </c>
      <c r="F1322">
        <f>IF((E1322-'user input'!$C$2)&lt;0,0,E1322-'user input'!$C$2)</f>
        <v>14.722222222222221</v>
      </c>
      <c r="G1322">
        <f>IF(B1322&lt;'user input'!$C$5,0,(F1322+G1321))</f>
        <v>1052.7777777777781</v>
      </c>
      <c r="H1322">
        <f>G1322/'user input'!$C$4</f>
        <v>0.87731481481481499</v>
      </c>
    </row>
    <row r="1323" spans="1:8" x14ac:dyDescent="0.2">
      <c r="A1323" s="1">
        <v>41499</v>
      </c>
      <c r="B1323">
        <v>226</v>
      </c>
      <c r="C1323" s="6">
        <f>IF('weather data'!C1323&gt;'user input'!$C$3,'user input'!$C$3,'weather data'!C1323)</f>
        <v>30</v>
      </c>
      <c r="D1323" s="6">
        <f>IF('weather data'!D1323&lt;'user input'!$C$2,'user input'!$C$2,'weather data'!D1323)</f>
        <v>20</v>
      </c>
      <c r="E1323">
        <f t="shared" si="21"/>
        <v>25</v>
      </c>
      <c r="F1323">
        <f>IF((E1323-'user input'!$C$2)&lt;0,0,E1323-'user input'!$C$2)</f>
        <v>15</v>
      </c>
      <c r="G1323">
        <f>IF(B1323&lt;'user input'!$C$5,0,(F1323+G1322))</f>
        <v>1067.7777777777781</v>
      </c>
      <c r="H1323">
        <f>G1323/'user input'!$C$4</f>
        <v>0.88981481481481506</v>
      </c>
    </row>
    <row r="1324" spans="1:8" x14ac:dyDescent="0.2">
      <c r="A1324" s="1">
        <v>41500</v>
      </c>
      <c r="B1324">
        <v>227</v>
      </c>
      <c r="C1324" s="6">
        <f>IF('weather data'!C1324&gt;'user input'!$C$3,'user input'!$C$3,'weather data'!C1324)</f>
        <v>30</v>
      </c>
      <c r="D1324" s="6">
        <f>IF('weather data'!D1324&lt;'user input'!$C$2,'user input'!$C$2,'weather data'!D1324)</f>
        <v>15</v>
      </c>
      <c r="E1324">
        <f t="shared" si="21"/>
        <v>22.5</v>
      </c>
      <c r="F1324">
        <f>IF((E1324-'user input'!$C$2)&lt;0,0,E1324-'user input'!$C$2)</f>
        <v>12.5</v>
      </c>
      <c r="G1324">
        <f>IF(B1324&lt;'user input'!$C$5,0,(F1324+G1323))</f>
        <v>1080.2777777777781</v>
      </c>
      <c r="H1324">
        <f>G1324/'user input'!$C$4</f>
        <v>0.90023148148148169</v>
      </c>
    </row>
    <row r="1325" spans="1:8" x14ac:dyDescent="0.2">
      <c r="A1325" s="1">
        <v>41501</v>
      </c>
      <c r="B1325">
        <v>228</v>
      </c>
      <c r="C1325" s="6">
        <f>IF('weather data'!C1325&gt;'user input'!$C$3,'user input'!$C$3,'weather data'!C1325)</f>
        <v>25.555555555555554</v>
      </c>
      <c r="D1325" s="6">
        <f>IF('weather data'!D1325&lt;'user input'!$C$2,'user input'!$C$2,'weather data'!D1325)</f>
        <v>10</v>
      </c>
      <c r="E1325">
        <f t="shared" si="21"/>
        <v>17.777777777777779</v>
      </c>
      <c r="F1325">
        <f>IF((E1325-'user input'!$C$2)&lt;0,0,E1325-'user input'!$C$2)</f>
        <v>7.7777777777777786</v>
      </c>
      <c r="G1325">
        <f>IF(B1325&lt;'user input'!$C$5,0,(F1325+G1324))</f>
        <v>1088.0555555555559</v>
      </c>
      <c r="H1325">
        <f>G1325/'user input'!$C$4</f>
        <v>0.90671296296296322</v>
      </c>
    </row>
    <row r="1326" spans="1:8" x14ac:dyDescent="0.2">
      <c r="A1326" s="1">
        <v>41502</v>
      </c>
      <c r="B1326">
        <v>229</v>
      </c>
      <c r="C1326" s="6">
        <f>IF('weather data'!C1326&gt;'user input'!$C$3,'user input'!$C$3,'weather data'!C1326)</f>
        <v>27.777777777777779</v>
      </c>
      <c r="D1326" s="6">
        <f>IF('weather data'!D1326&lt;'user input'!$C$2,'user input'!$C$2,'weather data'!D1326)</f>
        <v>11.111111111111111</v>
      </c>
      <c r="E1326">
        <f t="shared" si="21"/>
        <v>19.444444444444443</v>
      </c>
      <c r="F1326">
        <f>IF((E1326-'user input'!$C$2)&lt;0,0,E1326-'user input'!$C$2)</f>
        <v>9.4444444444444429</v>
      </c>
      <c r="G1326">
        <f>IF(B1326&lt;'user input'!$C$5,0,(F1326+G1325))</f>
        <v>1097.5000000000002</v>
      </c>
      <c r="H1326">
        <f>G1326/'user input'!$C$4</f>
        <v>0.91458333333333353</v>
      </c>
    </row>
    <row r="1327" spans="1:8" x14ac:dyDescent="0.2">
      <c r="A1327" s="1">
        <v>41503</v>
      </c>
      <c r="B1327">
        <v>230</v>
      </c>
      <c r="C1327" s="6">
        <f>IF('weather data'!C1327&gt;'user input'!$C$3,'user input'!$C$3,'weather data'!C1327)</f>
        <v>30</v>
      </c>
      <c r="D1327" s="6">
        <f>IF('weather data'!D1327&lt;'user input'!$C$2,'user input'!$C$2,'weather data'!D1327)</f>
        <v>13.888888888888889</v>
      </c>
      <c r="E1327">
        <f t="shared" si="21"/>
        <v>21.944444444444443</v>
      </c>
      <c r="F1327">
        <f>IF((E1327-'user input'!$C$2)&lt;0,0,E1327-'user input'!$C$2)</f>
        <v>11.944444444444443</v>
      </c>
      <c r="G1327">
        <f>IF(B1327&lt;'user input'!$C$5,0,(F1327+G1326))</f>
        <v>1109.4444444444446</v>
      </c>
      <c r="H1327">
        <f>G1327/'user input'!$C$4</f>
        <v>0.92453703703703716</v>
      </c>
    </row>
    <row r="1328" spans="1:8" x14ac:dyDescent="0.2">
      <c r="A1328" s="1">
        <v>41504</v>
      </c>
      <c r="B1328">
        <v>231</v>
      </c>
      <c r="C1328" s="6">
        <f>IF('weather data'!C1328&gt;'user input'!$C$3,'user input'!$C$3,'weather data'!C1328)</f>
        <v>26.111111111111111</v>
      </c>
      <c r="D1328" s="6">
        <f>IF('weather data'!D1328&lt;'user input'!$C$2,'user input'!$C$2,'weather data'!D1328)</f>
        <v>15</v>
      </c>
      <c r="E1328">
        <f t="shared" si="21"/>
        <v>20.555555555555557</v>
      </c>
      <c r="F1328">
        <f>IF((E1328-'user input'!$C$2)&lt;0,0,E1328-'user input'!$C$2)</f>
        <v>10.555555555555557</v>
      </c>
      <c r="G1328">
        <f>IF(B1328&lt;'user input'!$C$5,0,(F1328+G1327))</f>
        <v>1120.0000000000002</v>
      </c>
      <c r="H1328">
        <f>G1328/'user input'!$C$4</f>
        <v>0.93333333333333357</v>
      </c>
    </row>
    <row r="1329" spans="1:8" x14ac:dyDescent="0.2">
      <c r="A1329" s="1">
        <v>41505</v>
      </c>
      <c r="B1329">
        <v>232</v>
      </c>
      <c r="C1329" s="6">
        <f>IF('weather data'!C1329&gt;'user input'!$C$3,'user input'!$C$3,'weather data'!C1329)</f>
        <v>19.444444444444443</v>
      </c>
      <c r="D1329" s="6">
        <f>IF('weather data'!D1329&lt;'user input'!$C$2,'user input'!$C$2,'weather data'!D1329)</f>
        <v>14.444444444444445</v>
      </c>
      <c r="E1329">
        <f t="shared" si="21"/>
        <v>16.944444444444443</v>
      </c>
      <c r="F1329">
        <f>IF((E1329-'user input'!$C$2)&lt;0,0,E1329-'user input'!$C$2)</f>
        <v>6.9444444444444429</v>
      </c>
      <c r="G1329">
        <f>IF(B1329&lt;'user input'!$C$5,0,(F1329+G1328))</f>
        <v>1126.9444444444446</v>
      </c>
      <c r="H1329">
        <f>G1329/'user input'!$C$4</f>
        <v>0.93912037037037044</v>
      </c>
    </row>
    <row r="1330" spans="1:8" x14ac:dyDescent="0.2">
      <c r="A1330" s="1">
        <v>41506</v>
      </c>
      <c r="B1330">
        <v>233</v>
      </c>
      <c r="C1330" s="6">
        <f>IF('weather data'!C1330&gt;'user input'!$C$3,'user input'!$C$3,'weather data'!C1330)</f>
        <v>23.888888888888889</v>
      </c>
      <c r="D1330" s="6">
        <f>IF('weather data'!D1330&lt;'user input'!$C$2,'user input'!$C$2,'weather data'!D1330)</f>
        <v>10</v>
      </c>
      <c r="E1330">
        <f t="shared" si="21"/>
        <v>16.944444444444443</v>
      </c>
      <c r="F1330">
        <f>IF((E1330-'user input'!$C$2)&lt;0,0,E1330-'user input'!$C$2)</f>
        <v>6.9444444444444429</v>
      </c>
      <c r="G1330">
        <f>IF(B1330&lt;'user input'!$C$5,0,(F1330+G1329))</f>
        <v>1133.8888888888889</v>
      </c>
      <c r="H1330">
        <f>G1330/'user input'!$C$4</f>
        <v>0.94490740740740742</v>
      </c>
    </row>
    <row r="1331" spans="1:8" x14ac:dyDescent="0.2">
      <c r="A1331" s="1">
        <v>41507</v>
      </c>
      <c r="B1331">
        <v>234</v>
      </c>
      <c r="C1331" s="6">
        <f>IF('weather data'!C1331&gt;'user input'!$C$3,'user input'!$C$3,'weather data'!C1331)</f>
        <v>25</v>
      </c>
      <c r="D1331" s="6">
        <f>IF('weather data'!D1331&lt;'user input'!$C$2,'user input'!$C$2,'weather data'!D1331)</f>
        <v>10</v>
      </c>
      <c r="E1331">
        <f t="shared" si="21"/>
        <v>17.5</v>
      </c>
      <c r="F1331">
        <f>IF((E1331-'user input'!$C$2)&lt;0,0,E1331-'user input'!$C$2)</f>
        <v>7.5</v>
      </c>
      <c r="G1331">
        <f>IF(B1331&lt;'user input'!$C$5,0,(F1331+G1330))</f>
        <v>1141.3888888888889</v>
      </c>
      <c r="H1331">
        <f>G1331/'user input'!$C$4</f>
        <v>0.9511574074074074</v>
      </c>
    </row>
    <row r="1332" spans="1:8" x14ac:dyDescent="0.2">
      <c r="A1332" s="1">
        <v>41508</v>
      </c>
      <c r="B1332">
        <v>235</v>
      </c>
      <c r="C1332" s="6">
        <f>IF('weather data'!C1332&gt;'user input'!$C$3,'user input'!$C$3,'weather data'!C1332)</f>
        <v>22.222222222222221</v>
      </c>
      <c r="D1332" s="6">
        <f>IF('weather data'!D1332&lt;'user input'!$C$2,'user input'!$C$2,'weather data'!D1332)</f>
        <v>15.555555555555555</v>
      </c>
      <c r="E1332">
        <f t="shared" si="21"/>
        <v>18.888888888888889</v>
      </c>
      <c r="F1332">
        <f>IF((E1332-'user input'!$C$2)&lt;0,0,E1332-'user input'!$C$2)</f>
        <v>8.8888888888888893</v>
      </c>
      <c r="G1332">
        <f>IF(B1332&lt;'user input'!$C$5,0,(F1332+G1331))</f>
        <v>1150.2777777777778</v>
      </c>
      <c r="H1332">
        <f>G1332/'user input'!$C$4</f>
        <v>0.95856481481481481</v>
      </c>
    </row>
    <row r="1333" spans="1:8" x14ac:dyDescent="0.2">
      <c r="A1333" s="1">
        <v>41509</v>
      </c>
      <c r="B1333">
        <v>236</v>
      </c>
      <c r="C1333" s="6">
        <f>IF('weather data'!C1333&gt;'user input'!$C$3,'user input'!$C$3,'weather data'!C1333)</f>
        <v>25.555555555555554</v>
      </c>
      <c r="D1333" s="6">
        <f>IF('weather data'!D1333&lt;'user input'!$C$2,'user input'!$C$2,'weather data'!D1333)</f>
        <v>12.222222222222223</v>
      </c>
      <c r="E1333">
        <f t="shared" si="21"/>
        <v>18.888888888888889</v>
      </c>
      <c r="F1333">
        <f>IF((E1333-'user input'!$C$2)&lt;0,0,E1333-'user input'!$C$2)</f>
        <v>8.8888888888888893</v>
      </c>
      <c r="G1333">
        <f>IF(B1333&lt;'user input'!$C$5,0,(F1333+G1332))</f>
        <v>1159.1666666666667</v>
      </c>
      <c r="H1333">
        <f>G1333/'user input'!$C$4</f>
        <v>0.96597222222222223</v>
      </c>
    </row>
    <row r="1334" spans="1:8" x14ac:dyDescent="0.2">
      <c r="A1334" s="1">
        <v>41510</v>
      </c>
      <c r="B1334">
        <v>237</v>
      </c>
      <c r="C1334" s="6">
        <f>IF('weather data'!C1334&gt;'user input'!$C$3,'user input'!$C$3,'weather data'!C1334)</f>
        <v>27.222222222222221</v>
      </c>
      <c r="D1334" s="6">
        <f>IF('weather data'!D1334&lt;'user input'!$C$2,'user input'!$C$2,'weather data'!D1334)</f>
        <v>12.777777777777777</v>
      </c>
      <c r="E1334">
        <f t="shared" si="21"/>
        <v>20</v>
      </c>
      <c r="F1334">
        <f>IF((E1334-'user input'!$C$2)&lt;0,0,E1334-'user input'!$C$2)</f>
        <v>10</v>
      </c>
      <c r="G1334">
        <f>IF(B1334&lt;'user input'!$C$5,0,(F1334+G1333))</f>
        <v>1169.1666666666667</v>
      </c>
      <c r="H1334">
        <f>G1334/'user input'!$C$4</f>
        <v>0.97430555555555565</v>
      </c>
    </row>
    <row r="1335" spans="1:8" x14ac:dyDescent="0.2">
      <c r="A1335" s="1">
        <v>41511</v>
      </c>
      <c r="B1335">
        <v>238</v>
      </c>
      <c r="C1335" s="6">
        <f>IF('weather data'!C1335&gt;'user input'!$C$3,'user input'!$C$3,'weather data'!C1335)</f>
        <v>29.444444444444446</v>
      </c>
      <c r="D1335" s="6">
        <f>IF('weather data'!D1335&lt;'user input'!$C$2,'user input'!$C$2,'weather data'!D1335)</f>
        <v>17.222222222222221</v>
      </c>
      <c r="E1335">
        <f t="shared" si="21"/>
        <v>23.333333333333336</v>
      </c>
      <c r="F1335">
        <f>IF((E1335-'user input'!$C$2)&lt;0,0,E1335-'user input'!$C$2)</f>
        <v>13.333333333333336</v>
      </c>
      <c r="G1335">
        <f>IF(B1335&lt;'user input'!$C$5,0,(F1335+G1334))</f>
        <v>1182.5</v>
      </c>
      <c r="H1335">
        <f>G1335/'user input'!$C$4</f>
        <v>0.98541666666666672</v>
      </c>
    </row>
    <row r="1336" spans="1:8" x14ac:dyDescent="0.2">
      <c r="A1336" s="1">
        <v>41512</v>
      </c>
      <c r="B1336">
        <v>239</v>
      </c>
      <c r="C1336" s="6">
        <f>IF('weather data'!C1336&gt;'user input'!$C$3,'user input'!$C$3,'weather data'!C1336)</f>
        <v>23.333333333333336</v>
      </c>
      <c r="D1336" s="6">
        <f>IF('weather data'!D1336&lt;'user input'!$C$2,'user input'!$C$2,'weather data'!D1336)</f>
        <v>10</v>
      </c>
      <c r="E1336">
        <f t="shared" si="21"/>
        <v>16.666666666666668</v>
      </c>
      <c r="F1336">
        <f>IF((E1336-'user input'!$C$2)&lt;0,0,E1336-'user input'!$C$2)</f>
        <v>6.6666666666666679</v>
      </c>
      <c r="G1336">
        <f>IF(B1336&lt;'user input'!$C$5,0,(F1336+G1335))</f>
        <v>1189.1666666666667</v>
      </c>
      <c r="H1336">
        <f>G1336/'user input'!$C$4</f>
        <v>0.99097222222222225</v>
      </c>
    </row>
    <row r="1337" spans="1:8" x14ac:dyDescent="0.2">
      <c r="A1337" s="1">
        <v>41513</v>
      </c>
      <c r="B1337">
        <v>240</v>
      </c>
      <c r="C1337" s="6">
        <f>IF('weather data'!C1337&gt;'user input'!$C$3,'user input'!$C$3,'weather data'!C1337)</f>
        <v>22.777777777777779</v>
      </c>
      <c r="D1337" s="6">
        <f>IF('weather data'!D1337&lt;'user input'!$C$2,'user input'!$C$2,'weather data'!D1337)</f>
        <v>10</v>
      </c>
      <c r="E1337">
        <f t="shared" si="21"/>
        <v>16.388888888888889</v>
      </c>
      <c r="F1337">
        <f>IF((E1337-'user input'!$C$2)&lt;0,0,E1337-'user input'!$C$2)</f>
        <v>6.3888888888888893</v>
      </c>
      <c r="G1337">
        <f>IF(B1337&lt;'user input'!$C$5,0,(F1337+G1336))</f>
        <v>1195.5555555555557</v>
      </c>
      <c r="H1337">
        <f>G1337/'user input'!$C$4</f>
        <v>0.99629629629629635</v>
      </c>
    </row>
    <row r="1338" spans="1:8" x14ac:dyDescent="0.2">
      <c r="A1338" s="1">
        <v>41514</v>
      </c>
      <c r="B1338">
        <v>241</v>
      </c>
      <c r="C1338" s="6">
        <f>IF('weather data'!C1338&gt;'user input'!$C$3,'user input'!$C$3,'weather data'!C1338)</f>
        <v>24.444444444444446</v>
      </c>
      <c r="D1338" s="6">
        <f>IF('weather data'!D1338&lt;'user input'!$C$2,'user input'!$C$2,'weather data'!D1338)</f>
        <v>10</v>
      </c>
      <c r="E1338">
        <f t="shared" si="21"/>
        <v>17.222222222222221</v>
      </c>
      <c r="F1338">
        <f>IF((E1338-'user input'!$C$2)&lt;0,0,E1338-'user input'!$C$2)</f>
        <v>7.2222222222222214</v>
      </c>
      <c r="G1338">
        <f>IF(B1338&lt;'user input'!$C$5,0,(F1338+G1337))</f>
        <v>1202.7777777777778</v>
      </c>
      <c r="H1338">
        <f>G1338/'user input'!$C$4</f>
        <v>1.0023148148148149</v>
      </c>
    </row>
    <row r="1339" spans="1:8" x14ac:dyDescent="0.2">
      <c r="A1339" s="1">
        <v>41515</v>
      </c>
      <c r="B1339">
        <v>242</v>
      </c>
      <c r="C1339" s="6">
        <f>IF('weather data'!C1339&gt;'user input'!$C$3,'user input'!$C$3,'weather data'!C1339)</f>
        <v>25</v>
      </c>
      <c r="D1339" s="6">
        <f>IF('weather data'!D1339&lt;'user input'!$C$2,'user input'!$C$2,'weather data'!D1339)</f>
        <v>10.555555555555555</v>
      </c>
      <c r="E1339">
        <f t="shared" si="21"/>
        <v>17.777777777777779</v>
      </c>
      <c r="F1339">
        <f>IF((E1339-'user input'!$C$2)&lt;0,0,E1339-'user input'!$C$2)</f>
        <v>7.7777777777777786</v>
      </c>
      <c r="G1339">
        <f>IF(B1339&lt;'user input'!$C$5,0,(F1339+G1338))</f>
        <v>1210.5555555555557</v>
      </c>
      <c r="H1339">
        <f>G1339/'user input'!$C$4</f>
        <v>1.0087962962962964</v>
      </c>
    </row>
    <row r="1340" spans="1:8" x14ac:dyDescent="0.2">
      <c r="A1340" s="1">
        <v>41516</v>
      </c>
      <c r="B1340">
        <v>243</v>
      </c>
      <c r="C1340" s="6">
        <f>IF('weather data'!C1340&gt;'user input'!$C$3,'user input'!$C$3,'weather data'!C1340)</f>
        <v>25</v>
      </c>
      <c r="D1340" s="6">
        <f>IF('weather data'!D1340&lt;'user input'!$C$2,'user input'!$C$2,'weather data'!D1340)</f>
        <v>10</v>
      </c>
      <c r="E1340">
        <f t="shared" si="21"/>
        <v>17.5</v>
      </c>
      <c r="F1340">
        <f>IF((E1340-'user input'!$C$2)&lt;0,0,E1340-'user input'!$C$2)</f>
        <v>7.5</v>
      </c>
      <c r="G1340">
        <f>IF(B1340&lt;'user input'!$C$5,0,(F1340+G1339))</f>
        <v>1218.0555555555557</v>
      </c>
      <c r="H1340">
        <f>G1340/'user input'!$C$4</f>
        <v>1.0150462962962963</v>
      </c>
    </row>
    <row r="1341" spans="1:8" x14ac:dyDescent="0.2">
      <c r="A1341" s="1">
        <v>41517</v>
      </c>
      <c r="B1341">
        <v>244</v>
      </c>
      <c r="C1341" s="6">
        <f>IF('weather data'!C1341&gt;'user input'!$C$3,'user input'!$C$3,'weather data'!C1341)</f>
        <v>26.666666666666664</v>
      </c>
      <c r="D1341" s="6">
        <f>IF('weather data'!D1341&lt;'user input'!$C$2,'user input'!$C$2,'weather data'!D1341)</f>
        <v>10</v>
      </c>
      <c r="E1341">
        <f t="shared" si="21"/>
        <v>18.333333333333332</v>
      </c>
      <c r="F1341">
        <f>IF((E1341-'user input'!$C$2)&lt;0,0,E1341-'user input'!$C$2)</f>
        <v>8.3333333333333321</v>
      </c>
      <c r="G1341">
        <f>IF(B1341&lt;'user input'!$C$5,0,(F1341+G1340))</f>
        <v>1226.3888888888889</v>
      </c>
      <c r="H1341">
        <f>G1341/'user input'!$C$4</f>
        <v>1.0219907407407407</v>
      </c>
    </row>
    <row r="1342" spans="1:8" x14ac:dyDescent="0.2">
      <c r="A1342" s="1">
        <v>41518</v>
      </c>
      <c r="B1342">
        <v>245</v>
      </c>
      <c r="C1342" s="6">
        <f>IF('weather data'!C1342&gt;'user input'!$C$3,'user input'!$C$3,'weather data'!C1342)</f>
        <v>29.444444444444446</v>
      </c>
      <c r="D1342" s="6">
        <f>IF('weather data'!D1342&lt;'user input'!$C$2,'user input'!$C$2,'weather data'!D1342)</f>
        <v>17.222222222222221</v>
      </c>
      <c r="E1342">
        <f t="shared" si="21"/>
        <v>23.333333333333336</v>
      </c>
      <c r="F1342">
        <f>IF((E1342-'user input'!$C$2)&lt;0,0,E1342-'user input'!$C$2)</f>
        <v>13.333333333333336</v>
      </c>
      <c r="G1342">
        <f>IF(B1342&lt;'user input'!$C$5,0,(F1342+G1341))</f>
        <v>1239.7222222222222</v>
      </c>
      <c r="H1342">
        <f>G1342/'user input'!$C$4</f>
        <v>1.0331018518518518</v>
      </c>
    </row>
    <row r="1343" spans="1:8" x14ac:dyDescent="0.2">
      <c r="A1343" s="1">
        <v>41519</v>
      </c>
      <c r="B1343">
        <v>246</v>
      </c>
      <c r="C1343" s="6">
        <f>IF('weather data'!C1343&gt;'user input'!$C$3,'user input'!$C$3,'weather data'!C1343)</f>
        <v>23.333333333333336</v>
      </c>
      <c r="D1343" s="6">
        <f>IF('weather data'!D1343&lt;'user input'!$C$2,'user input'!$C$2,'weather data'!D1343)</f>
        <v>16.666666666666668</v>
      </c>
      <c r="E1343">
        <f t="shared" si="21"/>
        <v>20</v>
      </c>
      <c r="F1343">
        <f>IF((E1343-'user input'!$C$2)&lt;0,0,E1343-'user input'!$C$2)</f>
        <v>10</v>
      </c>
      <c r="G1343">
        <f>IF(B1343&lt;'user input'!$C$5,0,(F1343+G1342))</f>
        <v>1249.7222222222222</v>
      </c>
      <c r="H1343">
        <f>G1343/'user input'!$C$4</f>
        <v>1.0414351851851851</v>
      </c>
    </row>
    <row r="1344" spans="1:8" x14ac:dyDescent="0.2">
      <c r="A1344" s="1">
        <v>41520</v>
      </c>
      <c r="B1344">
        <v>247</v>
      </c>
      <c r="C1344" s="6">
        <f>IF('weather data'!C1344&gt;'user input'!$C$3,'user input'!$C$3,'weather data'!C1344)</f>
        <v>22.777777777777779</v>
      </c>
      <c r="D1344" s="6">
        <f>IF('weather data'!D1344&lt;'user input'!$C$2,'user input'!$C$2,'weather data'!D1344)</f>
        <v>10</v>
      </c>
      <c r="E1344">
        <f t="shared" si="21"/>
        <v>16.388888888888889</v>
      </c>
      <c r="F1344">
        <f>IF((E1344-'user input'!$C$2)&lt;0,0,E1344-'user input'!$C$2)</f>
        <v>6.3888888888888893</v>
      </c>
      <c r="G1344">
        <f>IF(B1344&lt;'user input'!$C$5,0,(F1344+G1343))</f>
        <v>1256.1111111111111</v>
      </c>
      <c r="H1344">
        <f>G1344/'user input'!$C$4</f>
        <v>1.0467592592592592</v>
      </c>
    </row>
    <row r="1345" spans="1:8" x14ac:dyDescent="0.2">
      <c r="A1345" s="1">
        <v>41521</v>
      </c>
      <c r="B1345">
        <v>248</v>
      </c>
      <c r="C1345" s="6">
        <f>IF('weather data'!C1345&gt;'user input'!$C$3,'user input'!$C$3,'weather data'!C1345)</f>
        <v>24.444444444444446</v>
      </c>
      <c r="D1345" s="6">
        <f>IF('weather data'!D1345&lt;'user input'!$C$2,'user input'!$C$2,'weather data'!D1345)</f>
        <v>10</v>
      </c>
      <c r="E1345">
        <f t="shared" si="21"/>
        <v>17.222222222222221</v>
      </c>
      <c r="F1345">
        <f>IF((E1345-'user input'!$C$2)&lt;0,0,E1345-'user input'!$C$2)</f>
        <v>7.2222222222222214</v>
      </c>
      <c r="G1345">
        <f>IF(B1345&lt;'user input'!$C$5,0,(F1345+G1344))</f>
        <v>1263.3333333333333</v>
      </c>
      <c r="H1345">
        <f>G1345/'user input'!$C$4</f>
        <v>1.0527777777777778</v>
      </c>
    </row>
    <row r="1346" spans="1:8" x14ac:dyDescent="0.2">
      <c r="A1346" s="1">
        <v>41522</v>
      </c>
      <c r="B1346">
        <v>249</v>
      </c>
      <c r="C1346" s="6">
        <f>IF('weather data'!C1346&gt;'user input'!$C$3,'user input'!$C$3,'weather data'!C1346)</f>
        <v>28.888888888888889</v>
      </c>
      <c r="D1346" s="6">
        <f>IF('weather data'!D1346&lt;'user input'!$C$2,'user input'!$C$2,'weather data'!D1346)</f>
        <v>10</v>
      </c>
      <c r="E1346">
        <f t="shared" si="21"/>
        <v>19.444444444444443</v>
      </c>
      <c r="F1346">
        <f>IF((E1346-'user input'!$C$2)&lt;0,0,E1346-'user input'!$C$2)</f>
        <v>9.4444444444444429</v>
      </c>
      <c r="G1346">
        <f>IF(B1346&lt;'user input'!$C$5,0,(F1346+G1345))</f>
        <v>1272.7777777777776</v>
      </c>
      <c r="H1346">
        <f>G1346/'user input'!$C$4</f>
        <v>1.060648148148148</v>
      </c>
    </row>
    <row r="1347" spans="1:8" x14ac:dyDescent="0.2">
      <c r="A1347" s="1">
        <v>41523</v>
      </c>
      <c r="B1347">
        <v>250</v>
      </c>
      <c r="C1347" s="6">
        <f>IF('weather data'!C1347&gt;'user input'!$C$3,'user input'!$C$3,'weather data'!C1347)</f>
        <v>25.555555555555554</v>
      </c>
      <c r="D1347" s="6">
        <f>IF('weather data'!D1347&lt;'user input'!$C$2,'user input'!$C$2,'weather data'!D1347)</f>
        <v>11.666666666666668</v>
      </c>
      <c r="E1347">
        <f t="shared" si="21"/>
        <v>18.611111111111111</v>
      </c>
      <c r="F1347">
        <f>IF((E1347-'user input'!$C$2)&lt;0,0,E1347-'user input'!$C$2)</f>
        <v>8.6111111111111107</v>
      </c>
      <c r="G1347">
        <f>IF(B1347&lt;'user input'!$C$5,0,(F1347+G1346))</f>
        <v>1281.3888888888887</v>
      </c>
      <c r="H1347">
        <f>G1347/'user input'!$C$4</f>
        <v>1.0678240740740739</v>
      </c>
    </row>
    <row r="1348" spans="1:8" x14ac:dyDescent="0.2">
      <c r="A1348" s="1">
        <v>41524</v>
      </c>
      <c r="B1348">
        <v>251</v>
      </c>
      <c r="C1348" s="6">
        <f>IF('weather data'!C1348&gt;'user input'!$C$3,'user input'!$C$3,'weather data'!C1348)</f>
        <v>30</v>
      </c>
      <c r="D1348" s="6">
        <f>IF('weather data'!D1348&lt;'user input'!$C$2,'user input'!$C$2,'weather data'!D1348)</f>
        <v>12.777777777777777</v>
      </c>
      <c r="E1348">
        <f t="shared" si="21"/>
        <v>21.388888888888889</v>
      </c>
      <c r="F1348">
        <f>IF((E1348-'user input'!$C$2)&lt;0,0,E1348-'user input'!$C$2)</f>
        <v>11.388888888888889</v>
      </c>
      <c r="G1348">
        <f>IF(B1348&lt;'user input'!$C$5,0,(F1348+G1347))</f>
        <v>1292.7777777777776</v>
      </c>
      <c r="H1348">
        <f>G1348/'user input'!$C$4</f>
        <v>1.0773148148148146</v>
      </c>
    </row>
    <row r="1349" spans="1:8" x14ac:dyDescent="0.2">
      <c r="A1349" s="1">
        <v>41525</v>
      </c>
      <c r="B1349">
        <v>252</v>
      </c>
      <c r="C1349" s="6">
        <f>IF('weather data'!C1349&gt;'user input'!$C$3,'user input'!$C$3,'weather data'!C1349)</f>
        <v>30</v>
      </c>
      <c r="D1349" s="6">
        <f>IF('weather data'!D1349&lt;'user input'!$C$2,'user input'!$C$2,'weather data'!D1349)</f>
        <v>19.444444444444443</v>
      </c>
      <c r="E1349">
        <f t="shared" si="21"/>
        <v>24.722222222222221</v>
      </c>
      <c r="F1349">
        <f>IF((E1349-'user input'!$C$2)&lt;0,0,E1349-'user input'!$C$2)</f>
        <v>14.722222222222221</v>
      </c>
      <c r="G1349">
        <f>IF(B1349&lt;'user input'!$C$5,0,(F1349+G1348))</f>
        <v>1307.4999999999998</v>
      </c>
      <c r="H1349">
        <f>G1349/'user input'!$C$4</f>
        <v>1.0895833333333331</v>
      </c>
    </row>
    <row r="1350" spans="1:8" x14ac:dyDescent="0.2">
      <c r="A1350" s="1">
        <v>41526</v>
      </c>
      <c r="B1350">
        <v>253</v>
      </c>
      <c r="C1350" s="6">
        <f>IF('weather data'!C1350&gt;'user input'!$C$3,'user input'!$C$3,'weather data'!C1350)</f>
        <v>23.333333333333336</v>
      </c>
      <c r="D1350" s="6">
        <f>IF('weather data'!D1350&lt;'user input'!$C$2,'user input'!$C$2,'weather data'!D1350)</f>
        <v>17.222222222222221</v>
      </c>
      <c r="E1350">
        <f t="shared" si="21"/>
        <v>20.277777777777779</v>
      </c>
      <c r="F1350">
        <f>IF((E1350-'user input'!$C$2)&lt;0,0,E1350-'user input'!$C$2)</f>
        <v>10.277777777777779</v>
      </c>
      <c r="G1350">
        <f>IF(B1350&lt;'user input'!$C$5,0,(F1350+G1349))</f>
        <v>1317.7777777777776</v>
      </c>
      <c r="H1350">
        <f>G1350/'user input'!$C$4</f>
        <v>1.0981481481481481</v>
      </c>
    </row>
    <row r="1351" spans="1:8" x14ac:dyDescent="0.2">
      <c r="A1351" s="1">
        <v>41527</v>
      </c>
      <c r="B1351">
        <v>254</v>
      </c>
      <c r="C1351" s="6">
        <f>IF('weather data'!C1351&gt;'user input'!$C$3,'user input'!$C$3,'weather data'!C1351)</f>
        <v>30</v>
      </c>
      <c r="D1351" s="6">
        <f>IF('weather data'!D1351&lt;'user input'!$C$2,'user input'!$C$2,'weather data'!D1351)</f>
        <v>18.333333333333332</v>
      </c>
      <c r="E1351">
        <f t="shared" si="21"/>
        <v>24.166666666666664</v>
      </c>
      <c r="F1351">
        <f>IF((E1351-'user input'!$C$2)&lt;0,0,E1351-'user input'!$C$2)</f>
        <v>14.166666666666664</v>
      </c>
      <c r="G1351">
        <f>IF(B1351&lt;'user input'!$C$5,0,(F1351+G1350))</f>
        <v>1331.9444444444443</v>
      </c>
      <c r="H1351">
        <f>G1351/'user input'!$C$4</f>
        <v>1.1099537037037037</v>
      </c>
    </row>
    <row r="1352" spans="1:8" x14ac:dyDescent="0.2">
      <c r="A1352" s="1">
        <v>41528</v>
      </c>
      <c r="B1352">
        <v>255</v>
      </c>
      <c r="C1352" s="6">
        <f>IF('weather data'!C1352&gt;'user input'!$C$3,'user input'!$C$3,'weather data'!C1352)</f>
        <v>30</v>
      </c>
      <c r="D1352" s="6">
        <f>IF('weather data'!D1352&lt;'user input'!$C$2,'user input'!$C$2,'weather data'!D1352)</f>
        <v>18.888888888888889</v>
      </c>
      <c r="E1352">
        <f t="shared" si="21"/>
        <v>24.444444444444443</v>
      </c>
      <c r="F1352">
        <f>IF((E1352-'user input'!$C$2)&lt;0,0,E1352-'user input'!$C$2)</f>
        <v>14.444444444444443</v>
      </c>
      <c r="G1352">
        <f>IF(B1352&lt;'user input'!$C$5,0,(F1352+G1351))</f>
        <v>1346.3888888888887</v>
      </c>
      <c r="H1352">
        <f>G1352/'user input'!$C$4</f>
        <v>1.1219907407407406</v>
      </c>
    </row>
    <row r="1353" spans="1:8" x14ac:dyDescent="0.2">
      <c r="A1353" s="1">
        <v>41529</v>
      </c>
      <c r="B1353">
        <v>256</v>
      </c>
      <c r="C1353" s="6">
        <f>IF('weather data'!C1353&gt;'user input'!$C$3,'user input'!$C$3,'weather data'!C1353)</f>
        <v>27.777777777777779</v>
      </c>
      <c r="D1353" s="6">
        <f>IF('weather data'!D1353&lt;'user input'!$C$2,'user input'!$C$2,'weather data'!D1353)</f>
        <v>14.444444444444445</v>
      </c>
      <c r="E1353">
        <f t="shared" si="21"/>
        <v>21.111111111111111</v>
      </c>
      <c r="F1353">
        <f>IF((E1353-'user input'!$C$2)&lt;0,0,E1353-'user input'!$C$2)</f>
        <v>11.111111111111111</v>
      </c>
      <c r="G1353">
        <f>IF(B1353&lt;'user input'!$C$5,0,(F1353+G1352))</f>
        <v>1357.4999999999998</v>
      </c>
      <c r="H1353">
        <f>G1353/'user input'!$C$4</f>
        <v>1.1312499999999999</v>
      </c>
    </row>
    <row r="1354" spans="1:8" x14ac:dyDescent="0.2">
      <c r="A1354" s="1">
        <v>41530</v>
      </c>
      <c r="B1354">
        <v>257</v>
      </c>
      <c r="C1354" s="6">
        <f>IF('weather data'!C1354&gt;'user input'!$C$3,'user input'!$C$3,'weather data'!C1354)</f>
        <v>23.888888888888889</v>
      </c>
      <c r="D1354" s="6">
        <f>IF('weather data'!D1354&lt;'user input'!$C$2,'user input'!$C$2,'weather data'!D1354)</f>
        <v>10</v>
      </c>
      <c r="E1354">
        <f t="shared" si="21"/>
        <v>16.944444444444443</v>
      </c>
      <c r="F1354">
        <f>IF((E1354-'user input'!$C$2)&lt;0,0,E1354-'user input'!$C$2)</f>
        <v>6.9444444444444429</v>
      </c>
      <c r="G1354">
        <f>IF(B1354&lt;'user input'!$C$5,0,(F1354+G1353))</f>
        <v>1364.4444444444441</v>
      </c>
      <c r="H1354">
        <f>G1354/'user input'!$C$4</f>
        <v>1.1370370370370368</v>
      </c>
    </row>
    <row r="1355" spans="1:8" x14ac:dyDescent="0.2">
      <c r="A1355" s="1">
        <v>41531</v>
      </c>
      <c r="B1355">
        <v>258</v>
      </c>
      <c r="C1355" s="6">
        <f>IF('weather data'!C1355&gt;'user input'!$C$3,'user input'!$C$3,'weather data'!C1355)</f>
        <v>19.444444444444443</v>
      </c>
      <c r="D1355" s="6">
        <f>IF('weather data'!D1355&lt;'user input'!$C$2,'user input'!$C$2,'weather data'!D1355)</f>
        <v>10</v>
      </c>
      <c r="E1355">
        <f t="shared" si="21"/>
        <v>14.722222222222221</v>
      </c>
      <c r="F1355">
        <f>IF((E1355-'user input'!$C$2)&lt;0,0,E1355-'user input'!$C$2)</f>
        <v>4.7222222222222214</v>
      </c>
      <c r="G1355">
        <f>IF(B1355&lt;'user input'!$C$5,0,(F1355+G1354))</f>
        <v>1369.1666666666663</v>
      </c>
      <c r="H1355">
        <f>G1355/'user input'!$C$4</f>
        <v>1.1409722222222218</v>
      </c>
    </row>
    <row r="1356" spans="1:8" x14ac:dyDescent="0.2">
      <c r="A1356" s="1">
        <v>41532</v>
      </c>
      <c r="B1356">
        <v>259</v>
      </c>
      <c r="C1356" s="6">
        <f>IF('weather data'!C1356&gt;'user input'!$C$3,'user input'!$C$3,'weather data'!C1356)</f>
        <v>22.777777777777779</v>
      </c>
      <c r="D1356" s="6">
        <f>IF('weather data'!D1356&lt;'user input'!$C$2,'user input'!$C$2,'weather data'!D1356)</f>
        <v>12.222222222222223</v>
      </c>
      <c r="E1356">
        <f t="shared" si="21"/>
        <v>17.5</v>
      </c>
      <c r="F1356">
        <f>IF((E1356-'user input'!$C$2)&lt;0,0,E1356-'user input'!$C$2)</f>
        <v>7.5</v>
      </c>
      <c r="G1356">
        <f>IF(B1356&lt;'user input'!$C$5,0,(F1356+G1355))</f>
        <v>1376.6666666666663</v>
      </c>
      <c r="H1356">
        <f>G1356/'user input'!$C$4</f>
        <v>1.1472222222222219</v>
      </c>
    </row>
    <row r="1357" spans="1:8" x14ac:dyDescent="0.2">
      <c r="A1357" s="1">
        <v>41533</v>
      </c>
      <c r="B1357">
        <v>260</v>
      </c>
      <c r="C1357" s="6">
        <f>IF('weather data'!C1357&gt;'user input'!$C$3,'user input'!$C$3,'weather data'!C1357)</f>
        <v>17.222222222222221</v>
      </c>
      <c r="D1357" s="6">
        <f>IF('weather data'!D1357&lt;'user input'!$C$2,'user input'!$C$2,'weather data'!D1357)</f>
        <v>10</v>
      </c>
      <c r="E1357">
        <f t="shared" si="21"/>
        <v>13.611111111111111</v>
      </c>
      <c r="F1357">
        <f>IF((E1357-'user input'!$C$2)&lt;0,0,E1357-'user input'!$C$2)</f>
        <v>3.6111111111111107</v>
      </c>
      <c r="G1357">
        <f>IF(B1357&lt;'user input'!$C$5,0,(F1357+G1356))</f>
        <v>1380.2777777777774</v>
      </c>
      <c r="H1357">
        <f>G1357/'user input'!$C$4</f>
        <v>1.1502314814814811</v>
      </c>
    </row>
    <row r="1358" spans="1:8" x14ac:dyDescent="0.2">
      <c r="A1358" s="1">
        <v>41534</v>
      </c>
      <c r="B1358">
        <v>261</v>
      </c>
      <c r="C1358" s="6">
        <f>IF('weather data'!C1358&gt;'user input'!$C$3,'user input'!$C$3,'weather data'!C1358)</f>
        <v>18.333333333333332</v>
      </c>
      <c r="D1358" s="6">
        <f>IF('weather data'!D1358&lt;'user input'!$C$2,'user input'!$C$2,'weather data'!D1358)</f>
        <v>10</v>
      </c>
      <c r="E1358">
        <f t="shared" si="21"/>
        <v>14.166666666666666</v>
      </c>
      <c r="F1358">
        <f>IF((E1358-'user input'!$C$2)&lt;0,0,E1358-'user input'!$C$2)</f>
        <v>4.1666666666666661</v>
      </c>
      <c r="G1358">
        <f>IF(B1358&lt;'user input'!$C$5,0,(F1358+G1357))</f>
        <v>1384.4444444444441</v>
      </c>
      <c r="H1358">
        <f>G1358/'user input'!$C$4</f>
        <v>1.1537037037037035</v>
      </c>
    </row>
    <row r="1359" spans="1:8" x14ac:dyDescent="0.2">
      <c r="A1359" s="1">
        <v>41535</v>
      </c>
      <c r="B1359">
        <v>262</v>
      </c>
      <c r="C1359" s="6">
        <f>IF('weather data'!C1359&gt;'user input'!$C$3,'user input'!$C$3,'weather data'!C1359)</f>
        <v>23.333333333333336</v>
      </c>
      <c r="D1359" s="6">
        <f>IF('weather data'!D1359&lt;'user input'!$C$2,'user input'!$C$2,'weather data'!D1359)</f>
        <v>12.222222222222223</v>
      </c>
      <c r="E1359">
        <f t="shared" si="21"/>
        <v>17.777777777777779</v>
      </c>
      <c r="F1359">
        <f>IF((E1359-'user input'!$C$2)&lt;0,0,E1359-'user input'!$C$2)</f>
        <v>7.7777777777777786</v>
      </c>
      <c r="G1359">
        <f>IF(B1359&lt;'user input'!$C$5,0,(F1359+G1358))</f>
        <v>1392.2222222222219</v>
      </c>
      <c r="H1359">
        <f>G1359/'user input'!$C$4</f>
        <v>1.160185185185185</v>
      </c>
    </row>
    <row r="1360" spans="1:8" x14ac:dyDescent="0.2">
      <c r="A1360" s="1">
        <v>41536</v>
      </c>
      <c r="B1360">
        <v>263</v>
      </c>
      <c r="C1360" s="6">
        <f>IF('weather data'!C1360&gt;'user input'!$C$3,'user input'!$C$3,'weather data'!C1360)</f>
        <v>25.555555555555554</v>
      </c>
      <c r="D1360" s="6">
        <f>IF('weather data'!D1360&lt;'user input'!$C$2,'user input'!$C$2,'weather data'!D1360)</f>
        <v>21.111111111111111</v>
      </c>
      <c r="E1360">
        <f t="shared" si="21"/>
        <v>23.333333333333332</v>
      </c>
      <c r="F1360">
        <f>IF((E1360-'user input'!$C$2)&lt;0,0,E1360-'user input'!$C$2)</f>
        <v>13.333333333333332</v>
      </c>
      <c r="G1360">
        <f>IF(B1360&lt;'user input'!$C$5,0,(F1360+G1359))</f>
        <v>1405.5555555555552</v>
      </c>
      <c r="H1360">
        <f>G1360/'user input'!$C$4</f>
        <v>1.1712962962962961</v>
      </c>
    </row>
    <row r="1361" spans="1:8" x14ac:dyDescent="0.2">
      <c r="A1361" s="1">
        <v>41537</v>
      </c>
      <c r="B1361">
        <v>264</v>
      </c>
      <c r="C1361" s="6">
        <f>IF('weather data'!C1361&gt;'user input'!$C$3,'user input'!$C$3,'weather data'!C1361)</f>
        <v>30</v>
      </c>
      <c r="D1361" s="6">
        <f>IF('weather data'!D1361&lt;'user input'!$C$2,'user input'!$C$2,'weather data'!D1361)</f>
        <v>18.888888888888889</v>
      </c>
      <c r="E1361">
        <f t="shared" si="21"/>
        <v>24.444444444444443</v>
      </c>
      <c r="F1361">
        <f>IF((E1361-'user input'!$C$2)&lt;0,0,E1361-'user input'!$C$2)</f>
        <v>14.444444444444443</v>
      </c>
      <c r="G1361">
        <f>IF(B1361&lt;'user input'!$C$5,0,(F1361+G1360))</f>
        <v>1419.9999999999995</v>
      </c>
      <c r="H1361">
        <f>G1361/'user input'!$C$4</f>
        <v>1.1833333333333329</v>
      </c>
    </row>
    <row r="1362" spans="1:8" x14ac:dyDescent="0.2">
      <c r="A1362" s="1">
        <v>41538</v>
      </c>
      <c r="B1362">
        <v>265</v>
      </c>
      <c r="C1362" s="6">
        <f>IF('weather data'!C1362&gt;'user input'!$C$3,'user input'!$C$3,'weather data'!C1362)</f>
        <v>19.444444444444443</v>
      </c>
      <c r="D1362" s="6">
        <f>IF('weather data'!D1362&lt;'user input'!$C$2,'user input'!$C$2,'weather data'!D1362)</f>
        <v>10</v>
      </c>
      <c r="E1362">
        <f t="shared" ref="E1362:E1425" si="22">(C1362+D1362)/2</f>
        <v>14.722222222222221</v>
      </c>
      <c r="F1362">
        <f>IF((E1362-'user input'!$C$2)&lt;0,0,E1362-'user input'!$C$2)</f>
        <v>4.7222222222222214</v>
      </c>
      <c r="G1362">
        <f>IF(B1362&lt;'user input'!$C$5,0,(F1362+G1361))</f>
        <v>1424.7222222222217</v>
      </c>
      <c r="H1362">
        <f>G1362/'user input'!$C$4</f>
        <v>1.1872685185185181</v>
      </c>
    </row>
    <row r="1363" spans="1:8" x14ac:dyDescent="0.2">
      <c r="A1363" s="1">
        <v>41539</v>
      </c>
      <c r="B1363">
        <v>266</v>
      </c>
      <c r="C1363" s="6">
        <f>IF('weather data'!C1363&gt;'user input'!$C$3,'user input'!$C$3,'weather data'!C1363)</f>
        <v>16.111111111111111</v>
      </c>
      <c r="D1363" s="6">
        <f>IF('weather data'!D1363&lt;'user input'!$C$2,'user input'!$C$2,'weather data'!D1363)</f>
        <v>10</v>
      </c>
      <c r="E1363">
        <f t="shared" si="22"/>
        <v>13.055555555555555</v>
      </c>
      <c r="F1363">
        <f>IF((E1363-'user input'!$C$2)&lt;0,0,E1363-'user input'!$C$2)</f>
        <v>3.0555555555555554</v>
      </c>
      <c r="G1363">
        <f>IF(B1363&lt;'user input'!$C$5,0,(F1363+G1362))</f>
        <v>1427.7777777777774</v>
      </c>
      <c r="H1363">
        <f>G1363/'user input'!$C$4</f>
        <v>1.1898148148148144</v>
      </c>
    </row>
    <row r="1364" spans="1:8" x14ac:dyDescent="0.2">
      <c r="A1364" s="1">
        <v>41540</v>
      </c>
      <c r="B1364">
        <v>267</v>
      </c>
      <c r="C1364" s="6">
        <f>IF('weather data'!C1364&gt;'user input'!$C$3,'user input'!$C$3,'weather data'!C1364)</f>
        <v>18.888888888888889</v>
      </c>
      <c r="D1364" s="6">
        <f>IF('weather data'!D1364&lt;'user input'!$C$2,'user input'!$C$2,'weather data'!D1364)</f>
        <v>10</v>
      </c>
      <c r="E1364">
        <f t="shared" si="22"/>
        <v>14.444444444444445</v>
      </c>
      <c r="F1364">
        <f>IF((E1364-'user input'!$C$2)&lt;0,0,E1364-'user input'!$C$2)</f>
        <v>4.4444444444444446</v>
      </c>
      <c r="G1364">
        <f>IF(B1364&lt;'user input'!$C$5,0,(F1364+G1363))</f>
        <v>1432.2222222222217</v>
      </c>
      <c r="H1364">
        <f>G1364/'user input'!$C$4</f>
        <v>1.1935185185185182</v>
      </c>
    </row>
    <row r="1365" spans="1:8" x14ac:dyDescent="0.2">
      <c r="A1365" s="1">
        <v>41541</v>
      </c>
      <c r="B1365">
        <v>268</v>
      </c>
      <c r="C1365" s="6">
        <f>IF('weather data'!C1365&gt;'user input'!$C$3,'user input'!$C$3,'weather data'!C1365)</f>
        <v>20.555555555555554</v>
      </c>
      <c r="D1365" s="6">
        <f>IF('weather data'!D1365&lt;'user input'!$C$2,'user input'!$C$2,'weather data'!D1365)</f>
        <v>10</v>
      </c>
      <c r="E1365">
        <f t="shared" si="22"/>
        <v>15.277777777777777</v>
      </c>
      <c r="F1365">
        <f>IF((E1365-'user input'!$C$2)&lt;0,0,E1365-'user input'!$C$2)</f>
        <v>5.2777777777777768</v>
      </c>
      <c r="G1365">
        <f>IF(B1365&lt;'user input'!$C$5,0,(F1365+G1364))</f>
        <v>1437.4999999999995</v>
      </c>
      <c r="H1365">
        <f>G1365/'user input'!$C$4</f>
        <v>1.1979166666666663</v>
      </c>
    </row>
    <row r="1366" spans="1:8" x14ac:dyDescent="0.2">
      <c r="A1366" s="2">
        <v>41542</v>
      </c>
      <c r="B1366">
        <v>269</v>
      </c>
      <c r="C1366" s="6">
        <f>IF('weather data'!C1366&gt;'user input'!$C$3,'user input'!$C$3,'weather data'!C1366)</f>
        <v>23.333333333333336</v>
      </c>
      <c r="D1366" s="6">
        <f>IF('weather data'!D1366&lt;'user input'!$C$2,'user input'!$C$2,'weather data'!D1366)</f>
        <v>10</v>
      </c>
      <c r="E1366">
        <f t="shared" si="22"/>
        <v>16.666666666666668</v>
      </c>
      <c r="F1366">
        <f>IF((E1366-'user input'!$C$2)&lt;0,0,E1366-'user input'!$C$2)</f>
        <v>6.6666666666666679</v>
      </c>
      <c r="G1366">
        <f>IF(B1366&lt;'user input'!$C$5,0,(F1366+G1365))</f>
        <v>1444.1666666666663</v>
      </c>
      <c r="H1366">
        <f>G1366/'user input'!$C$4</f>
        <v>1.2034722222222218</v>
      </c>
    </row>
    <row r="1367" spans="1:8" x14ac:dyDescent="0.2">
      <c r="A1367" s="1">
        <v>41543</v>
      </c>
      <c r="B1367">
        <v>270</v>
      </c>
      <c r="C1367" s="6">
        <f>IF('weather data'!C1367&gt;'user input'!$C$3,'user input'!$C$3,'weather data'!C1367)</f>
        <v>22.222222222222221</v>
      </c>
      <c r="D1367" s="6">
        <f>IF('weather data'!D1367&lt;'user input'!$C$2,'user input'!$C$2,'weather data'!D1367)</f>
        <v>10</v>
      </c>
      <c r="E1367">
        <f t="shared" si="22"/>
        <v>16.111111111111111</v>
      </c>
      <c r="F1367">
        <f>IF((E1367-'user input'!$C$2)&lt;0,0,E1367-'user input'!$C$2)</f>
        <v>6.1111111111111107</v>
      </c>
      <c r="G1367">
        <f>IF(B1367&lt;'user input'!$C$5,0,(F1367+G1366))</f>
        <v>1450.2777777777774</v>
      </c>
      <c r="H1367">
        <f>G1367/'user input'!$C$4</f>
        <v>1.2085648148148145</v>
      </c>
    </row>
    <row r="1368" spans="1:8" x14ac:dyDescent="0.2">
      <c r="A1368" s="1">
        <v>41544</v>
      </c>
      <c r="B1368">
        <v>271</v>
      </c>
      <c r="C1368" s="6">
        <f>IF('weather data'!C1368&gt;'user input'!$C$3,'user input'!$C$3,'weather data'!C1368)</f>
        <v>25</v>
      </c>
      <c r="D1368" s="6">
        <f>IF('weather data'!D1368&lt;'user input'!$C$2,'user input'!$C$2,'weather data'!D1368)</f>
        <v>10</v>
      </c>
      <c r="E1368">
        <f t="shared" si="22"/>
        <v>17.5</v>
      </c>
      <c r="F1368">
        <f>IF((E1368-'user input'!$C$2)&lt;0,0,E1368-'user input'!$C$2)</f>
        <v>7.5</v>
      </c>
      <c r="G1368">
        <f>IF(B1368&lt;'user input'!$C$5,0,(F1368+G1367))</f>
        <v>1457.7777777777774</v>
      </c>
      <c r="H1368">
        <f>G1368/'user input'!$C$4</f>
        <v>1.2148148148148146</v>
      </c>
    </row>
    <row r="1369" spans="1:8" x14ac:dyDescent="0.2">
      <c r="A1369" s="1">
        <v>41545</v>
      </c>
      <c r="B1369">
        <v>272</v>
      </c>
      <c r="C1369" s="6">
        <f>IF('weather data'!C1369&gt;'user input'!$C$3,'user input'!$C$3,'weather data'!C1369)</f>
        <v>27.222222222222221</v>
      </c>
      <c r="D1369" s="6">
        <f>IF('weather data'!D1369&lt;'user input'!$C$2,'user input'!$C$2,'weather data'!D1369)</f>
        <v>10</v>
      </c>
      <c r="E1369">
        <f t="shared" si="22"/>
        <v>18.611111111111111</v>
      </c>
      <c r="F1369">
        <f>IF((E1369-'user input'!$C$2)&lt;0,0,E1369-'user input'!$C$2)</f>
        <v>8.6111111111111107</v>
      </c>
      <c r="G1369">
        <f>IF(B1369&lt;'user input'!$C$5,0,(F1369+G1368))</f>
        <v>1466.3888888888885</v>
      </c>
      <c r="H1369">
        <f>G1369/'user input'!$C$4</f>
        <v>1.2219907407407404</v>
      </c>
    </row>
    <row r="1370" spans="1:8" x14ac:dyDescent="0.2">
      <c r="A1370" s="1">
        <v>41546</v>
      </c>
      <c r="B1370">
        <v>273</v>
      </c>
      <c r="C1370" s="6">
        <f>IF('weather data'!C1370&gt;'user input'!$C$3,'user input'!$C$3,'weather data'!C1370)</f>
        <v>26.666666666666664</v>
      </c>
      <c r="D1370" s="6">
        <f>IF('weather data'!D1370&lt;'user input'!$C$2,'user input'!$C$2,'weather data'!D1370)</f>
        <v>10</v>
      </c>
      <c r="E1370">
        <f t="shared" si="22"/>
        <v>18.333333333333332</v>
      </c>
      <c r="F1370">
        <f>IF((E1370-'user input'!$C$2)&lt;0,0,E1370-'user input'!$C$2)</f>
        <v>8.3333333333333321</v>
      </c>
      <c r="G1370">
        <f>IF(B1370&lt;'user input'!$C$5,0,(F1370+G1369))</f>
        <v>1474.7222222222217</v>
      </c>
      <c r="H1370">
        <f>G1370/'user input'!$C$4</f>
        <v>1.2289351851851849</v>
      </c>
    </row>
    <row r="1371" spans="1:8" x14ac:dyDescent="0.2">
      <c r="A1371" s="1">
        <v>41547</v>
      </c>
      <c r="B1371">
        <v>274</v>
      </c>
      <c r="C1371" s="6">
        <f>IF('weather data'!C1371&gt;'user input'!$C$3,'user input'!$C$3,'weather data'!C1371)</f>
        <v>21.666666666666664</v>
      </c>
      <c r="D1371" s="6">
        <f>IF('weather data'!D1371&lt;'user input'!$C$2,'user input'!$C$2,'weather data'!D1371)</f>
        <v>10</v>
      </c>
      <c r="E1371">
        <f t="shared" si="22"/>
        <v>15.833333333333332</v>
      </c>
      <c r="F1371">
        <f>IF((E1371-'user input'!$C$2)&lt;0,0,E1371-'user input'!$C$2)</f>
        <v>5.8333333333333321</v>
      </c>
      <c r="G1371">
        <f>IF(B1371&lt;'user input'!$C$5,0,(F1371+G1370))</f>
        <v>1480.555555555555</v>
      </c>
      <c r="H1371">
        <f>G1371/'user input'!$C$4</f>
        <v>1.2337962962962958</v>
      </c>
    </row>
    <row r="1372" spans="1:8" x14ac:dyDescent="0.2">
      <c r="A1372" s="1">
        <v>41548</v>
      </c>
      <c r="B1372">
        <v>275</v>
      </c>
      <c r="C1372" s="6">
        <f>IF('weather data'!C1372&gt;'user input'!$C$3,'user input'!$C$3,'weather data'!C1372)</f>
        <v>22.777777777777779</v>
      </c>
      <c r="D1372" s="6">
        <f>IF('weather data'!D1372&lt;'user input'!$C$2,'user input'!$C$2,'weather data'!D1372)</f>
        <v>10</v>
      </c>
      <c r="E1372">
        <f t="shared" si="22"/>
        <v>16.388888888888889</v>
      </c>
      <c r="F1372">
        <f>IF((E1372-'user input'!$C$2)&lt;0,0,E1372-'user input'!$C$2)</f>
        <v>6.3888888888888893</v>
      </c>
      <c r="G1372">
        <f>IF(B1372&lt;'user input'!$C$5,0,(F1372+G1371))</f>
        <v>1486.9444444444439</v>
      </c>
      <c r="H1372">
        <f>G1372/'user input'!$C$4</f>
        <v>1.2391203703703699</v>
      </c>
    </row>
    <row r="1373" spans="1:8" x14ac:dyDescent="0.2">
      <c r="A1373" s="1">
        <v>41549</v>
      </c>
      <c r="B1373">
        <v>276</v>
      </c>
      <c r="C1373" s="6">
        <f>IF('weather data'!C1373&gt;'user input'!$C$3,'user input'!$C$3,'weather data'!C1373)</f>
        <v>26.111111111111111</v>
      </c>
      <c r="D1373" s="6">
        <f>IF('weather data'!D1373&lt;'user input'!$C$2,'user input'!$C$2,'weather data'!D1373)</f>
        <v>10</v>
      </c>
      <c r="E1373">
        <f t="shared" si="22"/>
        <v>18.055555555555557</v>
      </c>
      <c r="F1373">
        <f>IF((E1373-'user input'!$C$2)&lt;0,0,E1373-'user input'!$C$2)</f>
        <v>8.0555555555555571</v>
      </c>
      <c r="G1373">
        <f>IF(B1373&lt;'user input'!$C$5,0,(F1373+G1372))</f>
        <v>1494.9999999999995</v>
      </c>
      <c r="H1373">
        <f>G1373/'user input'!$C$4</f>
        <v>1.2458333333333329</v>
      </c>
    </row>
    <row r="1374" spans="1:8" x14ac:dyDescent="0.2">
      <c r="A1374" s="1">
        <v>41550</v>
      </c>
      <c r="B1374">
        <v>277</v>
      </c>
      <c r="C1374" s="6">
        <f>IF('weather data'!C1374&gt;'user input'!$C$3,'user input'!$C$3,'weather data'!C1374)</f>
        <v>25</v>
      </c>
      <c r="D1374" s="6">
        <f>IF('weather data'!D1374&lt;'user input'!$C$2,'user input'!$C$2,'weather data'!D1374)</f>
        <v>10</v>
      </c>
      <c r="E1374">
        <f t="shared" si="22"/>
        <v>17.5</v>
      </c>
      <c r="F1374">
        <f>IF((E1374-'user input'!$C$2)&lt;0,0,E1374-'user input'!$C$2)</f>
        <v>7.5</v>
      </c>
      <c r="G1374">
        <f>IF(B1374&lt;'user input'!$C$5,0,(F1374+G1373))</f>
        <v>1502.4999999999995</v>
      </c>
      <c r="H1374">
        <f>G1374/'user input'!$C$4</f>
        <v>1.252083333333333</v>
      </c>
    </row>
    <row r="1375" spans="1:8" x14ac:dyDescent="0.2">
      <c r="A1375" s="1">
        <v>41551</v>
      </c>
      <c r="B1375">
        <v>278</v>
      </c>
      <c r="C1375" s="6">
        <f>IF('weather data'!C1375&gt;'user input'!$C$3,'user input'!$C$3,'weather data'!C1375)</f>
        <v>24.444444444444446</v>
      </c>
      <c r="D1375" s="6">
        <f>IF('weather data'!D1375&lt;'user input'!$C$2,'user input'!$C$2,'weather data'!D1375)</f>
        <v>12.777777777777777</v>
      </c>
      <c r="E1375">
        <f t="shared" si="22"/>
        <v>18.611111111111111</v>
      </c>
      <c r="F1375">
        <f>IF((E1375-'user input'!$C$2)&lt;0,0,E1375-'user input'!$C$2)</f>
        <v>8.6111111111111107</v>
      </c>
      <c r="G1375">
        <f>IF(B1375&lt;'user input'!$C$5,0,(F1375+G1374))</f>
        <v>1511.1111111111106</v>
      </c>
      <c r="H1375">
        <f>G1375/'user input'!$C$4</f>
        <v>1.2592592592592589</v>
      </c>
    </row>
    <row r="1376" spans="1:8" x14ac:dyDescent="0.2">
      <c r="A1376" s="1">
        <v>41552</v>
      </c>
      <c r="B1376">
        <v>279</v>
      </c>
      <c r="C1376" s="6">
        <f>IF('weather data'!C1376&gt;'user input'!$C$3,'user input'!$C$3,'weather data'!C1376)</f>
        <v>20.555555555555554</v>
      </c>
      <c r="D1376" s="6">
        <f>IF('weather data'!D1376&lt;'user input'!$C$2,'user input'!$C$2,'weather data'!D1376)</f>
        <v>16.111111111111111</v>
      </c>
      <c r="E1376">
        <f t="shared" si="22"/>
        <v>18.333333333333332</v>
      </c>
      <c r="F1376">
        <f>IF((E1376-'user input'!$C$2)&lt;0,0,E1376-'user input'!$C$2)</f>
        <v>8.3333333333333321</v>
      </c>
      <c r="G1376">
        <f>IF(B1376&lt;'user input'!$C$5,0,(F1376+G1375))</f>
        <v>1519.4444444444439</v>
      </c>
      <c r="H1376">
        <f>G1376/'user input'!$C$4</f>
        <v>1.2662037037037033</v>
      </c>
    </row>
    <row r="1377" spans="1:8" x14ac:dyDescent="0.2">
      <c r="A1377" s="1">
        <v>41553</v>
      </c>
      <c r="B1377">
        <v>280</v>
      </c>
      <c r="C1377" s="6">
        <f>IF('weather data'!C1377&gt;'user input'!$C$3,'user input'!$C$3,'weather data'!C1377)</f>
        <v>23.333333333333336</v>
      </c>
      <c r="D1377" s="6">
        <f>IF('weather data'!D1377&lt;'user input'!$C$2,'user input'!$C$2,'weather data'!D1377)</f>
        <v>10.555555555555555</v>
      </c>
      <c r="E1377">
        <f t="shared" si="22"/>
        <v>16.944444444444446</v>
      </c>
      <c r="F1377">
        <f>IF((E1377-'user input'!$C$2)&lt;0,0,E1377-'user input'!$C$2)</f>
        <v>6.9444444444444464</v>
      </c>
      <c r="G1377">
        <f>IF(B1377&lt;'user input'!$C$5,0,(F1377+G1376))</f>
        <v>1526.3888888888882</v>
      </c>
      <c r="H1377">
        <f>G1377/'user input'!$C$4</f>
        <v>1.2719907407407403</v>
      </c>
    </row>
    <row r="1378" spans="1:8" x14ac:dyDescent="0.2">
      <c r="A1378" s="1">
        <v>41554</v>
      </c>
      <c r="B1378">
        <v>281</v>
      </c>
      <c r="C1378" s="6">
        <f>IF('weather data'!C1378&gt;'user input'!$C$3,'user input'!$C$3,'weather data'!C1378)</f>
        <v>23.333333333333336</v>
      </c>
      <c r="D1378" s="6">
        <f>IF('weather data'!D1378&lt;'user input'!$C$2,'user input'!$C$2,'weather data'!D1378)</f>
        <v>10</v>
      </c>
      <c r="E1378">
        <f t="shared" si="22"/>
        <v>16.666666666666668</v>
      </c>
      <c r="F1378">
        <f>IF((E1378-'user input'!$C$2)&lt;0,0,E1378-'user input'!$C$2)</f>
        <v>6.6666666666666679</v>
      </c>
      <c r="G1378">
        <f>IF(B1378&lt;'user input'!$C$5,0,(F1378+G1377))</f>
        <v>1533.055555555555</v>
      </c>
      <c r="H1378">
        <f>G1378/'user input'!$C$4</f>
        <v>1.2775462962962958</v>
      </c>
    </row>
    <row r="1379" spans="1:8" x14ac:dyDescent="0.2">
      <c r="A1379" s="1">
        <v>41555</v>
      </c>
      <c r="B1379">
        <v>282</v>
      </c>
      <c r="C1379" s="6">
        <f>IF('weather data'!C1379&gt;'user input'!$C$3,'user input'!$C$3,'weather data'!C1379)</f>
        <v>20.555555555555554</v>
      </c>
      <c r="D1379" s="6">
        <f>IF('weather data'!D1379&lt;'user input'!$C$2,'user input'!$C$2,'weather data'!D1379)</f>
        <v>10</v>
      </c>
      <c r="E1379">
        <f t="shared" si="22"/>
        <v>15.277777777777777</v>
      </c>
      <c r="F1379">
        <f>IF((E1379-'user input'!$C$2)&lt;0,0,E1379-'user input'!$C$2)</f>
        <v>5.2777777777777768</v>
      </c>
      <c r="G1379">
        <f>IF(B1379&lt;'user input'!$C$5,0,(F1379+G1378))</f>
        <v>1538.3333333333328</v>
      </c>
      <c r="H1379">
        <f>G1379/'user input'!$C$4</f>
        <v>1.2819444444444441</v>
      </c>
    </row>
    <row r="1380" spans="1:8" x14ac:dyDescent="0.2">
      <c r="A1380" s="1">
        <v>41556</v>
      </c>
      <c r="B1380">
        <v>283</v>
      </c>
      <c r="C1380" s="6">
        <f>IF('weather data'!C1380&gt;'user input'!$C$3,'user input'!$C$3,'weather data'!C1380)</f>
        <v>24.444444444444446</v>
      </c>
      <c r="D1380" s="6">
        <f>IF('weather data'!D1380&lt;'user input'!$C$2,'user input'!$C$2,'weather data'!D1380)</f>
        <v>10</v>
      </c>
      <c r="E1380">
        <f t="shared" si="22"/>
        <v>17.222222222222221</v>
      </c>
      <c r="F1380">
        <f>IF((E1380-'user input'!$C$2)&lt;0,0,E1380-'user input'!$C$2)</f>
        <v>7.2222222222222214</v>
      </c>
      <c r="G1380">
        <f>IF(B1380&lt;'user input'!$C$5,0,(F1380+G1379))</f>
        <v>1545.555555555555</v>
      </c>
      <c r="H1380">
        <f>G1380/'user input'!$C$4</f>
        <v>1.2879629629629625</v>
      </c>
    </row>
    <row r="1381" spans="1:8" x14ac:dyDescent="0.2">
      <c r="A1381" s="1">
        <v>41557</v>
      </c>
      <c r="B1381">
        <v>284</v>
      </c>
      <c r="C1381" s="6">
        <f>IF('weather data'!C1381&gt;'user input'!$C$3,'user input'!$C$3,'weather data'!C1381)</f>
        <v>23.333333333333336</v>
      </c>
      <c r="D1381" s="6">
        <f>IF('weather data'!D1381&lt;'user input'!$C$2,'user input'!$C$2,'weather data'!D1381)</f>
        <v>10</v>
      </c>
      <c r="E1381">
        <f t="shared" si="22"/>
        <v>16.666666666666668</v>
      </c>
      <c r="F1381">
        <f>IF((E1381-'user input'!$C$2)&lt;0,0,E1381-'user input'!$C$2)</f>
        <v>6.6666666666666679</v>
      </c>
      <c r="G1381">
        <f>IF(B1381&lt;'user input'!$C$5,0,(F1381+G1380))</f>
        <v>1552.2222222222217</v>
      </c>
      <c r="H1381">
        <f>G1381/'user input'!$C$4</f>
        <v>1.2935185185185181</v>
      </c>
    </row>
    <row r="1382" spans="1:8" x14ac:dyDescent="0.2">
      <c r="A1382" s="1">
        <v>41558</v>
      </c>
      <c r="B1382">
        <v>285</v>
      </c>
      <c r="C1382" s="6">
        <f>IF('weather data'!C1382&gt;'user input'!$C$3,'user input'!$C$3,'weather data'!C1382)</f>
        <v>23.333333333333336</v>
      </c>
      <c r="D1382" s="6">
        <f>IF('weather data'!D1382&lt;'user input'!$C$2,'user input'!$C$2,'weather data'!D1382)</f>
        <v>10</v>
      </c>
      <c r="E1382">
        <f t="shared" si="22"/>
        <v>16.666666666666668</v>
      </c>
      <c r="F1382">
        <f>IF((E1382-'user input'!$C$2)&lt;0,0,E1382-'user input'!$C$2)</f>
        <v>6.6666666666666679</v>
      </c>
      <c r="G1382">
        <f>IF(B1382&lt;'user input'!$C$5,0,(F1382+G1381))</f>
        <v>1558.8888888888885</v>
      </c>
      <c r="H1382">
        <f>G1382/'user input'!$C$4</f>
        <v>1.2990740740740738</v>
      </c>
    </row>
    <row r="1383" spans="1:8" x14ac:dyDescent="0.2">
      <c r="A1383" s="1">
        <v>41559</v>
      </c>
      <c r="B1383">
        <v>286</v>
      </c>
      <c r="C1383" s="6">
        <f>IF('weather data'!C1383&gt;'user input'!$C$3,'user input'!$C$3,'weather data'!C1383)</f>
        <v>23.888888888888889</v>
      </c>
      <c r="D1383" s="6">
        <f>IF('weather data'!D1383&lt;'user input'!$C$2,'user input'!$C$2,'weather data'!D1383)</f>
        <v>11.111111111111111</v>
      </c>
      <c r="E1383">
        <f t="shared" si="22"/>
        <v>17.5</v>
      </c>
      <c r="F1383">
        <f>IF((E1383-'user input'!$C$2)&lt;0,0,E1383-'user input'!$C$2)</f>
        <v>7.5</v>
      </c>
      <c r="G1383">
        <f>IF(B1383&lt;'user input'!$C$5,0,(F1383+G1382))</f>
        <v>1566.3888888888885</v>
      </c>
      <c r="H1383">
        <f>G1383/'user input'!$C$4</f>
        <v>1.3053240740740737</v>
      </c>
    </row>
    <row r="1384" spans="1:8" x14ac:dyDescent="0.2">
      <c r="A1384" s="1">
        <v>41560</v>
      </c>
      <c r="B1384">
        <v>287</v>
      </c>
      <c r="C1384" s="6">
        <f>IF('weather data'!C1384&gt;'user input'!$C$3,'user input'!$C$3,'weather data'!C1384)</f>
        <v>20.555555555555554</v>
      </c>
      <c r="D1384" s="6">
        <f>IF('weather data'!D1384&lt;'user input'!$C$2,'user input'!$C$2,'weather data'!D1384)</f>
        <v>10</v>
      </c>
      <c r="E1384">
        <f t="shared" si="22"/>
        <v>15.277777777777777</v>
      </c>
      <c r="F1384">
        <f>IF((E1384-'user input'!$C$2)&lt;0,0,E1384-'user input'!$C$2)</f>
        <v>5.2777777777777768</v>
      </c>
      <c r="G1384">
        <f>IF(B1384&lt;'user input'!$C$5,0,(F1384+G1383))</f>
        <v>1571.6666666666663</v>
      </c>
      <c r="H1384">
        <f>G1384/'user input'!$C$4</f>
        <v>1.309722222222222</v>
      </c>
    </row>
    <row r="1385" spans="1:8" x14ac:dyDescent="0.2">
      <c r="A1385" s="1">
        <v>41561</v>
      </c>
      <c r="B1385">
        <v>288</v>
      </c>
      <c r="C1385" s="6">
        <f>IF('weather data'!C1385&gt;'user input'!$C$3,'user input'!$C$3,'weather data'!C1385)</f>
        <v>16.666666666666668</v>
      </c>
      <c r="D1385" s="6">
        <f>IF('weather data'!D1385&lt;'user input'!$C$2,'user input'!$C$2,'weather data'!D1385)</f>
        <v>10</v>
      </c>
      <c r="E1385">
        <f t="shared" si="22"/>
        <v>13.333333333333334</v>
      </c>
      <c r="F1385">
        <f>IF((E1385-'user input'!$C$2)&lt;0,0,E1385-'user input'!$C$2)</f>
        <v>3.3333333333333339</v>
      </c>
      <c r="G1385">
        <f>IF(B1385&lt;'user input'!$C$5,0,(F1385+G1384))</f>
        <v>1574.9999999999995</v>
      </c>
      <c r="H1385">
        <f>G1385/'user input'!$C$4</f>
        <v>1.3124999999999996</v>
      </c>
    </row>
    <row r="1386" spans="1:8" x14ac:dyDescent="0.2">
      <c r="A1386" s="1">
        <v>41562</v>
      </c>
      <c r="B1386">
        <v>289</v>
      </c>
      <c r="C1386" s="6">
        <f>IF('weather data'!C1386&gt;'user input'!$C$3,'user input'!$C$3,'weather data'!C1386)</f>
        <v>16.666666666666668</v>
      </c>
      <c r="D1386" s="6">
        <f>IF('weather data'!D1386&lt;'user input'!$C$2,'user input'!$C$2,'weather data'!D1386)</f>
        <v>10</v>
      </c>
      <c r="E1386">
        <f t="shared" si="22"/>
        <v>13.333333333333334</v>
      </c>
      <c r="F1386">
        <f>IF((E1386-'user input'!$C$2)&lt;0,0,E1386-'user input'!$C$2)</f>
        <v>3.3333333333333339</v>
      </c>
      <c r="G1386">
        <f>IF(B1386&lt;'user input'!$C$5,0,(F1386+G1385))</f>
        <v>1578.3333333333328</v>
      </c>
      <c r="H1386">
        <f>G1386/'user input'!$C$4</f>
        <v>1.3152777777777773</v>
      </c>
    </row>
    <row r="1387" spans="1:8" x14ac:dyDescent="0.2">
      <c r="A1387" s="1">
        <v>41563</v>
      </c>
      <c r="B1387">
        <v>290</v>
      </c>
      <c r="C1387" s="6">
        <f>IF('weather data'!C1387&gt;'user input'!$C$3,'user input'!$C$3,'weather data'!C1387)</f>
        <v>15.555555555555555</v>
      </c>
      <c r="D1387" s="6">
        <f>IF('weather data'!D1387&lt;'user input'!$C$2,'user input'!$C$2,'weather data'!D1387)</f>
        <v>10</v>
      </c>
      <c r="E1387">
        <f t="shared" si="22"/>
        <v>12.777777777777779</v>
      </c>
      <c r="F1387">
        <f>IF((E1387-'user input'!$C$2)&lt;0,0,E1387-'user input'!$C$2)</f>
        <v>2.7777777777777786</v>
      </c>
      <c r="G1387">
        <f>IF(B1387&lt;'user input'!$C$5,0,(F1387+G1386))</f>
        <v>1581.1111111111106</v>
      </c>
      <c r="H1387">
        <f>G1387/'user input'!$C$4</f>
        <v>1.3175925925925922</v>
      </c>
    </row>
    <row r="1388" spans="1:8" x14ac:dyDescent="0.2">
      <c r="A1388" s="1">
        <v>41564</v>
      </c>
      <c r="B1388">
        <v>291</v>
      </c>
      <c r="C1388" s="6">
        <f>IF('weather data'!C1388&gt;'user input'!$C$3,'user input'!$C$3,'weather data'!C1388)</f>
        <v>11.111111111111111</v>
      </c>
      <c r="D1388" s="6">
        <f>IF('weather data'!D1388&lt;'user input'!$C$2,'user input'!$C$2,'weather data'!D1388)</f>
        <v>10</v>
      </c>
      <c r="E1388">
        <f t="shared" si="22"/>
        <v>10.555555555555555</v>
      </c>
      <c r="F1388">
        <f>IF((E1388-'user input'!$C$2)&lt;0,0,E1388-'user input'!$C$2)</f>
        <v>0.55555555555555536</v>
      </c>
      <c r="G1388">
        <f>IF(B1388&lt;'user input'!$C$5,0,(F1388+G1387))</f>
        <v>1581.6666666666663</v>
      </c>
      <c r="H1388">
        <f>G1388/'user input'!$C$4</f>
        <v>1.3180555555555553</v>
      </c>
    </row>
    <row r="1389" spans="1:8" x14ac:dyDescent="0.2">
      <c r="A1389" s="1">
        <v>41565</v>
      </c>
      <c r="B1389">
        <v>292</v>
      </c>
      <c r="C1389" s="6">
        <f>IF('weather data'!C1389&gt;'user input'!$C$3,'user input'!$C$3,'weather data'!C1389)</f>
        <v>13.888888888888889</v>
      </c>
      <c r="D1389" s="6">
        <f>IF('weather data'!D1389&lt;'user input'!$C$2,'user input'!$C$2,'weather data'!D1389)</f>
        <v>10</v>
      </c>
      <c r="E1389">
        <f t="shared" si="22"/>
        <v>11.944444444444445</v>
      </c>
      <c r="F1389">
        <f>IF((E1389-'user input'!$C$2)&lt;0,0,E1389-'user input'!$C$2)</f>
        <v>1.9444444444444446</v>
      </c>
      <c r="G1389">
        <f>IF(B1389&lt;'user input'!$C$5,0,(F1389+G1388))</f>
        <v>1583.6111111111106</v>
      </c>
      <c r="H1389">
        <f>G1389/'user input'!$C$4</f>
        <v>1.3196759259259254</v>
      </c>
    </row>
    <row r="1390" spans="1:8" x14ac:dyDescent="0.2">
      <c r="A1390" s="1">
        <v>41566</v>
      </c>
      <c r="B1390">
        <v>293</v>
      </c>
      <c r="C1390" s="6">
        <f>IF('weather data'!C1390&gt;'user input'!$C$3,'user input'!$C$3,'weather data'!C1390)</f>
        <v>8.3333333333333339</v>
      </c>
      <c r="D1390" s="6">
        <f>IF('weather data'!D1390&lt;'user input'!$C$2,'user input'!$C$2,'weather data'!D1390)</f>
        <v>10</v>
      </c>
      <c r="E1390">
        <f t="shared" si="22"/>
        <v>9.1666666666666679</v>
      </c>
      <c r="F1390">
        <f>IF((E1390-'user input'!$C$2)&lt;0,0,E1390-'user input'!$C$2)</f>
        <v>0</v>
      </c>
      <c r="G1390">
        <f>IF(B1390&lt;'user input'!$C$5,0,(F1390+G1389))</f>
        <v>1583.6111111111106</v>
      </c>
      <c r="H1390">
        <f>G1390/'user input'!$C$4</f>
        <v>1.3196759259259254</v>
      </c>
    </row>
    <row r="1391" spans="1:8" x14ac:dyDescent="0.2">
      <c r="A1391" s="1">
        <v>41567</v>
      </c>
      <c r="B1391">
        <v>294</v>
      </c>
      <c r="C1391" s="6">
        <f>IF('weather data'!C1391&gt;'user input'!$C$3,'user input'!$C$3,'weather data'!C1391)</f>
        <v>11.666666666666668</v>
      </c>
      <c r="D1391" s="6">
        <f>IF('weather data'!D1391&lt;'user input'!$C$2,'user input'!$C$2,'weather data'!D1391)</f>
        <v>10</v>
      </c>
      <c r="E1391">
        <f t="shared" si="22"/>
        <v>10.833333333333334</v>
      </c>
      <c r="F1391">
        <f>IF((E1391-'user input'!$C$2)&lt;0,0,E1391-'user input'!$C$2)</f>
        <v>0.83333333333333393</v>
      </c>
      <c r="G1391">
        <f>IF(B1391&lt;'user input'!$C$5,0,(F1391+G1390))</f>
        <v>1584.4444444444439</v>
      </c>
      <c r="H1391">
        <f>G1391/'user input'!$C$4</f>
        <v>1.32037037037037</v>
      </c>
    </row>
    <row r="1392" spans="1:8" x14ac:dyDescent="0.2">
      <c r="A1392" s="1">
        <v>41568</v>
      </c>
      <c r="B1392">
        <v>295</v>
      </c>
      <c r="C1392" s="6">
        <f>IF('weather data'!C1392&gt;'user input'!$C$3,'user input'!$C$3,'weather data'!C1392)</f>
        <v>7.7777777777777777</v>
      </c>
      <c r="D1392" s="6">
        <f>IF('weather data'!D1392&lt;'user input'!$C$2,'user input'!$C$2,'weather data'!D1392)</f>
        <v>10</v>
      </c>
      <c r="E1392">
        <f t="shared" si="22"/>
        <v>8.8888888888888893</v>
      </c>
      <c r="F1392">
        <f>IF((E1392-'user input'!$C$2)&lt;0,0,E1392-'user input'!$C$2)</f>
        <v>0</v>
      </c>
      <c r="G1392">
        <f>IF(B1392&lt;'user input'!$C$5,0,(F1392+G1391))</f>
        <v>1584.4444444444439</v>
      </c>
      <c r="H1392">
        <f>G1392/'user input'!$C$4</f>
        <v>1.32037037037037</v>
      </c>
    </row>
    <row r="1393" spans="1:8" x14ac:dyDescent="0.2">
      <c r="A1393" s="1">
        <v>41569</v>
      </c>
      <c r="B1393">
        <v>296</v>
      </c>
      <c r="C1393" s="6">
        <f>IF('weather data'!C1393&gt;'user input'!$C$3,'user input'!$C$3,'weather data'!C1393)</f>
        <v>3.8888888888888888</v>
      </c>
      <c r="D1393" s="6">
        <f>IF('weather data'!D1393&lt;'user input'!$C$2,'user input'!$C$2,'weather data'!D1393)</f>
        <v>10</v>
      </c>
      <c r="E1393">
        <f t="shared" si="22"/>
        <v>6.9444444444444446</v>
      </c>
      <c r="F1393">
        <f>IF((E1393-'user input'!$C$2)&lt;0,0,E1393-'user input'!$C$2)</f>
        <v>0</v>
      </c>
      <c r="G1393">
        <f>IF(B1393&lt;'user input'!$C$5,0,(F1393+G1392))</f>
        <v>1584.4444444444439</v>
      </c>
      <c r="H1393">
        <f>G1393/'user input'!$C$4</f>
        <v>1.32037037037037</v>
      </c>
    </row>
    <row r="1394" spans="1:8" x14ac:dyDescent="0.2">
      <c r="A1394" s="1">
        <v>41570</v>
      </c>
      <c r="B1394">
        <v>297</v>
      </c>
      <c r="C1394" s="6">
        <f>IF('weather data'!C1394&gt;'user input'!$C$3,'user input'!$C$3,'weather data'!C1394)</f>
        <v>8.3333333333333339</v>
      </c>
      <c r="D1394" s="6">
        <f>IF('weather data'!D1394&lt;'user input'!$C$2,'user input'!$C$2,'weather data'!D1394)</f>
        <v>10</v>
      </c>
      <c r="E1394">
        <f t="shared" si="22"/>
        <v>9.1666666666666679</v>
      </c>
      <c r="F1394">
        <f>IF((E1394-'user input'!$C$2)&lt;0,0,E1394-'user input'!$C$2)</f>
        <v>0</v>
      </c>
      <c r="G1394">
        <f>IF(B1394&lt;'user input'!$C$5,0,(F1394+G1393))</f>
        <v>1584.4444444444439</v>
      </c>
      <c r="H1394">
        <f>G1394/'user input'!$C$4</f>
        <v>1.32037037037037</v>
      </c>
    </row>
    <row r="1395" spans="1:8" x14ac:dyDescent="0.2">
      <c r="A1395" s="1">
        <v>41571</v>
      </c>
      <c r="B1395">
        <v>298</v>
      </c>
      <c r="C1395" s="6">
        <f>IF('weather data'!C1395&gt;'user input'!$C$3,'user input'!$C$3,'weather data'!C1395)</f>
        <v>5.5555555555555554</v>
      </c>
      <c r="D1395" s="6">
        <f>IF('weather data'!D1395&lt;'user input'!$C$2,'user input'!$C$2,'weather data'!D1395)</f>
        <v>10</v>
      </c>
      <c r="E1395">
        <f t="shared" si="22"/>
        <v>7.7777777777777777</v>
      </c>
      <c r="F1395">
        <f>IF((E1395-'user input'!$C$2)&lt;0,0,E1395-'user input'!$C$2)</f>
        <v>0</v>
      </c>
      <c r="G1395">
        <f>IF(B1395&lt;'user input'!$C$5,0,(F1395+G1394))</f>
        <v>1584.4444444444439</v>
      </c>
      <c r="H1395">
        <f>G1395/'user input'!$C$4</f>
        <v>1.32037037037037</v>
      </c>
    </row>
    <row r="1396" spans="1:8" x14ac:dyDescent="0.2">
      <c r="A1396" s="1">
        <v>41572</v>
      </c>
      <c r="B1396">
        <v>299</v>
      </c>
      <c r="C1396" s="6">
        <f>IF('weather data'!C1396&gt;'user input'!$C$3,'user input'!$C$3,'weather data'!C1396)</f>
        <v>6.6666666666666661</v>
      </c>
      <c r="D1396" s="6">
        <f>IF('weather data'!D1396&lt;'user input'!$C$2,'user input'!$C$2,'weather data'!D1396)</f>
        <v>10</v>
      </c>
      <c r="E1396">
        <f t="shared" si="22"/>
        <v>8.3333333333333321</v>
      </c>
      <c r="F1396">
        <f>IF((E1396-'user input'!$C$2)&lt;0,0,E1396-'user input'!$C$2)</f>
        <v>0</v>
      </c>
      <c r="G1396">
        <f>IF(B1396&lt;'user input'!$C$5,0,(F1396+G1395))</f>
        <v>1584.4444444444439</v>
      </c>
      <c r="H1396">
        <f>G1396/'user input'!$C$4</f>
        <v>1.32037037037037</v>
      </c>
    </row>
    <row r="1397" spans="1:8" x14ac:dyDescent="0.2">
      <c r="A1397" s="1">
        <v>41573</v>
      </c>
      <c r="B1397">
        <v>300</v>
      </c>
      <c r="C1397" s="6">
        <f>IF('weather data'!C1397&gt;'user input'!$C$3,'user input'!$C$3,'weather data'!C1397)</f>
        <v>11.111111111111111</v>
      </c>
      <c r="D1397" s="6">
        <f>IF('weather data'!D1397&lt;'user input'!$C$2,'user input'!$C$2,'weather data'!D1397)</f>
        <v>10</v>
      </c>
      <c r="E1397">
        <f t="shared" si="22"/>
        <v>10.555555555555555</v>
      </c>
      <c r="F1397">
        <f>IF((E1397-'user input'!$C$2)&lt;0,0,E1397-'user input'!$C$2)</f>
        <v>0.55555555555555536</v>
      </c>
      <c r="G1397">
        <f>IF(B1397&lt;'user input'!$C$5,0,(F1397+G1396))</f>
        <v>1584.9999999999995</v>
      </c>
      <c r="H1397">
        <f>G1397/'user input'!$C$4</f>
        <v>1.3208333333333329</v>
      </c>
    </row>
    <row r="1398" spans="1:8" x14ac:dyDescent="0.2">
      <c r="A1398" s="1">
        <v>41574</v>
      </c>
      <c r="B1398">
        <v>301</v>
      </c>
      <c r="C1398" s="6">
        <f>IF('weather data'!C1398&gt;'user input'!$C$3,'user input'!$C$3,'weather data'!C1398)</f>
        <v>11.666666666666668</v>
      </c>
      <c r="D1398" s="6">
        <f>IF('weather data'!D1398&lt;'user input'!$C$2,'user input'!$C$2,'weather data'!D1398)</f>
        <v>10</v>
      </c>
      <c r="E1398">
        <f t="shared" si="22"/>
        <v>10.833333333333334</v>
      </c>
      <c r="F1398">
        <f>IF((E1398-'user input'!$C$2)&lt;0,0,E1398-'user input'!$C$2)</f>
        <v>0.83333333333333393</v>
      </c>
      <c r="G1398">
        <f>IF(B1398&lt;'user input'!$C$5,0,(F1398+G1397))</f>
        <v>1585.8333333333328</v>
      </c>
      <c r="H1398">
        <f>G1398/'user input'!$C$4</f>
        <v>1.3215277777777774</v>
      </c>
    </row>
    <row r="1399" spans="1:8" x14ac:dyDescent="0.2">
      <c r="A1399" s="1">
        <v>41575</v>
      </c>
      <c r="B1399">
        <v>302</v>
      </c>
      <c r="C1399" s="6">
        <f>IF('weather data'!C1399&gt;'user input'!$C$3,'user input'!$C$3,'weather data'!C1399)</f>
        <v>12.777777777777777</v>
      </c>
      <c r="D1399" s="6">
        <f>IF('weather data'!D1399&lt;'user input'!$C$2,'user input'!$C$2,'weather data'!D1399)</f>
        <v>10</v>
      </c>
      <c r="E1399">
        <f t="shared" si="22"/>
        <v>11.388888888888889</v>
      </c>
      <c r="F1399">
        <f>IF((E1399-'user input'!$C$2)&lt;0,0,E1399-'user input'!$C$2)</f>
        <v>1.3888888888888893</v>
      </c>
      <c r="G1399">
        <f>IF(B1399&lt;'user input'!$C$5,0,(F1399+G1398))</f>
        <v>1587.2222222222217</v>
      </c>
      <c r="H1399">
        <f>G1399/'user input'!$C$4</f>
        <v>1.3226851851851849</v>
      </c>
    </row>
    <row r="1400" spans="1:8" x14ac:dyDescent="0.2">
      <c r="A1400" s="1">
        <v>41576</v>
      </c>
      <c r="B1400">
        <v>303</v>
      </c>
      <c r="C1400" s="6">
        <f>IF('weather data'!C1400&gt;'user input'!$C$3,'user input'!$C$3,'weather data'!C1400)</f>
        <v>6.1111111111111116</v>
      </c>
      <c r="D1400" s="6">
        <f>IF('weather data'!D1400&lt;'user input'!$C$2,'user input'!$C$2,'weather data'!D1400)</f>
        <v>10</v>
      </c>
      <c r="E1400">
        <f t="shared" si="22"/>
        <v>8.0555555555555554</v>
      </c>
      <c r="F1400">
        <f>IF((E1400-'user input'!$C$2)&lt;0,0,E1400-'user input'!$C$2)</f>
        <v>0</v>
      </c>
      <c r="G1400">
        <f>IF(B1400&lt;'user input'!$C$5,0,(F1400+G1399))</f>
        <v>1587.2222222222217</v>
      </c>
      <c r="H1400">
        <f>G1400/'user input'!$C$4</f>
        <v>1.3226851851851849</v>
      </c>
    </row>
    <row r="1401" spans="1:8" x14ac:dyDescent="0.2">
      <c r="A1401" s="1">
        <v>41577</v>
      </c>
      <c r="B1401">
        <v>304</v>
      </c>
      <c r="C1401" s="6">
        <f>IF('weather data'!C1401&gt;'user input'!$C$3,'user input'!$C$3,'weather data'!C1401)</f>
        <v>11.666666666666668</v>
      </c>
      <c r="D1401" s="6">
        <f>IF('weather data'!D1401&lt;'user input'!$C$2,'user input'!$C$2,'weather data'!D1401)</f>
        <v>10</v>
      </c>
      <c r="E1401">
        <f t="shared" si="22"/>
        <v>10.833333333333334</v>
      </c>
      <c r="F1401">
        <f>IF((E1401-'user input'!$C$2)&lt;0,0,E1401-'user input'!$C$2)</f>
        <v>0.83333333333333393</v>
      </c>
      <c r="G1401">
        <f>IF(B1401&lt;'user input'!$C$5,0,(F1401+G1400))</f>
        <v>1588.055555555555</v>
      </c>
      <c r="H1401">
        <f>G1401/'user input'!$C$4</f>
        <v>1.3233796296296292</v>
      </c>
    </row>
    <row r="1402" spans="1:8" x14ac:dyDescent="0.2">
      <c r="A1402" s="1">
        <v>41578</v>
      </c>
      <c r="B1402">
        <v>305</v>
      </c>
      <c r="C1402" s="6">
        <f>IF('weather data'!C1402&gt;'user input'!$C$3,'user input'!$C$3,'weather data'!C1402)</f>
        <v>15.555555555555555</v>
      </c>
      <c r="D1402" s="6">
        <f>IF('weather data'!D1402&lt;'user input'!$C$2,'user input'!$C$2,'weather data'!D1402)</f>
        <v>10</v>
      </c>
      <c r="E1402">
        <f t="shared" si="22"/>
        <v>12.777777777777779</v>
      </c>
      <c r="F1402">
        <f>IF((E1402-'user input'!$C$2)&lt;0,0,E1402-'user input'!$C$2)</f>
        <v>2.7777777777777786</v>
      </c>
      <c r="G1402">
        <f>IF(B1402&lt;'user input'!$C$5,0,(F1402+G1401))</f>
        <v>1590.8333333333328</v>
      </c>
      <c r="H1402">
        <f>G1402/'user input'!$C$4</f>
        <v>1.3256944444444441</v>
      </c>
    </row>
    <row r="1403" spans="1:8" x14ac:dyDescent="0.2">
      <c r="A1403" s="1">
        <v>41579</v>
      </c>
      <c r="B1403">
        <v>306</v>
      </c>
      <c r="C1403" s="6">
        <f>IF('weather data'!C1403&gt;'user input'!$C$3,'user input'!$C$3,'weather data'!C1403)</f>
        <v>15</v>
      </c>
      <c r="D1403" s="6">
        <f>IF('weather data'!D1403&lt;'user input'!$C$2,'user input'!$C$2,'weather data'!D1403)</f>
        <v>10</v>
      </c>
      <c r="E1403">
        <f t="shared" si="22"/>
        <v>12.5</v>
      </c>
      <c r="F1403">
        <f>IF((E1403-'user input'!$C$2)&lt;0,0,E1403-'user input'!$C$2)</f>
        <v>2.5</v>
      </c>
      <c r="G1403">
        <f>IF(B1403&lt;'user input'!$C$5,0,(F1403+G1402))</f>
        <v>1593.3333333333328</v>
      </c>
      <c r="H1403">
        <f>G1403/'user input'!$C$4</f>
        <v>1.3277777777777773</v>
      </c>
    </row>
    <row r="1404" spans="1:8" x14ac:dyDescent="0.2">
      <c r="A1404" s="1">
        <v>41580</v>
      </c>
      <c r="B1404">
        <v>307</v>
      </c>
      <c r="C1404" s="6">
        <f>IF('weather data'!C1404&gt;'user input'!$C$3,'user input'!$C$3,'weather data'!C1404)</f>
        <v>7.7777777777777777</v>
      </c>
      <c r="D1404" s="6">
        <f>IF('weather data'!D1404&lt;'user input'!$C$2,'user input'!$C$2,'weather data'!D1404)</f>
        <v>10</v>
      </c>
      <c r="E1404">
        <f t="shared" si="22"/>
        <v>8.8888888888888893</v>
      </c>
      <c r="F1404">
        <f>IF((E1404-'user input'!$C$2)&lt;0,0,E1404-'user input'!$C$2)</f>
        <v>0</v>
      </c>
      <c r="G1404">
        <f>IF(B1404&lt;'user input'!$C$5,0,(F1404+G1403))</f>
        <v>1593.3333333333328</v>
      </c>
      <c r="H1404">
        <f>G1404/'user input'!$C$4</f>
        <v>1.3277777777777773</v>
      </c>
    </row>
    <row r="1405" spans="1:8" x14ac:dyDescent="0.2">
      <c r="A1405" s="1">
        <v>41581</v>
      </c>
      <c r="B1405">
        <v>308</v>
      </c>
      <c r="C1405" s="6">
        <f>IF('weather data'!C1405&gt;'user input'!$C$3,'user input'!$C$3,'weather data'!C1405)</f>
        <v>10</v>
      </c>
      <c r="D1405" s="6">
        <f>IF('weather data'!D1405&lt;'user input'!$C$2,'user input'!$C$2,'weather data'!D1405)</f>
        <v>10</v>
      </c>
      <c r="E1405">
        <f t="shared" si="22"/>
        <v>10</v>
      </c>
      <c r="F1405">
        <f>IF((E1405-'user input'!$C$2)&lt;0,0,E1405-'user input'!$C$2)</f>
        <v>0</v>
      </c>
      <c r="G1405">
        <f>IF(B1405&lt;'user input'!$C$5,0,(F1405+G1404))</f>
        <v>1593.3333333333328</v>
      </c>
      <c r="H1405">
        <f>G1405/'user input'!$C$4</f>
        <v>1.3277777777777773</v>
      </c>
    </row>
    <row r="1406" spans="1:8" x14ac:dyDescent="0.2">
      <c r="A1406" s="1">
        <v>41582</v>
      </c>
      <c r="B1406">
        <v>309</v>
      </c>
      <c r="C1406" s="6">
        <f>IF('weather data'!C1406&gt;'user input'!$C$3,'user input'!$C$3,'weather data'!C1406)</f>
        <v>10.555555555555555</v>
      </c>
      <c r="D1406" s="6">
        <f>IF('weather data'!D1406&lt;'user input'!$C$2,'user input'!$C$2,'weather data'!D1406)</f>
        <v>10</v>
      </c>
      <c r="E1406">
        <f t="shared" si="22"/>
        <v>10.277777777777779</v>
      </c>
      <c r="F1406">
        <f>IF((E1406-'user input'!$C$2)&lt;0,0,E1406-'user input'!$C$2)</f>
        <v>0.27777777777777857</v>
      </c>
      <c r="G1406">
        <f>IF(B1406&lt;'user input'!$C$5,0,(F1406+G1405))</f>
        <v>1593.6111111111106</v>
      </c>
      <c r="H1406">
        <f>G1406/'user input'!$C$4</f>
        <v>1.3280092592592589</v>
      </c>
    </row>
    <row r="1407" spans="1:8" x14ac:dyDescent="0.2">
      <c r="A1407" s="1">
        <v>41583</v>
      </c>
      <c r="B1407">
        <v>310</v>
      </c>
      <c r="C1407" s="6">
        <f>IF('weather data'!C1407&gt;'user input'!$C$3,'user input'!$C$3,'weather data'!C1407)</f>
        <v>11.111111111111111</v>
      </c>
      <c r="D1407" s="6">
        <f>IF('weather data'!D1407&lt;'user input'!$C$2,'user input'!$C$2,'weather data'!D1407)</f>
        <v>10</v>
      </c>
      <c r="E1407">
        <f t="shared" si="22"/>
        <v>10.555555555555555</v>
      </c>
      <c r="F1407">
        <f>IF((E1407-'user input'!$C$2)&lt;0,0,E1407-'user input'!$C$2)</f>
        <v>0.55555555555555536</v>
      </c>
      <c r="G1407">
        <f>IF(B1407&lt;'user input'!$C$5,0,(F1407+G1406))</f>
        <v>1594.1666666666663</v>
      </c>
      <c r="H1407">
        <f>G1407/'user input'!$C$4</f>
        <v>1.3284722222222218</v>
      </c>
    </row>
    <row r="1408" spans="1:8" x14ac:dyDescent="0.2">
      <c r="A1408" s="1">
        <v>41584</v>
      </c>
      <c r="B1408">
        <v>311</v>
      </c>
      <c r="C1408" s="6">
        <f>IF('weather data'!C1408&gt;'user input'!$C$3,'user input'!$C$3,'weather data'!C1408)</f>
        <v>12.777777777777777</v>
      </c>
      <c r="D1408" s="6">
        <f>IF('weather data'!D1408&lt;'user input'!$C$2,'user input'!$C$2,'weather data'!D1408)</f>
        <v>10</v>
      </c>
      <c r="E1408">
        <f t="shared" si="22"/>
        <v>11.388888888888889</v>
      </c>
      <c r="F1408">
        <f>IF((E1408-'user input'!$C$2)&lt;0,0,E1408-'user input'!$C$2)</f>
        <v>1.3888888888888893</v>
      </c>
      <c r="G1408">
        <f>IF(B1408&lt;'user input'!$C$5,0,(F1408+G1407))</f>
        <v>1595.5555555555552</v>
      </c>
      <c r="H1408">
        <f>G1408/'user input'!$C$4</f>
        <v>1.3296296296296293</v>
      </c>
    </row>
    <row r="1409" spans="1:8" x14ac:dyDescent="0.2">
      <c r="A1409" s="1">
        <v>41585</v>
      </c>
      <c r="B1409">
        <v>312</v>
      </c>
      <c r="C1409" s="6">
        <f>IF('weather data'!C1409&gt;'user input'!$C$3,'user input'!$C$3,'weather data'!C1409)</f>
        <v>7.2222222222222223</v>
      </c>
      <c r="D1409" s="6">
        <f>IF('weather data'!D1409&lt;'user input'!$C$2,'user input'!$C$2,'weather data'!D1409)</f>
        <v>10</v>
      </c>
      <c r="E1409">
        <f t="shared" si="22"/>
        <v>8.6111111111111107</v>
      </c>
      <c r="F1409">
        <f>IF((E1409-'user input'!$C$2)&lt;0,0,E1409-'user input'!$C$2)</f>
        <v>0</v>
      </c>
      <c r="G1409">
        <f>IF(B1409&lt;'user input'!$C$5,0,(F1409+G1408))</f>
        <v>1595.5555555555552</v>
      </c>
      <c r="H1409">
        <f>G1409/'user input'!$C$4</f>
        <v>1.3296296296296293</v>
      </c>
    </row>
    <row r="1410" spans="1:8" x14ac:dyDescent="0.2">
      <c r="A1410" s="1">
        <v>41586</v>
      </c>
      <c r="B1410">
        <v>313</v>
      </c>
      <c r="C1410" s="6">
        <f>IF('weather data'!C1410&gt;'user input'!$C$3,'user input'!$C$3,'weather data'!C1410)</f>
        <v>5</v>
      </c>
      <c r="D1410" s="6">
        <f>IF('weather data'!D1410&lt;'user input'!$C$2,'user input'!$C$2,'weather data'!D1410)</f>
        <v>10</v>
      </c>
      <c r="E1410">
        <f t="shared" si="22"/>
        <v>7.5</v>
      </c>
      <c r="F1410">
        <f>IF((E1410-'user input'!$C$2)&lt;0,0,E1410-'user input'!$C$2)</f>
        <v>0</v>
      </c>
      <c r="G1410">
        <f>IF(B1410&lt;'user input'!$C$5,0,(F1410+G1409))</f>
        <v>1595.5555555555552</v>
      </c>
      <c r="H1410">
        <f>G1410/'user input'!$C$4</f>
        <v>1.3296296296296293</v>
      </c>
    </row>
    <row r="1411" spans="1:8" x14ac:dyDescent="0.2">
      <c r="A1411" s="1">
        <v>41587</v>
      </c>
      <c r="B1411">
        <v>314</v>
      </c>
      <c r="C1411" s="6">
        <f>IF('weather data'!C1411&gt;'user input'!$C$3,'user input'!$C$3,'weather data'!C1411)</f>
        <v>8.8888888888888893</v>
      </c>
      <c r="D1411" s="6">
        <f>IF('weather data'!D1411&lt;'user input'!$C$2,'user input'!$C$2,'weather data'!D1411)</f>
        <v>10</v>
      </c>
      <c r="E1411">
        <f t="shared" si="22"/>
        <v>9.4444444444444446</v>
      </c>
      <c r="F1411">
        <f>IF((E1411-'user input'!$C$2)&lt;0,0,E1411-'user input'!$C$2)</f>
        <v>0</v>
      </c>
      <c r="G1411">
        <f>IF(B1411&lt;'user input'!$C$5,0,(F1411+G1410))</f>
        <v>1595.5555555555552</v>
      </c>
      <c r="H1411">
        <f>G1411/'user input'!$C$4</f>
        <v>1.3296296296296293</v>
      </c>
    </row>
    <row r="1412" spans="1:8" x14ac:dyDescent="0.2">
      <c r="A1412" s="1">
        <v>41588</v>
      </c>
      <c r="B1412">
        <v>315</v>
      </c>
      <c r="C1412" s="6">
        <f>IF('weather data'!C1412&gt;'user input'!$C$3,'user input'!$C$3,'weather data'!C1412)</f>
        <v>11.111111111111111</v>
      </c>
      <c r="D1412" s="6">
        <f>IF('weather data'!D1412&lt;'user input'!$C$2,'user input'!$C$2,'weather data'!D1412)</f>
        <v>10</v>
      </c>
      <c r="E1412">
        <f t="shared" si="22"/>
        <v>10.555555555555555</v>
      </c>
      <c r="F1412">
        <f>IF((E1412-'user input'!$C$2)&lt;0,0,E1412-'user input'!$C$2)</f>
        <v>0.55555555555555536</v>
      </c>
      <c r="G1412">
        <f>IF(B1412&lt;'user input'!$C$5,0,(F1412+G1411))</f>
        <v>1596.1111111111109</v>
      </c>
      <c r="H1412">
        <f>G1412/'user input'!$C$4</f>
        <v>1.3300925925925924</v>
      </c>
    </row>
    <row r="1413" spans="1:8" x14ac:dyDescent="0.2">
      <c r="A1413" s="1">
        <v>41589</v>
      </c>
      <c r="B1413">
        <v>316</v>
      </c>
      <c r="C1413" s="6">
        <f>IF('weather data'!C1413&gt;'user input'!$C$3,'user input'!$C$3,'weather data'!C1413)</f>
        <v>9.4444444444444446</v>
      </c>
      <c r="D1413" s="6">
        <f>IF('weather data'!D1413&lt;'user input'!$C$2,'user input'!$C$2,'weather data'!D1413)</f>
        <v>10</v>
      </c>
      <c r="E1413">
        <f t="shared" si="22"/>
        <v>9.7222222222222214</v>
      </c>
      <c r="F1413">
        <f>IF((E1413-'user input'!$C$2)&lt;0,0,E1413-'user input'!$C$2)</f>
        <v>0</v>
      </c>
      <c r="G1413">
        <f>IF(B1413&lt;'user input'!$C$5,0,(F1413+G1412))</f>
        <v>1596.1111111111109</v>
      </c>
      <c r="H1413">
        <f>G1413/'user input'!$C$4</f>
        <v>1.3300925925925924</v>
      </c>
    </row>
    <row r="1414" spans="1:8" x14ac:dyDescent="0.2">
      <c r="A1414" s="1">
        <v>41590</v>
      </c>
      <c r="B1414">
        <v>317</v>
      </c>
      <c r="C1414" s="6">
        <f>IF('weather data'!C1414&gt;'user input'!$C$3,'user input'!$C$3,'weather data'!C1414)</f>
        <v>1.6666666666666665</v>
      </c>
      <c r="D1414" s="6">
        <f>IF('weather data'!D1414&lt;'user input'!$C$2,'user input'!$C$2,'weather data'!D1414)</f>
        <v>10</v>
      </c>
      <c r="E1414">
        <f t="shared" si="22"/>
        <v>5.833333333333333</v>
      </c>
      <c r="F1414">
        <f>IF((E1414-'user input'!$C$2)&lt;0,0,E1414-'user input'!$C$2)</f>
        <v>0</v>
      </c>
      <c r="G1414">
        <f>IF(B1414&lt;'user input'!$C$5,0,(F1414+G1413))</f>
        <v>1596.1111111111109</v>
      </c>
      <c r="H1414">
        <f>G1414/'user input'!$C$4</f>
        <v>1.3300925925925924</v>
      </c>
    </row>
    <row r="1415" spans="1:8" x14ac:dyDescent="0.2">
      <c r="A1415" s="1">
        <v>41591</v>
      </c>
      <c r="B1415">
        <v>318</v>
      </c>
      <c r="C1415" s="6">
        <f>IF('weather data'!C1415&gt;'user input'!$C$3,'user input'!$C$3,'weather data'!C1415)</f>
        <v>-1.1111111111111112</v>
      </c>
      <c r="D1415" s="6">
        <f>IF('weather data'!D1415&lt;'user input'!$C$2,'user input'!$C$2,'weather data'!D1415)</f>
        <v>10</v>
      </c>
      <c r="E1415">
        <f t="shared" si="22"/>
        <v>4.4444444444444446</v>
      </c>
      <c r="F1415">
        <f>IF((E1415-'user input'!$C$2)&lt;0,0,E1415-'user input'!$C$2)</f>
        <v>0</v>
      </c>
      <c r="G1415">
        <f>IF(B1415&lt;'user input'!$C$5,0,(F1415+G1414))</f>
        <v>1596.1111111111109</v>
      </c>
      <c r="H1415">
        <f>G1415/'user input'!$C$4</f>
        <v>1.3300925925925924</v>
      </c>
    </row>
    <row r="1416" spans="1:8" x14ac:dyDescent="0.2">
      <c r="A1416" s="1">
        <v>41592</v>
      </c>
      <c r="B1416">
        <v>319</v>
      </c>
      <c r="C1416" s="6">
        <f>IF('weather data'!C1416&gt;'user input'!$C$3,'user input'!$C$3,'weather data'!C1416)</f>
        <v>5.5555555555555554</v>
      </c>
      <c r="D1416" s="6">
        <f>IF('weather data'!D1416&lt;'user input'!$C$2,'user input'!$C$2,'weather data'!D1416)</f>
        <v>10</v>
      </c>
      <c r="E1416">
        <f t="shared" si="22"/>
        <v>7.7777777777777777</v>
      </c>
      <c r="F1416">
        <f>IF((E1416-'user input'!$C$2)&lt;0,0,E1416-'user input'!$C$2)</f>
        <v>0</v>
      </c>
      <c r="G1416">
        <f>IF(B1416&lt;'user input'!$C$5,0,(F1416+G1415))</f>
        <v>1596.1111111111109</v>
      </c>
      <c r="H1416">
        <f>G1416/'user input'!$C$4</f>
        <v>1.3300925925925924</v>
      </c>
    </row>
    <row r="1417" spans="1:8" x14ac:dyDescent="0.2">
      <c r="A1417" s="1">
        <v>41593</v>
      </c>
      <c r="B1417">
        <v>320</v>
      </c>
      <c r="C1417" s="6">
        <f>IF('weather data'!C1417&gt;'user input'!$C$3,'user input'!$C$3,'weather data'!C1417)</f>
        <v>8.8888888888888893</v>
      </c>
      <c r="D1417" s="6">
        <f>IF('weather data'!D1417&lt;'user input'!$C$2,'user input'!$C$2,'weather data'!D1417)</f>
        <v>10</v>
      </c>
      <c r="E1417">
        <f t="shared" si="22"/>
        <v>9.4444444444444446</v>
      </c>
      <c r="F1417">
        <f>IF((E1417-'user input'!$C$2)&lt;0,0,E1417-'user input'!$C$2)</f>
        <v>0</v>
      </c>
      <c r="G1417">
        <f>IF(B1417&lt;'user input'!$C$5,0,(F1417+G1416))</f>
        <v>1596.1111111111109</v>
      </c>
      <c r="H1417">
        <f>G1417/'user input'!$C$4</f>
        <v>1.3300925925925924</v>
      </c>
    </row>
    <row r="1418" spans="1:8" x14ac:dyDescent="0.2">
      <c r="A1418" s="1">
        <v>41594</v>
      </c>
      <c r="B1418">
        <v>321</v>
      </c>
      <c r="C1418" s="6">
        <f>IF('weather data'!C1418&gt;'user input'!$C$3,'user input'!$C$3,'weather data'!C1418)</f>
        <v>13.333333333333332</v>
      </c>
      <c r="D1418" s="6">
        <f>IF('weather data'!D1418&lt;'user input'!$C$2,'user input'!$C$2,'weather data'!D1418)</f>
        <v>10</v>
      </c>
      <c r="E1418">
        <f t="shared" si="22"/>
        <v>11.666666666666666</v>
      </c>
      <c r="F1418">
        <f>IF((E1418-'user input'!$C$2)&lt;0,0,E1418-'user input'!$C$2)</f>
        <v>1.6666666666666661</v>
      </c>
      <c r="G1418">
        <f>IF(B1418&lt;'user input'!$C$5,0,(F1418+G1417))</f>
        <v>1597.7777777777776</v>
      </c>
      <c r="H1418">
        <f>G1418/'user input'!$C$4</f>
        <v>1.3314814814814813</v>
      </c>
    </row>
    <row r="1419" spans="1:8" x14ac:dyDescent="0.2">
      <c r="A1419" s="1">
        <v>41595</v>
      </c>
      <c r="B1419">
        <v>322</v>
      </c>
      <c r="C1419" s="6">
        <f>IF('weather data'!C1419&gt;'user input'!$C$3,'user input'!$C$3,'weather data'!C1419)</f>
        <v>12.777777777777777</v>
      </c>
      <c r="D1419" s="6">
        <f>IF('weather data'!D1419&lt;'user input'!$C$2,'user input'!$C$2,'weather data'!D1419)</f>
        <v>10</v>
      </c>
      <c r="E1419">
        <f t="shared" si="22"/>
        <v>11.388888888888889</v>
      </c>
      <c r="F1419">
        <f>IF((E1419-'user input'!$C$2)&lt;0,0,E1419-'user input'!$C$2)</f>
        <v>1.3888888888888893</v>
      </c>
      <c r="G1419">
        <f>IF(B1419&lt;'user input'!$C$5,0,(F1419+G1418))</f>
        <v>1599.1666666666665</v>
      </c>
      <c r="H1419">
        <f>G1419/'user input'!$C$4</f>
        <v>1.3326388888888887</v>
      </c>
    </row>
    <row r="1420" spans="1:8" x14ac:dyDescent="0.2">
      <c r="A1420" s="1">
        <v>41596</v>
      </c>
      <c r="B1420">
        <v>323</v>
      </c>
      <c r="C1420" s="6">
        <f>IF('weather data'!C1420&gt;'user input'!$C$3,'user input'!$C$3,'weather data'!C1420)</f>
        <v>14.444444444444445</v>
      </c>
      <c r="D1420" s="6">
        <f>IF('weather data'!D1420&lt;'user input'!$C$2,'user input'!$C$2,'weather data'!D1420)</f>
        <v>10</v>
      </c>
      <c r="E1420">
        <f t="shared" si="22"/>
        <v>12.222222222222221</v>
      </c>
      <c r="F1420">
        <f>IF((E1420-'user input'!$C$2)&lt;0,0,E1420-'user input'!$C$2)</f>
        <v>2.2222222222222214</v>
      </c>
      <c r="G1420">
        <f>IF(B1420&lt;'user input'!$C$5,0,(F1420+G1419))</f>
        <v>1601.3888888888887</v>
      </c>
      <c r="H1420">
        <f>G1420/'user input'!$C$4</f>
        <v>1.3344907407407405</v>
      </c>
    </row>
    <row r="1421" spans="1:8" x14ac:dyDescent="0.2">
      <c r="A1421" s="1">
        <v>41597</v>
      </c>
      <c r="B1421">
        <v>324</v>
      </c>
      <c r="C1421" s="6">
        <f>IF('weather data'!C1421&gt;'user input'!$C$3,'user input'!$C$3,'weather data'!C1421)</f>
        <v>3.8888888888888888</v>
      </c>
      <c r="D1421" s="6">
        <f>IF('weather data'!D1421&lt;'user input'!$C$2,'user input'!$C$2,'weather data'!D1421)</f>
        <v>10</v>
      </c>
      <c r="E1421">
        <f t="shared" si="22"/>
        <v>6.9444444444444446</v>
      </c>
      <c r="F1421">
        <f>IF((E1421-'user input'!$C$2)&lt;0,0,E1421-'user input'!$C$2)</f>
        <v>0</v>
      </c>
      <c r="G1421">
        <f>IF(B1421&lt;'user input'!$C$5,0,(F1421+G1420))</f>
        <v>1601.3888888888887</v>
      </c>
      <c r="H1421">
        <f>G1421/'user input'!$C$4</f>
        <v>1.3344907407407405</v>
      </c>
    </row>
    <row r="1422" spans="1:8" x14ac:dyDescent="0.2">
      <c r="A1422" s="1">
        <v>41598</v>
      </c>
      <c r="B1422">
        <v>325</v>
      </c>
      <c r="C1422" s="6">
        <f>IF('weather data'!C1422&gt;'user input'!$C$3,'user input'!$C$3,'weather data'!C1422)</f>
        <v>5.5555555555555554</v>
      </c>
      <c r="D1422" s="6">
        <f>IF('weather data'!D1422&lt;'user input'!$C$2,'user input'!$C$2,'weather data'!D1422)</f>
        <v>10</v>
      </c>
      <c r="E1422">
        <f t="shared" si="22"/>
        <v>7.7777777777777777</v>
      </c>
      <c r="F1422">
        <f>IF((E1422-'user input'!$C$2)&lt;0,0,E1422-'user input'!$C$2)</f>
        <v>0</v>
      </c>
      <c r="G1422">
        <f>IF(B1422&lt;'user input'!$C$5,0,(F1422+G1421))</f>
        <v>1601.3888888888887</v>
      </c>
      <c r="H1422">
        <f>G1422/'user input'!$C$4</f>
        <v>1.3344907407407405</v>
      </c>
    </row>
    <row r="1423" spans="1:8" x14ac:dyDescent="0.2">
      <c r="A1423" s="1">
        <v>41599</v>
      </c>
      <c r="B1423">
        <v>326</v>
      </c>
      <c r="C1423" s="6">
        <f>IF('weather data'!C1423&gt;'user input'!$C$3,'user input'!$C$3,'weather data'!C1423)</f>
        <v>5</v>
      </c>
      <c r="D1423" s="6">
        <f>IF('weather data'!D1423&lt;'user input'!$C$2,'user input'!$C$2,'weather data'!D1423)</f>
        <v>10</v>
      </c>
      <c r="E1423">
        <f t="shared" si="22"/>
        <v>7.5</v>
      </c>
      <c r="F1423">
        <f>IF((E1423-'user input'!$C$2)&lt;0,0,E1423-'user input'!$C$2)</f>
        <v>0</v>
      </c>
      <c r="G1423">
        <f>IF(B1423&lt;'user input'!$C$5,0,(F1423+G1422))</f>
        <v>1601.3888888888887</v>
      </c>
      <c r="H1423">
        <f>G1423/'user input'!$C$4</f>
        <v>1.3344907407407405</v>
      </c>
    </row>
    <row r="1424" spans="1:8" x14ac:dyDescent="0.2">
      <c r="A1424" s="1">
        <v>41600</v>
      </c>
      <c r="B1424">
        <v>327</v>
      </c>
      <c r="C1424" s="6">
        <f>IF('weather data'!C1424&gt;'user input'!$C$3,'user input'!$C$3,'weather data'!C1424)</f>
        <v>5</v>
      </c>
      <c r="D1424" s="6">
        <f>IF('weather data'!D1424&lt;'user input'!$C$2,'user input'!$C$2,'weather data'!D1424)</f>
        <v>10</v>
      </c>
      <c r="E1424">
        <f t="shared" si="22"/>
        <v>7.5</v>
      </c>
      <c r="F1424">
        <f>IF((E1424-'user input'!$C$2)&lt;0,0,E1424-'user input'!$C$2)</f>
        <v>0</v>
      </c>
      <c r="G1424">
        <f>IF(B1424&lt;'user input'!$C$5,0,(F1424+G1423))</f>
        <v>1601.3888888888887</v>
      </c>
      <c r="H1424">
        <f>G1424/'user input'!$C$4</f>
        <v>1.3344907407407405</v>
      </c>
    </row>
    <row r="1425" spans="1:8" x14ac:dyDescent="0.2">
      <c r="A1425" s="1">
        <v>41601</v>
      </c>
      <c r="B1425">
        <v>328</v>
      </c>
      <c r="C1425" s="6">
        <f>IF('weather data'!C1425&gt;'user input'!$C$3,'user input'!$C$3,'weather data'!C1425)</f>
        <v>2.2222222222222223</v>
      </c>
      <c r="D1425" s="6">
        <f>IF('weather data'!D1425&lt;'user input'!$C$2,'user input'!$C$2,'weather data'!D1425)</f>
        <v>10</v>
      </c>
      <c r="E1425">
        <f t="shared" si="22"/>
        <v>6.1111111111111107</v>
      </c>
      <c r="F1425">
        <f>IF((E1425-'user input'!$C$2)&lt;0,0,E1425-'user input'!$C$2)</f>
        <v>0</v>
      </c>
      <c r="G1425">
        <f>IF(B1425&lt;'user input'!$C$5,0,(F1425+G1424))</f>
        <v>1601.3888888888887</v>
      </c>
      <c r="H1425">
        <f>G1425/'user input'!$C$4</f>
        <v>1.3344907407407405</v>
      </c>
    </row>
    <row r="1426" spans="1:8" x14ac:dyDescent="0.2">
      <c r="A1426" s="1">
        <v>41602</v>
      </c>
      <c r="B1426">
        <v>329</v>
      </c>
      <c r="C1426" s="6">
        <f>IF('weather data'!C1426&gt;'user input'!$C$3,'user input'!$C$3,'weather data'!C1426)</f>
        <v>-6.1111111111111116</v>
      </c>
      <c r="D1426" s="6">
        <f>IF('weather data'!D1426&lt;'user input'!$C$2,'user input'!$C$2,'weather data'!D1426)</f>
        <v>10</v>
      </c>
      <c r="E1426">
        <f t="shared" ref="E1426:E1489" si="23">(C1426+D1426)/2</f>
        <v>1.9444444444444442</v>
      </c>
      <c r="F1426">
        <f>IF((E1426-'user input'!$C$2)&lt;0,0,E1426-'user input'!$C$2)</f>
        <v>0</v>
      </c>
      <c r="G1426">
        <f>IF(B1426&lt;'user input'!$C$5,0,(F1426+G1425))</f>
        <v>1601.3888888888887</v>
      </c>
      <c r="H1426">
        <f>G1426/'user input'!$C$4</f>
        <v>1.3344907407407405</v>
      </c>
    </row>
    <row r="1427" spans="1:8" x14ac:dyDescent="0.2">
      <c r="A1427" s="1">
        <v>41603</v>
      </c>
      <c r="B1427">
        <v>330</v>
      </c>
      <c r="C1427" s="6">
        <f>IF('weather data'!C1427&gt;'user input'!$C$3,'user input'!$C$3,'weather data'!C1427)</f>
        <v>-2.7777777777777777</v>
      </c>
      <c r="D1427" s="6">
        <f>IF('weather data'!D1427&lt;'user input'!$C$2,'user input'!$C$2,'weather data'!D1427)</f>
        <v>10</v>
      </c>
      <c r="E1427">
        <f t="shared" si="23"/>
        <v>3.6111111111111112</v>
      </c>
      <c r="F1427">
        <f>IF((E1427-'user input'!$C$2)&lt;0,0,E1427-'user input'!$C$2)</f>
        <v>0</v>
      </c>
      <c r="G1427">
        <f>IF(B1427&lt;'user input'!$C$5,0,(F1427+G1426))</f>
        <v>1601.3888888888887</v>
      </c>
      <c r="H1427">
        <f>G1427/'user input'!$C$4</f>
        <v>1.3344907407407405</v>
      </c>
    </row>
    <row r="1428" spans="1:8" x14ac:dyDescent="0.2">
      <c r="A1428" s="1">
        <v>41604</v>
      </c>
      <c r="B1428">
        <v>331</v>
      </c>
      <c r="C1428" s="6">
        <f>IF('weather data'!C1428&gt;'user input'!$C$3,'user input'!$C$3,'weather data'!C1428)</f>
        <v>-0.55555555555555558</v>
      </c>
      <c r="D1428" s="6">
        <f>IF('weather data'!D1428&lt;'user input'!$C$2,'user input'!$C$2,'weather data'!D1428)</f>
        <v>10</v>
      </c>
      <c r="E1428">
        <f t="shared" si="23"/>
        <v>4.7222222222222223</v>
      </c>
      <c r="F1428">
        <f>IF((E1428-'user input'!$C$2)&lt;0,0,E1428-'user input'!$C$2)</f>
        <v>0</v>
      </c>
      <c r="G1428">
        <f>IF(B1428&lt;'user input'!$C$5,0,(F1428+G1427))</f>
        <v>1601.3888888888887</v>
      </c>
      <c r="H1428">
        <f>G1428/'user input'!$C$4</f>
        <v>1.3344907407407405</v>
      </c>
    </row>
    <row r="1429" spans="1:8" x14ac:dyDescent="0.2">
      <c r="A1429" s="1">
        <v>41605</v>
      </c>
      <c r="B1429">
        <v>332</v>
      </c>
      <c r="C1429" s="6">
        <f>IF('weather data'!C1429&gt;'user input'!$C$3,'user input'!$C$3,'weather data'!C1429)</f>
        <v>-0.55555555555555558</v>
      </c>
      <c r="D1429" s="6">
        <f>IF('weather data'!D1429&lt;'user input'!$C$2,'user input'!$C$2,'weather data'!D1429)</f>
        <v>10</v>
      </c>
      <c r="E1429">
        <f t="shared" si="23"/>
        <v>4.7222222222222223</v>
      </c>
      <c r="F1429">
        <f>IF((E1429-'user input'!$C$2)&lt;0,0,E1429-'user input'!$C$2)</f>
        <v>0</v>
      </c>
      <c r="G1429">
        <f>IF(B1429&lt;'user input'!$C$5,0,(F1429+G1428))</f>
        <v>1601.3888888888887</v>
      </c>
      <c r="H1429">
        <f>G1429/'user input'!$C$4</f>
        <v>1.3344907407407405</v>
      </c>
    </row>
    <row r="1430" spans="1:8" x14ac:dyDescent="0.2">
      <c r="A1430" s="1">
        <v>41606</v>
      </c>
      <c r="B1430">
        <v>333</v>
      </c>
      <c r="C1430" s="6">
        <f>IF('weather data'!C1430&gt;'user input'!$C$3,'user input'!$C$3,'weather data'!C1430)</f>
        <v>-2.2222222222222223</v>
      </c>
      <c r="D1430" s="6">
        <f>IF('weather data'!D1430&lt;'user input'!$C$2,'user input'!$C$2,'weather data'!D1430)</f>
        <v>10</v>
      </c>
      <c r="E1430">
        <f t="shared" si="23"/>
        <v>3.8888888888888888</v>
      </c>
      <c r="F1430">
        <f>IF((E1430-'user input'!$C$2)&lt;0,0,E1430-'user input'!$C$2)</f>
        <v>0</v>
      </c>
      <c r="G1430">
        <f>IF(B1430&lt;'user input'!$C$5,0,(F1430+G1429))</f>
        <v>1601.3888888888887</v>
      </c>
      <c r="H1430">
        <f>G1430/'user input'!$C$4</f>
        <v>1.3344907407407405</v>
      </c>
    </row>
    <row r="1431" spans="1:8" x14ac:dyDescent="0.2">
      <c r="A1431" s="1">
        <v>41607</v>
      </c>
      <c r="B1431">
        <v>334</v>
      </c>
      <c r="C1431" s="6">
        <f>IF('weather data'!C1431&gt;'user input'!$C$3,'user input'!$C$3,'weather data'!C1431)</f>
        <v>-0.55555555555555558</v>
      </c>
      <c r="D1431" s="6">
        <f>IF('weather data'!D1431&lt;'user input'!$C$2,'user input'!$C$2,'weather data'!D1431)</f>
        <v>10</v>
      </c>
      <c r="E1431">
        <f t="shared" si="23"/>
        <v>4.7222222222222223</v>
      </c>
      <c r="F1431">
        <f>IF((E1431-'user input'!$C$2)&lt;0,0,E1431-'user input'!$C$2)</f>
        <v>0</v>
      </c>
      <c r="G1431">
        <f>IF(B1431&lt;'user input'!$C$5,0,(F1431+G1430))</f>
        <v>1601.3888888888887</v>
      </c>
      <c r="H1431">
        <f>G1431/'user input'!$C$4</f>
        <v>1.3344907407407405</v>
      </c>
    </row>
    <row r="1432" spans="1:8" x14ac:dyDescent="0.2">
      <c r="A1432" s="1">
        <v>41608</v>
      </c>
      <c r="B1432">
        <v>335</v>
      </c>
      <c r="C1432" s="6">
        <f>IF('weather data'!C1432&gt;'user input'!$C$3,'user input'!$C$3,'weather data'!C1432)</f>
        <v>0</v>
      </c>
      <c r="D1432" s="6">
        <f>IF('weather data'!D1432&lt;'user input'!$C$2,'user input'!$C$2,'weather data'!D1432)</f>
        <v>10</v>
      </c>
      <c r="E1432">
        <f t="shared" si="23"/>
        <v>5</v>
      </c>
      <c r="F1432">
        <f>IF((E1432-'user input'!$C$2)&lt;0,0,E1432-'user input'!$C$2)</f>
        <v>0</v>
      </c>
      <c r="G1432">
        <f>IF(B1432&lt;'user input'!$C$5,0,(F1432+G1431))</f>
        <v>1601.3888888888887</v>
      </c>
      <c r="H1432">
        <f>G1432/'user input'!$C$4</f>
        <v>1.3344907407407405</v>
      </c>
    </row>
    <row r="1433" spans="1:8" x14ac:dyDescent="0.2">
      <c r="A1433" s="1">
        <v>41609</v>
      </c>
      <c r="B1433">
        <v>336</v>
      </c>
      <c r="C1433" s="6">
        <f>IF('weather data'!C1433&gt;'user input'!$C$3,'user input'!$C$3,'weather data'!C1433)</f>
        <v>2.2222222222222223</v>
      </c>
      <c r="D1433" s="6">
        <f>IF('weather data'!D1433&lt;'user input'!$C$2,'user input'!$C$2,'weather data'!D1433)</f>
        <v>10</v>
      </c>
      <c r="E1433">
        <f t="shared" si="23"/>
        <v>6.1111111111111107</v>
      </c>
      <c r="F1433">
        <f>IF((E1433-'user input'!$C$2)&lt;0,0,E1433-'user input'!$C$2)</f>
        <v>0</v>
      </c>
      <c r="G1433">
        <f>IF(B1433&lt;'user input'!$C$5,0,(F1433+G1432))</f>
        <v>1601.3888888888887</v>
      </c>
      <c r="H1433">
        <f>G1433/'user input'!$C$4</f>
        <v>1.3344907407407405</v>
      </c>
    </row>
    <row r="1434" spans="1:8" x14ac:dyDescent="0.2">
      <c r="A1434" s="1">
        <v>41610</v>
      </c>
      <c r="B1434">
        <v>337</v>
      </c>
      <c r="C1434" s="6">
        <f>IF('weather data'!C1434&gt;'user input'!$C$3,'user input'!$C$3,'weather data'!C1434)</f>
        <v>6.6666666666666661</v>
      </c>
      <c r="D1434" s="6">
        <f>IF('weather data'!D1434&lt;'user input'!$C$2,'user input'!$C$2,'weather data'!D1434)</f>
        <v>10</v>
      </c>
      <c r="E1434">
        <f t="shared" si="23"/>
        <v>8.3333333333333321</v>
      </c>
      <c r="F1434">
        <f>IF((E1434-'user input'!$C$2)&lt;0,0,E1434-'user input'!$C$2)</f>
        <v>0</v>
      </c>
      <c r="G1434">
        <f>IF(B1434&lt;'user input'!$C$5,0,(F1434+G1433))</f>
        <v>1601.3888888888887</v>
      </c>
      <c r="H1434">
        <f>G1434/'user input'!$C$4</f>
        <v>1.3344907407407405</v>
      </c>
    </row>
    <row r="1435" spans="1:8" x14ac:dyDescent="0.2">
      <c r="A1435" s="1">
        <v>41611</v>
      </c>
      <c r="B1435">
        <v>338</v>
      </c>
      <c r="C1435" s="6">
        <f>IF('weather data'!C1435&gt;'user input'!$C$3,'user input'!$C$3,'weather data'!C1435)</f>
        <v>3.8888888888888888</v>
      </c>
      <c r="D1435" s="6">
        <f>IF('weather data'!D1435&lt;'user input'!$C$2,'user input'!$C$2,'weather data'!D1435)</f>
        <v>10</v>
      </c>
      <c r="E1435">
        <f t="shared" si="23"/>
        <v>6.9444444444444446</v>
      </c>
      <c r="F1435">
        <f>IF((E1435-'user input'!$C$2)&lt;0,0,E1435-'user input'!$C$2)</f>
        <v>0</v>
      </c>
      <c r="G1435">
        <f>IF(B1435&lt;'user input'!$C$5,0,(F1435+G1434))</f>
        <v>1601.3888888888887</v>
      </c>
      <c r="H1435">
        <f>G1435/'user input'!$C$4</f>
        <v>1.3344907407407405</v>
      </c>
    </row>
    <row r="1436" spans="1:8" x14ac:dyDescent="0.2">
      <c r="A1436" s="1">
        <v>41612</v>
      </c>
      <c r="B1436">
        <v>339</v>
      </c>
      <c r="C1436" s="6">
        <f>IF('weather data'!C1436&gt;'user input'!$C$3,'user input'!$C$3,'weather data'!C1436)</f>
        <v>3.333333333333333</v>
      </c>
      <c r="D1436" s="6">
        <f>IF('weather data'!D1436&lt;'user input'!$C$2,'user input'!$C$2,'weather data'!D1436)</f>
        <v>10</v>
      </c>
      <c r="E1436">
        <f t="shared" si="23"/>
        <v>6.6666666666666661</v>
      </c>
      <c r="F1436">
        <f>IF((E1436-'user input'!$C$2)&lt;0,0,E1436-'user input'!$C$2)</f>
        <v>0</v>
      </c>
      <c r="G1436">
        <f>IF(B1436&lt;'user input'!$C$5,0,(F1436+G1435))</f>
        <v>1601.3888888888887</v>
      </c>
      <c r="H1436">
        <f>G1436/'user input'!$C$4</f>
        <v>1.3344907407407405</v>
      </c>
    </row>
    <row r="1437" spans="1:8" x14ac:dyDescent="0.2">
      <c r="A1437" s="1">
        <v>41613</v>
      </c>
      <c r="B1437">
        <v>340</v>
      </c>
      <c r="C1437" s="6">
        <f>IF('weather data'!C1437&gt;'user input'!$C$3,'user input'!$C$3,'weather data'!C1437)</f>
        <v>9.4444444444444446</v>
      </c>
      <c r="D1437" s="6">
        <f>IF('weather data'!D1437&lt;'user input'!$C$2,'user input'!$C$2,'weather data'!D1437)</f>
        <v>10</v>
      </c>
      <c r="E1437">
        <f t="shared" si="23"/>
        <v>9.7222222222222214</v>
      </c>
      <c r="F1437">
        <f>IF((E1437-'user input'!$C$2)&lt;0,0,E1437-'user input'!$C$2)</f>
        <v>0</v>
      </c>
      <c r="G1437">
        <f>IF(B1437&lt;'user input'!$C$5,0,(F1437+G1436))</f>
        <v>1601.3888888888887</v>
      </c>
      <c r="H1437">
        <f>G1437/'user input'!$C$4</f>
        <v>1.3344907407407405</v>
      </c>
    </row>
    <row r="1438" spans="1:8" x14ac:dyDescent="0.2">
      <c r="A1438" s="1">
        <v>41614</v>
      </c>
      <c r="B1438">
        <v>341</v>
      </c>
      <c r="C1438" s="6">
        <f>IF('weather data'!C1438&gt;'user input'!$C$3,'user input'!$C$3,'weather data'!C1438)</f>
        <v>-5.5555555555555554</v>
      </c>
      <c r="D1438" s="6">
        <f>IF('weather data'!D1438&lt;'user input'!$C$2,'user input'!$C$2,'weather data'!D1438)</f>
        <v>10</v>
      </c>
      <c r="E1438">
        <f t="shared" si="23"/>
        <v>2.2222222222222223</v>
      </c>
      <c r="F1438">
        <f>IF((E1438-'user input'!$C$2)&lt;0,0,E1438-'user input'!$C$2)</f>
        <v>0</v>
      </c>
      <c r="G1438">
        <f>IF(B1438&lt;'user input'!$C$5,0,(F1438+G1437))</f>
        <v>1601.3888888888887</v>
      </c>
      <c r="H1438">
        <f>G1438/'user input'!$C$4</f>
        <v>1.3344907407407405</v>
      </c>
    </row>
    <row r="1439" spans="1:8" x14ac:dyDescent="0.2">
      <c r="A1439" s="1">
        <v>41615</v>
      </c>
      <c r="B1439">
        <v>342</v>
      </c>
      <c r="C1439" s="6">
        <f>IF('weather data'!C1439&gt;'user input'!$C$3,'user input'!$C$3,'weather data'!C1439)</f>
        <v>-8.3333333333333339</v>
      </c>
      <c r="D1439" s="6">
        <f>IF('weather data'!D1439&lt;'user input'!$C$2,'user input'!$C$2,'weather data'!D1439)</f>
        <v>10</v>
      </c>
      <c r="E1439">
        <f t="shared" si="23"/>
        <v>0.83333333333333304</v>
      </c>
      <c r="F1439">
        <f>IF((E1439-'user input'!$C$2)&lt;0,0,E1439-'user input'!$C$2)</f>
        <v>0</v>
      </c>
      <c r="G1439">
        <f>IF(B1439&lt;'user input'!$C$5,0,(F1439+G1438))</f>
        <v>1601.3888888888887</v>
      </c>
      <c r="H1439">
        <f>G1439/'user input'!$C$4</f>
        <v>1.3344907407407405</v>
      </c>
    </row>
    <row r="1440" spans="1:8" x14ac:dyDescent="0.2">
      <c r="A1440" s="1">
        <v>41616</v>
      </c>
      <c r="B1440">
        <v>343</v>
      </c>
      <c r="C1440" s="6">
        <f>IF('weather data'!C1440&gt;'user input'!$C$3,'user input'!$C$3,'weather data'!C1440)</f>
        <v>-9.4444444444444446</v>
      </c>
      <c r="D1440" s="6">
        <f>IF('weather data'!D1440&lt;'user input'!$C$2,'user input'!$C$2,'weather data'!D1440)</f>
        <v>10</v>
      </c>
      <c r="E1440">
        <f t="shared" si="23"/>
        <v>0.27777777777777768</v>
      </c>
      <c r="F1440">
        <f>IF((E1440-'user input'!$C$2)&lt;0,0,E1440-'user input'!$C$2)</f>
        <v>0</v>
      </c>
      <c r="G1440">
        <f>IF(B1440&lt;'user input'!$C$5,0,(F1440+G1439))</f>
        <v>1601.3888888888887</v>
      </c>
      <c r="H1440">
        <f>G1440/'user input'!$C$4</f>
        <v>1.3344907407407405</v>
      </c>
    </row>
    <row r="1441" spans="1:8" x14ac:dyDescent="0.2">
      <c r="A1441" s="1">
        <v>41617</v>
      </c>
      <c r="B1441">
        <v>344</v>
      </c>
      <c r="C1441" s="6">
        <f>IF('weather data'!C1441&gt;'user input'!$C$3,'user input'!$C$3,'weather data'!C1441)</f>
        <v>-8.8888888888888893</v>
      </c>
      <c r="D1441" s="6">
        <f>IF('weather data'!D1441&lt;'user input'!$C$2,'user input'!$C$2,'weather data'!D1441)</f>
        <v>10</v>
      </c>
      <c r="E1441">
        <f t="shared" si="23"/>
        <v>0.55555555555555536</v>
      </c>
      <c r="F1441">
        <f>IF((E1441-'user input'!$C$2)&lt;0,0,E1441-'user input'!$C$2)</f>
        <v>0</v>
      </c>
      <c r="G1441">
        <f>IF(B1441&lt;'user input'!$C$5,0,(F1441+G1440))</f>
        <v>1601.3888888888887</v>
      </c>
      <c r="H1441">
        <f>G1441/'user input'!$C$4</f>
        <v>1.3344907407407405</v>
      </c>
    </row>
    <row r="1442" spans="1:8" x14ac:dyDescent="0.2">
      <c r="A1442" s="1">
        <v>41618</v>
      </c>
      <c r="B1442">
        <v>345</v>
      </c>
      <c r="C1442" s="6">
        <f>IF('weather data'!C1442&gt;'user input'!$C$3,'user input'!$C$3,'weather data'!C1442)</f>
        <v>-10</v>
      </c>
      <c r="D1442" s="6">
        <f>IF('weather data'!D1442&lt;'user input'!$C$2,'user input'!$C$2,'weather data'!D1442)</f>
        <v>10</v>
      </c>
      <c r="E1442">
        <f t="shared" si="23"/>
        <v>0</v>
      </c>
      <c r="F1442">
        <f>IF((E1442-'user input'!$C$2)&lt;0,0,E1442-'user input'!$C$2)</f>
        <v>0</v>
      </c>
      <c r="G1442">
        <f>IF(B1442&lt;'user input'!$C$5,0,(F1442+G1441))</f>
        <v>1601.3888888888887</v>
      </c>
      <c r="H1442">
        <f>G1442/'user input'!$C$4</f>
        <v>1.3344907407407405</v>
      </c>
    </row>
    <row r="1443" spans="1:8" x14ac:dyDescent="0.2">
      <c r="A1443" s="1">
        <v>41619</v>
      </c>
      <c r="B1443">
        <v>346</v>
      </c>
      <c r="C1443" s="6">
        <f>IF('weather data'!C1443&gt;'user input'!$C$3,'user input'!$C$3,'weather data'!C1443)</f>
        <v>-8.8888888888888893</v>
      </c>
      <c r="D1443" s="6">
        <f>IF('weather data'!D1443&lt;'user input'!$C$2,'user input'!$C$2,'weather data'!D1443)</f>
        <v>10</v>
      </c>
      <c r="E1443">
        <f t="shared" si="23"/>
        <v>0.55555555555555536</v>
      </c>
      <c r="F1443">
        <f>IF((E1443-'user input'!$C$2)&lt;0,0,E1443-'user input'!$C$2)</f>
        <v>0</v>
      </c>
      <c r="G1443">
        <f>IF(B1443&lt;'user input'!$C$5,0,(F1443+G1442))</f>
        <v>1601.3888888888887</v>
      </c>
      <c r="H1443">
        <f>G1443/'user input'!$C$4</f>
        <v>1.3344907407407405</v>
      </c>
    </row>
    <row r="1444" spans="1:8" x14ac:dyDescent="0.2">
      <c r="A1444" s="1">
        <v>41620</v>
      </c>
      <c r="B1444">
        <v>347</v>
      </c>
      <c r="C1444" s="6">
        <f>IF('weather data'!C1444&gt;'user input'!$C$3,'user input'!$C$3,'weather data'!C1444)</f>
        <v>-8.3333333333333339</v>
      </c>
      <c r="D1444" s="6">
        <f>IF('weather data'!D1444&lt;'user input'!$C$2,'user input'!$C$2,'weather data'!D1444)</f>
        <v>10</v>
      </c>
      <c r="E1444">
        <f t="shared" si="23"/>
        <v>0.83333333333333304</v>
      </c>
      <c r="F1444">
        <f>IF((E1444-'user input'!$C$2)&lt;0,0,E1444-'user input'!$C$2)</f>
        <v>0</v>
      </c>
      <c r="G1444">
        <f>IF(B1444&lt;'user input'!$C$5,0,(F1444+G1443))</f>
        <v>1601.3888888888887</v>
      </c>
      <c r="H1444">
        <f>G1444/'user input'!$C$4</f>
        <v>1.3344907407407405</v>
      </c>
    </row>
    <row r="1445" spans="1:8" x14ac:dyDescent="0.2">
      <c r="A1445" s="1">
        <v>41621</v>
      </c>
      <c r="B1445">
        <v>348</v>
      </c>
      <c r="C1445" s="6">
        <f>IF('weather data'!C1445&gt;'user input'!$C$3,'user input'!$C$3,'weather data'!C1445)</f>
        <v>-6.1111111111111116</v>
      </c>
      <c r="D1445" s="6">
        <f>IF('weather data'!D1445&lt;'user input'!$C$2,'user input'!$C$2,'weather data'!D1445)</f>
        <v>10</v>
      </c>
      <c r="E1445">
        <f t="shared" si="23"/>
        <v>1.9444444444444442</v>
      </c>
      <c r="F1445">
        <f>IF((E1445-'user input'!$C$2)&lt;0,0,E1445-'user input'!$C$2)</f>
        <v>0</v>
      </c>
      <c r="G1445">
        <f>IF(B1445&lt;'user input'!$C$5,0,(F1445+G1444))</f>
        <v>1601.3888888888887</v>
      </c>
      <c r="H1445">
        <f>G1445/'user input'!$C$4</f>
        <v>1.3344907407407405</v>
      </c>
    </row>
    <row r="1446" spans="1:8" x14ac:dyDescent="0.2">
      <c r="A1446" s="1">
        <v>41622</v>
      </c>
      <c r="B1446">
        <v>349</v>
      </c>
      <c r="C1446" s="6">
        <f>IF('weather data'!C1446&gt;'user input'!$C$3,'user input'!$C$3,'weather data'!C1446)</f>
        <v>-5.5555555555555554</v>
      </c>
      <c r="D1446" s="6">
        <f>IF('weather data'!D1446&lt;'user input'!$C$2,'user input'!$C$2,'weather data'!D1446)</f>
        <v>10</v>
      </c>
      <c r="E1446">
        <f t="shared" si="23"/>
        <v>2.2222222222222223</v>
      </c>
      <c r="F1446">
        <f>IF((E1446-'user input'!$C$2)&lt;0,0,E1446-'user input'!$C$2)</f>
        <v>0</v>
      </c>
      <c r="G1446">
        <f>IF(B1446&lt;'user input'!$C$5,0,(F1446+G1445))</f>
        <v>1601.3888888888887</v>
      </c>
      <c r="H1446">
        <f>G1446/'user input'!$C$4</f>
        <v>1.3344907407407405</v>
      </c>
    </row>
    <row r="1447" spans="1:8" x14ac:dyDescent="0.2">
      <c r="A1447" s="1">
        <v>41623</v>
      </c>
      <c r="B1447">
        <v>350</v>
      </c>
      <c r="C1447" s="6">
        <f>IF('weather data'!C1447&gt;'user input'!$C$3,'user input'!$C$3,'weather data'!C1447)</f>
        <v>-8.3333333333333339</v>
      </c>
      <c r="D1447" s="6">
        <f>IF('weather data'!D1447&lt;'user input'!$C$2,'user input'!$C$2,'weather data'!D1447)</f>
        <v>10</v>
      </c>
      <c r="E1447">
        <f t="shared" si="23"/>
        <v>0.83333333333333304</v>
      </c>
      <c r="F1447">
        <f>IF((E1447-'user input'!$C$2)&lt;0,0,E1447-'user input'!$C$2)</f>
        <v>0</v>
      </c>
      <c r="G1447">
        <f>IF(B1447&lt;'user input'!$C$5,0,(F1447+G1446))</f>
        <v>1601.3888888888887</v>
      </c>
      <c r="H1447">
        <f>G1447/'user input'!$C$4</f>
        <v>1.3344907407407405</v>
      </c>
    </row>
    <row r="1448" spans="1:8" x14ac:dyDescent="0.2">
      <c r="A1448" s="1">
        <v>41624</v>
      </c>
      <c r="B1448">
        <v>351</v>
      </c>
      <c r="C1448" s="6">
        <f>IF('weather data'!C1448&gt;'user input'!$C$3,'user input'!$C$3,'weather data'!C1448)</f>
        <v>-9.4444444444444446</v>
      </c>
      <c r="D1448" s="6">
        <f>IF('weather data'!D1448&lt;'user input'!$C$2,'user input'!$C$2,'weather data'!D1448)</f>
        <v>10</v>
      </c>
      <c r="E1448">
        <f t="shared" si="23"/>
        <v>0.27777777777777768</v>
      </c>
      <c r="F1448">
        <f>IF((E1448-'user input'!$C$2)&lt;0,0,E1448-'user input'!$C$2)</f>
        <v>0</v>
      </c>
      <c r="G1448">
        <f>IF(B1448&lt;'user input'!$C$5,0,(F1448+G1447))</f>
        <v>1601.3888888888887</v>
      </c>
      <c r="H1448">
        <f>G1448/'user input'!$C$4</f>
        <v>1.3344907407407405</v>
      </c>
    </row>
    <row r="1449" spans="1:8" x14ac:dyDescent="0.2">
      <c r="A1449" s="1">
        <v>41625</v>
      </c>
      <c r="B1449">
        <v>352</v>
      </c>
      <c r="C1449" s="6">
        <f>IF('weather data'!C1449&gt;'user input'!$C$3,'user input'!$C$3,'weather data'!C1449)</f>
        <v>-8.8888888888888893</v>
      </c>
      <c r="D1449" s="6">
        <f>IF('weather data'!D1449&lt;'user input'!$C$2,'user input'!$C$2,'weather data'!D1449)</f>
        <v>10</v>
      </c>
      <c r="E1449">
        <f t="shared" si="23"/>
        <v>0.55555555555555536</v>
      </c>
      <c r="F1449">
        <f>IF((E1449-'user input'!$C$2)&lt;0,0,E1449-'user input'!$C$2)</f>
        <v>0</v>
      </c>
      <c r="G1449">
        <f>IF(B1449&lt;'user input'!$C$5,0,(F1449+G1448))</f>
        <v>1601.3888888888887</v>
      </c>
      <c r="H1449">
        <f>G1449/'user input'!$C$4</f>
        <v>1.3344907407407405</v>
      </c>
    </row>
    <row r="1450" spans="1:8" x14ac:dyDescent="0.2">
      <c r="A1450" s="1">
        <v>41626</v>
      </c>
      <c r="B1450">
        <v>353</v>
      </c>
      <c r="C1450" s="6">
        <f>IF('weather data'!C1450&gt;'user input'!$C$3,'user input'!$C$3,'weather data'!C1450)</f>
        <v>-10</v>
      </c>
      <c r="D1450" s="6">
        <f>IF('weather data'!D1450&lt;'user input'!$C$2,'user input'!$C$2,'weather data'!D1450)</f>
        <v>10</v>
      </c>
      <c r="E1450">
        <f t="shared" si="23"/>
        <v>0</v>
      </c>
      <c r="F1450">
        <f>IF((E1450-'user input'!$C$2)&lt;0,0,E1450-'user input'!$C$2)</f>
        <v>0</v>
      </c>
      <c r="G1450">
        <f>IF(B1450&lt;'user input'!$C$5,0,(F1450+G1449))</f>
        <v>1601.3888888888887</v>
      </c>
      <c r="H1450">
        <f>G1450/'user input'!$C$4</f>
        <v>1.3344907407407405</v>
      </c>
    </row>
    <row r="1451" spans="1:8" x14ac:dyDescent="0.2">
      <c r="A1451" s="1">
        <v>41627</v>
      </c>
      <c r="B1451">
        <v>354</v>
      </c>
      <c r="C1451" s="6">
        <f>IF('weather data'!C1451&gt;'user input'!$C$3,'user input'!$C$3,'weather data'!C1451)</f>
        <v>-8.8888888888888893</v>
      </c>
      <c r="D1451" s="6">
        <f>IF('weather data'!D1451&lt;'user input'!$C$2,'user input'!$C$2,'weather data'!D1451)</f>
        <v>10</v>
      </c>
      <c r="E1451">
        <f t="shared" si="23"/>
        <v>0.55555555555555536</v>
      </c>
      <c r="F1451">
        <f>IF((E1451-'user input'!$C$2)&lt;0,0,E1451-'user input'!$C$2)</f>
        <v>0</v>
      </c>
      <c r="G1451">
        <f>IF(B1451&lt;'user input'!$C$5,0,(F1451+G1450))</f>
        <v>1601.3888888888887</v>
      </c>
      <c r="H1451">
        <f>G1451/'user input'!$C$4</f>
        <v>1.3344907407407405</v>
      </c>
    </row>
    <row r="1452" spans="1:8" x14ac:dyDescent="0.2">
      <c r="A1452" s="1">
        <v>41628</v>
      </c>
      <c r="B1452">
        <v>355</v>
      </c>
      <c r="C1452" s="6">
        <f>IF('weather data'!C1452&gt;'user input'!$C$3,'user input'!$C$3,'weather data'!C1452)</f>
        <v>-8.3333333333333339</v>
      </c>
      <c r="D1452" s="6">
        <f>IF('weather data'!D1452&lt;'user input'!$C$2,'user input'!$C$2,'weather data'!D1452)</f>
        <v>10</v>
      </c>
      <c r="E1452">
        <f t="shared" si="23"/>
        <v>0.83333333333333304</v>
      </c>
      <c r="F1452">
        <f>IF((E1452-'user input'!$C$2)&lt;0,0,E1452-'user input'!$C$2)</f>
        <v>0</v>
      </c>
      <c r="G1452">
        <f>IF(B1452&lt;'user input'!$C$5,0,(F1452+G1451))</f>
        <v>1601.3888888888887</v>
      </c>
      <c r="H1452">
        <f>G1452/'user input'!$C$4</f>
        <v>1.3344907407407405</v>
      </c>
    </row>
    <row r="1453" spans="1:8" x14ac:dyDescent="0.2">
      <c r="A1453" s="1">
        <v>41629</v>
      </c>
      <c r="B1453">
        <v>356</v>
      </c>
      <c r="C1453" s="6">
        <f>IF('weather data'!C1453&gt;'user input'!$C$3,'user input'!$C$3,'weather data'!C1453)</f>
        <v>-6.1111111111111116</v>
      </c>
      <c r="D1453" s="6">
        <f>IF('weather data'!D1453&lt;'user input'!$C$2,'user input'!$C$2,'weather data'!D1453)</f>
        <v>10</v>
      </c>
      <c r="E1453">
        <f t="shared" si="23"/>
        <v>1.9444444444444442</v>
      </c>
      <c r="F1453">
        <f>IF((E1453-'user input'!$C$2)&lt;0,0,E1453-'user input'!$C$2)</f>
        <v>0</v>
      </c>
      <c r="G1453">
        <f>IF(B1453&lt;'user input'!$C$5,0,(F1453+G1452))</f>
        <v>1601.3888888888887</v>
      </c>
      <c r="H1453">
        <f>G1453/'user input'!$C$4</f>
        <v>1.3344907407407405</v>
      </c>
    </row>
    <row r="1454" spans="1:8" x14ac:dyDescent="0.2">
      <c r="A1454" s="1">
        <v>41630</v>
      </c>
      <c r="B1454">
        <v>357</v>
      </c>
      <c r="C1454" s="6">
        <f>IF('weather data'!C1454&gt;'user input'!$C$3,'user input'!$C$3,'weather data'!C1454)</f>
        <v>-3.333333333333333</v>
      </c>
      <c r="D1454" s="6">
        <f>IF('weather data'!D1454&lt;'user input'!$C$2,'user input'!$C$2,'weather data'!D1454)</f>
        <v>10</v>
      </c>
      <c r="E1454">
        <f t="shared" si="23"/>
        <v>3.3333333333333335</v>
      </c>
      <c r="F1454">
        <f>IF((E1454-'user input'!$C$2)&lt;0,0,E1454-'user input'!$C$2)</f>
        <v>0</v>
      </c>
      <c r="G1454">
        <f>IF(B1454&lt;'user input'!$C$5,0,(F1454+G1453))</f>
        <v>1601.3888888888887</v>
      </c>
      <c r="H1454">
        <f>G1454/'user input'!$C$4</f>
        <v>1.3344907407407405</v>
      </c>
    </row>
    <row r="1455" spans="1:8" x14ac:dyDescent="0.2">
      <c r="A1455" s="1">
        <v>41631</v>
      </c>
      <c r="B1455">
        <v>358</v>
      </c>
      <c r="C1455" s="6">
        <f>IF('weather data'!C1455&gt;'user input'!$C$3,'user input'!$C$3,'weather data'!C1455)</f>
        <v>-4.4444444444444446</v>
      </c>
      <c r="D1455" s="6">
        <f>IF('weather data'!D1455&lt;'user input'!$C$2,'user input'!$C$2,'weather data'!D1455)</f>
        <v>10</v>
      </c>
      <c r="E1455">
        <f t="shared" si="23"/>
        <v>2.7777777777777777</v>
      </c>
      <c r="F1455">
        <f>IF((E1455-'user input'!$C$2)&lt;0,0,E1455-'user input'!$C$2)</f>
        <v>0</v>
      </c>
      <c r="G1455">
        <f>IF(B1455&lt;'user input'!$C$5,0,(F1455+G1454))</f>
        <v>1601.3888888888887</v>
      </c>
      <c r="H1455">
        <f>G1455/'user input'!$C$4</f>
        <v>1.3344907407407405</v>
      </c>
    </row>
    <row r="1456" spans="1:8" x14ac:dyDescent="0.2">
      <c r="A1456" s="1">
        <v>41632</v>
      </c>
      <c r="B1456">
        <v>359</v>
      </c>
      <c r="C1456" s="6">
        <f>IF('weather data'!C1456&gt;'user input'!$C$3,'user input'!$C$3,'weather data'!C1456)</f>
        <v>-12.777777777777777</v>
      </c>
      <c r="D1456" s="6">
        <f>IF('weather data'!D1456&lt;'user input'!$C$2,'user input'!$C$2,'weather data'!D1456)</f>
        <v>10</v>
      </c>
      <c r="E1456">
        <f t="shared" si="23"/>
        <v>-1.3888888888888884</v>
      </c>
      <c r="F1456">
        <f>IF((E1456-'user input'!$C$2)&lt;0,0,E1456-'user input'!$C$2)</f>
        <v>0</v>
      </c>
      <c r="G1456">
        <f>IF(B1456&lt;'user input'!$C$5,0,(F1456+G1455))</f>
        <v>1601.3888888888887</v>
      </c>
      <c r="H1456">
        <f>G1456/'user input'!$C$4</f>
        <v>1.3344907407407405</v>
      </c>
    </row>
    <row r="1457" spans="1:8" x14ac:dyDescent="0.2">
      <c r="A1457" s="1">
        <v>41633</v>
      </c>
      <c r="B1457">
        <v>360</v>
      </c>
      <c r="C1457" s="6">
        <f>IF('weather data'!C1457&gt;'user input'!$C$3,'user input'!$C$3,'weather data'!C1457)</f>
        <v>-10.555555555555555</v>
      </c>
      <c r="D1457" s="6">
        <f>IF('weather data'!D1457&lt;'user input'!$C$2,'user input'!$C$2,'weather data'!D1457)</f>
        <v>10</v>
      </c>
      <c r="E1457">
        <f t="shared" si="23"/>
        <v>-0.27777777777777768</v>
      </c>
      <c r="F1457">
        <f>IF((E1457-'user input'!$C$2)&lt;0,0,E1457-'user input'!$C$2)</f>
        <v>0</v>
      </c>
      <c r="G1457">
        <f>IF(B1457&lt;'user input'!$C$5,0,(F1457+G1456))</f>
        <v>1601.3888888888887</v>
      </c>
      <c r="H1457">
        <f>G1457/'user input'!$C$4</f>
        <v>1.3344907407407405</v>
      </c>
    </row>
    <row r="1458" spans="1:8" x14ac:dyDescent="0.2">
      <c r="A1458" s="1">
        <v>41634</v>
      </c>
      <c r="B1458">
        <v>361</v>
      </c>
      <c r="C1458" s="6">
        <f>IF('weather data'!C1458&gt;'user input'!$C$3,'user input'!$C$3,'weather data'!C1458)</f>
        <v>-5.5555555555555554</v>
      </c>
      <c r="D1458" s="6">
        <f>IF('weather data'!D1458&lt;'user input'!$C$2,'user input'!$C$2,'weather data'!D1458)</f>
        <v>10</v>
      </c>
      <c r="E1458">
        <f t="shared" si="23"/>
        <v>2.2222222222222223</v>
      </c>
      <c r="F1458">
        <f>IF((E1458-'user input'!$C$2)&lt;0,0,E1458-'user input'!$C$2)</f>
        <v>0</v>
      </c>
      <c r="G1458">
        <f>IF(B1458&lt;'user input'!$C$5,0,(F1458+G1457))</f>
        <v>1601.3888888888887</v>
      </c>
      <c r="H1458">
        <f>G1458/'user input'!$C$4</f>
        <v>1.3344907407407405</v>
      </c>
    </row>
    <row r="1459" spans="1:8" x14ac:dyDescent="0.2">
      <c r="A1459" s="1">
        <v>41635</v>
      </c>
      <c r="B1459">
        <v>362</v>
      </c>
      <c r="C1459" s="6">
        <f>IF('weather data'!C1459&gt;'user input'!$C$3,'user input'!$C$3,'weather data'!C1459)</f>
        <v>-3.333333333333333</v>
      </c>
      <c r="D1459" s="6">
        <f>IF('weather data'!D1459&lt;'user input'!$C$2,'user input'!$C$2,'weather data'!D1459)</f>
        <v>10</v>
      </c>
      <c r="E1459">
        <f t="shared" si="23"/>
        <v>3.3333333333333335</v>
      </c>
      <c r="F1459">
        <f>IF((E1459-'user input'!$C$2)&lt;0,0,E1459-'user input'!$C$2)</f>
        <v>0</v>
      </c>
      <c r="G1459">
        <f>IF(B1459&lt;'user input'!$C$5,0,(F1459+G1458))</f>
        <v>1601.3888888888887</v>
      </c>
      <c r="H1459">
        <f>G1459/'user input'!$C$4</f>
        <v>1.3344907407407405</v>
      </c>
    </row>
    <row r="1460" spans="1:8" x14ac:dyDescent="0.2">
      <c r="A1460" s="1">
        <v>41636</v>
      </c>
      <c r="B1460">
        <v>363</v>
      </c>
      <c r="C1460" s="6">
        <f>IF('weather data'!C1460&gt;'user input'!$C$3,'user input'!$C$3,'weather data'!C1460)</f>
        <v>2.2222222222222223</v>
      </c>
      <c r="D1460" s="6">
        <f>IF('weather data'!D1460&lt;'user input'!$C$2,'user input'!$C$2,'weather data'!D1460)</f>
        <v>10</v>
      </c>
      <c r="E1460">
        <f t="shared" si="23"/>
        <v>6.1111111111111107</v>
      </c>
      <c r="F1460">
        <f>IF((E1460-'user input'!$C$2)&lt;0,0,E1460-'user input'!$C$2)</f>
        <v>0</v>
      </c>
      <c r="G1460">
        <f>IF(B1460&lt;'user input'!$C$5,0,(F1460+G1459))</f>
        <v>1601.3888888888887</v>
      </c>
      <c r="H1460">
        <f>G1460/'user input'!$C$4</f>
        <v>1.3344907407407405</v>
      </c>
    </row>
    <row r="1461" spans="1:8" x14ac:dyDescent="0.2">
      <c r="A1461" s="1">
        <v>41637</v>
      </c>
      <c r="B1461">
        <v>364</v>
      </c>
      <c r="C1461" s="6">
        <f>IF('weather data'!C1461&gt;'user input'!$C$3,'user input'!$C$3,'weather data'!C1461)</f>
        <v>5.5555555555555554</v>
      </c>
      <c r="D1461" s="6">
        <f>IF('weather data'!D1461&lt;'user input'!$C$2,'user input'!$C$2,'weather data'!D1461)</f>
        <v>10</v>
      </c>
      <c r="E1461">
        <f t="shared" si="23"/>
        <v>7.7777777777777777</v>
      </c>
      <c r="F1461">
        <f>IF((E1461-'user input'!$C$2)&lt;0,0,E1461-'user input'!$C$2)</f>
        <v>0</v>
      </c>
      <c r="G1461">
        <f>IF(B1461&lt;'user input'!$C$5,0,(F1461+G1460))</f>
        <v>1601.3888888888887</v>
      </c>
      <c r="H1461">
        <f>G1461/'user input'!$C$4</f>
        <v>1.3344907407407405</v>
      </c>
    </row>
    <row r="1462" spans="1:8" x14ac:dyDescent="0.2">
      <c r="A1462" s="1">
        <v>41638</v>
      </c>
      <c r="B1462">
        <v>365</v>
      </c>
      <c r="C1462" s="6">
        <f>IF('weather data'!C1462&gt;'user input'!$C$3,'user input'!$C$3,'weather data'!C1462)</f>
        <v>-6.6666666666666661</v>
      </c>
      <c r="D1462" s="6">
        <f>IF('weather data'!D1462&lt;'user input'!$C$2,'user input'!$C$2,'weather data'!D1462)</f>
        <v>10</v>
      </c>
      <c r="E1462">
        <f t="shared" si="23"/>
        <v>1.666666666666667</v>
      </c>
      <c r="F1462">
        <f>IF((E1462-'user input'!$C$2)&lt;0,0,E1462-'user input'!$C$2)</f>
        <v>0</v>
      </c>
      <c r="G1462">
        <f>IF(B1462&lt;'user input'!$C$5,0,(F1462+G1461))</f>
        <v>1601.3888888888887</v>
      </c>
      <c r="H1462">
        <f>G1462/'user input'!$C$4</f>
        <v>1.3344907407407405</v>
      </c>
    </row>
    <row r="1463" spans="1:8" x14ac:dyDescent="0.2">
      <c r="A1463" s="1">
        <v>41639</v>
      </c>
      <c r="B1463">
        <v>1</v>
      </c>
      <c r="C1463" s="6">
        <f>IF('weather data'!C1463&gt;'user input'!$C$3,'user input'!$C$3,'weather data'!C1463)</f>
        <v>-9.4444444444444446</v>
      </c>
      <c r="D1463" s="6">
        <f>IF('weather data'!D1463&lt;'user input'!$C$2,'user input'!$C$2,'weather data'!D1463)</f>
        <v>10</v>
      </c>
      <c r="E1463">
        <f t="shared" si="23"/>
        <v>0.27777777777777768</v>
      </c>
      <c r="F1463">
        <f>IF((E1463-'user input'!$C$2)&lt;0,0,E1463-'user input'!$C$2)</f>
        <v>0</v>
      </c>
      <c r="G1463">
        <f>IF(B1463&lt;'user input'!$C$5,0,(F1463+G1462))</f>
        <v>0</v>
      </c>
      <c r="H1463">
        <f>G1463/'user input'!$C$4</f>
        <v>0</v>
      </c>
    </row>
    <row r="1464" spans="1:8" x14ac:dyDescent="0.2">
      <c r="A1464" s="1">
        <v>41640</v>
      </c>
      <c r="B1464">
        <v>2</v>
      </c>
      <c r="C1464" s="6">
        <f>IF('weather data'!C1464&gt;'user input'!$C$3,'user input'!$C$3,'weather data'!C1464)</f>
        <v>-15.555555555555555</v>
      </c>
      <c r="D1464" s="6">
        <f>IF('weather data'!D1464&lt;'user input'!$C$2,'user input'!$C$2,'weather data'!D1464)</f>
        <v>10</v>
      </c>
      <c r="E1464">
        <f t="shared" si="23"/>
        <v>-2.7777777777777777</v>
      </c>
      <c r="F1464">
        <f>IF((E1464-'user input'!$C$2)&lt;0,0,E1464-'user input'!$C$2)</f>
        <v>0</v>
      </c>
      <c r="G1464">
        <f>IF(B1464&lt;'user input'!$C$5,0,(F1464+G1463))</f>
        <v>0</v>
      </c>
      <c r="H1464">
        <f>G1464/'user input'!$C$4</f>
        <v>0</v>
      </c>
    </row>
    <row r="1465" spans="1:8" x14ac:dyDescent="0.2">
      <c r="A1465" s="1">
        <v>41641</v>
      </c>
      <c r="B1465">
        <v>3</v>
      </c>
      <c r="C1465" s="6">
        <f>IF('weather data'!C1465&gt;'user input'!$C$3,'user input'!$C$3,'weather data'!C1465)</f>
        <v>-12.777777777777777</v>
      </c>
      <c r="D1465" s="6">
        <f>IF('weather data'!D1465&lt;'user input'!$C$2,'user input'!$C$2,'weather data'!D1465)</f>
        <v>10</v>
      </c>
      <c r="E1465">
        <f t="shared" si="23"/>
        <v>-1.3888888888888884</v>
      </c>
      <c r="F1465">
        <f>IF((E1465-'user input'!$C$2)&lt;0,0,E1465-'user input'!$C$2)</f>
        <v>0</v>
      </c>
      <c r="G1465">
        <f>IF(B1465&lt;'user input'!$C$5,0,(F1465+G1464))</f>
        <v>0</v>
      </c>
      <c r="H1465">
        <f>G1465/'user input'!$C$4</f>
        <v>0</v>
      </c>
    </row>
    <row r="1466" spans="1:8" x14ac:dyDescent="0.2">
      <c r="A1466" s="1">
        <v>41642</v>
      </c>
      <c r="B1466">
        <v>4</v>
      </c>
      <c r="C1466" s="6">
        <f>IF('weather data'!C1466&gt;'user input'!$C$3,'user input'!$C$3,'weather data'!C1466)</f>
        <v>-11.666666666666668</v>
      </c>
      <c r="D1466" s="6">
        <f>IF('weather data'!D1466&lt;'user input'!$C$2,'user input'!$C$2,'weather data'!D1466)</f>
        <v>10</v>
      </c>
      <c r="E1466">
        <f t="shared" si="23"/>
        <v>-0.83333333333333393</v>
      </c>
      <c r="F1466">
        <f>IF((E1466-'user input'!$C$2)&lt;0,0,E1466-'user input'!$C$2)</f>
        <v>0</v>
      </c>
      <c r="G1466">
        <f>IF(B1466&lt;'user input'!$C$5,0,(F1466+G1465))</f>
        <v>0</v>
      </c>
      <c r="H1466">
        <f>G1466/'user input'!$C$4</f>
        <v>0</v>
      </c>
    </row>
    <row r="1467" spans="1:8" x14ac:dyDescent="0.2">
      <c r="A1467" s="1">
        <v>41643</v>
      </c>
      <c r="B1467">
        <v>5</v>
      </c>
      <c r="C1467" s="6">
        <f>IF('weather data'!C1467&gt;'user input'!$C$3,'user input'!$C$3,'weather data'!C1467)</f>
        <v>-1.6666666666666665</v>
      </c>
      <c r="D1467" s="6">
        <f>IF('weather data'!D1467&lt;'user input'!$C$2,'user input'!$C$2,'weather data'!D1467)</f>
        <v>10</v>
      </c>
      <c r="E1467">
        <f t="shared" si="23"/>
        <v>4.166666666666667</v>
      </c>
      <c r="F1467">
        <f>IF((E1467-'user input'!$C$2)&lt;0,0,E1467-'user input'!$C$2)</f>
        <v>0</v>
      </c>
      <c r="G1467">
        <f>IF(B1467&lt;'user input'!$C$5,0,(F1467+G1466))</f>
        <v>0</v>
      </c>
      <c r="H1467">
        <f>G1467/'user input'!$C$4</f>
        <v>0</v>
      </c>
    </row>
    <row r="1468" spans="1:8" x14ac:dyDescent="0.2">
      <c r="A1468" s="1">
        <v>41644</v>
      </c>
      <c r="B1468">
        <v>6</v>
      </c>
      <c r="C1468" s="6">
        <f>IF('weather data'!C1468&gt;'user input'!$C$3,'user input'!$C$3,'weather data'!C1468)</f>
        <v>0</v>
      </c>
      <c r="D1468" s="6">
        <f>IF('weather data'!D1468&lt;'user input'!$C$2,'user input'!$C$2,'weather data'!D1468)</f>
        <v>10</v>
      </c>
      <c r="E1468">
        <f t="shared" si="23"/>
        <v>5</v>
      </c>
      <c r="F1468">
        <f>IF((E1468-'user input'!$C$2)&lt;0,0,E1468-'user input'!$C$2)</f>
        <v>0</v>
      </c>
      <c r="G1468">
        <f>IF(B1468&lt;'user input'!$C$5,0,(F1468+G1467))</f>
        <v>0</v>
      </c>
      <c r="H1468">
        <f>G1468/'user input'!$C$4</f>
        <v>0</v>
      </c>
    </row>
    <row r="1469" spans="1:8" x14ac:dyDescent="0.2">
      <c r="A1469" s="1">
        <v>41645</v>
      </c>
      <c r="B1469">
        <v>7</v>
      </c>
      <c r="C1469" s="6">
        <f>IF('weather data'!C1469&gt;'user input'!$C$3,'user input'!$C$3,'weather data'!C1469)</f>
        <v>-2.2222222222222223</v>
      </c>
      <c r="D1469" s="6">
        <f>IF('weather data'!D1469&lt;'user input'!$C$2,'user input'!$C$2,'weather data'!D1469)</f>
        <v>10</v>
      </c>
      <c r="E1469">
        <f t="shared" si="23"/>
        <v>3.8888888888888888</v>
      </c>
      <c r="F1469">
        <f>IF((E1469-'user input'!$C$2)&lt;0,0,E1469-'user input'!$C$2)</f>
        <v>0</v>
      </c>
      <c r="G1469">
        <f>IF(B1469&lt;'user input'!$C$5,0,(F1469+G1468))</f>
        <v>0</v>
      </c>
      <c r="H1469">
        <f>G1469/'user input'!$C$4</f>
        <v>0</v>
      </c>
    </row>
    <row r="1470" spans="1:8" x14ac:dyDescent="0.2">
      <c r="A1470" s="1">
        <v>41646</v>
      </c>
      <c r="B1470">
        <v>8</v>
      </c>
      <c r="C1470" s="6">
        <f>IF('weather data'!C1470&gt;'user input'!$C$3,'user input'!$C$3,'weather data'!C1470)</f>
        <v>-24.444444444444446</v>
      </c>
      <c r="D1470" s="6">
        <f>IF('weather data'!D1470&lt;'user input'!$C$2,'user input'!$C$2,'weather data'!D1470)</f>
        <v>10</v>
      </c>
      <c r="E1470">
        <f t="shared" si="23"/>
        <v>-7.2222222222222232</v>
      </c>
      <c r="F1470">
        <f>IF((E1470-'user input'!$C$2)&lt;0,0,E1470-'user input'!$C$2)</f>
        <v>0</v>
      </c>
      <c r="G1470">
        <f>IF(B1470&lt;'user input'!$C$5,0,(F1470+G1469))</f>
        <v>0</v>
      </c>
      <c r="H1470">
        <f>G1470/'user input'!$C$4</f>
        <v>0</v>
      </c>
    </row>
    <row r="1471" spans="1:8" x14ac:dyDescent="0.2">
      <c r="A1471" s="1">
        <v>41647</v>
      </c>
      <c r="B1471">
        <v>9</v>
      </c>
      <c r="C1471" s="6">
        <f>IF('weather data'!C1471&gt;'user input'!$C$3,'user input'!$C$3,'weather data'!C1471)</f>
        <v>-16.666666666666668</v>
      </c>
      <c r="D1471" s="6">
        <f>IF('weather data'!D1471&lt;'user input'!$C$2,'user input'!$C$2,'weather data'!D1471)</f>
        <v>10</v>
      </c>
      <c r="E1471">
        <f t="shared" si="23"/>
        <v>-3.3333333333333339</v>
      </c>
      <c r="F1471">
        <f>IF((E1471-'user input'!$C$2)&lt;0,0,E1471-'user input'!$C$2)</f>
        <v>0</v>
      </c>
      <c r="G1471">
        <f>IF(B1471&lt;'user input'!$C$5,0,(F1471+G1470))</f>
        <v>0</v>
      </c>
      <c r="H1471">
        <f>G1471/'user input'!$C$4</f>
        <v>0</v>
      </c>
    </row>
    <row r="1472" spans="1:8" x14ac:dyDescent="0.2">
      <c r="A1472" s="1">
        <v>41648</v>
      </c>
      <c r="B1472">
        <v>10</v>
      </c>
      <c r="C1472" s="6">
        <f>IF('weather data'!C1472&gt;'user input'!$C$3,'user input'!$C$3,'weather data'!C1472)</f>
        <v>-12.777777777777777</v>
      </c>
      <c r="D1472" s="6">
        <f>IF('weather data'!D1472&lt;'user input'!$C$2,'user input'!$C$2,'weather data'!D1472)</f>
        <v>10</v>
      </c>
      <c r="E1472">
        <f t="shared" si="23"/>
        <v>-1.3888888888888884</v>
      </c>
      <c r="F1472">
        <f>IF((E1472-'user input'!$C$2)&lt;0,0,E1472-'user input'!$C$2)</f>
        <v>0</v>
      </c>
      <c r="G1472">
        <f>IF(B1472&lt;'user input'!$C$5,0,(F1472+G1471))</f>
        <v>0</v>
      </c>
      <c r="H1472">
        <f>G1472/'user input'!$C$4</f>
        <v>0</v>
      </c>
    </row>
    <row r="1473" spans="1:8" x14ac:dyDescent="0.2">
      <c r="A1473" s="1">
        <v>41649</v>
      </c>
      <c r="B1473">
        <v>11</v>
      </c>
      <c r="C1473" s="6">
        <f>IF('weather data'!C1473&gt;'user input'!$C$3,'user input'!$C$3,'weather data'!C1473)</f>
        <v>-2.7777777777777777</v>
      </c>
      <c r="D1473" s="6">
        <f>IF('weather data'!D1473&lt;'user input'!$C$2,'user input'!$C$2,'weather data'!D1473)</f>
        <v>10</v>
      </c>
      <c r="E1473">
        <f t="shared" si="23"/>
        <v>3.6111111111111112</v>
      </c>
      <c r="F1473">
        <f>IF((E1473-'user input'!$C$2)&lt;0,0,E1473-'user input'!$C$2)</f>
        <v>0</v>
      </c>
      <c r="G1473">
        <f>IF(B1473&lt;'user input'!$C$5,0,(F1473+G1472))</f>
        <v>0</v>
      </c>
      <c r="H1473">
        <f>G1473/'user input'!$C$4</f>
        <v>0</v>
      </c>
    </row>
    <row r="1474" spans="1:8" x14ac:dyDescent="0.2">
      <c r="A1474" s="1">
        <v>41650</v>
      </c>
      <c r="B1474">
        <v>12</v>
      </c>
      <c r="C1474" s="6">
        <f>IF('weather data'!C1474&gt;'user input'!$C$3,'user input'!$C$3,'weather data'!C1474)</f>
        <v>-2.7777777777777777</v>
      </c>
      <c r="D1474" s="6">
        <f>IF('weather data'!D1474&lt;'user input'!$C$2,'user input'!$C$2,'weather data'!D1474)</f>
        <v>10</v>
      </c>
      <c r="E1474">
        <f t="shared" si="23"/>
        <v>3.6111111111111112</v>
      </c>
      <c r="F1474">
        <f>IF((E1474-'user input'!$C$2)&lt;0,0,E1474-'user input'!$C$2)</f>
        <v>0</v>
      </c>
      <c r="G1474">
        <f>IF(B1474&lt;'user input'!$C$5,0,(F1474+G1473))</f>
        <v>0</v>
      </c>
      <c r="H1474">
        <f>G1474/'user input'!$C$4</f>
        <v>0</v>
      </c>
    </row>
    <row r="1475" spans="1:8" x14ac:dyDescent="0.2">
      <c r="A1475" s="1">
        <v>41651</v>
      </c>
      <c r="B1475">
        <v>13</v>
      </c>
      <c r="C1475" s="6">
        <f>IF('weather data'!C1475&gt;'user input'!$C$3,'user input'!$C$3,'weather data'!C1475)</f>
        <v>-2.7777777777777777</v>
      </c>
      <c r="D1475" s="6">
        <f>IF('weather data'!D1475&lt;'user input'!$C$2,'user input'!$C$2,'weather data'!D1475)</f>
        <v>10</v>
      </c>
      <c r="E1475">
        <f t="shared" si="23"/>
        <v>3.6111111111111112</v>
      </c>
      <c r="F1475">
        <f>IF((E1475-'user input'!$C$2)&lt;0,0,E1475-'user input'!$C$2)</f>
        <v>0</v>
      </c>
      <c r="G1475">
        <f>IF(B1475&lt;'user input'!$C$5,0,(F1475+G1474))</f>
        <v>0</v>
      </c>
      <c r="H1475">
        <f>G1475/'user input'!$C$4</f>
        <v>0</v>
      </c>
    </row>
    <row r="1476" spans="1:8" x14ac:dyDescent="0.2">
      <c r="A1476" s="1">
        <v>41652</v>
      </c>
      <c r="B1476">
        <v>14</v>
      </c>
      <c r="C1476" s="6">
        <f>IF('weather data'!C1476&gt;'user input'!$C$3,'user input'!$C$3,'weather data'!C1476)</f>
        <v>-2.7777777777777777</v>
      </c>
      <c r="D1476" s="6">
        <f>IF('weather data'!D1476&lt;'user input'!$C$2,'user input'!$C$2,'weather data'!D1476)</f>
        <v>10</v>
      </c>
      <c r="E1476">
        <f t="shared" si="23"/>
        <v>3.6111111111111112</v>
      </c>
      <c r="F1476">
        <f>IF((E1476-'user input'!$C$2)&lt;0,0,E1476-'user input'!$C$2)</f>
        <v>0</v>
      </c>
      <c r="G1476">
        <f>IF(B1476&lt;'user input'!$C$5,0,(F1476+G1475))</f>
        <v>0</v>
      </c>
      <c r="H1476">
        <f>G1476/'user input'!$C$4</f>
        <v>0</v>
      </c>
    </row>
    <row r="1477" spans="1:8" x14ac:dyDescent="0.2">
      <c r="A1477" s="1">
        <v>41653</v>
      </c>
      <c r="B1477">
        <v>15</v>
      </c>
      <c r="C1477" s="6">
        <f>IF('weather data'!C1477&gt;'user input'!$C$3,'user input'!$C$3,'weather data'!C1477)</f>
        <v>4.4444444444444446</v>
      </c>
      <c r="D1477" s="6">
        <f>IF('weather data'!D1477&lt;'user input'!$C$2,'user input'!$C$2,'weather data'!D1477)</f>
        <v>10</v>
      </c>
      <c r="E1477">
        <f t="shared" si="23"/>
        <v>7.2222222222222223</v>
      </c>
      <c r="F1477">
        <f>IF((E1477-'user input'!$C$2)&lt;0,0,E1477-'user input'!$C$2)</f>
        <v>0</v>
      </c>
      <c r="G1477">
        <f>IF(B1477&lt;'user input'!$C$5,0,(F1477+G1476))</f>
        <v>0</v>
      </c>
      <c r="H1477">
        <f>G1477/'user input'!$C$4</f>
        <v>0</v>
      </c>
    </row>
    <row r="1478" spans="1:8" x14ac:dyDescent="0.2">
      <c r="A1478" s="1">
        <v>41654</v>
      </c>
      <c r="B1478">
        <v>16</v>
      </c>
      <c r="C1478" s="6">
        <f>IF('weather data'!C1478&gt;'user input'!$C$3,'user input'!$C$3,'weather data'!C1478)</f>
        <v>0</v>
      </c>
      <c r="D1478" s="6">
        <f>IF('weather data'!D1478&lt;'user input'!$C$2,'user input'!$C$2,'weather data'!D1478)</f>
        <v>10</v>
      </c>
      <c r="E1478">
        <f t="shared" si="23"/>
        <v>5</v>
      </c>
      <c r="F1478">
        <f>IF((E1478-'user input'!$C$2)&lt;0,0,E1478-'user input'!$C$2)</f>
        <v>0</v>
      </c>
      <c r="G1478">
        <f>IF(B1478&lt;'user input'!$C$5,0,(F1478+G1477))</f>
        <v>0</v>
      </c>
      <c r="H1478">
        <f>G1478/'user input'!$C$4</f>
        <v>0</v>
      </c>
    </row>
    <row r="1479" spans="1:8" x14ac:dyDescent="0.2">
      <c r="A1479" s="1">
        <v>41655</v>
      </c>
      <c r="B1479">
        <v>17</v>
      </c>
      <c r="C1479" s="6">
        <f>IF('weather data'!C1479&gt;'user input'!$C$3,'user input'!$C$3,'weather data'!C1479)</f>
        <v>-3.8888888888888888</v>
      </c>
      <c r="D1479" s="6">
        <f>IF('weather data'!D1479&lt;'user input'!$C$2,'user input'!$C$2,'weather data'!D1479)</f>
        <v>10</v>
      </c>
      <c r="E1479">
        <f t="shared" si="23"/>
        <v>3.0555555555555554</v>
      </c>
      <c r="F1479">
        <f>IF((E1479-'user input'!$C$2)&lt;0,0,E1479-'user input'!$C$2)</f>
        <v>0</v>
      </c>
      <c r="G1479">
        <f>IF(B1479&lt;'user input'!$C$5,0,(F1479+G1478))</f>
        <v>0</v>
      </c>
      <c r="H1479">
        <f>G1479/'user input'!$C$4</f>
        <v>0</v>
      </c>
    </row>
    <row r="1480" spans="1:8" x14ac:dyDescent="0.2">
      <c r="A1480" s="1">
        <v>41656</v>
      </c>
      <c r="B1480">
        <v>18</v>
      </c>
      <c r="C1480" s="6">
        <f>IF('weather data'!C1480&gt;'user input'!$C$3,'user input'!$C$3,'weather data'!C1480)</f>
        <v>0</v>
      </c>
      <c r="D1480" s="6">
        <f>IF('weather data'!D1480&lt;'user input'!$C$2,'user input'!$C$2,'weather data'!D1480)</f>
        <v>10</v>
      </c>
      <c r="E1480">
        <f t="shared" si="23"/>
        <v>5</v>
      </c>
      <c r="F1480">
        <f>IF((E1480-'user input'!$C$2)&lt;0,0,E1480-'user input'!$C$2)</f>
        <v>0</v>
      </c>
      <c r="G1480">
        <f>IF(B1480&lt;'user input'!$C$5,0,(F1480+G1479))</f>
        <v>0</v>
      </c>
      <c r="H1480">
        <f>G1480/'user input'!$C$4</f>
        <v>0</v>
      </c>
    </row>
    <row r="1481" spans="1:8" x14ac:dyDescent="0.2">
      <c r="A1481" s="1">
        <v>41657</v>
      </c>
      <c r="B1481">
        <v>19</v>
      </c>
      <c r="C1481" s="6">
        <f>IF('weather data'!C1481&gt;'user input'!$C$3,'user input'!$C$3,'weather data'!C1481)</f>
        <v>0</v>
      </c>
      <c r="D1481" s="6">
        <f>IF('weather data'!D1481&lt;'user input'!$C$2,'user input'!$C$2,'weather data'!D1481)</f>
        <v>10</v>
      </c>
      <c r="E1481">
        <f t="shared" si="23"/>
        <v>5</v>
      </c>
      <c r="F1481">
        <f>IF((E1481-'user input'!$C$2)&lt;0,0,E1481-'user input'!$C$2)</f>
        <v>0</v>
      </c>
      <c r="G1481">
        <f>IF(B1481&lt;'user input'!$C$5,0,(F1481+G1480))</f>
        <v>0</v>
      </c>
      <c r="H1481">
        <f>G1481/'user input'!$C$4</f>
        <v>0</v>
      </c>
    </row>
    <row r="1482" spans="1:8" x14ac:dyDescent="0.2">
      <c r="A1482" s="1">
        <v>41658</v>
      </c>
      <c r="B1482">
        <v>20</v>
      </c>
      <c r="C1482" s="6">
        <f>IF('weather data'!C1482&gt;'user input'!$C$3,'user input'!$C$3,'weather data'!C1482)</f>
        <v>-3.8888888888888888</v>
      </c>
      <c r="D1482" s="6">
        <f>IF('weather data'!D1482&lt;'user input'!$C$2,'user input'!$C$2,'weather data'!D1482)</f>
        <v>10</v>
      </c>
      <c r="E1482">
        <f t="shared" si="23"/>
        <v>3.0555555555555554</v>
      </c>
      <c r="F1482">
        <f>IF((E1482-'user input'!$C$2)&lt;0,0,E1482-'user input'!$C$2)</f>
        <v>0</v>
      </c>
      <c r="G1482">
        <f>IF(B1482&lt;'user input'!$C$5,0,(F1482+G1481))</f>
        <v>0</v>
      </c>
      <c r="H1482">
        <f>G1482/'user input'!$C$4</f>
        <v>0</v>
      </c>
    </row>
    <row r="1483" spans="1:8" x14ac:dyDescent="0.2">
      <c r="A1483" s="1">
        <v>41659</v>
      </c>
      <c r="B1483">
        <v>21</v>
      </c>
      <c r="C1483" s="6">
        <f>IF('weather data'!C1483&gt;'user input'!$C$3,'user input'!$C$3,'weather data'!C1483)</f>
        <v>1.1111111111111112</v>
      </c>
      <c r="D1483" s="6">
        <f>IF('weather data'!D1483&lt;'user input'!$C$2,'user input'!$C$2,'weather data'!D1483)</f>
        <v>10</v>
      </c>
      <c r="E1483">
        <f t="shared" si="23"/>
        <v>5.5555555555555554</v>
      </c>
      <c r="F1483">
        <f>IF((E1483-'user input'!$C$2)&lt;0,0,E1483-'user input'!$C$2)</f>
        <v>0</v>
      </c>
      <c r="G1483">
        <f>IF(B1483&lt;'user input'!$C$5,0,(F1483+G1482))</f>
        <v>0</v>
      </c>
      <c r="H1483">
        <f>G1483/'user input'!$C$4</f>
        <v>0</v>
      </c>
    </row>
    <row r="1484" spans="1:8" x14ac:dyDescent="0.2">
      <c r="A1484" s="1">
        <v>41660</v>
      </c>
      <c r="B1484">
        <v>22</v>
      </c>
      <c r="C1484" s="6">
        <f>IF('weather data'!C1484&gt;'user input'!$C$3,'user input'!$C$3,'weather data'!C1484)</f>
        <v>-1.1111111111111112</v>
      </c>
      <c r="D1484" s="6">
        <f>IF('weather data'!D1484&lt;'user input'!$C$2,'user input'!$C$2,'weather data'!D1484)</f>
        <v>10</v>
      </c>
      <c r="E1484">
        <f t="shared" si="23"/>
        <v>4.4444444444444446</v>
      </c>
      <c r="F1484">
        <f>IF((E1484-'user input'!$C$2)&lt;0,0,E1484-'user input'!$C$2)</f>
        <v>0</v>
      </c>
      <c r="G1484">
        <f>IF(B1484&lt;'user input'!$C$5,0,(F1484+G1483))</f>
        <v>0</v>
      </c>
      <c r="H1484">
        <f>G1484/'user input'!$C$4</f>
        <v>0</v>
      </c>
    </row>
    <row r="1485" spans="1:8" x14ac:dyDescent="0.2">
      <c r="A1485" s="1">
        <v>41661</v>
      </c>
      <c r="B1485">
        <v>23</v>
      </c>
      <c r="C1485" s="6">
        <f>IF('weather data'!C1485&gt;'user input'!$C$3,'user input'!$C$3,'weather data'!C1485)</f>
        <v>-15</v>
      </c>
      <c r="D1485" s="6">
        <f>IF('weather data'!D1485&lt;'user input'!$C$2,'user input'!$C$2,'weather data'!D1485)</f>
        <v>10</v>
      </c>
      <c r="E1485">
        <f t="shared" si="23"/>
        <v>-2.5</v>
      </c>
      <c r="F1485">
        <f>IF((E1485-'user input'!$C$2)&lt;0,0,E1485-'user input'!$C$2)</f>
        <v>0</v>
      </c>
      <c r="G1485">
        <f>IF(B1485&lt;'user input'!$C$5,0,(F1485+G1484))</f>
        <v>0</v>
      </c>
      <c r="H1485">
        <f>G1485/'user input'!$C$4</f>
        <v>0</v>
      </c>
    </row>
    <row r="1486" spans="1:8" x14ac:dyDescent="0.2">
      <c r="A1486" s="1">
        <v>41662</v>
      </c>
      <c r="B1486">
        <v>24</v>
      </c>
      <c r="C1486" s="6">
        <f>IF('weather data'!C1486&gt;'user input'!$C$3,'user input'!$C$3,'weather data'!C1486)</f>
        <v>-12.222222222222223</v>
      </c>
      <c r="D1486" s="6">
        <f>IF('weather data'!D1486&lt;'user input'!$C$2,'user input'!$C$2,'weather data'!D1486)</f>
        <v>10</v>
      </c>
      <c r="E1486">
        <f t="shared" si="23"/>
        <v>-1.1111111111111116</v>
      </c>
      <c r="F1486">
        <f>IF((E1486-'user input'!$C$2)&lt;0,0,E1486-'user input'!$C$2)</f>
        <v>0</v>
      </c>
      <c r="G1486">
        <f>IF(B1486&lt;'user input'!$C$5,0,(F1486+G1485))</f>
        <v>0</v>
      </c>
      <c r="H1486">
        <f>G1486/'user input'!$C$4</f>
        <v>0</v>
      </c>
    </row>
    <row r="1487" spans="1:8" x14ac:dyDescent="0.2">
      <c r="A1487" s="1">
        <v>41663</v>
      </c>
      <c r="B1487">
        <v>25</v>
      </c>
      <c r="C1487" s="6">
        <f>IF('weather data'!C1487&gt;'user input'!$C$3,'user input'!$C$3,'weather data'!C1487)</f>
        <v>-13.888888888888889</v>
      </c>
      <c r="D1487" s="6">
        <f>IF('weather data'!D1487&lt;'user input'!$C$2,'user input'!$C$2,'weather data'!D1487)</f>
        <v>10</v>
      </c>
      <c r="E1487">
        <f t="shared" si="23"/>
        <v>-1.9444444444444446</v>
      </c>
      <c r="F1487">
        <f>IF((E1487-'user input'!$C$2)&lt;0,0,E1487-'user input'!$C$2)</f>
        <v>0</v>
      </c>
      <c r="G1487">
        <f>IF(B1487&lt;'user input'!$C$5,0,(F1487+G1486))</f>
        <v>0</v>
      </c>
      <c r="H1487">
        <f>G1487/'user input'!$C$4</f>
        <v>0</v>
      </c>
    </row>
    <row r="1488" spans="1:8" x14ac:dyDescent="0.2">
      <c r="A1488" s="1">
        <v>41664</v>
      </c>
      <c r="B1488">
        <v>26</v>
      </c>
      <c r="C1488" s="6">
        <f>IF('weather data'!C1488&gt;'user input'!$C$3,'user input'!$C$3,'weather data'!C1488)</f>
        <v>0</v>
      </c>
      <c r="D1488" s="6">
        <f>IF('weather data'!D1488&lt;'user input'!$C$2,'user input'!$C$2,'weather data'!D1488)</f>
        <v>10</v>
      </c>
      <c r="E1488">
        <f t="shared" si="23"/>
        <v>5</v>
      </c>
      <c r="F1488">
        <f>IF((E1488-'user input'!$C$2)&lt;0,0,E1488-'user input'!$C$2)</f>
        <v>0</v>
      </c>
      <c r="G1488">
        <f>IF(B1488&lt;'user input'!$C$5,0,(F1488+G1487))</f>
        <v>0</v>
      </c>
      <c r="H1488">
        <f>G1488/'user input'!$C$4</f>
        <v>0</v>
      </c>
    </row>
    <row r="1489" spans="1:8" x14ac:dyDescent="0.2">
      <c r="A1489" s="1">
        <v>41665</v>
      </c>
      <c r="B1489">
        <v>27</v>
      </c>
      <c r="C1489" s="6">
        <f>IF('weather data'!C1489&gt;'user input'!$C$3,'user input'!$C$3,'weather data'!C1489)</f>
        <v>-5</v>
      </c>
      <c r="D1489" s="6">
        <f>IF('weather data'!D1489&lt;'user input'!$C$2,'user input'!$C$2,'weather data'!D1489)</f>
        <v>10</v>
      </c>
      <c r="E1489">
        <f t="shared" si="23"/>
        <v>2.5</v>
      </c>
      <c r="F1489">
        <f>IF((E1489-'user input'!$C$2)&lt;0,0,E1489-'user input'!$C$2)</f>
        <v>0</v>
      </c>
      <c r="G1489">
        <f>IF(B1489&lt;'user input'!$C$5,0,(F1489+G1488))</f>
        <v>0</v>
      </c>
      <c r="H1489">
        <f>G1489/'user input'!$C$4</f>
        <v>0</v>
      </c>
    </row>
    <row r="1490" spans="1:8" x14ac:dyDescent="0.2">
      <c r="A1490" s="1">
        <v>41666</v>
      </c>
      <c r="B1490">
        <v>28</v>
      </c>
      <c r="C1490" s="6">
        <f>IF('weather data'!C1490&gt;'user input'!$C$3,'user input'!$C$3,'weather data'!C1490)</f>
        <v>-5.5555555555555554</v>
      </c>
      <c r="D1490" s="6">
        <f>IF('weather data'!D1490&lt;'user input'!$C$2,'user input'!$C$2,'weather data'!D1490)</f>
        <v>10</v>
      </c>
      <c r="E1490">
        <f t="shared" ref="E1490:E1553" si="24">(C1490+D1490)/2</f>
        <v>2.2222222222222223</v>
      </c>
      <c r="F1490">
        <f>IF((E1490-'user input'!$C$2)&lt;0,0,E1490-'user input'!$C$2)</f>
        <v>0</v>
      </c>
      <c r="G1490">
        <f>IF(B1490&lt;'user input'!$C$5,0,(F1490+G1489))</f>
        <v>0</v>
      </c>
      <c r="H1490">
        <f>G1490/'user input'!$C$4</f>
        <v>0</v>
      </c>
    </row>
    <row r="1491" spans="1:8" x14ac:dyDescent="0.2">
      <c r="A1491" s="1">
        <v>41667</v>
      </c>
      <c r="B1491">
        <v>29</v>
      </c>
      <c r="C1491" s="6">
        <f>IF('weather data'!C1491&gt;'user input'!$C$3,'user input'!$C$3,'weather data'!C1491)</f>
        <v>-20.555555555555554</v>
      </c>
      <c r="D1491" s="6">
        <f>IF('weather data'!D1491&lt;'user input'!$C$2,'user input'!$C$2,'weather data'!D1491)</f>
        <v>10</v>
      </c>
      <c r="E1491">
        <f t="shared" si="24"/>
        <v>-5.2777777777777768</v>
      </c>
      <c r="F1491">
        <f>IF((E1491-'user input'!$C$2)&lt;0,0,E1491-'user input'!$C$2)</f>
        <v>0</v>
      </c>
      <c r="G1491">
        <f>IF(B1491&lt;'user input'!$C$5,0,(F1491+G1490))</f>
        <v>0</v>
      </c>
      <c r="H1491">
        <f>G1491/'user input'!$C$4</f>
        <v>0</v>
      </c>
    </row>
    <row r="1492" spans="1:8" x14ac:dyDescent="0.2">
      <c r="A1492" s="1">
        <v>41668</v>
      </c>
      <c r="B1492">
        <v>30</v>
      </c>
      <c r="C1492" s="6">
        <f>IF('weather data'!C1492&gt;'user input'!$C$3,'user input'!$C$3,'weather data'!C1492)</f>
        <v>-16.666666666666668</v>
      </c>
      <c r="D1492" s="6">
        <f>IF('weather data'!D1492&lt;'user input'!$C$2,'user input'!$C$2,'weather data'!D1492)</f>
        <v>10</v>
      </c>
      <c r="E1492">
        <f t="shared" si="24"/>
        <v>-3.3333333333333339</v>
      </c>
      <c r="F1492">
        <f>IF((E1492-'user input'!$C$2)&lt;0,0,E1492-'user input'!$C$2)</f>
        <v>0</v>
      </c>
      <c r="G1492">
        <f>IF(B1492&lt;'user input'!$C$5,0,(F1492+G1491))</f>
        <v>0</v>
      </c>
      <c r="H1492">
        <f>G1492/'user input'!$C$4</f>
        <v>0</v>
      </c>
    </row>
    <row r="1493" spans="1:8" x14ac:dyDescent="0.2">
      <c r="A1493" s="1">
        <v>41669</v>
      </c>
      <c r="B1493">
        <v>31</v>
      </c>
      <c r="C1493" s="6">
        <f>IF('weather data'!C1493&gt;'user input'!$C$3,'user input'!$C$3,'weather data'!C1493)</f>
        <v>-3.333333333333333</v>
      </c>
      <c r="D1493" s="6">
        <f>IF('weather data'!D1493&lt;'user input'!$C$2,'user input'!$C$2,'weather data'!D1493)</f>
        <v>10</v>
      </c>
      <c r="E1493">
        <f t="shared" si="24"/>
        <v>3.3333333333333335</v>
      </c>
      <c r="F1493">
        <f>IF((E1493-'user input'!$C$2)&lt;0,0,E1493-'user input'!$C$2)</f>
        <v>0</v>
      </c>
      <c r="G1493">
        <f>IF(B1493&lt;'user input'!$C$5,0,(F1493+G1492))</f>
        <v>0</v>
      </c>
      <c r="H1493">
        <f>G1493/'user input'!$C$4</f>
        <v>0</v>
      </c>
    </row>
    <row r="1494" spans="1:8" x14ac:dyDescent="0.2">
      <c r="A1494" s="1">
        <v>41670</v>
      </c>
      <c r="B1494">
        <v>32</v>
      </c>
      <c r="C1494" s="6">
        <f>IF('weather data'!C1494&gt;'user input'!$C$3,'user input'!$C$3,'weather data'!C1494)</f>
        <v>-1.1111111111111112</v>
      </c>
      <c r="D1494" s="6">
        <f>IF('weather data'!D1494&lt;'user input'!$C$2,'user input'!$C$2,'weather data'!D1494)</f>
        <v>10</v>
      </c>
      <c r="E1494">
        <f t="shared" si="24"/>
        <v>4.4444444444444446</v>
      </c>
      <c r="F1494">
        <f>IF((E1494-'user input'!$C$2)&lt;0,0,E1494-'user input'!$C$2)</f>
        <v>0</v>
      </c>
      <c r="G1494">
        <f>IF(B1494&lt;'user input'!$C$5,0,(F1494+G1493))</f>
        <v>0</v>
      </c>
      <c r="H1494">
        <f>G1494/'user input'!$C$4</f>
        <v>0</v>
      </c>
    </row>
    <row r="1495" spans="1:8" x14ac:dyDescent="0.2">
      <c r="A1495" s="1">
        <v>41671</v>
      </c>
      <c r="B1495">
        <v>33</v>
      </c>
      <c r="C1495" s="6">
        <f>IF('weather data'!C1495&gt;'user input'!$C$3,'user input'!$C$3,'weather data'!C1495)</f>
        <v>-11.666666666666668</v>
      </c>
      <c r="D1495" s="6">
        <f>IF('weather data'!D1495&lt;'user input'!$C$2,'user input'!$C$2,'weather data'!D1495)</f>
        <v>10</v>
      </c>
      <c r="E1495">
        <f t="shared" si="24"/>
        <v>-0.83333333333333393</v>
      </c>
      <c r="F1495">
        <f>IF((E1495-'user input'!$C$2)&lt;0,0,E1495-'user input'!$C$2)</f>
        <v>0</v>
      </c>
      <c r="G1495">
        <f>IF(B1495&lt;'user input'!$C$5,0,(F1495+G1494))</f>
        <v>0</v>
      </c>
      <c r="H1495">
        <f>G1495/'user input'!$C$4</f>
        <v>0</v>
      </c>
    </row>
    <row r="1496" spans="1:8" x14ac:dyDescent="0.2">
      <c r="A1496" s="1">
        <v>41672</v>
      </c>
      <c r="B1496">
        <v>34</v>
      </c>
      <c r="C1496" s="6">
        <f>IF('weather data'!C1496&gt;'user input'!$C$3,'user input'!$C$3,'weather data'!C1496)</f>
        <v>-6.6666666666666661</v>
      </c>
      <c r="D1496" s="6">
        <f>IF('weather data'!D1496&lt;'user input'!$C$2,'user input'!$C$2,'weather data'!D1496)</f>
        <v>10</v>
      </c>
      <c r="E1496">
        <f t="shared" si="24"/>
        <v>1.666666666666667</v>
      </c>
      <c r="F1496">
        <f>IF((E1496-'user input'!$C$2)&lt;0,0,E1496-'user input'!$C$2)</f>
        <v>0</v>
      </c>
      <c r="G1496">
        <f>IF(B1496&lt;'user input'!$C$5,0,(F1496+G1495))</f>
        <v>0</v>
      </c>
      <c r="H1496">
        <f>G1496/'user input'!$C$4</f>
        <v>0</v>
      </c>
    </row>
    <row r="1497" spans="1:8" x14ac:dyDescent="0.2">
      <c r="A1497" s="1">
        <v>41673</v>
      </c>
      <c r="B1497">
        <v>35</v>
      </c>
      <c r="C1497" s="6">
        <f>IF('weather data'!C1497&gt;'user input'!$C$3,'user input'!$C$3,'weather data'!C1497)</f>
        <v>-8.8888888888888893</v>
      </c>
      <c r="D1497" s="6">
        <f>IF('weather data'!D1497&lt;'user input'!$C$2,'user input'!$C$2,'weather data'!D1497)</f>
        <v>10</v>
      </c>
      <c r="E1497">
        <f t="shared" si="24"/>
        <v>0.55555555555555536</v>
      </c>
      <c r="F1497">
        <f>IF((E1497-'user input'!$C$2)&lt;0,0,E1497-'user input'!$C$2)</f>
        <v>0</v>
      </c>
      <c r="G1497">
        <f>IF(B1497&lt;'user input'!$C$5,0,(F1497+G1496))</f>
        <v>0</v>
      </c>
      <c r="H1497">
        <f>G1497/'user input'!$C$4</f>
        <v>0</v>
      </c>
    </row>
    <row r="1498" spans="1:8" x14ac:dyDescent="0.2">
      <c r="A1498" s="1">
        <v>41674</v>
      </c>
      <c r="B1498">
        <v>36</v>
      </c>
      <c r="C1498" s="6">
        <f>IF('weather data'!C1498&gt;'user input'!$C$3,'user input'!$C$3,'weather data'!C1498)</f>
        <v>-7.2222222222222223</v>
      </c>
      <c r="D1498" s="6">
        <f>IF('weather data'!D1498&lt;'user input'!$C$2,'user input'!$C$2,'weather data'!D1498)</f>
        <v>10</v>
      </c>
      <c r="E1498">
        <f t="shared" si="24"/>
        <v>1.3888888888888888</v>
      </c>
      <c r="F1498">
        <f>IF((E1498-'user input'!$C$2)&lt;0,0,E1498-'user input'!$C$2)</f>
        <v>0</v>
      </c>
      <c r="G1498">
        <f>IF(B1498&lt;'user input'!$C$5,0,(F1498+G1497))</f>
        <v>0</v>
      </c>
      <c r="H1498">
        <f>G1498/'user input'!$C$4</f>
        <v>0</v>
      </c>
    </row>
    <row r="1499" spans="1:8" x14ac:dyDescent="0.2">
      <c r="A1499" s="1">
        <v>41675</v>
      </c>
      <c r="B1499">
        <v>37</v>
      </c>
      <c r="C1499" s="6">
        <f>IF('weather data'!C1499&gt;'user input'!$C$3,'user input'!$C$3,'weather data'!C1499)</f>
        <v>-7.2222222222222223</v>
      </c>
      <c r="D1499" s="6">
        <f>IF('weather data'!D1499&lt;'user input'!$C$2,'user input'!$C$2,'weather data'!D1499)</f>
        <v>10</v>
      </c>
      <c r="E1499">
        <f t="shared" si="24"/>
        <v>1.3888888888888888</v>
      </c>
      <c r="F1499">
        <f>IF((E1499-'user input'!$C$2)&lt;0,0,E1499-'user input'!$C$2)</f>
        <v>0</v>
      </c>
      <c r="G1499">
        <f>IF(B1499&lt;'user input'!$C$5,0,(F1499+G1498))</f>
        <v>0</v>
      </c>
      <c r="H1499">
        <f>G1499/'user input'!$C$4</f>
        <v>0</v>
      </c>
    </row>
    <row r="1500" spans="1:8" x14ac:dyDescent="0.2">
      <c r="A1500" s="1">
        <v>41676</v>
      </c>
      <c r="B1500">
        <v>38</v>
      </c>
      <c r="C1500" s="6">
        <f>IF('weather data'!C1500&gt;'user input'!$C$3,'user input'!$C$3,'weather data'!C1500)</f>
        <v>-8.8888888888888893</v>
      </c>
      <c r="D1500" s="6">
        <f>IF('weather data'!D1500&lt;'user input'!$C$2,'user input'!$C$2,'weather data'!D1500)</f>
        <v>10</v>
      </c>
      <c r="E1500">
        <f t="shared" si="24"/>
        <v>0.55555555555555536</v>
      </c>
      <c r="F1500">
        <f>IF((E1500-'user input'!$C$2)&lt;0,0,E1500-'user input'!$C$2)</f>
        <v>0</v>
      </c>
      <c r="G1500">
        <f>IF(B1500&lt;'user input'!$C$5,0,(F1500+G1499))</f>
        <v>0</v>
      </c>
      <c r="H1500">
        <f>G1500/'user input'!$C$4</f>
        <v>0</v>
      </c>
    </row>
    <row r="1501" spans="1:8" x14ac:dyDescent="0.2">
      <c r="A1501" s="1">
        <v>41677</v>
      </c>
      <c r="B1501">
        <v>39</v>
      </c>
      <c r="C1501" s="6">
        <f>IF('weather data'!C1501&gt;'user input'!$C$3,'user input'!$C$3,'weather data'!C1501)</f>
        <v>-15</v>
      </c>
      <c r="D1501" s="6">
        <f>IF('weather data'!D1501&lt;'user input'!$C$2,'user input'!$C$2,'weather data'!D1501)</f>
        <v>10</v>
      </c>
      <c r="E1501">
        <f t="shared" si="24"/>
        <v>-2.5</v>
      </c>
      <c r="F1501">
        <f>IF((E1501-'user input'!$C$2)&lt;0,0,E1501-'user input'!$C$2)</f>
        <v>0</v>
      </c>
      <c r="G1501">
        <f>IF(B1501&lt;'user input'!$C$5,0,(F1501+G1500))</f>
        <v>0</v>
      </c>
      <c r="H1501">
        <f>G1501/'user input'!$C$4</f>
        <v>0</v>
      </c>
    </row>
    <row r="1502" spans="1:8" x14ac:dyDescent="0.2">
      <c r="A1502" s="1">
        <v>41678</v>
      </c>
      <c r="B1502">
        <v>40</v>
      </c>
      <c r="C1502" s="6">
        <f>IF('weather data'!C1502&gt;'user input'!$C$3,'user input'!$C$3,'weather data'!C1502)</f>
        <v>-11.111111111111111</v>
      </c>
      <c r="D1502" s="6">
        <f>IF('weather data'!D1502&lt;'user input'!$C$2,'user input'!$C$2,'weather data'!D1502)</f>
        <v>10</v>
      </c>
      <c r="E1502">
        <f t="shared" si="24"/>
        <v>-0.55555555555555536</v>
      </c>
      <c r="F1502">
        <f>IF((E1502-'user input'!$C$2)&lt;0,0,E1502-'user input'!$C$2)</f>
        <v>0</v>
      </c>
      <c r="G1502">
        <f>IF(B1502&lt;'user input'!$C$5,0,(F1502+G1501))</f>
        <v>0</v>
      </c>
      <c r="H1502">
        <f>G1502/'user input'!$C$4</f>
        <v>0</v>
      </c>
    </row>
    <row r="1503" spans="1:8" x14ac:dyDescent="0.2">
      <c r="A1503" s="1">
        <v>41679</v>
      </c>
      <c r="B1503">
        <v>41</v>
      </c>
      <c r="C1503" s="6">
        <f>IF('weather data'!C1503&gt;'user input'!$C$3,'user input'!$C$3,'weather data'!C1503)</f>
        <v>-10</v>
      </c>
      <c r="D1503" s="6">
        <f>IF('weather data'!D1503&lt;'user input'!$C$2,'user input'!$C$2,'weather data'!D1503)</f>
        <v>10</v>
      </c>
      <c r="E1503">
        <f t="shared" si="24"/>
        <v>0</v>
      </c>
      <c r="F1503">
        <f>IF((E1503-'user input'!$C$2)&lt;0,0,E1503-'user input'!$C$2)</f>
        <v>0</v>
      </c>
      <c r="G1503">
        <f>IF(B1503&lt;'user input'!$C$5,0,(F1503+G1502))</f>
        <v>0</v>
      </c>
      <c r="H1503">
        <f>G1503/'user input'!$C$4</f>
        <v>0</v>
      </c>
    </row>
    <row r="1504" spans="1:8" x14ac:dyDescent="0.2">
      <c r="A1504" s="1">
        <v>41680</v>
      </c>
      <c r="B1504">
        <v>42</v>
      </c>
      <c r="C1504" s="6">
        <f>IF('weather data'!C1504&gt;'user input'!$C$3,'user input'!$C$3,'weather data'!C1504)</f>
        <v>-8.8888888888888893</v>
      </c>
      <c r="D1504" s="6">
        <f>IF('weather data'!D1504&lt;'user input'!$C$2,'user input'!$C$2,'weather data'!D1504)</f>
        <v>10</v>
      </c>
      <c r="E1504">
        <f t="shared" si="24"/>
        <v>0.55555555555555536</v>
      </c>
      <c r="F1504">
        <f>IF((E1504-'user input'!$C$2)&lt;0,0,E1504-'user input'!$C$2)</f>
        <v>0</v>
      </c>
      <c r="G1504">
        <f>IF(B1504&lt;'user input'!$C$5,0,(F1504+G1503))</f>
        <v>0</v>
      </c>
      <c r="H1504">
        <f>G1504/'user input'!$C$4</f>
        <v>0</v>
      </c>
    </row>
    <row r="1505" spans="1:8" x14ac:dyDescent="0.2">
      <c r="A1505" s="1">
        <v>41681</v>
      </c>
      <c r="B1505">
        <v>43</v>
      </c>
      <c r="C1505" s="6">
        <f>IF('weather data'!C1505&gt;'user input'!$C$3,'user input'!$C$3,'weather data'!C1505)</f>
        <v>-12.777777777777777</v>
      </c>
      <c r="D1505" s="6">
        <f>IF('weather data'!D1505&lt;'user input'!$C$2,'user input'!$C$2,'weather data'!D1505)</f>
        <v>10</v>
      </c>
      <c r="E1505">
        <f t="shared" si="24"/>
        <v>-1.3888888888888884</v>
      </c>
      <c r="F1505">
        <f>IF((E1505-'user input'!$C$2)&lt;0,0,E1505-'user input'!$C$2)</f>
        <v>0</v>
      </c>
      <c r="G1505">
        <f>IF(B1505&lt;'user input'!$C$5,0,(F1505+G1504))</f>
        <v>0</v>
      </c>
      <c r="H1505">
        <f>G1505/'user input'!$C$4</f>
        <v>0</v>
      </c>
    </row>
    <row r="1506" spans="1:8" x14ac:dyDescent="0.2">
      <c r="A1506" s="1">
        <v>41682</v>
      </c>
      <c r="B1506">
        <v>44</v>
      </c>
      <c r="C1506" s="6">
        <f>IF('weather data'!C1506&gt;'user input'!$C$3,'user input'!$C$3,'weather data'!C1506)</f>
        <v>-11.111111111111111</v>
      </c>
      <c r="D1506" s="6">
        <f>IF('weather data'!D1506&lt;'user input'!$C$2,'user input'!$C$2,'weather data'!D1506)</f>
        <v>10</v>
      </c>
      <c r="E1506">
        <f t="shared" si="24"/>
        <v>-0.55555555555555536</v>
      </c>
      <c r="F1506">
        <f>IF((E1506-'user input'!$C$2)&lt;0,0,E1506-'user input'!$C$2)</f>
        <v>0</v>
      </c>
      <c r="G1506">
        <f>IF(B1506&lt;'user input'!$C$5,0,(F1506+G1505))</f>
        <v>0</v>
      </c>
      <c r="H1506">
        <f>G1506/'user input'!$C$4</f>
        <v>0</v>
      </c>
    </row>
    <row r="1507" spans="1:8" x14ac:dyDescent="0.2">
      <c r="A1507" s="1">
        <v>41683</v>
      </c>
      <c r="B1507">
        <v>45</v>
      </c>
      <c r="C1507" s="6">
        <f>IF('weather data'!C1507&gt;'user input'!$C$3,'user input'!$C$3,'weather data'!C1507)</f>
        <v>-7.2222222222222223</v>
      </c>
      <c r="D1507" s="6">
        <f>IF('weather data'!D1507&lt;'user input'!$C$2,'user input'!$C$2,'weather data'!D1507)</f>
        <v>10</v>
      </c>
      <c r="E1507">
        <f t="shared" si="24"/>
        <v>1.3888888888888888</v>
      </c>
      <c r="F1507">
        <f>IF((E1507-'user input'!$C$2)&lt;0,0,E1507-'user input'!$C$2)</f>
        <v>0</v>
      </c>
      <c r="G1507">
        <f>IF(B1507&lt;'user input'!$C$5,0,(F1507+G1506))</f>
        <v>0</v>
      </c>
      <c r="H1507">
        <f>G1507/'user input'!$C$4</f>
        <v>0</v>
      </c>
    </row>
    <row r="1508" spans="1:8" x14ac:dyDescent="0.2">
      <c r="A1508" s="1">
        <v>41684</v>
      </c>
      <c r="B1508">
        <v>46</v>
      </c>
      <c r="C1508" s="6">
        <f>IF('weather data'!C1508&gt;'user input'!$C$3,'user input'!$C$3,'weather data'!C1508)</f>
        <v>-1.1111111111111112</v>
      </c>
      <c r="D1508" s="6">
        <f>IF('weather data'!D1508&lt;'user input'!$C$2,'user input'!$C$2,'weather data'!D1508)</f>
        <v>10</v>
      </c>
      <c r="E1508">
        <f t="shared" si="24"/>
        <v>4.4444444444444446</v>
      </c>
      <c r="F1508">
        <f>IF((E1508-'user input'!$C$2)&lt;0,0,E1508-'user input'!$C$2)</f>
        <v>0</v>
      </c>
      <c r="G1508">
        <f>IF(B1508&lt;'user input'!$C$5,0,(F1508+G1507))</f>
        <v>0</v>
      </c>
      <c r="H1508">
        <f>G1508/'user input'!$C$4</f>
        <v>0</v>
      </c>
    </row>
    <row r="1509" spans="1:8" x14ac:dyDescent="0.2">
      <c r="A1509" s="1">
        <v>41685</v>
      </c>
      <c r="B1509">
        <v>47</v>
      </c>
      <c r="C1509" s="6">
        <f>IF('weather data'!C1509&gt;'user input'!$C$3,'user input'!$C$3,'weather data'!C1509)</f>
        <v>-6.6666666666666661</v>
      </c>
      <c r="D1509" s="6">
        <f>IF('weather data'!D1509&lt;'user input'!$C$2,'user input'!$C$2,'weather data'!D1509)</f>
        <v>10</v>
      </c>
      <c r="E1509">
        <f t="shared" si="24"/>
        <v>1.666666666666667</v>
      </c>
      <c r="F1509">
        <f>IF((E1509-'user input'!$C$2)&lt;0,0,E1509-'user input'!$C$2)</f>
        <v>0</v>
      </c>
      <c r="G1509">
        <f>IF(B1509&lt;'user input'!$C$5,0,(F1509+G1508))</f>
        <v>0</v>
      </c>
      <c r="H1509">
        <f>G1509/'user input'!$C$4</f>
        <v>0</v>
      </c>
    </row>
    <row r="1510" spans="1:8" x14ac:dyDescent="0.2">
      <c r="A1510" s="1">
        <v>41686</v>
      </c>
      <c r="B1510">
        <v>48</v>
      </c>
      <c r="C1510" s="6">
        <f>IF('weather data'!C1510&gt;'user input'!$C$3,'user input'!$C$3,'weather data'!C1510)</f>
        <v>-6.6666666666666661</v>
      </c>
      <c r="D1510" s="6">
        <f>IF('weather data'!D1510&lt;'user input'!$C$2,'user input'!$C$2,'weather data'!D1510)</f>
        <v>10</v>
      </c>
      <c r="E1510">
        <f t="shared" si="24"/>
        <v>1.666666666666667</v>
      </c>
      <c r="F1510">
        <f>IF((E1510-'user input'!$C$2)&lt;0,0,E1510-'user input'!$C$2)</f>
        <v>0</v>
      </c>
      <c r="G1510">
        <f>IF(B1510&lt;'user input'!$C$5,0,(F1510+G1509))</f>
        <v>0</v>
      </c>
      <c r="H1510">
        <f>G1510/'user input'!$C$4</f>
        <v>0</v>
      </c>
    </row>
    <row r="1511" spans="1:8" x14ac:dyDescent="0.2">
      <c r="A1511" s="1">
        <v>41687</v>
      </c>
      <c r="B1511">
        <v>49</v>
      </c>
      <c r="C1511" s="6">
        <f>IF('weather data'!C1511&gt;'user input'!$C$3,'user input'!$C$3,'weather data'!C1511)</f>
        <v>-3.8888888888888888</v>
      </c>
      <c r="D1511" s="6">
        <f>IF('weather data'!D1511&lt;'user input'!$C$2,'user input'!$C$2,'weather data'!D1511)</f>
        <v>10</v>
      </c>
      <c r="E1511">
        <f t="shared" si="24"/>
        <v>3.0555555555555554</v>
      </c>
      <c r="F1511">
        <f>IF((E1511-'user input'!$C$2)&lt;0,0,E1511-'user input'!$C$2)</f>
        <v>0</v>
      </c>
      <c r="G1511">
        <f>IF(B1511&lt;'user input'!$C$5,0,(F1511+G1510))</f>
        <v>0</v>
      </c>
      <c r="H1511">
        <f>G1511/'user input'!$C$4</f>
        <v>0</v>
      </c>
    </row>
    <row r="1512" spans="1:8" x14ac:dyDescent="0.2">
      <c r="A1512" s="1">
        <v>41688</v>
      </c>
      <c r="B1512">
        <v>50</v>
      </c>
      <c r="C1512" s="6">
        <f>IF('weather data'!C1512&gt;'user input'!$C$3,'user input'!$C$3,'weather data'!C1512)</f>
        <v>-3.8888888888888888</v>
      </c>
      <c r="D1512" s="6">
        <f>IF('weather data'!D1512&lt;'user input'!$C$2,'user input'!$C$2,'weather data'!D1512)</f>
        <v>10</v>
      </c>
      <c r="E1512">
        <f t="shared" si="24"/>
        <v>3.0555555555555554</v>
      </c>
      <c r="F1512">
        <f>IF((E1512-'user input'!$C$2)&lt;0,0,E1512-'user input'!$C$2)</f>
        <v>0</v>
      </c>
      <c r="G1512">
        <f>IF(B1512&lt;'user input'!$C$5,0,(F1512+G1511))</f>
        <v>0</v>
      </c>
      <c r="H1512">
        <f>G1512/'user input'!$C$4</f>
        <v>0</v>
      </c>
    </row>
    <row r="1513" spans="1:8" x14ac:dyDescent="0.2">
      <c r="A1513" s="1">
        <v>41689</v>
      </c>
      <c r="B1513">
        <v>51</v>
      </c>
      <c r="C1513" s="6">
        <f>IF('weather data'!C1513&gt;'user input'!$C$3,'user input'!$C$3,'weather data'!C1513)</f>
        <v>6.6666666666666661</v>
      </c>
      <c r="D1513" s="6">
        <f>IF('weather data'!D1513&lt;'user input'!$C$2,'user input'!$C$2,'weather data'!D1513)</f>
        <v>10</v>
      </c>
      <c r="E1513">
        <f t="shared" si="24"/>
        <v>8.3333333333333321</v>
      </c>
      <c r="F1513">
        <f>IF((E1513-'user input'!$C$2)&lt;0,0,E1513-'user input'!$C$2)</f>
        <v>0</v>
      </c>
      <c r="G1513">
        <f>IF(B1513&lt;'user input'!$C$5,0,(F1513+G1512))</f>
        <v>0</v>
      </c>
      <c r="H1513">
        <f>G1513/'user input'!$C$4</f>
        <v>0</v>
      </c>
    </row>
    <row r="1514" spans="1:8" x14ac:dyDescent="0.2">
      <c r="A1514" s="1">
        <v>41690</v>
      </c>
      <c r="B1514">
        <v>52</v>
      </c>
      <c r="C1514" s="6">
        <f>IF('weather data'!C1514&gt;'user input'!$C$3,'user input'!$C$3,'weather data'!C1514)</f>
        <v>6.1111111111111116</v>
      </c>
      <c r="D1514" s="6">
        <f>IF('weather data'!D1514&lt;'user input'!$C$2,'user input'!$C$2,'weather data'!D1514)</f>
        <v>10</v>
      </c>
      <c r="E1514">
        <f t="shared" si="24"/>
        <v>8.0555555555555554</v>
      </c>
      <c r="F1514">
        <f>IF((E1514-'user input'!$C$2)&lt;0,0,E1514-'user input'!$C$2)</f>
        <v>0</v>
      </c>
      <c r="G1514">
        <f>IF(B1514&lt;'user input'!$C$5,0,(F1514+G1513))</f>
        <v>0</v>
      </c>
      <c r="H1514">
        <f>G1514/'user input'!$C$4</f>
        <v>0</v>
      </c>
    </row>
    <row r="1515" spans="1:8" x14ac:dyDescent="0.2">
      <c r="A1515" s="1">
        <v>41691</v>
      </c>
      <c r="B1515">
        <v>53</v>
      </c>
      <c r="C1515" s="6">
        <f>IF('weather data'!C1515&gt;'user input'!$C$3,'user input'!$C$3,'weather data'!C1515)</f>
        <v>4.4444444444444446</v>
      </c>
      <c r="D1515" s="6">
        <f>IF('weather data'!D1515&lt;'user input'!$C$2,'user input'!$C$2,'weather data'!D1515)</f>
        <v>10</v>
      </c>
      <c r="E1515">
        <f t="shared" si="24"/>
        <v>7.2222222222222223</v>
      </c>
      <c r="F1515">
        <f>IF((E1515-'user input'!$C$2)&lt;0,0,E1515-'user input'!$C$2)</f>
        <v>0</v>
      </c>
      <c r="G1515">
        <f>IF(B1515&lt;'user input'!$C$5,0,(F1515+G1514))</f>
        <v>0</v>
      </c>
      <c r="H1515">
        <f>G1515/'user input'!$C$4</f>
        <v>0</v>
      </c>
    </row>
    <row r="1516" spans="1:8" x14ac:dyDescent="0.2">
      <c r="A1516" s="1">
        <v>41692</v>
      </c>
      <c r="B1516">
        <v>54</v>
      </c>
      <c r="C1516" s="6">
        <f>IF('weather data'!C1516&gt;'user input'!$C$3,'user input'!$C$3,'weather data'!C1516)</f>
        <v>-3.8888888888888888</v>
      </c>
      <c r="D1516" s="6">
        <f>IF('weather data'!D1516&lt;'user input'!$C$2,'user input'!$C$2,'weather data'!D1516)</f>
        <v>10</v>
      </c>
      <c r="E1516">
        <f t="shared" si="24"/>
        <v>3.0555555555555554</v>
      </c>
      <c r="F1516">
        <f>IF((E1516-'user input'!$C$2)&lt;0,0,E1516-'user input'!$C$2)</f>
        <v>0</v>
      </c>
      <c r="G1516">
        <f>IF(B1516&lt;'user input'!$C$5,0,(F1516+G1515))</f>
        <v>0</v>
      </c>
      <c r="H1516">
        <f>G1516/'user input'!$C$4</f>
        <v>0</v>
      </c>
    </row>
    <row r="1517" spans="1:8" x14ac:dyDescent="0.2">
      <c r="A1517" s="1">
        <v>41693</v>
      </c>
      <c r="B1517">
        <v>55</v>
      </c>
      <c r="C1517" s="6">
        <f>IF('weather data'!C1517&gt;'user input'!$C$3,'user input'!$C$3,'weather data'!C1517)</f>
        <v>-3.333333333333333</v>
      </c>
      <c r="D1517" s="6">
        <f>IF('weather data'!D1517&lt;'user input'!$C$2,'user input'!$C$2,'weather data'!D1517)</f>
        <v>10</v>
      </c>
      <c r="E1517">
        <f t="shared" si="24"/>
        <v>3.3333333333333335</v>
      </c>
      <c r="F1517">
        <f>IF((E1517-'user input'!$C$2)&lt;0,0,E1517-'user input'!$C$2)</f>
        <v>0</v>
      </c>
      <c r="G1517">
        <f>IF(B1517&lt;'user input'!$C$5,0,(F1517+G1516))</f>
        <v>0</v>
      </c>
      <c r="H1517">
        <f>G1517/'user input'!$C$4</f>
        <v>0</v>
      </c>
    </row>
    <row r="1518" spans="1:8" x14ac:dyDescent="0.2">
      <c r="A1518" s="1">
        <v>41694</v>
      </c>
      <c r="B1518">
        <v>56</v>
      </c>
      <c r="C1518" s="6">
        <f>IF('weather data'!C1518&gt;'user input'!$C$3,'user input'!$C$3,'weather data'!C1518)</f>
        <v>-5.5555555555555554</v>
      </c>
      <c r="D1518" s="6">
        <f>IF('weather data'!D1518&lt;'user input'!$C$2,'user input'!$C$2,'weather data'!D1518)</f>
        <v>10</v>
      </c>
      <c r="E1518">
        <f t="shared" si="24"/>
        <v>2.2222222222222223</v>
      </c>
      <c r="F1518">
        <f>IF((E1518-'user input'!$C$2)&lt;0,0,E1518-'user input'!$C$2)</f>
        <v>0</v>
      </c>
      <c r="G1518">
        <f>IF(B1518&lt;'user input'!$C$5,0,(F1518+G1517))</f>
        <v>0</v>
      </c>
      <c r="H1518">
        <f>G1518/'user input'!$C$4</f>
        <v>0</v>
      </c>
    </row>
    <row r="1519" spans="1:8" x14ac:dyDescent="0.2">
      <c r="A1519" s="1">
        <v>41695</v>
      </c>
      <c r="B1519">
        <v>57</v>
      </c>
      <c r="C1519" s="6">
        <f>IF('weather data'!C1519&gt;'user input'!$C$3,'user input'!$C$3,'weather data'!C1519)</f>
        <v>-5.5555555555555554</v>
      </c>
      <c r="D1519" s="6">
        <f>IF('weather data'!D1519&lt;'user input'!$C$2,'user input'!$C$2,'weather data'!D1519)</f>
        <v>10</v>
      </c>
      <c r="E1519">
        <f t="shared" si="24"/>
        <v>2.2222222222222223</v>
      </c>
      <c r="F1519">
        <f>IF((E1519-'user input'!$C$2)&lt;0,0,E1519-'user input'!$C$2)</f>
        <v>0</v>
      </c>
      <c r="G1519">
        <f>IF(B1519&lt;'user input'!$C$5,0,(F1519+G1518))</f>
        <v>0</v>
      </c>
      <c r="H1519">
        <f>G1519/'user input'!$C$4</f>
        <v>0</v>
      </c>
    </row>
    <row r="1520" spans="1:8" x14ac:dyDescent="0.2">
      <c r="A1520" s="1">
        <v>41696</v>
      </c>
      <c r="B1520">
        <v>58</v>
      </c>
      <c r="C1520" s="6">
        <f>IF('weather data'!C1520&gt;'user input'!$C$3,'user input'!$C$3,'weather data'!C1520)</f>
        <v>-10.555555555555555</v>
      </c>
      <c r="D1520" s="6">
        <f>IF('weather data'!D1520&lt;'user input'!$C$2,'user input'!$C$2,'weather data'!D1520)</f>
        <v>10</v>
      </c>
      <c r="E1520">
        <f t="shared" si="24"/>
        <v>-0.27777777777777768</v>
      </c>
      <c r="F1520">
        <f>IF((E1520-'user input'!$C$2)&lt;0,0,E1520-'user input'!$C$2)</f>
        <v>0</v>
      </c>
      <c r="G1520">
        <f>IF(B1520&lt;'user input'!$C$5,0,(F1520+G1519))</f>
        <v>0</v>
      </c>
      <c r="H1520">
        <f>G1520/'user input'!$C$4</f>
        <v>0</v>
      </c>
    </row>
    <row r="1521" spans="1:8" x14ac:dyDescent="0.2">
      <c r="A1521" s="1">
        <v>41697</v>
      </c>
      <c r="B1521">
        <v>59</v>
      </c>
      <c r="C1521" s="6">
        <f>IF('weather data'!C1521&gt;'user input'!$C$3,'user input'!$C$3,'weather data'!C1521)</f>
        <v>-8.8888888888888893</v>
      </c>
      <c r="D1521" s="6">
        <f>IF('weather data'!D1521&lt;'user input'!$C$2,'user input'!$C$2,'weather data'!D1521)</f>
        <v>10</v>
      </c>
      <c r="E1521">
        <f t="shared" si="24"/>
        <v>0.55555555555555536</v>
      </c>
      <c r="F1521">
        <f>IF((E1521-'user input'!$C$2)&lt;0,0,E1521-'user input'!$C$2)</f>
        <v>0</v>
      </c>
      <c r="G1521">
        <f>IF(B1521&lt;'user input'!$C$5,0,(F1521+G1520))</f>
        <v>0</v>
      </c>
      <c r="H1521">
        <f>G1521/'user input'!$C$4</f>
        <v>0</v>
      </c>
    </row>
    <row r="1522" spans="1:8" x14ac:dyDescent="0.2">
      <c r="A1522" s="1">
        <v>41698</v>
      </c>
      <c r="B1522">
        <v>60</v>
      </c>
      <c r="C1522" s="6">
        <f>IF('weather data'!C1522&gt;'user input'!$C$3,'user input'!$C$3,'weather data'!C1522)</f>
        <v>-15</v>
      </c>
      <c r="D1522" s="6">
        <f>IF('weather data'!D1522&lt;'user input'!$C$2,'user input'!$C$2,'weather data'!D1522)</f>
        <v>10</v>
      </c>
      <c r="E1522">
        <f t="shared" si="24"/>
        <v>-2.5</v>
      </c>
      <c r="F1522">
        <f>IF((E1522-'user input'!$C$2)&lt;0,0,E1522-'user input'!$C$2)</f>
        <v>0</v>
      </c>
      <c r="G1522">
        <f>IF(B1522&lt;'user input'!$C$5,0,(F1522+G1521))</f>
        <v>0</v>
      </c>
      <c r="H1522">
        <f>G1522/'user input'!$C$4</f>
        <v>0</v>
      </c>
    </row>
    <row r="1523" spans="1:8" x14ac:dyDescent="0.2">
      <c r="A1523" s="1">
        <v>41699</v>
      </c>
      <c r="B1523">
        <v>61</v>
      </c>
      <c r="C1523" s="6">
        <f>IF('weather data'!C1523&gt;'user input'!$C$3,'user input'!$C$3,'weather data'!C1523)</f>
        <v>-6.6666666666666661</v>
      </c>
      <c r="D1523" s="6">
        <f>IF('weather data'!D1523&lt;'user input'!$C$2,'user input'!$C$2,'weather data'!D1523)</f>
        <v>10</v>
      </c>
      <c r="E1523">
        <f t="shared" si="24"/>
        <v>1.666666666666667</v>
      </c>
      <c r="F1523">
        <f>IF((E1523-'user input'!$C$2)&lt;0,0,E1523-'user input'!$C$2)</f>
        <v>0</v>
      </c>
      <c r="G1523">
        <f>IF(B1523&lt;'user input'!$C$5,0,(F1523+G1522))</f>
        <v>0</v>
      </c>
      <c r="H1523">
        <f>G1523/'user input'!$C$4</f>
        <v>0</v>
      </c>
    </row>
    <row r="1524" spans="1:8" x14ac:dyDescent="0.2">
      <c r="A1524" s="1">
        <v>41700</v>
      </c>
      <c r="B1524">
        <v>62</v>
      </c>
      <c r="C1524" s="6">
        <f>IF('weather data'!C1524&gt;'user input'!$C$3,'user input'!$C$3,'weather data'!C1524)</f>
        <v>-12.222222222222223</v>
      </c>
      <c r="D1524" s="6">
        <f>IF('weather data'!D1524&lt;'user input'!$C$2,'user input'!$C$2,'weather data'!D1524)</f>
        <v>10</v>
      </c>
      <c r="E1524">
        <f t="shared" si="24"/>
        <v>-1.1111111111111116</v>
      </c>
      <c r="F1524">
        <f>IF((E1524-'user input'!$C$2)&lt;0,0,E1524-'user input'!$C$2)</f>
        <v>0</v>
      </c>
      <c r="G1524">
        <f>IF(B1524&lt;'user input'!$C$5,0,(F1524+G1523))</f>
        <v>0</v>
      </c>
      <c r="H1524">
        <f>G1524/'user input'!$C$4</f>
        <v>0</v>
      </c>
    </row>
    <row r="1525" spans="1:8" x14ac:dyDescent="0.2">
      <c r="A1525" s="1">
        <v>41701</v>
      </c>
      <c r="B1525">
        <v>63</v>
      </c>
      <c r="C1525" s="6">
        <f>IF('weather data'!C1525&gt;'user input'!$C$3,'user input'!$C$3,'weather data'!C1525)</f>
        <v>-15</v>
      </c>
      <c r="D1525" s="6">
        <f>IF('weather data'!D1525&lt;'user input'!$C$2,'user input'!$C$2,'weather data'!D1525)</f>
        <v>10</v>
      </c>
      <c r="E1525">
        <f t="shared" si="24"/>
        <v>-2.5</v>
      </c>
      <c r="F1525">
        <f>IF((E1525-'user input'!$C$2)&lt;0,0,E1525-'user input'!$C$2)</f>
        <v>0</v>
      </c>
      <c r="G1525">
        <f>IF(B1525&lt;'user input'!$C$5,0,(F1525+G1524))</f>
        <v>0</v>
      </c>
      <c r="H1525">
        <f>G1525/'user input'!$C$4</f>
        <v>0</v>
      </c>
    </row>
    <row r="1526" spans="1:8" x14ac:dyDescent="0.2">
      <c r="A1526" s="1">
        <v>41702</v>
      </c>
      <c r="B1526">
        <v>64</v>
      </c>
      <c r="C1526" s="6">
        <f>IF('weather data'!C1526&gt;'user input'!$C$3,'user input'!$C$3,'weather data'!C1526)</f>
        <v>-9.4444444444444446</v>
      </c>
      <c r="D1526" s="6">
        <f>IF('weather data'!D1526&lt;'user input'!$C$2,'user input'!$C$2,'weather data'!D1526)</f>
        <v>10</v>
      </c>
      <c r="E1526">
        <f t="shared" si="24"/>
        <v>0.27777777777777768</v>
      </c>
      <c r="F1526">
        <f>IF((E1526-'user input'!$C$2)&lt;0,0,E1526-'user input'!$C$2)</f>
        <v>0</v>
      </c>
      <c r="G1526">
        <f>IF(B1526&lt;'user input'!$C$5,0,(F1526+G1525))</f>
        <v>0</v>
      </c>
      <c r="H1526">
        <f>G1526/'user input'!$C$4</f>
        <v>0</v>
      </c>
    </row>
    <row r="1527" spans="1:8" x14ac:dyDescent="0.2">
      <c r="A1527" s="1">
        <v>41703</v>
      </c>
      <c r="B1527">
        <v>65</v>
      </c>
      <c r="C1527" s="6">
        <f>IF('weather data'!C1527&gt;'user input'!$C$3,'user input'!$C$3,'weather data'!C1527)</f>
        <v>-6.1111111111111116</v>
      </c>
      <c r="D1527" s="6">
        <f>IF('weather data'!D1527&lt;'user input'!$C$2,'user input'!$C$2,'weather data'!D1527)</f>
        <v>10</v>
      </c>
      <c r="E1527">
        <f t="shared" si="24"/>
        <v>1.9444444444444442</v>
      </c>
      <c r="F1527">
        <f>IF((E1527-'user input'!$C$2)&lt;0,0,E1527-'user input'!$C$2)</f>
        <v>0</v>
      </c>
      <c r="G1527">
        <f>IF(B1527&lt;'user input'!$C$5,0,(F1527+G1526))</f>
        <v>0</v>
      </c>
      <c r="H1527">
        <f>G1527/'user input'!$C$4</f>
        <v>0</v>
      </c>
    </row>
    <row r="1528" spans="1:8" x14ac:dyDescent="0.2">
      <c r="A1528" s="1">
        <v>41704</v>
      </c>
      <c r="B1528">
        <v>66</v>
      </c>
      <c r="C1528" s="6">
        <f>IF('weather data'!C1528&gt;'user input'!$C$3,'user input'!$C$3,'weather data'!C1528)</f>
        <v>-6.1111111111111116</v>
      </c>
      <c r="D1528" s="6">
        <f>IF('weather data'!D1528&lt;'user input'!$C$2,'user input'!$C$2,'weather data'!D1528)</f>
        <v>10</v>
      </c>
      <c r="E1528">
        <f t="shared" si="24"/>
        <v>1.9444444444444442</v>
      </c>
      <c r="F1528">
        <f>IF((E1528-'user input'!$C$2)&lt;0,0,E1528-'user input'!$C$2)</f>
        <v>0</v>
      </c>
      <c r="G1528">
        <f>IF(B1528&lt;'user input'!$C$5,0,(F1528+G1527))</f>
        <v>0</v>
      </c>
      <c r="H1528">
        <f>G1528/'user input'!$C$4</f>
        <v>0</v>
      </c>
    </row>
    <row r="1529" spans="1:8" x14ac:dyDescent="0.2">
      <c r="A1529" s="1">
        <v>41705</v>
      </c>
      <c r="B1529">
        <v>67</v>
      </c>
      <c r="C1529" s="6">
        <f>IF('weather data'!C1529&gt;'user input'!$C$3,'user input'!$C$3,'weather data'!C1529)</f>
        <v>-2.7777777777777777</v>
      </c>
      <c r="D1529" s="6">
        <f>IF('weather data'!D1529&lt;'user input'!$C$2,'user input'!$C$2,'weather data'!D1529)</f>
        <v>10</v>
      </c>
      <c r="E1529">
        <f t="shared" si="24"/>
        <v>3.6111111111111112</v>
      </c>
      <c r="F1529">
        <f>IF((E1529-'user input'!$C$2)&lt;0,0,E1529-'user input'!$C$2)</f>
        <v>0</v>
      </c>
      <c r="G1529">
        <f>IF(B1529&lt;'user input'!$C$5,0,(F1529+G1528))</f>
        <v>0</v>
      </c>
      <c r="H1529">
        <f>G1529/'user input'!$C$4</f>
        <v>0</v>
      </c>
    </row>
    <row r="1530" spans="1:8" x14ac:dyDescent="0.2">
      <c r="A1530" s="1">
        <v>41706</v>
      </c>
      <c r="B1530">
        <v>68</v>
      </c>
      <c r="C1530" s="6">
        <f>IF('weather data'!C1530&gt;'user input'!$C$3,'user input'!$C$3,'weather data'!C1530)</f>
        <v>4.4444444444444446</v>
      </c>
      <c r="D1530" s="6">
        <f>IF('weather data'!D1530&lt;'user input'!$C$2,'user input'!$C$2,'weather data'!D1530)</f>
        <v>10</v>
      </c>
      <c r="E1530">
        <f t="shared" si="24"/>
        <v>7.2222222222222223</v>
      </c>
      <c r="F1530">
        <f>IF((E1530-'user input'!$C$2)&lt;0,0,E1530-'user input'!$C$2)</f>
        <v>0</v>
      </c>
      <c r="G1530">
        <f>IF(B1530&lt;'user input'!$C$5,0,(F1530+G1529))</f>
        <v>0</v>
      </c>
      <c r="H1530">
        <f>G1530/'user input'!$C$4</f>
        <v>0</v>
      </c>
    </row>
    <row r="1531" spans="1:8" x14ac:dyDescent="0.2">
      <c r="A1531" s="1">
        <v>41707</v>
      </c>
      <c r="B1531">
        <v>69</v>
      </c>
      <c r="C1531" s="6">
        <f>IF('weather data'!C1531&gt;'user input'!$C$3,'user input'!$C$3,'weather data'!C1531)</f>
        <v>0</v>
      </c>
      <c r="D1531" s="6">
        <f>IF('weather data'!D1531&lt;'user input'!$C$2,'user input'!$C$2,'weather data'!D1531)</f>
        <v>10</v>
      </c>
      <c r="E1531">
        <f t="shared" si="24"/>
        <v>5</v>
      </c>
      <c r="F1531">
        <f>IF((E1531-'user input'!$C$2)&lt;0,0,E1531-'user input'!$C$2)</f>
        <v>0</v>
      </c>
      <c r="G1531">
        <f>IF(B1531&lt;'user input'!$C$5,0,(F1531+G1530))</f>
        <v>0</v>
      </c>
      <c r="H1531">
        <f>G1531/'user input'!$C$4</f>
        <v>0</v>
      </c>
    </row>
    <row r="1532" spans="1:8" x14ac:dyDescent="0.2">
      <c r="A1532" s="1">
        <v>41708</v>
      </c>
      <c r="B1532">
        <v>70</v>
      </c>
      <c r="C1532" s="6">
        <f>IF('weather data'!C1532&gt;'user input'!$C$3,'user input'!$C$3,'weather data'!C1532)</f>
        <v>4.4444444444444446</v>
      </c>
      <c r="D1532" s="6">
        <f>IF('weather data'!D1532&lt;'user input'!$C$2,'user input'!$C$2,'weather data'!D1532)</f>
        <v>10</v>
      </c>
      <c r="E1532">
        <f t="shared" si="24"/>
        <v>7.2222222222222223</v>
      </c>
      <c r="F1532">
        <f>IF((E1532-'user input'!$C$2)&lt;0,0,E1532-'user input'!$C$2)</f>
        <v>0</v>
      </c>
      <c r="G1532">
        <f>IF(B1532&lt;'user input'!$C$5,0,(F1532+G1531))</f>
        <v>0</v>
      </c>
      <c r="H1532">
        <f>G1532/'user input'!$C$4</f>
        <v>0</v>
      </c>
    </row>
    <row r="1533" spans="1:8" x14ac:dyDescent="0.2">
      <c r="A1533" s="1">
        <v>41709</v>
      </c>
      <c r="B1533">
        <v>71</v>
      </c>
      <c r="C1533" s="6">
        <f>IF('weather data'!C1533&gt;'user input'!$C$3,'user input'!$C$3,'weather data'!C1533)</f>
        <v>11.666666666666668</v>
      </c>
      <c r="D1533" s="6">
        <f>IF('weather data'!D1533&lt;'user input'!$C$2,'user input'!$C$2,'weather data'!D1533)</f>
        <v>10</v>
      </c>
      <c r="E1533">
        <f t="shared" si="24"/>
        <v>10.833333333333334</v>
      </c>
      <c r="F1533">
        <f>IF((E1533-'user input'!$C$2)&lt;0,0,E1533-'user input'!$C$2)</f>
        <v>0.83333333333333393</v>
      </c>
      <c r="G1533">
        <f>IF(B1533&lt;'user input'!$C$5,0,(F1533+G1532))</f>
        <v>0</v>
      </c>
      <c r="H1533">
        <f>G1533/'user input'!$C$4</f>
        <v>0</v>
      </c>
    </row>
    <row r="1534" spans="1:8" x14ac:dyDescent="0.2">
      <c r="A1534" s="1">
        <v>41710</v>
      </c>
      <c r="B1534">
        <v>72</v>
      </c>
      <c r="C1534" s="6">
        <f>IF('weather data'!C1534&gt;'user input'!$C$3,'user input'!$C$3,'weather data'!C1534)</f>
        <v>6.6666666666666661</v>
      </c>
      <c r="D1534" s="6">
        <f>IF('weather data'!D1534&lt;'user input'!$C$2,'user input'!$C$2,'weather data'!D1534)</f>
        <v>10</v>
      </c>
      <c r="E1534">
        <f t="shared" si="24"/>
        <v>8.3333333333333321</v>
      </c>
      <c r="F1534">
        <f>IF((E1534-'user input'!$C$2)&lt;0,0,E1534-'user input'!$C$2)</f>
        <v>0</v>
      </c>
      <c r="G1534">
        <f>IF(B1534&lt;'user input'!$C$5,0,(F1534+G1533))</f>
        <v>0</v>
      </c>
      <c r="H1534">
        <f>G1534/'user input'!$C$4</f>
        <v>0</v>
      </c>
    </row>
    <row r="1535" spans="1:8" x14ac:dyDescent="0.2">
      <c r="A1535" s="1">
        <v>41711</v>
      </c>
      <c r="B1535">
        <v>73</v>
      </c>
      <c r="C1535" s="6">
        <f>IF('weather data'!C1535&gt;'user input'!$C$3,'user input'!$C$3,'weather data'!C1535)</f>
        <v>-1.1111111111111112</v>
      </c>
      <c r="D1535" s="6">
        <f>IF('weather data'!D1535&lt;'user input'!$C$2,'user input'!$C$2,'weather data'!D1535)</f>
        <v>10</v>
      </c>
      <c r="E1535">
        <f t="shared" si="24"/>
        <v>4.4444444444444446</v>
      </c>
      <c r="F1535">
        <f>IF((E1535-'user input'!$C$2)&lt;0,0,E1535-'user input'!$C$2)</f>
        <v>0</v>
      </c>
      <c r="G1535">
        <f>IF(B1535&lt;'user input'!$C$5,0,(F1535+G1534))</f>
        <v>0</v>
      </c>
      <c r="H1535">
        <f>G1535/'user input'!$C$4</f>
        <v>0</v>
      </c>
    </row>
    <row r="1536" spans="1:8" x14ac:dyDescent="0.2">
      <c r="A1536" s="1">
        <v>41712</v>
      </c>
      <c r="B1536">
        <v>74</v>
      </c>
      <c r="C1536" s="6">
        <f>IF('weather data'!C1536&gt;'user input'!$C$3,'user input'!$C$3,'weather data'!C1536)</f>
        <v>6.1111111111111116</v>
      </c>
      <c r="D1536" s="6">
        <f>IF('weather data'!D1536&lt;'user input'!$C$2,'user input'!$C$2,'weather data'!D1536)</f>
        <v>10</v>
      </c>
      <c r="E1536">
        <f t="shared" si="24"/>
        <v>8.0555555555555554</v>
      </c>
      <c r="F1536">
        <f>IF((E1536-'user input'!$C$2)&lt;0,0,E1536-'user input'!$C$2)</f>
        <v>0</v>
      </c>
      <c r="G1536">
        <f>IF(B1536&lt;'user input'!$C$5,0,(F1536+G1535))</f>
        <v>0</v>
      </c>
      <c r="H1536">
        <f>G1536/'user input'!$C$4</f>
        <v>0</v>
      </c>
    </row>
    <row r="1537" spans="1:8" x14ac:dyDescent="0.2">
      <c r="A1537" s="1">
        <v>41713</v>
      </c>
      <c r="B1537">
        <v>75</v>
      </c>
      <c r="C1537" s="6">
        <f>IF('weather data'!C1537&gt;'user input'!$C$3,'user input'!$C$3,'weather data'!C1537)</f>
        <v>8.8888888888888893</v>
      </c>
      <c r="D1537" s="6">
        <f>IF('weather data'!D1537&lt;'user input'!$C$2,'user input'!$C$2,'weather data'!D1537)</f>
        <v>10</v>
      </c>
      <c r="E1537">
        <f t="shared" si="24"/>
        <v>9.4444444444444446</v>
      </c>
      <c r="F1537">
        <f>IF((E1537-'user input'!$C$2)&lt;0,0,E1537-'user input'!$C$2)</f>
        <v>0</v>
      </c>
      <c r="G1537">
        <f>IF(B1537&lt;'user input'!$C$5,0,(F1537+G1536))</f>
        <v>0</v>
      </c>
      <c r="H1537">
        <f>G1537/'user input'!$C$4</f>
        <v>0</v>
      </c>
    </row>
    <row r="1538" spans="1:8" x14ac:dyDescent="0.2">
      <c r="A1538" s="1">
        <v>41714</v>
      </c>
      <c r="B1538">
        <v>76</v>
      </c>
      <c r="C1538" s="6">
        <f>IF('weather data'!C1538&gt;'user input'!$C$3,'user input'!$C$3,'weather data'!C1538)</f>
        <v>2.2222222222222223</v>
      </c>
      <c r="D1538" s="6">
        <f>IF('weather data'!D1538&lt;'user input'!$C$2,'user input'!$C$2,'weather data'!D1538)</f>
        <v>10</v>
      </c>
      <c r="E1538">
        <f t="shared" si="24"/>
        <v>6.1111111111111107</v>
      </c>
      <c r="F1538">
        <f>IF((E1538-'user input'!$C$2)&lt;0,0,E1538-'user input'!$C$2)</f>
        <v>0</v>
      </c>
      <c r="G1538">
        <f>IF(B1538&lt;'user input'!$C$5,0,(F1538+G1537))</f>
        <v>0</v>
      </c>
      <c r="H1538">
        <f>G1538/'user input'!$C$4</f>
        <v>0</v>
      </c>
    </row>
    <row r="1539" spans="1:8" x14ac:dyDescent="0.2">
      <c r="A1539" s="1">
        <v>41715</v>
      </c>
      <c r="B1539">
        <v>77</v>
      </c>
      <c r="C1539" s="6">
        <f>IF('weather data'!C1539&gt;'user input'!$C$3,'user input'!$C$3,'weather data'!C1539)</f>
        <v>-4.4444444444444446</v>
      </c>
      <c r="D1539" s="6">
        <f>IF('weather data'!D1539&lt;'user input'!$C$2,'user input'!$C$2,'weather data'!D1539)</f>
        <v>10</v>
      </c>
      <c r="E1539">
        <f t="shared" si="24"/>
        <v>2.7777777777777777</v>
      </c>
      <c r="F1539">
        <f>IF((E1539-'user input'!$C$2)&lt;0,0,E1539-'user input'!$C$2)</f>
        <v>0</v>
      </c>
      <c r="G1539">
        <f>IF(B1539&lt;'user input'!$C$5,0,(F1539+G1538))</f>
        <v>0</v>
      </c>
      <c r="H1539">
        <f>G1539/'user input'!$C$4</f>
        <v>0</v>
      </c>
    </row>
    <row r="1540" spans="1:8" x14ac:dyDescent="0.2">
      <c r="A1540" s="1">
        <v>41716</v>
      </c>
      <c r="B1540">
        <v>78</v>
      </c>
      <c r="C1540" s="6">
        <f>IF('weather data'!C1540&gt;'user input'!$C$3,'user input'!$C$3,'weather data'!C1540)</f>
        <v>2.7777777777777777</v>
      </c>
      <c r="D1540" s="6">
        <f>IF('weather data'!D1540&lt;'user input'!$C$2,'user input'!$C$2,'weather data'!D1540)</f>
        <v>10</v>
      </c>
      <c r="E1540">
        <f t="shared" si="24"/>
        <v>6.3888888888888893</v>
      </c>
      <c r="F1540">
        <f>IF((E1540-'user input'!$C$2)&lt;0,0,E1540-'user input'!$C$2)</f>
        <v>0</v>
      </c>
      <c r="G1540">
        <f>IF(B1540&lt;'user input'!$C$5,0,(F1540+G1539))</f>
        <v>0</v>
      </c>
      <c r="H1540">
        <f>G1540/'user input'!$C$4</f>
        <v>0</v>
      </c>
    </row>
    <row r="1541" spans="1:8" x14ac:dyDescent="0.2">
      <c r="A1541" s="1">
        <v>41717</v>
      </c>
      <c r="B1541">
        <v>79</v>
      </c>
      <c r="C1541" s="6">
        <f>IF('weather data'!C1541&gt;'user input'!$C$3,'user input'!$C$3,'weather data'!C1541)</f>
        <v>7.7777777777777777</v>
      </c>
      <c r="D1541" s="6">
        <f>IF('weather data'!D1541&lt;'user input'!$C$2,'user input'!$C$2,'weather data'!D1541)</f>
        <v>10</v>
      </c>
      <c r="E1541">
        <f t="shared" si="24"/>
        <v>8.8888888888888893</v>
      </c>
      <c r="F1541">
        <f>IF((E1541-'user input'!$C$2)&lt;0,0,E1541-'user input'!$C$2)</f>
        <v>0</v>
      </c>
      <c r="G1541">
        <f>IF(B1541&lt;'user input'!$C$5,0,(F1541+G1540))</f>
        <v>0</v>
      </c>
      <c r="H1541">
        <f>G1541/'user input'!$C$4</f>
        <v>0</v>
      </c>
    </row>
    <row r="1542" spans="1:8" x14ac:dyDescent="0.2">
      <c r="A1542" s="1">
        <v>41718</v>
      </c>
      <c r="B1542">
        <v>80</v>
      </c>
      <c r="C1542" s="6">
        <f>IF('weather data'!C1542&gt;'user input'!$C$3,'user input'!$C$3,'weather data'!C1542)</f>
        <v>2.7777777777777777</v>
      </c>
      <c r="D1542" s="6">
        <f>IF('weather data'!D1542&lt;'user input'!$C$2,'user input'!$C$2,'weather data'!D1542)</f>
        <v>10</v>
      </c>
      <c r="E1542">
        <f t="shared" si="24"/>
        <v>6.3888888888888893</v>
      </c>
      <c r="F1542">
        <f>IF((E1542-'user input'!$C$2)&lt;0,0,E1542-'user input'!$C$2)</f>
        <v>0</v>
      </c>
      <c r="G1542">
        <f>IF(B1542&lt;'user input'!$C$5,0,(F1542+G1541))</f>
        <v>0</v>
      </c>
      <c r="H1542">
        <f>G1542/'user input'!$C$4</f>
        <v>0</v>
      </c>
    </row>
    <row r="1543" spans="1:8" x14ac:dyDescent="0.2">
      <c r="A1543" s="1">
        <v>41719</v>
      </c>
      <c r="B1543">
        <v>81</v>
      </c>
      <c r="C1543" s="6">
        <f>IF('weather data'!C1543&gt;'user input'!$C$3,'user input'!$C$3,'weather data'!C1543)</f>
        <v>6.1111111111111116</v>
      </c>
      <c r="D1543" s="6">
        <f>IF('weather data'!D1543&lt;'user input'!$C$2,'user input'!$C$2,'weather data'!D1543)</f>
        <v>10</v>
      </c>
      <c r="E1543">
        <f t="shared" si="24"/>
        <v>8.0555555555555554</v>
      </c>
      <c r="F1543">
        <f>IF((E1543-'user input'!$C$2)&lt;0,0,E1543-'user input'!$C$2)</f>
        <v>0</v>
      </c>
      <c r="G1543">
        <f>IF(B1543&lt;'user input'!$C$5,0,(F1543+G1542))</f>
        <v>0</v>
      </c>
      <c r="H1543">
        <f>G1543/'user input'!$C$4</f>
        <v>0</v>
      </c>
    </row>
    <row r="1544" spans="1:8" x14ac:dyDescent="0.2">
      <c r="A1544" s="1">
        <v>41720</v>
      </c>
      <c r="B1544">
        <v>82</v>
      </c>
      <c r="C1544" s="6">
        <f>IF('weather data'!C1544&gt;'user input'!$C$3,'user input'!$C$3,'weather data'!C1544)</f>
        <v>11.111111111111111</v>
      </c>
      <c r="D1544" s="6">
        <f>IF('weather data'!D1544&lt;'user input'!$C$2,'user input'!$C$2,'weather data'!D1544)</f>
        <v>10</v>
      </c>
      <c r="E1544">
        <f t="shared" si="24"/>
        <v>10.555555555555555</v>
      </c>
      <c r="F1544">
        <f>IF((E1544-'user input'!$C$2)&lt;0,0,E1544-'user input'!$C$2)</f>
        <v>0.55555555555555536</v>
      </c>
      <c r="G1544">
        <f>IF(B1544&lt;'user input'!$C$5,0,(F1544+G1543))</f>
        <v>0</v>
      </c>
      <c r="H1544">
        <f>G1544/'user input'!$C$4</f>
        <v>0</v>
      </c>
    </row>
    <row r="1545" spans="1:8" x14ac:dyDescent="0.2">
      <c r="A1545" s="1">
        <v>41721</v>
      </c>
      <c r="B1545">
        <v>83</v>
      </c>
      <c r="C1545" s="6">
        <f>IF('weather data'!C1545&gt;'user input'!$C$3,'user input'!$C$3,'weather data'!C1545)</f>
        <v>0.55555555555555558</v>
      </c>
      <c r="D1545" s="6">
        <f>IF('weather data'!D1545&lt;'user input'!$C$2,'user input'!$C$2,'weather data'!D1545)</f>
        <v>10</v>
      </c>
      <c r="E1545">
        <f t="shared" si="24"/>
        <v>5.2777777777777777</v>
      </c>
      <c r="F1545">
        <f>IF((E1545-'user input'!$C$2)&lt;0,0,E1545-'user input'!$C$2)</f>
        <v>0</v>
      </c>
      <c r="G1545">
        <f>IF(B1545&lt;'user input'!$C$5,0,(F1545+G1544))</f>
        <v>0</v>
      </c>
      <c r="H1545">
        <f>G1545/'user input'!$C$4</f>
        <v>0</v>
      </c>
    </row>
    <row r="1546" spans="1:8" x14ac:dyDescent="0.2">
      <c r="A1546" s="1">
        <v>41722</v>
      </c>
      <c r="B1546">
        <v>84</v>
      </c>
      <c r="C1546" s="6">
        <f>IF('weather data'!C1546&gt;'user input'!$C$3,'user input'!$C$3,'weather data'!C1546)</f>
        <v>-2.2222222222222223</v>
      </c>
      <c r="D1546" s="6">
        <f>IF('weather data'!D1546&lt;'user input'!$C$2,'user input'!$C$2,'weather data'!D1546)</f>
        <v>10</v>
      </c>
      <c r="E1546">
        <f t="shared" si="24"/>
        <v>3.8888888888888888</v>
      </c>
      <c r="F1546">
        <f>IF((E1546-'user input'!$C$2)&lt;0,0,E1546-'user input'!$C$2)</f>
        <v>0</v>
      </c>
      <c r="G1546">
        <f>IF(B1546&lt;'user input'!$C$5,0,(F1546+G1545))</f>
        <v>0</v>
      </c>
      <c r="H1546">
        <f>G1546/'user input'!$C$4</f>
        <v>0</v>
      </c>
    </row>
    <row r="1547" spans="1:8" x14ac:dyDescent="0.2">
      <c r="A1547" s="1">
        <v>41723</v>
      </c>
      <c r="B1547">
        <v>85</v>
      </c>
      <c r="C1547" s="6">
        <f>IF('weather data'!C1547&gt;'user input'!$C$3,'user input'!$C$3,'weather data'!C1547)</f>
        <v>2.2222222222222223</v>
      </c>
      <c r="D1547" s="6">
        <f>IF('weather data'!D1547&lt;'user input'!$C$2,'user input'!$C$2,'weather data'!D1547)</f>
        <v>10</v>
      </c>
      <c r="E1547">
        <f t="shared" si="24"/>
        <v>6.1111111111111107</v>
      </c>
      <c r="F1547">
        <f>IF((E1547-'user input'!$C$2)&lt;0,0,E1547-'user input'!$C$2)</f>
        <v>0</v>
      </c>
      <c r="G1547">
        <f>IF(B1547&lt;'user input'!$C$5,0,(F1547+G1546))</f>
        <v>0</v>
      </c>
      <c r="H1547">
        <f>G1547/'user input'!$C$4</f>
        <v>0</v>
      </c>
    </row>
    <row r="1548" spans="1:8" x14ac:dyDescent="0.2">
      <c r="A1548" s="1">
        <v>41724</v>
      </c>
      <c r="B1548">
        <v>86</v>
      </c>
      <c r="C1548" s="6">
        <f>IF('weather data'!C1548&gt;'user input'!$C$3,'user input'!$C$3,'weather data'!C1548)</f>
        <v>-4.4444444444444446</v>
      </c>
      <c r="D1548" s="6">
        <f>IF('weather data'!D1548&lt;'user input'!$C$2,'user input'!$C$2,'weather data'!D1548)</f>
        <v>10</v>
      </c>
      <c r="E1548">
        <f t="shared" si="24"/>
        <v>2.7777777777777777</v>
      </c>
      <c r="F1548">
        <f>IF((E1548-'user input'!$C$2)&lt;0,0,E1548-'user input'!$C$2)</f>
        <v>0</v>
      </c>
      <c r="G1548">
        <f>IF(B1548&lt;'user input'!$C$5,0,(F1548+G1547))</f>
        <v>0</v>
      </c>
      <c r="H1548">
        <f>G1548/'user input'!$C$4</f>
        <v>0</v>
      </c>
    </row>
    <row r="1549" spans="1:8" x14ac:dyDescent="0.2">
      <c r="A1549" s="1">
        <v>41725</v>
      </c>
      <c r="B1549">
        <v>87</v>
      </c>
      <c r="C1549" s="6">
        <f>IF('weather data'!C1549&gt;'user input'!$C$3,'user input'!$C$3,'weather data'!C1549)</f>
        <v>4.4444444444444446</v>
      </c>
      <c r="D1549" s="6">
        <f>IF('weather data'!D1549&lt;'user input'!$C$2,'user input'!$C$2,'weather data'!D1549)</f>
        <v>10</v>
      </c>
      <c r="E1549">
        <f t="shared" si="24"/>
        <v>7.2222222222222223</v>
      </c>
      <c r="F1549">
        <f>IF((E1549-'user input'!$C$2)&lt;0,0,E1549-'user input'!$C$2)</f>
        <v>0</v>
      </c>
      <c r="G1549">
        <f>IF(B1549&lt;'user input'!$C$5,0,(F1549+G1548))</f>
        <v>0</v>
      </c>
      <c r="H1549">
        <f>G1549/'user input'!$C$4</f>
        <v>0</v>
      </c>
    </row>
    <row r="1550" spans="1:8" x14ac:dyDescent="0.2">
      <c r="A1550" s="1">
        <v>41726</v>
      </c>
      <c r="B1550">
        <v>88</v>
      </c>
      <c r="C1550" s="6">
        <f>IF('weather data'!C1550&gt;'user input'!$C$3,'user input'!$C$3,'weather data'!C1550)</f>
        <v>6.6666666666666661</v>
      </c>
      <c r="D1550" s="6">
        <f>IF('weather data'!D1550&lt;'user input'!$C$2,'user input'!$C$2,'weather data'!D1550)</f>
        <v>10</v>
      </c>
      <c r="E1550">
        <f t="shared" si="24"/>
        <v>8.3333333333333321</v>
      </c>
      <c r="F1550">
        <f>IF((E1550-'user input'!$C$2)&lt;0,0,E1550-'user input'!$C$2)</f>
        <v>0</v>
      </c>
      <c r="G1550">
        <f>IF(B1550&lt;'user input'!$C$5,0,(F1550+G1549))</f>
        <v>0</v>
      </c>
      <c r="H1550">
        <f>G1550/'user input'!$C$4</f>
        <v>0</v>
      </c>
    </row>
    <row r="1551" spans="1:8" x14ac:dyDescent="0.2">
      <c r="A1551" s="1">
        <v>41727</v>
      </c>
      <c r="B1551">
        <v>89</v>
      </c>
      <c r="C1551" s="6">
        <f>IF('weather data'!C1551&gt;'user input'!$C$3,'user input'!$C$3,'weather data'!C1551)</f>
        <v>6.6666666666666661</v>
      </c>
      <c r="D1551" s="6">
        <f>IF('weather data'!D1551&lt;'user input'!$C$2,'user input'!$C$2,'weather data'!D1551)</f>
        <v>10</v>
      </c>
      <c r="E1551">
        <f t="shared" si="24"/>
        <v>8.3333333333333321</v>
      </c>
      <c r="F1551">
        <f>IF((E1551-'user input'!$C$2)&lt;0,0,E1551-'user input'!$C$2)</f>
        <v>0</v>
      </c>
      <c r="G1551">
        <f>IF(B1551&lt;'user input'!$C$5,0,(F1551+G1550))</f>
        <v>0</v>
      </c>
      <c r="H1551">
        <f>G1551/'user input'!$C$4</f>
        <v>0</v>
      </c>
    </row>
    <row r="1552" spans="1:8" x14ac:dyDescent="0.2">
      <c r="A1552" s="1">
        <v>41728</v>
      </c>
      <c r="B1552">
        <v>90</v>
      </c>
      <c r="C1552" s="6">
        <f>IF('weather data'!C1552&gt;'user input'!$C$3,'user input'!$C$3,'weather data'!C1552)</f>
        <v>8.3333333333333339</v>
      </c>
      <c r="D1552" s="6">
        <f>IF('weather data'!D1552&lt;'user input'!$C$2,'user input'!$C$2,'weather data'!D1552)</f>
        <v>10</v>
      </c>
      <c r="E1552">
        <f t="shared" si="24"/>
        <v>9.1666666666666679</v>
      </c>
      <c r="F1552">
        <f>IF((E1552-'user input'!$C$2)&lt;0,0,E1552-'user input'!$C$2)</f>
        <v>0</v>
      </c>
      <c r="G1552">
        <f>IF(B1552&lt;'user input'!$C$5,0,(F1552+G1551))</f>
        <v>0</v>
      </c>
      <c r="H1552">
        <f>G1552/'user input'!$C$4</f>
        <v>0</v>
      </c>
    </row>
    <row r="1553" spans="1:8" x14ac:dyDescent="0.2">
      <c r="A1553" s="1">
        <v>41729</v>
      </c>
      <c r="B1553">
        <v>91</v>
      </c>
      <c r="C1553" s="6">
        <f>IF('weather data'!C1553&gt;'user input'!$C$3,'user input'!$C$3,'weather data'!C1553)</f>
        <v>15</v>
      </c>
      <c r="D1553" s="6">
        <f>IF('weather data'!D1553&lt;'user input'!$C$2,'user input'!$C$2,'weather data'!D1553)</f>
        <v>10</v>
      </c>
      <c r="E1553">
        <f t="shared" si="24"/>
        <v>12.5</v>
      </c>
      <c r="F1553">
        <f>IF((E1553-'user input'!$C$2)&lt;0,0,E1553-'user input'!$C$2)</f>
        <v>2.5</v>
      </c>
      <c r="G1553">
        <f>IF(B1553&lt;'user input'!$C$5,0,(F1553+G1552))</f>
        <v>0</v>
      </c>
      <c r="H1553">
        <f>G1553/'user input'!$C$4</f>
        <v>0</v>
      </c>
    </row>
    <row r="1554" spans="1:8" x14ac:dyDescent="0.2">
      <c r="A1554" s="1">
        <v>41730</v>
      </c>
      <c r="B1554">
        <v>92</v>
      </c>
      <c r="C1554" s="6">
        <f>IF('weather data'!C1554&gt;'user input'!$C$3,'user input'!$C$3,'weather data'!C1554)</f>
        <v>18.888888888888889</v>
      </c>
      <c r="D1554" s="6">
        <f>IF('weather data'!D1554&lt;'user input'!$C$2,'user input'!$C$2,'weather data'!D1554)</f>
        <v>10</v>
      </c>
      <c r="E1554">
        <f t="shared" ref="E1554:E1617" si="25">(C1554+D1554)/2</f>
        <v>14.444444444444445</v>
      </c>
      <c r="F1554">
        <f>IF((E1554-'user input'!$C$2)&lt;0,0,E1554-'user input'!$C$2)</f>
        <v>4.4444444444444446</v>
      </c>
      <c r="G1554">
        <f>IF(B1554&lt;'user input'!$C$5,0,(F1554+G1553))</f>
        <v>0</v>
      </c>
      <c r="H1554">
        <f>G1554/'user input'!$C$4</f>
        <v>0</v>
      </c>
    </row>
    <row r="1555" spans="1:8" x14ac:dyDescent="0.2">
      <c r="A1555" s="1">
        <v>41731</v>
      </c>
      <c r="B1555">
        <v>93</v>
      </c>
      <c r="C1555" s="6">
        <f>IF('weather data'!C1555&gt;'user input'!$C$3,'user input'!$C$3,'weather data'!C1555)</f>
        <v>6.6666666666666661</v>
      </c>
      <c r="D1555" s="6">
        <f>IF('weather data'!D1555&lt;'user input'!$C$2,'user input'!$C$2,'weather data'!D1555)</f>
        <v>10</v>
      </c>
      <c r="E1555">
        <f t="shared" si="25"/>
        <v>8.3333333333333321</v>
      </c>
      <c r="F1555">
        <f>IF((E1555-'user input'!$C$2)&lt;0,0,E1555-'user input'!$C$2)</f>
        <v>0</v>
      </c>
      <c r="G1555">
        <f>IF(B1555&lt;'user input'!$C$5,0,(F1555+G1554))</f>
        <v>0</v>
      </c>
      <c r="H1555">
        <f>G1555/'user input'!$C$4</f>
        <v>0</v>
      </c>
    </row>
    <row r="1556" spans="1:8" x14ac:dyDescent="0.2">
      <c r="A1556" s="1">
        <v>41732</v>
      </c>
      <c r="B1556">
        <v>94</v>
      </c>
      <c r="C1556" s="6">
        <f>IF('weather data'!C1556&gt;'user input'!$C$3,'user input'!$C$3,'weather data'!C1556)</f>
        <v>10</v>
      </c>
      <c r="D1556" s="6">
        <f>IF('weather data'!D1556&lt;'user input'!$C$2,'user input'!$C$2,'weather data'!D1556)</f>
        <v>10</v>
      </c>
      <c r="E1556">
        <f t="shared" si="25"/>
        <v>10</v>
      </c>
      <c r="F1556">
        <f>IF((E1556-'user input'!$C$2)&lt;0,0,E1556-'user input'!$C$2)</f>
        <v>0</v>
      </c>
      <c r="G1556">
        <f>IF(B1556&lt;'user input'!$C$5,0,(F1556+G1555))</f>
        <v>0</v>
      </c>
      <c r="H1556">
        <f>G1556/'user input'!$C$4</f>
        <v>0</v>
      </c>
    </row>
    <row r="1557" spans="1:8" x14ac:dyDescent="0.2">
      <c r="A1557" s="1">
        <v>41733</v>
      </c>
      <c r="B1557">
        <v>95</v>
      </c>
      <c r="C1557" s="6">
        <f>IF('weather data'!C1557&gt;'user input'!$C$3,'user input'!$C$3,'weather data'!C1557)</f>
        <v>3.8888888888888888</v>
      </c>
      <c r="D1557" s="6">
        <f>IF('weather data'!D1557&lt;'user input'!$C$2,'user input'!$C$2,'weather data'!D1557)</f>
        <v>10</v>
      </c>
      <c r="E1557">
        <f t="shared" si="25"/>
        <v>6.9444444444444446</v>
      </c>
      <c r="F1557">
        <f>IF((E1557-'user input'!$C$2)&lt;0,0,E1557-'user input'!$C$2)</f>
        <v>0</v>
      </c>
      <c r="G1557">
        <f>IF(B1557&lt;'user input'!$C$5,0,(F1557+G1556))</f>
        <v>0</v>
      </c>
      <c r="H1557">
        <f>G1557/'user input'!$C$4</f>
        <v>0</v>
      </c>
    </row>
    <row r="1558" spans="1:8" x14ac:dyDescent="0.2">
      <c r="A1558" s="1">
        <v>41734</v>
      </c>
      <c r="B1558">
        <v>96</v>
      </c>
      <c r="C1558" s="6">
        <f>IF('weather data'!C1558&gt;'user input'!$C$3,'user input'!$C$3,'weather data'!C1558)</f>
        <v>3.333333333333333</v>
      </c>
      <c r="D1558" s="6">
        <f>IF('weather data'!D1558&lt;'user input'!$C$2,'user input'!$C$2,'weather data'!D1558)</f>
        <v>10</v>
      </c>
      <c r="E1558">
        <f t="shared" si="25"/>
        <v>6.6666666666666661</v>
      </c>
      <c r="F1558">
        <f>IF((E1558-'user input'!$C$2)&lt;0,0,E1558-'user input'!$C$2)</f>
        <v>0</v>
      </c>
      <c r="G1558">
        <f>IF(B1558&lt;'user input'!$C$5,0,(F1558+G1557))</f>
        <v>0</v>
      </c>
      <c r="H1558">
        <f>G1558/'user input'!$C$4</f>
        <v>0</v>
      </c>
    </row>
    <row r="1559" spans="1:8" x14ac:dyDescent="0.2">
      <c r="A1559" s="1">
        <v>41735</v>
      </c>
      <c r="B1559">
        <v>97</v>
      </c>
      <c r="C1559" s="6">
        <f>IF('weather data'!C1559&gt;'user input'!$C$3,'user input'!$C$3,'weather data'!C1559)</f>
        <v>12.777777777777777</v>
      </c>
      <c r="D1559" s="6">
        <f>IF('weather data'!D1559&lt;'user input'!$C$2,'user input'!$C$2,'weather data'!D1559)</f>
        <v>10</v>
      </c>
      <c r="E1559">
        <f t="shared" si="25"/>
        <v>11.388888888888889</v>
      </c>
      <c r="F1559">
        <f>IF((E1559-'user input'!$C$2)&lt;0,0,E1559-'user input'!$C$2)</f>
        <v>1.3888888888888893</v>
      </c>
      <c r="G1559">
        <f>IF(B1559&lt;'user input'!$C$5,0,(F1559+G1558))</f>
        <v>0</v>
      </c>
      <c r="H1559">
        <f>G1559/'user input'!$C$4</f>
        <v>0</v>
      </c>
    </row>
    <row r="1560" spans="1:8" x14ac:dyDescent="0.2">
      <c r="A1560" s="1">
        <v>41736</v>
      </c>
      <c r="B1560">
        <v>98</v>
      </c>
      <c r="C1560" s="6">
        <f>IF('weather data'!C1560&gt;'user input'!$C$3,'user input'!$C$3,'weather data'!C1560)</f>
        <v>15.555555555555555</v>
      </c>
      <c r="D1560" s="6">
        <f>IF('weather data'!D1560&lt;'user input'!$C$2,'user input'!$C$2,'weather data'!D1560)</f>
        <v>10</v>
      </c>
      <c r="E1560">
        <f t="shared" si="25"/>
        <v>12.777777777777779</v>
      </c>
      <c r="F1560">
        <f>IF((E1560-'user input'!$C$2)&lt;0,0,E1560-'user input'!$C$2)</f>
        <v>2.7777777777777786</v>
      </c>
      <c r="G1560">
        <f>IF(B1560&lt;'user input'!$C$5,0,(F1560+G1559))</f>
        <v>0</v>
      </c>
      <c r="H1560">
        <f>G1560/'user input'!$C$4</f>
        <v>0</v>
      </c>
    </row>
    <row r="1561" spans="1:8" x14ac:dyDescent="0.2">
      <c r="A1561" s="1">
        <v>41737</v>
      </c>
      <c r="B1561">
        <v>99</v>
      </c>
      <c r="C1561" s="6">
        <f>IF('weather data'!C1561&gt;'user input'!$C$3,'user input'!$C$3,'weather data'!C1561)</f>
        <v>16.666666666666668</v>
      </c>
      <c r="D1561" s="6">
        <f>IF('weather data'!D1561&lt;'user input'!$C$2,'user input'!$C$2,'weather data'!D1561)</f>
        <v>10</v>
      </c>
      <c r="E1561">
        <f t="shared" si="25"/>
        <v>13.333333333333334</v>
      </c>
      <c r="F1561">
        <f>IF((E1561-'user input'!$C$2)&lt;0,0,E1561-'user input'!$C$2)</f>
        <v>3.3333333333333339</v>
      </c>
      <c r="G1561">
        <f>IF(B1561&lt;'user input'!$C$5,0,(F1561+G1560))</f>
        <v>0</v>
      </c>
      <c r="H1561">
        <f>G1561/'user input'!$C$4</f>
        <v>0</v>
      </c>
    </row>
    <row r="1562" spans="1:8" x14ac:dyDescent="0.2">
      <c r="A1562" s="1">
        <v>41738</v>
      </c>
      <c r="B1562">
        <v>100</v>
      </c>
      <c r="C1562" s="6">
        <f>IF('weather data'!C1562&gt;'user input'!$C$3,'user input'!$C$3,'weather data'!C1562)</f>
        <v>15</v>
      </c>
      <c r="D1562" s="6">
        <f>IF('weather data'!D1562&lt;'user input'!$C$2,'user input'!$C$2,'weather data'!D1562)</f>
        <v>10</v>
      </c>
      <c r="E1562">
        <f t="shared" si="25"/>
        <v>12.5</v>
      </c>
      <c r="F1562">
        <f>IF((E1562-'user input'!$C$2)&lt;0,0,E1562-'user input'!$C$2)</f>
        <v>2.5</v>
      </c>
      <c r="G1562">
        <f>IF(B1562&lt;'user input'!$C$5,0,(F1562+G1561))</f>
        <v>0</v>
      </c>
      <c r="H1562">
        <f>G1562/'user input'!$C$4</f>
        <v>0</v>
      </c>
    </row>
    <row r="1563" spans="1:8" x14ac:dyDescent="0.2">
      <c r="A1563" s="1">
        <v>41739</v>
      </c>
      <c r="B1563">
        <v>101</v>
      </c>
      <c r="C1563" s="6">
        <f>IF('weather data'!C1563&gt;'user input'!$C$3,'user input'!$C$3,'weather data'!C1563)</f>
        <v>17.222222222222221</v>
      </c>
      <c r="D1563" s="6">
        <f>IF('weather data'!D1563&lt;'user input'!$C$2,'user input'!$C$2,'weather data'!D1563)</f>
        <v>10</v>
      </c>
      <c r="E1563">
        <f t="shared" si="25"/>
        <v>13.611111111111111</v>
      </c>
      <c r="F1563">
        <f>IF((E1563-'user input'!$C$2)&lt;0,0,E1563-'user input'!$C$2)</f>
        <v>3.6111111111111107</v>
      </c>
      <c r="G1563">
        <f>IF(B1563&lt;'user input'!$C$5,0,(F1563+G1562))</f>
        <v>0</v>
      </c>
      <c r="H1563">
        <f>G1563/'user input'!$C$4</f>
        <v>0</v>
      </c>
    </row>
    <row r="1564" spans="1:8" x14ac:dyDescent="0.2">
      <c r="A1564" s="1">
        <v>41740</v>
      </c>
      <c r="B1564">
        <v>102</v>
      </c>
      <c r="C1564" s="6">
        <f>IF('weather data'!C1564&gt;'user input'!$C$3,'user input'!$C$3,'weather data'!C1564)</f>
        <v>17.777777777777779</v>
      </c>
      <c r="D1564" s="6">
        <f>IF('weather data'!D1564&lt;'user input'!$C$2,'user input'!$C$2,'weather data'!D1564)</f>
        <v>10</v>
      </c>
      <c r="E1564">
        <f t="shared" si="25"/>
        <v>13.888888888888889</v>
      </c>
      <c r="F1564">
        <f>IF((E1564-'user input'!$C$2)&lt;0,0,E1564-'user input'!$C$2)</f>
        <v>3.8888888888888893</v>
      </c>
      <c r="G1564">
        <f>IF(B1564&lt;'user input'!$C$5,0,(F1564+G1563))</f>
        <v>0</v>
      </c>
      <c r="H1564">
        <f>G1564/'user input'!$C$4</f>
        <v>0</v>
      </c>
    </row>
    <row r="1565" spans="1:8" x14ac:dyDescent="0.2">
      <c r="A1565" s="1">
        <v>41741</v>
      </c>
      <c r="B1565">
        <v>103</v>
      </c>
      <c r="C1565" s="6">
        <f>IF('weather data'!C1565&gt;'user input'!$C$3,'user input'!$C$3,'weather data'!C1565)</f>
        <v>20.555555555555554</v>
      </c>
      <c r="D1565" s="6">
        <f>IF('weather data'!D1565&lt;'user input'!$C$2,'user input'!$C$2,'weather data'!D1565)</f>
        <v>10</v>
      </c>
      <c r="E1565">
        <f t="shared" si="25"/>
        <v>15.277777777777777</v>
      </c>
      <c r="F1565">
        <f>IF((E1565-'user input'!$C$2)&lt;0,0,E1565-'user input'!$C$2)</f>
        <v>5.2777777777777768</v>
      </c>
      <c r="G1565">
        <f>IF(B1565&lt;'user input'!$C$5,0,(F1565+G1564))</f>
        <v>0</v>
      </c>
      <c r="H1565">
        <f>G1565/'user input'!$C$4</f>
        <v>0</v>
      </c>
    </row>
    <row r="1566" spans="1:8" x14ac:dyDescent="0.2">
      <c r="A1566" s="1">
        <v>41742</v>
      </c>
      <c r="B1566">
        <v>104</v>
      </c>
      <c r="C1566" s="6">
        <f>IF('weather data'!C1566&gt;'user input'!$C$3,'user input'!$C$3,'weather data'!C1566)</f>
        <v>14.444444444444445</v>
      </c>
      <c r="D1566" s="6">
        <f>IF('weather data'!D1566&lt;'user input'!$C$2,'user input'!$C$2,'weather data'!D1566)</f>
        <v>10</v>
      </c>
      <c r="E1566">
        <f t="shared" si="25"/>
        <v>12.222222222222221</v>
      </c>
      <c r="F1566">
        <f>IF((E1566-'user input'!$C$2)&lt;0,0,E1566-'user input'!$C$2)</f>
        <v>2.2222222222222214</v>
      </c>
      <c r="G1566">
        <f>IF(B1566&lt;'user input'!$C$5,0,(F1566+G1565))</f>
        <v>0</v>
      </c>
      <c r="H1566">
        <f>G1566/'user input'!$C$4</f>
        <v>0</v>
      </c>
    </row>
    <row r="1567" spans="1:8" x14ac:dyDescent="0.2">
      <c r="A1567" s="1">
        <v>41743</v>
      </c>
      <c r="B1567">
        <v>105</v>
      </c>
      <c r="C1567" s="6">
        <f>IF('weather data'!C1567&gt;'user input'!$C$3,'user input'!$C$3,'weather data'!C1567)</f>
        <v>10</v>
      </c>
      <c r="D1567" s="6">
        <f>IF('weather data'!D1567&lt;'user input'!$C$2,'user input'!$C$2,'weather data'!D1567)</f>
        <v>10</v>
      </c>
      <c r="E1567">
        <f t="shared" si="25"/>
        <v>10</v>
      </c>
      <c r="F1567">
        <f>IF((E1567-'user input'!$C$2)&lt;0,0,E1567-'user input'!$C$2)</f>
        <v>0</v>
      </c>
      <c r="G1567">
        <f>IF(B1567&lt;'user input'!$C$5,0,(F1567+G1566))</f>
        <v>0</v>
      </c>
      <c r="H1567">
        <f>G1567/'user input'!$C$4</f>
        <v>0</v>
      </c>
    </row>
    <row r="1568" spans="1:8" x14ac:dyDescent="0.2">
      <c r="A1568" s="1">
        <v>41744</v>
      </c>
      <c r="B1568">
        <v>106</v>
      </c>
      <c r="C1568" s="6">
        <f>IF('weather data'!C1568&gt;'user input'!$C$3,'user input'!$C$3,'weather data'!C1568)</f>
        <v>0.55555555555555558</v>
      </c>
      <c r="D1568" s="6">
        <f>IF('weather data'!D1568&lt;'user input'!$C$2,'user input'!$C$2,'weather data'!D1568)</f>
        <v>10</v>
      </c>
      <c r="E1568">
        <f t="shared" si="25"/>
        <v>5.2777777777777777</v>
      </c>
      <c r="F1568">
        <f>IF((E1568-'user input'!$C$2)&lt;0,0,E1568-'user input'!$C$2)</f>
        <v>0</v>
      </c>
      <c r="G1568">
        <f>IF(B1568&lt;'user input'!$C$5,0,(F1568+G1567))</f>
        <v>0</v>
      </c>
      <c r="H1568">
        <f>G1568/'user input'!$C$4</f>
        <v>0</v>
      </c>
    </row>
    <row r="1569" spans="1:8" x14ac:dyDescent="0.2">
      <c r="A1569" s="1">
        <v>41745</v>
      </c>
      <c r="B1569">
        <v>107</v>
      </c>
      <c r="C1569" s="6">
        <f>IF('weather data'!C1569&gt;'user input'!$C$3,'user input'!$C$3,'weather data'!C1569)</f>
        <v>2.7777777777777777</v>
      </c>
      <c r="D1569" s="6">
        <f>IF('weather data'!D1569&lt;'user input'!$C$2,'user input'!$C$2,'weather data'!D1569)</f>
        <v>10</v>
      </c>
      <c r="E1569">
        <f t="shared" si="25"/>
        <v>6.3888888888888893</v>
      </c>
      <c r="F1569">
        <f>IF((E1569-'user input'!$C$2)&lt;0,0,E1569-'user input'!$C$2)</f>
        <v>0</v>
      </c>
      <c r="G1569">
        <f>IF(B1569&lt;'user input'!$C$5,0,(F1569+G1568))</f>
        <v>0</v>
      </c>
      <c r="H1569">
        <f>G1569/'user input'!$C$4</f>
        <v>0</v>
      </c>
    </row>
    <row r="1570" spans="1:8" x14ac:dyDescent="0.2">
      <c r="A1570" s="1">
        <v>41746</v>
      </c>
      <c r="B1570">
        <v>108</v>
      </c>
      <c r="C1570" s="6">
        <f>IF('weather data'!C1570&gt;'user input'!$C$3,'user input'!$C$3,'weather data'!C1570)</f>
        <v>11.111111111111111</v>
      </c>
      <c r="D1570" s="6">
        <f>IF('weather data'!D1570&lt;'user input'!$C$2,'user input'!$C$2,'weather data'!D1570)</f>
        <v>10</v>
      </c>
      <c r="E1570">
        <f t="shared" si="25"/>
        <v>10.555555555555555</v>
      </c>
      <c r="F1570">
        <f>IF((E1570-'user input'!$C$2)&lt;0,0,E1570-'user input'!$C$2)</f>
        <v>0.55555555555555536</v>
      </c>
      <c r="G1570">
        <f>IF(B1570&lt;'user input'!$C$5,0,(F1570+G1569))</f>
        <v>0</v>
      </c>
      <c r="H1570">
        <f>G1570/'user input'!$C$4</f>
        <v>0</v>
      </c>
    </row>
    <row r="1571" spans="1:8" x14ac:dyDescent="0.2">
      <c r="A1571" s="1">
        <v>41747</v>
      </c>
      <c r="B1571">
        <v>109</v>
      </c>
      <c r="C1571" s="6">
        <f>IF('weather data'!C1571&gt;'user input'!$C$3,'user input'!$C$3,'weather data'!C1571)</f>
        <v>12.777777777777777</v>
      </c>
      <c r="D1571" s="6">
        <f>IF('weather data'!D1571&lt;'user input'!$C$2,'user input'!$C$2,'weather data'!D1571)</f>
        <v>10</v>
      </c>
      <c r="E1571">
        <f t="shared" si="25"/>
        <v>11.388888888888889</v>
      </c>
      <c r="F1571">
        <f>IF((E1571-'user input'!$C$2)&lt;0,0,E1571-'user input'!$C$2)</f>
        <v>1.3888888888888893</v>
      </c>
      <c r="G1571">
        <f>IF(B1571&lt;'user input'!$C$5,0,(F1571+G1570))</f>
        <v>0</v>
      </c>
      <c r="H1571">
        <f>G1571/'user input'!$C$4</f>
        <v>0</v>
      </c>
    </row>
    <row r="1572" spans="1:8" x14ac:dyDescent="0.2">
      <c r="A1572" s="1">
        <v>41748</v>
      </c>
      <c r="B1572">
        <v>110</v>
      </c>
      <c r="C1572" s="6">
        <f>IF('weather data'!C1572&gt;'user input'!$C$3,'user input'!$C$3,'weather data'!C1572)</f>
        <v>13.333333333333332</v>
      </c>
      <c r="D1572" s="6">
        <f>IF('weather data'!D1572&lt;'user input'!$C$2,'user input'!$C$2,'weather data'!D1572)</f>
        <v>10</v>
      </c>
      <c r="E1572">
        <f t="shared" si="25"/>
        <v>11.666666666666666</v>
      </c>
      <c r="F1572">
        <f>IF((E1572-'user input'!$C$2)&lt;0,0,E1572-'user input'!$C$2)</f>
        <v>1.6666666666666661</v>
      </c>
      <c r="G1572">
        <f>IF(B1572&lt;'user input'!$C$5,0,(F1572+G1571))</f>
        <v>0</v>
      </c>
      <c r="H1572">
        <f>G1572/'user input'!$C$4</f>
        <v>0</v>
      </c>
    </row>
    <row r="1573" spans="1:8" x14ac:dyDescent="0.2">
      <c r="A1573" s="1">
        <v>41749</v>
      </c>
      <c r="B1573">
        <v>111</v>
      </c>
      <c r="C1573" s="6">
        <f>IF('weather data'!C1573&gt;'user input'!$C$3,'user input'!$C$3,'weather data'!C1573)</f>
        <v>20</v>
      </c>
      <c r="D1573" s="6">
        <f>IF('weather data'!D1573&lt;'user input'!$C$2,'user input'!$C$2,'weather data'!D1573)</f>
        <v>10</v>
      </c>
      <c r="E1573">
        <f t="shared" si="25"/>
        <v>15</v>
      </c>
      <c r="F1573">
        <f>IF((E1573-'user input'!$C$2)&lt;0,0,E1573-'user input'!$C$2)</f>
        <v>5</v>
      </c>
      <c r="G1573">
        <f>IF(B1573&lt;'user input'!$C$5,0,(F1573+G1572))</f>
        <v>0</v>
      </c>
      <c r="H1573">
        <f>G1573/'user input'!$C$4</f>
        <v>0</v>
      </c>
    </row>
    <row r="1574" spans="1:8" x14ac:dyDescent="0.2">
      <c r="A1574" s="1">
        <v>41750</v>
      </c>
      <c r="B1574">
        <v>112</v>
      </c>
      <c r="C1574" s="6">
        <f>IF('weather data'!C1574&gt;'user input'!$C$3,'user input'!$C$3,'weather data'!C1574)</f>
        <v>22.777777777777779</v>
      </c>
      <c r="D1574" s="6">
        <f>IF('weather data'!D1574&lt;'user input'!$C$2,'user input'!$C$2,'weather data'!D1574)</f>
        <v>10.555555555555555</v>
      </c>
      <c r="E1574">
        <f t="shared" si="25"/>
        <v>16.666666666666668</v>
      </c>
      <c r="F1574">
        <f>IF((E1574-'user input'!$C$2)&lt;0,0,E1574-'user input'!$C$2)</f>
        <v>6.6666666666666679</v>
      </c>
      <c r="G1574">
        <f>IF(B1574&lt;'user input'!$C$5,0,(F1574+G1573))</f>
        <v>0</v>
      </c>
      <c r="H1574">
        <f>G1574/'user input'!$C$4</f>
        <v>0</v>
      </c>
    </row>
    <row r="1575" spans="1:8" x14ac:dyDescent="0.2">
      <c r="A1575" s="1">
        <v>41751</v>
      </c>
      <c r="B1575">
        <v>113</v>
      </c>
      <c r="C1575" s="6">
        <f>IF('weather data'!C1575&gt;'user input'!$C$3,'user input'!$C$3,'weather data'!C1575)</f>
        <v>21.666666666666664</v>
      </c>
      <c r="D1575" s="6">
        <f>IF('weather data'!D1575&lt;'user input'!$C$2,'user input'!$C$2,'weather data'!D1575)</f>
        <v>10</v>
      </c>
      <c r="E1575">
        <f t="shared" si="25"/>
        <v>15.833333333333332</v>
      </c>
      <c r="F1575">
        <f>IF((E1575-'user input'!$C$2)&lt;0,0,E1575-'user input'!$C$2)</f>
        <v>5.8333333333333321</v>
      </c>
      <c r="G1575">
        <f>IF(B1575&lt;'user input'!$C$5,0,(F1575+G1574))</f>
        <v>0</v>
      </c>
      <c r="H1575">
        <f>G1575/'user input'!$C$4</f>
        <v>0</v>
      </c>
    </row>
    <row r="1576" spans="1:8" x14ac:dyDescent="0.2">
      <c r="A1576" s="1">
        <v>41752</v>
      </c>
      <c r="B1576">
        <v>114</v>
      </c>
      <c r="C1576" s="6">
        <f>IF('weather data'!C1576&gt;'user input'!$C$3,'user input'!$C$3,'weather data'!C1576)</f>
        <v>15</v>
      </c>
      <c r="D1576" s="6">
        <f>IF('weather data'!D1576&lt;'user input'!$C$2,'user input'!$C$2,'weather data'!D1576)</f>
        <v>10</v>
      </c>
      <c r="E1576">
        <f t="shared" si="25"/>
        <v>12.5</v>
      </c>
      <c r="F1576">
        <f>IF((E1576-'user input'!$C$2)&lt;0,0,E1576-'user input'!$C$2)</f>
        <v>2.5</v>
      </c>
      <c r="G1576">
        <f>IF(B1576&lt;'user input'!$C$5,0,(F1576+G1575))</f>
        <v>0</v>
      </c>
      <c r="H1576">
        <f>G1576/'user input'!$C$4</f>
        <v>0</v>
      </c>
    </row>
    <row r="1577" spans="1:8" x14ac:dyDescent="0.2">
      <c r="A1577" s="1">
        <v>41753</v>
      </c>
      <c r="B1577">
        <v>115</v>
      </c>
      <c r="C1577" s="6">
        <f>IF('weather data'!C1577&gt;'user input'!$C$3,'user input'!$C$3,'weather data'!C1577)</f>
        <v>12.777777777777777</v>
      </c>
      <c r="D1577" s="6">
        <f>IF('weather data'!D1577&lt;'user input'!$C$2,'user input'!$C$2,'weather data'!D1577)</f>
        <v>10</v>
      </c>
      <c r="E1577">
        <f t="shared" si="25"/>
        <v>11.388888888888889</v>
      </c>
      <c r="F1577">
        <f>IF((E1577-'user input'!$C$2)&lt;0,0,E1577-'user input'!$C$2)</f>
        <v>1.3888888888888893</v>
      </c>
      <c r="G1577">
        <f>IF(B1577&lt;'user input'!$C$5,0,(F1577+G1576))</f>
        <v>0</v>
      </c>
      <c r="H1577">
        <f>G1577/'user input'!$C$4</f>
        <v>0</v>
      </c>
    </row>
    <row r="1578" spans="1:8" x14ac:dyDescent="0.2">
      <c r="A1578" s="1">
        <v>41754</v>
      </c>
      <c r="B1578">
        <v>116</v>
      </c>
      <c r="C1578" s="6">
        <f>IF('weather data'!C1578&gt;'user input'!$C$3,'user input'!$C$3,'weather data'!C1578)</f>
        <v>12.222222222222223</v>
      </c>
      <c r="D1578" s="6">
        <f>IF('weather data'!D1578&lt;'user input'!$C$2,'user input'!$C$2,'weather data'!D1578)</f>
        <v>10</v>
      </c>
      <c r="E1578">
        <f t="shared" si="25"/>
        <v>11.111111111111111</v>
      </c>
      <c r="F1578">
        <f>IF((E1578-'user input'!$C$2)&lt;0,0,E1578-'user input'!$C$2)</f>
        <v>1.1111111111111107</v>
      </c>
      <c r="G1578">
        <f>IF(B1578&lt;'user input'!$C$5,0,(F1578+G1577))</f>
        <v>0</v>
      </c>
      <c r="H1578">
        <f>G1578/'user input'!$C$4</f>
        <v>0</v>
      </c>
    </row>
    <row r="1579" spans="1:8" x14ac:dyDescent="0.2">
      <c r="A1579" s="1">
        <v>41755</v>
      </c>
      <c r="B1579">
        <v>117</v>
      </c>
      <c r="C1579" s="6">
        <f>IF('weather data'!C1579&gt;'user input'!$C$3,'user input'!$C$3,'weather data'!C1579)</f>
        <v>18.888888888888889</v>
      </c>
      <c r="D1579" s="6">
        <f>IF('weather data'!D1579&lt;'user input'!$C$2,'user input'!$C$2,'weather data'!D1579)</f>
        <v>10</v>
      </c>
      <c r="E1579">
        <f t="shared" si="25"/>
        <v>14.444444444444445</v>
      </c>
      <c r="F1579">
        <f>IF((E1579-'user input'!$C$2)&lt;0,0,E1579-'user input'!$C$2)</f>
        <v>4.4444444444444446</v>
      </c>
      <c r="G1579">
        <f>IF(B1579&lt;'user input'!$C$5,0,(F1579+G1578))</f>
        <v>0</v>
      </c>
      <c r="H1579">
        <f>G1579/'user input'!$C$4</f>
        <v>0</v>
      </c>
    </row>
    <row r="1580" spans="1:8" x14ac:dyDescent="0.2">
      <c r="A1580" s="1">
        <v>41756</v>
      </c>
      <c r="B1580">
        <v>118</v>
      </c>
      <c r="C1580" s="6">
        <f>IF('weather data'!C1580&gt;'user input'!$C$3,'user input'!$C$3,'weather data'!C1580)</f>
        <v>12.777777777777777</v>
      </c>
      <c r="D1580" s="6">
        <f>IF('weather data'!D1580&lt;'user input'!$C$2,'user input'!$C$2,'weather data'!D1580)</f>
        <v>10</v>
      </c>
      <c r="E1580">
        <f t="shared" si="25"/>
        <v>11.388888888888889</v>
      </c>
      <c r="F1580">
        <f>IF((E1580-'user input'!$C$2)&lt;0,0,E1580-'user input'!$C$2)</f>
        <v>1.3888888888888893</v>
      </c>
      <c r="G1580">
        <f>IF(B1580&lt;'user input'!$C$5,0,(F1580+G1579))</f>
        <v>0</v>
      </c>
      <c r="H1580">
        <f>G1580/'user input'!$C$4</f>
        <v>0</v>
      </c>
    </row>
    <row r="1581" spans="1:8" x14ac:dyDescent="0.2">
      <c r="A1581" s="1">
        <v>41757</v>
      </c>
      <c r="B1581">
        <v>119</v>
      </c>
      <c r="C1581" s="6">
        <f>IF('weather data'!C1581&gt;'user input'!$C$3,'user input'!$C$3,'weather data'!C1581)</f>
        <v>10</v>
      </c>
      <c r="D1581" s="6">
        <f>IF('weather data'!D1581&lt;'user input'!$C$2,'user input'!$C$2,'weather data'!D1581)</f>
        <v>10</v>
      </c>
      <c r="E1581">
        <f t="shared" si="25"/>
        <v>10</v>
      </c>
      <c r="F1581">
        <f>IF((E1581-'user input'!$C$2)&lt;0,0,E1581-'user input'!$C$2)</f>
        <v>0</v>
      </c>
      <c r="G1581">
        <f>IF(B1581&lt;'user input'!$C$5,0,(F1581+G1580))</f>
        <v>0</v>
      </c>
      <c r="H1581">
        <f>G1581/'user input'!$C$4</f>
        <v>0</v>
      </c>
    </row>
    <row r="1582" spans="1:8" x14ac:dyDescent="0.2">
      <c r="A1582" s="1">
        <v>41758</v>
      </c>
      <c r="B1582">
        <v>120</v>
      </c>
      <c r="C1582" s="6">
        <f>IF('weather data'!C1582&gt;'user input'!$C$3,'user input'!$C$3,'weather data'!C1582)</f>
        <v>8.3333333333333339</v>
      </c>
      <c r="D1582" s="6">
        <f>IF('weather data'!D1582&lt;'user input'!$C$2,'user input'!$C$2,'weather data'!D1582)</f>
        <v>10</v>
      </c>
      <c r="E1582">
        <f t="shared" si="25"/>
        <v>9.1666666666666679</v>
      </c>
      <c r="F1582">
        <f>IF((E1582-'user input'!$C$2)&lt;0,0,E1582-'user input'!$C$2)</f>
        <v>0</v>
      </c>
      <c r="G1582">
        <f>IF(B1582&lt;'user input'!$C$5,0,(F1582+G1581))</f>
        <v>0</v>
      </c>
      <c r="H1582">
        <f>G1582/'user input'!$C$4</f>
        <v>0</v>
      </c>
    </row>
    <row r="1583" spans="1:8" x14ac:dyDescent="0.2">
      <c r="A1583" s="1">
        <v>41759</v>
      </c>
      <c r="B1583">
        <v>121</v>
      </c>
      <c r="C1583" s="6">
        <f>IF('weather data'!C1583&gt;'user input'!$C$3,'user input'!$C$3,'weather data'!C1583)</f>
        <v>8.3333333333333339</v>
      </c>
      <c r="D1583" s="6">
        <f>IF('weather data'!D1583&lt;'user input'!$C$2,'user input'!$C$2,'weather data'!D1583)</f>
        <v>10</v>
      </c>
      <c r="E1583">
        <f t="shared" si="25"/>
        <v>9.1666666666666679</v>
      </c>
      <c r="F1583">
        <f>IF((E1583-'user input'!$C$2)&lt;0,0,E1583-'user input'!$C$2)</f>
        <v>0</v>
      </c>
      <c r="G1583">
        <f>IF(B1583&lt;'user input'!$C$5,0,(F1583+G1582))</f>
        <v>0</v>
      </c>
      <c r="H1583">
        <f>G1583/'user input'!$C$4</f>
        <v>0</v>
      </c>
    </row>
    <row r="1584" spans="1:8" x14ac:dyDescent="0.2">
      <c r="A1584" s="1">
        <v>41760</v>
      </c>
      <c r="B1584">
        <v>122</v>
      </c>
      <c r="C1584" s="6">
        <f>IF('weather data'!C1584&gt;'user input'!$C$3,'user input'!$C$3,'weather data'!C1584)</f>
        <v>7.7777777777777777</v>
      </c>
      <c r="D1584" s="6">
        <f>IF('weather data'!D1584&lt;'user input'!$C$2,'user input'!$C$2,'weather data'!D1584)</f>
        <v>10</v>
      </c>
      <c r="E1584">
        <f t="shared" si="25"/>
        <v>8.8888888888888893</v>
      </c>
      <c r="F1584">
        <f>IF((E1584-'user input'!$C$2)&lt;0,0,E1584-'user input'!$C$2)</f>
        <v>0</v>
      </c>
      <c r="G1584">
        <f>IF(B1584&lt;'user input'!$C$5,0,(F1584+G1583))</f>
        <v>0</v>
      </c>
      <c r="H1584">
        <f>G1584/'user input'!$C$4</f>
        <v>0</v>
      </c>
    </row>
    <row r="1585" spans="1:8" x14ac:dyDescent="0.2">
      <c r="A1585" s="1">
        <v>41761</v>
      </c>
      <c r="B1585">
        <v>123</v>
      </c>
      <c r="C1585" s="6">
        <f>IF('weather data'!C1585&gt;'user input'!$C$3,'user input'!$C$3,'weather data'!C1585)</f>
        <v>10.555555555555555</v>
      </c>
      <c r="D1585" s="6">
        <f>IF('weather data'!D1585&lt;'user input'!$C$2,'user input'!$C$2,'weather data'!D1585)</f>
        <v>10</v>
      </c>
      <c r="E1585">
        <f t="shared" si="25"/>
        <v>10.277777777777779</v>
      </c>
      <c r="F1585">
        <f>IF((E1585-'user input'!$C$2)&lt;0,0,E1585-'user input'!$C$2)</f>
        <v>0.27777777777777857</v>
      </c>
      <c r="G1585">
        <f>IF(B1585&lt;'user input'!$C$5,0,(F1585+G1584))</f>
        <v>0.27777777777777857</v>
      </c>
      <c r="H1585">
        <f>G1585/'user input'!$C$4</f>
        <v>2.3148148148148214E-4</v>
      </c>
    </row>
    <row r="1586" spans="1:8" x14ac:dyDescent="0.2">
      <c r="A1586" s="1">
        <v>41762</v>
      </c>
      <c r="B1586">
        <v>124</v>
      </c>
      <c r="C1586" s="6">
        <f>IF('weather data'!C1586&gt;'user input'!$C$3,'user input'!$C$3,'weather data'!C1586)</f>
        <v>12.222222222222223</v>
      </c>
      <c r="D1586" s="6">
        <f>IF('weather data'!D1586&lt;'user input'!$C$2,'user input'!$C$2,'weather data'!D1586)</f>
        <v>10</v>
      </c>
      <c r="E1586">
        <f t="shared" si="25"/>
        <v>11.111111111111111</v>
      </c>
      <c r="F1586">
        <f>IF((E1586-'user input'!$C$2)&lt;0,0,E1586-'user input'!$C$2)</f>
        <v>1.1111111111111107</v>
      </c>
      <c r="G1586">
        <f>IF(B1586&lt;'user input'!$C$5,0,(F1586+G1585))</f>
        <v>1.3888888888888893</v>
      </c>
      <c r="H1586">
        <f>G1586/'user input'!$C$4</f>
        <v>1.1574074074074078E-3</v>
      </c>
    </row>
    <row r="1587" spans="1:8" x14ac:dyDescent="0.2">
      <c r="A1587" s="1">
        <v>41763</v>
      </c>
      <c r="B1587">
        <v>125</v>
      </c>
      <c r="C1587" s="6">
        <f>IF('weather data'!C1587&gt;'user input'!$C$3,'user input'!$C$3,'weather data'!C1587)</f>
        <v>17.777777777777779</v>
      </c>
      <c r="D1587" s="6">
        <f>IF('weather data'!D1587&lt;'user input'!$C$2,'user input'!$C$2,'weather data'!D1587)</f>
        <v>10</v>
      </c>
      <c r="E1587">
        <f t="shared" si="25"/>
        <v>13.888888888888889</v>
      </c>
      <c r="F1587">
        <f>IF((E1587-'user input'!$C$2)&lt;0,0,E1587-'user input'!$C$2)</f>
        <v>3.8888888888888893</v>
      </c>
      <c r="G1587">
        <f>IF(B1587&lt;'user input'!$C$5,0,(F1587+G1586))</f>
        <v>5.2777777777777786</v>
      </c>
      <c r="H1587">
        <f>G1587/'user input'!$C$4</f>
        <v>4.3981481481481484E-3</v>
      </c>
    </row>
    <row r="1588" spans="1:8" x14ac:dyDescent="0.2">
      <c r="A1588" s="1">
        <v>41764</v>
      </c>
      <c r="B1588">
        <v>126</v>
      </c>
      <c r="C1588" s="6">
        <f>IF('weather data'!C1588&gt;'user input'!$C$3,'user input'!$C$3,'weather data'!C1588)</f>
        <v>18.333333333333332</v>
      </c>
      <c r="D1588" s="6">
        <f>IF('weather data'!D1588&lt;'user input'!$C$2,'user input'!$C$2,'weather data'!D1588)</f>
        <v>10</v>
      </c>
      <c r="E1588">
        <f t="shared" si="25"/>
        <v>14.166666666666666</v>
      </c>
      <c r="F1588">
        <f>IF((E1588-'user input'!$C$2)&lt;0,0,E1588-'user input'!$C$2)</f>
        <v>4.1666666666666661</v>
      </c>
      <c r="G1588">
        <f>IF(B1588&lt;'user input'!$C$5,0,(F1588+G1587))</f>
        <v>9.4444444444444446</v>
      </c>
      <c r="H1588">
        <f>G1588/'user input'!$C$4</f>
        <v>7.8703703703703713E-3</v>
      </c>
    </row>
    <row r="1589" spans="1:8" x14ac:dyDescent="0.2">
      <c r="A1589" s="1">
        <v>41765</v>
      </c>
      <c r="B1589">
        <v>127</v>
      </c>
      <c r="C1589" s="6">
        <f>IF('weather data'!C1589&gt;'user input'!$C$3,'user input'!$C$3,'weather data'!C1589)</f>
        <v>15.555555555555555</v>
      </c>
      <c r="D1589" s="6">
        <f>IF('weather data'!D1589&lt;'user input'!$C$2,'user input'!$C$2,'weather data'!D1589)</f>
        <v>10</v>
      </c>
      <c r="E1589">
        <f t="shared" si="25"/>
        <v>12.777777777777779</v>
      </c>
      <c r="F1589">
        <f>IF((E1589-'user input'!$C$2)&lt;0,0,E1589-'user input'!$C$2)</f>
        <v>2.7777777777777786</v>
      </c>
      <c r="G1589">
        <f>IF(B1589&lt;'user input'!$C$5,0,(F1589+G1588))</f>
        <v>12.222222222222223</v>
      </c>
      <c r="H1589">
        <f>G1589/'user input'!$C$4</f>
        <v>1.0185185185185186E-2</v>
      </c>
    </row>
    <row r="1590" spans="1:8" x14ac:dyDescent="0.2">
      <c r="A1590" s="1">
        <v>41766</v>
      </c>
      <c r="B1590">
        <v>128</v>
      </c>
      <c r="C1590" s="6">
        <f>IF('weather data'!C1590&gt;'user input'!$C$3,'user input'!$C$3,'weather data'!C1590)</f>
        <v>18.333333333333332</v>
      </c>
      <c r="D1590" s="6">
        <f>IF('weather data'!D1590&lt;'user input'!$C$2,'user input'!$C$2,'weather data'!D1590)</f>
        <v>10</v>
      </c>
      <c r="E1590">
        <f t="shared" si="25"/>
        <v>14.166666666666666</v>
      </c>
      <c r="F1590">
        <f>IF((E1590-'user input'!$C$2)&lt;0,0,E1590-'user input'!$C$2)</f>
        <v>4.1666666666666661</v>
      </c>
      <c r="G1590">
        <f>IF(B1590&lt;'user input'!$C$5,0,(F1590+G1589))</f>
        <v>16.388888888888889</v>
      </c>
      <c r="H1590">
        <f>G1590/'user input'!$C$4</f>
        <v>1.3657407407407408E-2</v>
      </c>
    </row>
    <row r="1591" spans="1:8" x14ac:dyDescent="0.2">
      <c r="A1591" s="1">
        <v>41767</v>
      </c>
      <c r="B1591">
        <v>129</v>
      </c>
      <c r="C1591" s="6">
        <f>IF('weather data'!C1591&gt;'user input'!$C$3,'user input'!$C$3,'weather data'!C1591)</f>
        <v>15.555555555555555</v>
      </c>
      <c r="D1591" s="6">
        <f>IF('weather data'!D1591&lt;'user input'!$C$2,'user input'!$C$2,'weather data'!D1591)</f>
        <v>10</v>
      </c>
      <c r="E1591">
        <f t="shared" si="25"/>
        <v>12.777777777777779</v>
      </c>
      <c r="F1591">
        <f>IF((E1591-'user input'!$C$2)&lt;0,0,E1591-'user input'!$C$2)</f>
        <v>2.7777777777777786</v>
      </c>
      <c r="G1591">
        <f>IF(B1591&lt;'user input'!$C$5,0,(F1591+G1590))</f>
        <v>19.166666666666668</v>
      </c>
      <c r="H1591">
        <f>G1591/'user input'!$C$4</f>
        <v>1.5972222222222224E-2</v>
      </c>
    </row>
    <row r="1592" spans="1:8" x14ac:dyDescent="0.2">
      <c r="A1592" s="1">
        <v>41768</v>
      </c>
      <c r="B1592">
        <v>130</v>
      </c>
      <c r="C1592" s="6">
        <f>IF('weather data'!C1592&gt;'user input'!$C$3,'user input'!$C$3,'weather data'!C1592)</f>
        <v>27.222222222222221</v>
      </c>
      <c r="D1592" s="6">
        <f>IF('weather data'!D1592&lt;'user input'!$C$2,'user input'!$C$2,'weather data'!D1592)</f>
        <v>14.444444444444445</v>
      </c>
      <c r="E1592">
        <f t="shared" si="25"/>
        <v>20.833333333333332</v>
      </c>
      <c r="F1592">
        <f>IF((E1592-'user input'!$C$2)&lt;0,0,E1592-'user input'!$C$2)</f>
        <v>10.833333333333332</v>
      </c>
      <c r="G1592">
        <f>IF(B1592&lt;'user input'!$C$5,0,(F1592+G1591))</f>
        <v>30</v>
      </c>
      <c r="H1592">
        <f>G1592/'user input'!$C$4</f>
        <v>2.5000000000000001E-2</v>
      </c>
    </row>
    <row r="1593" spans="1:8" x14ac:dyDescent="0.2">
      <c r="A1593" s="1">
        <v>41769</v>
      </c>
      <c r="B1593">
        <v>131</v>
      </c>
      <c r="C1593" s="6">
        <f>IF('weather data'!C1593&gt;'user input'!$C$3,'user input'!$C$3,'weather data'!C1593)</f>
        <v>18.333333333333332</v>
      </c>
      <c r="D1593" s="6">
        <f>IF('weather data'!D1593&lt;'user input'!$C$2,'user input'!$C$2,'weather data'!D1593)</f>
        <v>10</v>
      </c>
      <c r="E1593">
        <f t="shared" si="25"/>
        <v>14.166666666666666</v>
      </c>
      <c r="F1593">
        <f>IF((E1593-'user input'!$C$2)&lt;0,0,E1593-'user input'!$C$2)</f>
        <v>4.1666666666666661</v>
      </c>
      <c r="G1593">
        <f>IF(B1593&lt;'user input'!$C$5,0,(F1593+G1592))</f>
        <v>34.166666666666664</v>
      </c>
      <c r="H1593">
        <f>G1593/'user input'!$C$4</f>
        <v>2.8472222222222222E-2</v>
      </c>
    </row>
    <row r="1594" spans="1:8" x14ac:dyDescent="0.2">
      <c r="A1594" s="1">
        <v>41770</v>
      </c>
      <c r="B1594">
        <v>132</v>
      </c>
      <c r="C1594" s="6">
        <f>IF('weather data'!C1594&gt;'user input'!$C$3,'user input'!$C$3,'weather data'!C1594)</f>
        <v>21.111111111111111</v>
      </c>
      <c r="D1594" s="6">
        <f>IF('weather data'!D1594&lt;'user input'!$C$2,'user input'!$C$2,'weather data'!D1594)</f>
        <v>11.111111111111111</v>
      </c>
      <c r="E1594">
        <f t="shared" si="25"/>
        <v>16.111111111111111</v>
      </c>
      <c r="F1594">
        <f>IF((E1594-'user input'!$C$2)&lt;0,0,E1594-'user input'!$C$2)</f>
        <v>6.1111111111111107</v>
      </c>
      <c r="G1594">
        <f>IF(B1594&lt;'user input'!$C$5,0,(F1594+G1593))</f>
        <v>40.277777777777771</v>
      </c>
      <c r="H1594">
        <f>G1594/'user input'!$C$4</f>
        <v>3.3564814814814811E-2</v>
      </c>
    </row>
    <row r="1595" spans="1:8" x14ac:dyDescent="0.2">
      <c r="A1595" s="1">
        <v>41771</v>
      </c>
      <c r="B1595">
        <v>133</v>
      </c>
      <c r="C1595" s="6">
        <f>IF('weather data'!C1595&gt;'user input'!$C$3,'user input'!$C$3,'weather data'!C1595)</f>
        <v>25.555555555555554</v>
      </c>
      <c r="D1595" s="6">
        <f>IF('weather data'!D1595&lt;'user input'!$C$2,'user input'!$C$2,'weather data'!D1595)</f>
        <v>16.666666666666668</v>
      </c>
      <c r="E1595">
        <f t="shared" si="25"/>
        <v>21.111111111111111</v>
      </c>
      <c r="F1595">
        <f>IF((E1595-'user input'!$C$2)&lt;0,0,E1595-'user input'!$C$2)</f>
        <v>11.111111111111111</v>
      </c>
      <c r="G1595">
        <f>IF(B1595&lt;'user input'!$C$5,0,(F1595+G1594))</f>
        <v>51.388888888888886</v>
      </c>
      <c r="H1595">
        <f>G1595/'user input'!$C$4</f>
        <v>4.282407407407407E-2</v>
      </c>
    </row>
    <row r="1596" spans="1:8" x14ac:dyDescent="0.2">
      <c r="A1596" s="1">
        <v>41772</v>
      </c>
      <c r="B1596">
        <v>134</v>
      </c>
      <c r="C1596" s="6">
        <f>IF('weather data'!C1596&gt;'user input'!$C$3,'user input'!$C$3,'weather data'!C1596)</f>
        <v>25</v>
      </c>
      <c r="D1596" s="6">
        <f>IF('weather data'!D1596&lt;'user input'!$C$2,'user input'!$C$2,'weather data'!D1596)</f>
        <v>11.666666666666668</v>
      </c>
      <c r="E1596">
        <f t="shared" si="25"/>
        <v>18.333333333333336</v>
      </c>
      <c r="F1596">
        <f>IF((E1596-'user input'!$C$2)&lt;0,0,E1596-'user input'!$C$2)</f>
        <v>8.3333333333333357</v>
      </c>
      <c r="G1596">
        <f>IF(B1596&lt;'user input'!$C$5,0,(F1596+G1595))</f>
        <v>59.722222222222221</v>
      </c>
      <c r="H1596">
        <f>G1596/'user input'!$C$4</f>
        <v>4.9768518518518517E-2</v>
      </c>
    </row>
    <row r="1597" spans="1:8" x14ac:dyDescent="0.2">
      <c r="A1597" s="1">
        <v>41773</v>
      </c>
      <c r="B1597">
        <v>135</v>
      </c>
      <c r="C1597" s="6">
        <f>IF('weather data'!C1597&gt;'user input'!$C$3,'user input'!$C$3,'weather data'!C1597)</f>
        <v>21.111111111111111</v>
      </c>
      <c r="D1597" s="6">
        <f>IF('weather data'!D1597&lt;'user input'!$C$2,'user input'!$C$2,'weather data'!D1597)</f>
        <v>10</v>
      </c>
      <c r="E1597">
        <f t="shared" si="25"/>
        <v>15.555555555555555</v>
      </c>
      <c r="F1597">
        <f>IF((E1597-'user input'!$C$2)&lt;0,0,E1597-'user input'!$C$2)</f>
        <v>5.5555555555555554</v>
      </c>
      <c r="G1597">
        <f>IF(B1597&lt;'user input'!$C$5,0,(F1597+G1596))</f>
        <v>65.277777777777771</v>
      </c>
      <c r="H1597">
        <f>G1597/'user input'!$C$4</f>
        <v>5.439814814814814E-2</v>
      </c>
    </row>
    <row r="1598" spans="1:8" x14ac:dyDescent="0.2">
      <c r="A1598" s="1">
        <v>41774</v>
      </c>
      <c r="B1598">
        <v>136</v>
      </c>
      <c r="C1598" s="6">
        <f>IF('weather data'!C1598&gt;'user input'!$C$3,'user input'!$C$3,'weather data'!C1598)</f>
        <v>13.333333333333332</v>
      </c>
      <c r="D1598" s="6">
        <f>IF('weather data'!D1598&lt;'user input'!$C$2,'user input'!$C$2,'weather data'!D1598)</f>
        <v>10</v>
      </c>
      <c r="E1598">
        <f t="shared" si="25"/>
        <v>11.666666666666666</v>
      </c>
      <c r="F1598">
        <f>IF((E1598-'user input'!$C$2)&lt;0,0,E1598-'user input'!$C$2)</f>
        <v>1.6666666666666661</v>
      </c>
      <c r="G1598">
        <f>IF(B1598&lt;'user input'!$C$5,0,(F1598+G1597))</f>
        <v>66.944444444444443</v>
      </c>
      <c r="H1598">
        <f>G1598/'user input'!$C$4</f>
        <v>5.5787037037037038E-2</v>
      </c>
    </row>
    <row r="1599" spans="1:8" x14ac:dyDescent="0.2">
      <c r="A1599" s="1">
        <v>41775</v>
      </c>
      <c r="B1599">
        <v>137</v>
      </c>
      <c r="C1599" s="6">
        <f>IF('weather data'!C1599&gt;'user input'!$C$3,'user input'!$C$3,'weather data'!C1599)</f>
        <v>12.777777777777777</v>
      </c>
      <c r="D1599" s="6">
        <f>IF('weather data'!D1599&lt;'user input'!$C$2,'user input'!$C$2,'weather data'!D1599)</f>
        <v>10</v>
      </c>
      <c r="E1599">
        <f t="shared" si="25"/>
        <v>11.388888888888889</v>
      </c>
      <c r="F1599">
        <f>IF((E1599-'user input'!$C$2)&lt;0,0,E1599-'user input'!$C$2)</f>
        <v>1.3888888888888893</v>
      </c>
      <c r="G1599">
        <f>IF(B1599&lt;'user input'!$C$5,0,(F1599+G1598))</f>
        <v>68.333333333333329</v>
      </c>
      <c r="H1599">
        <f>G1599/'user input'!$C$4</f>
        <v>5.6944444444444443E-2</v>
      </c>
    </row>
    <row r="1600" spans="1:8" x14ac:dyDescent="0.2">
      <c r="A1600" s="1">
        <v>41776</v>
      </c>
      <c r="B1600">
        <v>138</v>
      </c>
      <c r="C1600" s="6">
        <f>IF('weather data'!C1600&gt;'user input'!$C$3,'user input'!$C$3,'weather data'!C1600)</f>
        <v>12.777777777777777</v>
      </c>
      <c r="D1600" s="6">
        <f>IF('weather data'!D1600&lt;'user input'!$C$2,'user input'!$C$2,'weather data'!D1600)</f>
        <v>10</v>
      </c>
      <c r="E1600">
        <f t="shared" si="25"/>
        <v>11.388888888888889</v>
      </c>
      <c r="F1600">
        <f>IF((E1600-'user input'!$C$2)&lt;0,0,E1600-'user input'!$C$2)</f>
        <v>1.3888888888888893</v>
      </c>
      <c r="G1600">
        <f>IF(B1600&lt;'user input'!$C$5,0,(F1600+G1599))</f>
        <v>69.722222222222214</v>
      </c>
      <c r="H1600">
        <f>G1600/'user input'!$C$4</f>
        <v>5.8101851851851842E-2</v>
      </c>
    </row>
    <row r="1601" spans="1:8" x14ac:dyDescent="0.2">
      <c r="A1601" s="1">
        <v>41777</v>
      </c>
      <c r="B1601">
        <v>139</v>
      </c>
      <c r="C1601" s="6">
        <f>IF('weather data'!C1601&gt;'user input'!$C$3,'user input'!$C$3,'weather data'!C1601)</f>
        <v>17.222222222222221</v>
      </c>
      <c r="D1601" s="6">
        <f>IF('weather data'!D1601&lt;'user input'!$C$2,'user input'!$C$2,'weather data'!D1601)</f>
        <v>10</v>
      </c>
      <c r="E1601">
        <f t="shared" si="25"/>
        <v>13.611111111111111</v>
      </c>
      <c r="F1601">
        <f>IF((E1601-'user input'!$C$2)&lt;0,0,E1601-'user input'!$C$2)</f>
        <v>3.6111111111111107</v>
      </c>
      <c r="G1601">
        <f>IF(B1601&lt;'user input'!$C$5,0,(F1601+G1600))</f>
        <v>73.333333333333329</v>
      </c>
      <c r="H1601">
        <f>G1601/'user input'!$C$4</f>
        <v>6.1111111111111109E-2</v>
      </c>
    </row>
    <row r="1602" spans="1:8" x14ac:dyDescent="0.2">
      <c r="A1602" s="1">
        <v>41778</v>
      </c>
      <c r="B1602">
        <v>140</v>
      </c>
      <c r="C1602" s="6">
        <f>IF('weather data'!C1602&gt;'user input'!$C$3,'user input'!$C$3,'weather data'!C1602)</f>
        <v>23.333333333333336</v>
      </c>
      <c r="D1602" s="6">
        <f>IF('weather data'!D1602&lt;'user input'!$C$2,'user input'!$C$2,'weather data'!D1602)</f>
        <v>10.555555555555555</v>
      </c>
      <c r="E1602">
        <f t="shared" si="25"/>
        <v>16.944444444444446</v>
      </c>
      <c r="F1602">
        <f>IF((E1602-'user input'!$C$2)&lt;0,0,E1602-'user input'!$C$2)</f>
        <v>6.9444444444444464</v>
      </c>
      <c r="G1602">
        <f>IF(B1602&lt;'user input'!$C$5,0,(F1602+G1601))</f>
        <v>80.277777777777771</v>
      </c>
      <c r="H1602">
        <f>G1602/'user input'!$C$4</f>
        <v>6.6898148148148137E-2</v>
      </c>
    </row>
    <row r="1603" spans="1:8" x14ac:dyDescent="0.2">
      <c r="A1603" s="1">
        <v>41779</v>
      </c>
      <c r="B1603">
        <v>141</v>
      </c>
      <c r="C1603" s="6">
        <f>IF('weather data'!C1603&gt;'user input'!$C$3,'user input'!$C$3,'weather data'!C1603)</f>
        <v>22.777777777777779</v>
      </c>
      <c r="D1603" s="6">
        <f>IF('weather data'!D1603&lt;'user input'!$C$2,'user input'!$C$2,'weather data'!D1603)</f>
        <v>11.111111111111111</v>
      </c>
      <c r="E1603">
        <f t="shared" si="25"/>
        <v>16.944444444444443</v>
      </c>
      <c r="F1603">
        <f>IF((E1603-'user input'!$C$2)&lt;0,0,E1603-'user input'!$C$2)</f>
        <v>6.9444444444444429</v>
      </c>
      <c r="G1603">
        <f>IF(B1603&lt;'user input'!$C$5,0,(F1603+G1602))</f>
        <v>87.222222222222214</v>
      </c>
      <c r="H1603">
        <f>G1603/'user input'!$C$4</f>
        <v>7.2685185185185172E-2</v>
      </c>
    </row>
    <row r="1604" spans="1:8" x14ac:dyDescent="0.2">
      <c r="A1604" s="1">
        <v>41780</v>
      </c>
      <c r="B1604">
        <v>142</v>
      </c>
      <c r="C1604" s="6">
        <f>IF('weather data'!C1604&gt;'user input'!$C$3,'user input'!$C$3,'weather data'!C1604)</f>
        <v>30</v>
      </c>
      <c r="D1604" s="6">
        <f>IF('weather data'!D1604&lt;'user input'!$C$2,'user input'!$C$2,'weather data'!D1604)</f>
        <v>12.777777777777777</v>
      </c>
      <c r="E1604">
        <f t="shared" si="25"/>
        <v>21.388888888888889</v>
      </c>
      <c r="F1604">
        <f>IF((E1604-'user input'!$C$2)&lt;0,0,E1604-'user input'!$C$2)</f>
        <v>11.388888888888889</v>
      </c>
      <c r="G1604">
        <f>IF(B1604&lt;'user input'!$C$5,0,(F1604+G1603))</f>
        <v>98.6111111111111</v>
      </c>
      <c r="H1604">
        <f>G1604/'user input'!$C$4</f>
        <v>8.2175925925925916E-2</v>
      </c>
    </row>
    <row r="1605" spans="1:8" x14ac:dyDescent="0.2">
      <c r="A1605" s="1">
        <v>41781</v>
      </c>
      <c r="B1605">
        <v>143</v>
      </c>
      <c r="C1605" s="6">
        <f>IF('weather data'!C1605&gt;'user input'!$C$3,'user input'!$C$3,'weather data'!C1605)</f>
        <v>28.888888888888889</v>
      </c>
      <c r="D1605" s="6">
        <f>IF('weather data'!D1605&lt;'user input'!$C$2,'user input'!$C$2,'weather data'!D1605)</f>
        <v>10</v>
      </c>
      <c r="E1605">
        <f t="shared" si="25"/>
        <v>19.444444444444443</v>
      </c>
      <c r="F1605">
        <f>IF((E1605-'user input'!$C$2)&lt;0,0,E1605-'user input'!$C$2)</f>
        <v>9.4444444444444429</v>
      </c>
      <c r="G1605">
        <f>IF(B1605&lt;'user input'!$C$5,0,(F1605+G1604))</f>
        <v>108.05555555555554</v>
      </c>
      <c r="H1605">
        <f>G1605/'user input'!$C$4</f>
        <v>9.0046296296296291E-2</v>
      </c>
    </row>
    <row r="1606" spans="1:8" x14ac:dyDescent="0.2">
      <c r="A1606" s="1">
        <v>41782</v>
      </c>
      <c r="B1606">
        <v>144</v>
      </c>
      <c r="C1606" s="6">
        <f>IF('weather data'!C1606&gt;'user input'!$C$3,'user input'!$C$3,'weather data'!C1606)</f>
        <v>23.333333333333336</v>
      </c>
      <c r="D1606" s="6">
        <f>IF('weather data'!D1606&lt;'user input'!$C$2,'user input'!$C$2,'weather data'!D1606)</f>
        <v>10</v>
      </c>
      <c r="E1606">
        <f t="shared" si="25"/>
        <v>16.666666666666668</v>
      </c>
      <c r="F1606">
        <f>IF((E1606-'user input'!$C$2)&lt;0,0,E1606-'user input'!$C$2)</f>
        <v>6.6666666666666679</v>
      </c>
      <c r="G1606">
        <f>IF(B1606&lt;'user input'!$C$5,0,(F1606+G1605))</f>
        <v>114.72222222222221</v>
      </c>
      <c r="H1606">
        <f>G1606/'user input'!$C$4</f>
        <v>9.5601851851851841E-2</v>
      </c>
    </row>
    <row r="1607" spans="1:8" x14ac:dyDescent="0.2">
      <c r="A1607" s="1">
        <v>41783</v>
      </c>
      <c r="B1607">
        <v>145</v>
      </c>
      <c r="C1607" s="6">
        <f>IF('weather data'!C1607&gt;'user input'!$C$3,'user input'!$C$3,'weather data'!C1607)</f>
        <v>22.777777777777779</v>
      </c>
      <c r="D1607" s="6">
        <f>IF('weather data'!D1607&lt;'user input'!$C$2,'user input'!$C$2,'weather data'!D1607)</f>
        <v>10</v>
      </c>
      <c r="E1607">
        <f t="shared" si="25"/>
        <v>16.388888888888889</v>
      </c>
      <c r="F1607">
        <f>IF((E1607-'user input'!$C$2)&lt;0,0,E1607-'user input'!$C$2)</f>
        <v>6.3888888888888893</v>
      </c>
      <c r="G1607">
        <f>IF(B1607&lt;'user input'!$C$5,0,(F1607+G1606))</f>
        <v>121.1111111111111</v>
      </c>
      <c r="H1607">
        <f>G1607/'user input'!$C$4</f>
        <v>0.10092592592592592</v>
      </c>
    </row>
    <row r="1608" spans="1:8" x14ac:dyDescent="0.2">
      <c r="A1608" s="1">
        <v>41784</v>
      </c>
      <c r="B1608">
        <v>146</v>
      </c>
      <c r="C1608" s="6">
        <f>IF('weather data'!C1608&gt;'user input'!$C$3,'user input'!$C$3,'weather data'!C1608)</f>
        <v>24.444444444444446</v>
      </c>
      <c r="D1608" s="6">
        <f>IF('weather data'!D1608&lt;'user input'!$C$2,'user input'!$C$2,'weather data'!D1608)</f>
        <v>10</v>
      </c>
      <c r="E1608">
        <f t="shared" si="25"/>
        <v>17.222222222222221</v>
      </c>
      <c r="F1608">
        <f>IF((E1608-'user input'!$C$2)&lt;0,0,E1608-'user input'!$C$2)</f>
        <v>7.2222222222222214</v>
      </c>
      <c r="G1608">
        <f>IF(B1608&lt;'user input'!$C$5,0,(F1608+G1607))</f>
        <v>128.33333333333331</v>
      </c>
      <c r="H1608">
        <f>G1608/'user input'!$C$4</f>
        <v>0.10694444444444443</v>
      </c>
    </row>
    <row r="1609" spans="1:8" x14ac:dyDescent="0.2">
      <c r="A1609" s="1">
        <v>41785</v>
      </c>
      <c r="B1609">
        <v>147</v>
      </c>
      <c r="C1609" s="6">
        <f>IF('weather data'!C1609&gt;'user input'!$C$3,'user input'!$C$3,'weather data'!C1609)</f>
        <v>28.333333333333336</v>
      </c>
      <c r="D1609" s="6">
        <f>IF('weather data'!D1609&lt;'user input'!$C$2,'user input'!$C$2,'weather data'!D1609)</f>
        <v>17.777777777777779</v>
      </c>
      <c r="E1609">
        <f t="shared" si="25"/>
        <v>23.055555555555557</v>
      </c>
      <c r="F1609">
        <f>IF((E1609-'user input'!$C$2)&lt;0,0,E1609-'user input'!$C$2)</f>
        <v>13.055555555555557</v>
      </c>
      <c r="G1609">
        <f>IF(B1609&lt;'user input'!$C$5,0,(F1609+G1608))</f>
        <v>141.38888888888886</v>
      </c>
      <c r="H1609">
        <f>G1609/'user input'!$C$4</f>
        <v>0.11782407407407405</v>
      </c>
    </row>
    <row r="1610" spans="1:8" x14ac:dyDescent="0.2">
      <c r="A1610" s="1">
        <v>41786</v>
      </c>
      <c r="B1610">
        <v>148</v>
      </c>
      <c r="C1610" s="6">
        <f>IF('weather data'!C1610&gt;'user input'!$C$3,'user input'!$C$3,'weather data'!C1610)</f>
        <v>27.222222222222221</v>
      </c>
      <c r="D1610" s="6">
        <f>IF('weather data'!D1610&lt;'user input'!$C$2,'user input'!$C$2,'weather data'!D1610)</f>
        <v>18.333333333333332</v>
      </c>
      <c r="E1610">
        <f t="shared" si="25"/>
        <v>22.777777777777779</v>
      </c>
      <c r="F1610">
        <f>IF((E1610-'user input'!$C$2)&lt;0,0,E1610-'user input'!$C$2)</f>
        <v>12.777777777777779</v>
      </c>
      <c r="G1610">
        <f>IF(B1610&lt;'user input'!$C$5,0,(F1610+G1609))</f>
        <v>154.16666666666663</v>
      </c>
      <c r="H1610">
        <f>G1610/'user input'!$C$4</f>
        <v>0.12847222222222218</v>
      </c>
    </row>
    <row r="1611" spans="1:8" x14ac:dyDescent="0.2">
      <c r="A1611" s="1">
        <v>41787</v>
      </c>
      <c r="B1611">
        <v>149</v>
      </c>
      <c r="C1611" s="6">
        <f>IF('weather data'!C1611&gt;'user input'!$C$3,'user input'!$C$3,'weather data'!C1611)</f>
        <v>30</v>
      </c>
      <c r="D1611" s="6">
        <f>IF('weather data'!D1611&lt;'user input'!$C$2,'user input'!$C$2,'weather data'!D1611)</f>
        <v>15</v>
      </c>
      <c r="E1611">
        <f t="shared" si="25"/>
        <v>22.5</v>
      </c>
      <c r="F1611">
        <f>IF((E1611-'user input'!$C$2)&lt;0,0,E1611-'user input'!$C$2)</f>
        <v>12.5</v>
      </c>
      <c r="G1611">
        <f>IF(B1611&lt;'user input'!$C$5,0,(F1611+G1610))</f>
        <v>166.66666666666663</v>
      </c>
      <c r="H1611">
        <f>G1611/'user input'!$C$4</f>
        <v>0.13888888888888887</v>
      </c>
    </row>
    <row r="1612" spans="1:8" x14ac:dyDescent="0.2">
      <c r="A1612" s="1">
        <v>41788</v>
      </c>
      <c r="B1612">
        <v>150</v>
      </c>
      <c r="C1612" s="6">
        <f>IF('weather data'!C1612&gt;'user input'!$C$3,'user input'!$C$3,'weather data'!C1612)</f>
        <v>23.333333333333336</v>
      </c>
      <c r="D1612" s="6">
        <f>IF('weather data'!D1612&lt;'user input'!$C$2,'user input'!$C$2,'weather data'!D1612)</f>
        <v>11.111111111111111</v>
      </c>
      <c r="E1612">
        <f t="shared" si="25"/>
        <v>17.222222222222221</v>
      </c>
      <c r="F1612">
        <f>IF((E1612-'user input'!$C$2)&lt;0,0,E1612-'user input'!$C$2)</f>
        <v>7.2222222222222214</v>
      </c>
      <c r="G1612">
        <f>IF(B1612&lt;'user input'!$C$5,0,(F1612+G1611))</f>
        <v>173.88888888888886</v>
      </c>
      <c r="H1612">
        <f>G1612/'user input'!$C$4</f>
        <v>0.14490740740740737</v>
      </c>
    </row>
    <row r="1613" spans="1:8" x14ac:dyDescent="0.2">
      <c r="A1613" s="1">
        <v>41789</v>
      </c>
      <c r="B1613">
        <v>151</v>
      </c>
      <c r="C1613" s="6">
        <f>IF('weather data'!C1613&gt;'user input'!$C$3,'user input'!$C$3,'weather data'!C1613)</f>
        <v>27.777777777777779</v>
      </c>
      <c r="D1613" s="6">
        <f>IF('weather data'!D1613&lt;'user input'!$C$2,'user input'!$C$2,'weather data'!D1613)</f>
        <v>10</v>
      </c>
      <c r="E1613">
        <f t="shared" si="25"/>
        <v>18.888888888888889</v>
      </c>
      <c r="F1613">
        <f>IF((E1613-'user input'!$C$2)&lt;0,0,E1613-'user input'!$C$2)</f>
        <v>8.8888888888888893</v>
      </c>
      <c r="G1613">
        <f>IF(B1613&lt;'user input'!$C$5,0,(F1613+G1612))</f>
        <v>182.77777777777774</v>
      </c>
      <c r="H1613">
        <f>G1613/'user input'!$C$4</f>
        <v>0.15231481481481479</v>
      </c>
    </row>
    <row r="1614" spans="1:8" x14ac:dyDescent="0.2">
      <c r="A1614" s="1">
        <v>41790</v>
      </c>
      <c r="B1614">
        <v>152</v>
      </c>
      <c r="C1614" s="6">
        <f>IF('weather data'!C1614&gt;'user input'!$C$3,'user input'!$C$3,'weather data'!C1614)</f>
        <v>29.444444444444446</v>
      </c>
      <c r="D1614" s="6">
        <f>IF('weather data'!D1614&lt;'user input'!$C$2,'user input'!$C$2,'weather data'!D1614)</f>
        <v>10.555555555555555</v>
      </c>
      <c r="E1614">
        <f t="shared" si="25"/>
        <v>20</v>
      </c>
      <c r="F1614">
        <f>IF((E1614-'user input'!$C$2)&lt;0,0,E1614-'user input'!$C$2)</f>
        <v>10</v>
      </c>
      <c r="G1614">
        <f>IF(B1614&lt;'user input'!$C$5,0,(F1614+G1613))</f>
        <v>192.77777777777774</v>
      </c>
      <c r="H1614">
        <f>G1614/'user input'!$C$4</f>
        <v>0.16064814814814812</v>
      </c>
    </row>
    <row r="1615" spans="1:8" x14ac:dyDescent="0.2">
      <c r="A1615" s="1">
        <v>41791</v>
      </c>
      <c r="B1615">
        <v>153</v>
      </c>
      <c r="C1615" s="6">
        <f>IF('weather data'!C1615&gt;'user input'!$C$3,'user input'!$C$3,'weather data'!C1615)</f>
        <v>30</v>
      </c>
      <c r="D1615" s="6">
        <f>IF('weather data'!D1615&lt;'user input'!$C$2,'user input'!$C$2,'weather data'!D1615)</f>
        <v>17.777777777777779</v>
      </c>
      <c r="E1615">
        <f t="shared" si="25"/>
        <v>23.888888888888889</v>
      </c>
      <c r="F1615">
        <f>IF((E1615-'user input'!$C$2)&lt;0,0,E1615-'user input'!$C$2)</f>
        <v>13.888888888888889</v>
      </c>
      <c r="G1615">
        <f>IF(B1615&lt;'user input'!$C$5,0,(F1615+G1614))</f>
        <v>206.66666666666663</v>
      </c>
      <c r="H1615">
        <f>G1615/'user input'!$C$4</f>
        <v>0.17222222222222219</v>
      </c>
    </row>
    <row r="1616" spans="1:8" x14ac:dyDescent="0.2">
      <c r="A1616" s="1">
        <v>41792</v>
      </c>
      <c r="B1616">
        <v>154</v>
      </c>
      <c r="C1616" s="6">
        <f>IF('weather data'!C1616&gt;'user input'!$C$3,'user input'!$C$3,'weather data'!C1616)</f>
        <v>30</v>
      </c>
      <c r="D1616" s="6">
        <f>IF('weather data'!D1616&lt;'user input'!$C$2,'user input'!$C$2,'weather data'!D1616)</f>
        <v>20</v>
      </c>
      <c r="E1616">
        <f t="shared" si="25"/>
        <v>25</v>
      </c>
      <c r="F1616">
        <f>IF((E1616-'user input'!$C$2)&lt;0,0,E1616-'user input'!$C$2)</f>
        <v>15</v>
      </c>
      <c r="G1616">
        <f>IF(B1616&lt;'user input'!$C$5,0,(F1616+G1615))</f>
        <v>221.66666666666663</v>
      </c>
      <c r="H1616">
        <f>G1616/'user input'!$C$4</f>
        <v>0.1847222222222222</v>
      </c>
    </row>
    <row r="1617" spans="1:8" x14ac:dyDescent="0.2">
      <c r="A1617" s="1">
        <v>41793</v>
      </c>
      <c r="B1617">
        <v>155</v>
      </c>
      <c r="C1617" s="6">
        <f>IF('weather data'!C1617&gt;'user input'!$C$3,'user input'!$C$3,'weather data'!C1617)</f>
        <v>26.666666666666664</v>
      </c>
      <c r="D1617" s="6">
        <f>IF('weather data'!D1617&lt;'user input'!$C$2,'user input'!$C$2,'weather data'!D1617)</f>
        <v>15</v>
      </c>
      <c r="E1617">
        <f t="shared" si="25"/>
        <v>20.833333333333332</v>
      </c>
      <c r="F1617">
        <f>IF((E1617-'user input'!$C$2)&lt;0,0,E1617-'user input'!$C$2)</f>
        <v>10.833333333333332</v>
      </c>
      <c r="G1617">
        <f>IF(B1617&lt;'user input'!$C$5,0,(F1617+G1616))</f>
        <v>232.49999999999997</v>
      </c>
      <c r="H1617">
        <f>G1617/'user input'!$C$4</f>
        <v>0.19374999999999998</v>
      </c>
    </row>
    <row r="1618" spans="1:8" x14ac:dyDescent="0.2">
      <c r="A1618" s="1">
        <v>41794</v>
      </c>
      <c r="B1618">
        <v>156</v>
      </c>
      <c r="C1618" s="6">
        <f>IF('weather data'!C1618&gt;'user input'!$C$3,'user input'!$C$3,'weather data'!C1618)</f>
        <v>25</v>
      </c>
      <c r="D1618" s="6">
        <f>IF('weather data'!D1618&lt;'user input'!$C$2,'user input'!$C$2,'weather data'!D1618)</f>
        <v>15.555555555555555</v>
      </c>
      <c r="E1618">
        <f t="shared" ref="E1618:E1681" si="26">(C1618+D1618)/2</f>
        <v>20.277777777777779</v>
      </c>
      <c r="F1618">
        <f>IF((E1618-'user input'!$C$2)&lt;0,0,E1618-'user input'!$C$2)</f>
        <v>10.277777777777779</v>
      </c>
      <c r="G1618">
        <f>IF(B1618&lt;'user input'!$C$5,0,(F1618+G1617))</f>
        <v>242.77777777777774</v>
      </c>
      <c r="H1618">
        <f>G1618/'user input'!$C$4</f>
        <v>0.20231481481481478</v>
      </c>
    </row>
    <row r="1619" spans="1:8" x14ac:dyDescent="0.2">
      <c r="A1619" s="1">
        <v>41795</v>
      </c>
      <c r="B1619">
        <v>157</v>
      </c>
      <c r="C1619" s="6">
        <f>IF('weather data'!C1619&gt;'user input'!$C$3,'user input'!$C$3,'weather data'!C1619)</f>
        <v>23.333333333333336</v>
      </c>
      <c r="D1619" s="6">
        <f>IF('weather data'!D1619&lt;'user input'!$C$2,'user input'!$C$2,'weather data'!D1619)</f>
        <v>11.666666666666668</v>
      </c>
      <c r="E1619">
        <f t="shared" si="26"/>
        <v>17.5</v>
      </c>
      <c r="F1619">
        <f>IF((E1619-'user input'!$C$2)&lt;0,0,E1619-'user input'!$C$2)</f>
        <v>7.5</v>
      </c>
      <c r="G1619">
        <f>IF(B1619&lt;'user input'!$C$5,0,(F1619+G1618))</f>
        <v>250.27777777777774</v>
      </c>
      <c r="H1619">
        <f>G1619/'user input'!$C$4</f>
        <v>0.20856481481481479</v>
      </c>
    </row>
    <row r="1620" spans="1:8" x14ac:dyDescent="0.2">
      <c r="A1620" s="1">
        <v>41796</v>
      </c>
      <c r="B1620">
        <v>158</v>
      </c>
      <c r="C1620" s="6">
        <f>IF('weather data'!C1620&gt;'user input'!$C$3,'user input'!$C$3,'weather data'!C1620)</f>
        <v>26.111111111111111</v>
      </c>
      <c r="D1620" s="6">
        <f>IF('weather data'!D1620&lt;'user input'!$C$2,'user input'!$C$2,'weather data'!D1620)</f>
        <v>12.222222222222223</v>
      </c>
      <c r="E1620">
        <f t="shared" si="26"/>
        <v>19.166666666666668</v>
      </c>
      <c r="F1620">
        <f>IF((E1620-'user input'!$C$2)&lt;0,0,E1620-'user input'!$C$2)</f>
        <v>9.1666666666666679</v>
      </c>
      <c r="G1620">
        <f>IF(B1620&lt;'user input'!$C$5,0,(F1620+G1619))</f>
        <v>259.4444444444444</v>
      </c>
      <c r="H1620">
        <f>G1620/'user input'!$C$4</f>
        <v>0.21620370370370368</v>
      </c>
    </row>
    <row r="1621" spans="1:8" x14ac:dyDescent="0.2">
      <c r="A1621" s="1">
        <v>41797</v>
      </c>
      <c r="B1621">
        <v>159</v>
      </c>
      <c r="C1621" s="6">
        <f>IF('weather data'!C1621&gt;'user input'!$C$3,'user input'!$C$3,'weather data'!C1621)</f>
        <v>27.222222222222221</v>
      </c>
      <c r="D1621" s="6">
        <f>IF('weather data'!D1621&lt;'user input'!$C$2,'user input'!$C$2,'weather data'!D1621)</f>
        <v>13.888888888888889</v>
      </c>
      <c r="E1621">
        <f t="shared" si="26"/>
        <v>20.555555555555557</v>
      </c>
      <c r="F1621">
        <f>IF((E1621-'user input'!$C$2)&lt;0,0,E1621-'user input'!$C$2)</f>
        <v>10.555555555555557</v>
      </c>
      <c r="G1621">
        <f>IF(B1621&lt;'user input'!$C$5,0,(F1621+G1620))</f>
        <v>269.99999999999994</v>
      </c>
      <c r="H1621">
        <f>G1621/'user input'!$C$4</f>
        <v>0.22499999999999995</v>
      </c>
    </row>
    <row r="1622" spans="1:8" x14ac:dyDescent="0.2">
      <c r="A1622" s="1">
        <v>41798</v>
      </c>
      <c r="B1622">
        <v>160</v>
      </c>
      <c r="C1622" s="6">
        <f>IF('weather data'!C1622&gt;'user input'!$C$3,'user input'!$C$3,'weather data'!C1622)</f>
        <v>27.222222222222221</v>
      </c>
      <c r="D1622" s="6">
        <f>IF('weather data'!D1622&lt;'user input'!$C$2,'user input'!$C$2,'weather data'!D1622)</f>
        <v>13.888888888888889</v>
      </c>
      <c r="E1622">
        <f t="shared" si="26"/>
        <v>20.555555555555557</v>
      </c>
      <c r="F1622">
        <f>IF((E1622-'user input'!$C$2)&lt;0,0,E1622-'user input'!$C$2)</f>
        <v>10.555555555555557</v>
      </c>
      <c r="G1622">
        <f>IF(B1622&lt;'user input'!$C$5,0,(F1622+G1621))</f>
        <v>280.55555555555549</v>
      </c>
      <c r="H1622">
        <f>G1622/'user input'!$C$4</f>
        <v>0.23379629629629625</v>
      </c>
    </row>
    <row r="1623" spans="1:8" x14ac:dyDescent="0.2">
      <c r="A1623" s="1">
        <v>41799</v>
      </c>
      <c r="B1623">
        <v>161</v>
      </c>
      <c r="C1623" s="6">
        <f>IF('weather data'!C1623&gt;'user input'!$C$3,'user input'!$C$3,'weather data'!C1623)</f>
        <v>22.777777777777779</v>
      </c>
      <c r="D1623" s="6">
        <f>IF('weather data'!D1623&lt;'user input'!$C$2,'user input'!$C$2,'weather data'!D1623)</f>
        <v>10</v>
      </c>
      <c r="E1623">
        <f t="shared" si="26"/>
        <v>16.388888888888889</v>
      </c>
      <c r="F1623">
        <f>IF((E1623-'user input'!$C$2)&lt;0,0,E1623-'user input'!$C$2)</f>
        <v>6.3888888888888893</v>
      </c>
      <c r="G1623">
        <f>IF(B1623&lt;'user input'!$C$5,0,(F1623+G1622))</f>
        <v>286.9444444444444</v>
      </c>
      <c r="H1623">
        <f>G1623/'user input'!$C$4</f>
        <v>0.23912037037037034</v>
      </c>
    </row>
    <row r="1624" spans="1:8" x14ac:dyDescent="0.2">
      <c r="A1624" s="1">
        <v>41800</v>
      </c>
      <c r="B1624">
        <v>162</v>
      </c>
      <c r="C1624" s="6">
        <f>IF('weather data'!C1624&gt;'user input'!$C$3,'user input'!$C$3,'weather data'!C1624)</f>
        <v>24.444444444444446</v>
      </c>
      <c r="D1624" s="6">
        <f>IF('weather data'!D1624&lt;'user input'!$C$2,'user input'!$C$2,'weather data'!D1624)</f>
        <v>11.111111111111111</v>
      </c>
      <c r="E1624">
        <f t="shared" si="26"/>
        <v>17.777777777777779</v>
      </c>
      <c r="F1624">
        <f>IF((E1624-'user input'!$C$2)&lt;0,0,E1624-'user input'!$C$2)</f>
        <v>7.7777777777777786</v>
      </c>
      <c r="G1624">
        <f>IF(B1624&lt;'user input'!$C$5,0,(F1624+G1623))</f>
        <v>294.72222222222217</v>
      </c>
      <c r="H1624">
        <f>G1624/'user input'!$C$4</f>
        <v>0.24560185185185182</v>
      </c>
    </row>
    <row r="1625" spans="1:8" x14ac:dyDescent="0.2">
      <c r="A1625" s="1">
        <v>41801</v>
      </c>
      <c r="B1625">
        <v>163</v>
      </c>
      <c r="C1625" s="6">
        <f>IF('weather data'!C1625&gt;'user input'!$C$3,'user input'!$C$3,'weather data'!C1625)</f>
        <v>21.666666666666664</v>
      </c>
      <c r="D1625" s="6">
        <f>IF('weather data'!D1625&lt;'user input'!$C$2,'user input'!$C$2,'weather data'!D1625)</f>
        <v>15</v>
      </c>
      <c r="E1625">
        <f t="shared" si="26"/>
        <v>18.333333333333332</v>
      </c>
      <c r="F1625">
        <f>IF((E1625-'user input'!$C$2)&lt;0,0,E1625-'user input'!$C$2)</f>
        <v>8.3333333333333321</v>
      </c>
      <c r="G1625">
        <f>IF(B1625&lt;'user input'!$C$5,0,(F1625+G1624))</f>
        <v>303.05555555555549</v>
      </c>
      <c r="H1625">
        <f>G1625/'user input'!$C$4</f>
        <v>0.25254629629629621</v>
      </c>
    </row>
    <row r="1626" spans="1:8" x14ac:dyDescent="0.2">
      <c r="A1626" s="1">
        <v>41802</v>
      </c>
      <c r="B1626">
        <v>164</v>
      </c>
      <c r="C1626" s="6">
        <f>IF('weather data'!C1626&gt;'user input'!$C$3,'user input'!$C$3,'weather data'!C1626)</f>
        <v>24.444444444444446</v>
      </c>
      <c r="D1626" s="6">
        <f>IF('weather data'!D1626&lt;'user input'!$C$2,'user input'!$C$2,'weather data'!D1626)</f>
        <v>11.111111111111111</v>
      </c>
      <c r="E1626">
        <f t="shared" si="26"/>
        <v>17.777777777777779</v>
      </c>
      <c r="F1626">
        <f>IF((E1626-'user input'!$C$2)&lt;0,0,E1626-'user input'!$C$2)</f>
        <v>7.7777777777777786</v>
      </c>
      <c r="G1626">
        <f>IF(B1626&lt;'user input'!$C$5,0,(F1626+G1625))</f>
        <v>310.83333333333326</v>
      </c>
      <c r="H1626">
        <f>G1626/'user input'!$C$4</f>
        <v>0.25902777777777769</v>
      </c>
    </row>
    <row r="1627" spans="1:8" x14ac:dyDescent="0.2">
      <c r="A1627" s="1">
        <v>41803</v>
      </c>
      <c r="B1627">
        <v>165</v>
      </c>
      <c r="C1627" s="6">
        <f>IF('weather data'!C1627&gt;'user input'!$C$3,'user input'!$C$3,'weather data'!C1627)</f>
        <v>22.777777777777779</v>
      </c>
      <c r="D1627" s="6">
        <f>IF('weather data'!D1627&lt;'user input'!$C$2,'user input'!$C$2,'weather data'!D1627)</f>
        <v>10</v>
      </c>
      <c r="E1627">
        <f t="shared" si="26"/>
        <v>16.388888888888889</v>
      </c>
      <c r="F1627">
        <f>IF((E1627-'user input'!$C$2)&lt;0,0,E1627-'user input'!$C$2)</f>
        <v>6.3888888888888893</v>
      </c>
      <c r="G1627">
        <f>IF(B1627&lt;'user input'!$C$5,0,(F1627+G1626))</f>
        <v>317.22222222222217</v>
      </c>
      <c r="H1627">
        <f>G1627/'user input'!$C$4</f>
        <v>0.26435185185185178</v>
      </c>
    </row>
    <row r="1628" spans="1:8" x14ac:dyDescent="0.2">
      <c r="A1628" s="1">
        <v>41804</v>
      </c>
      <c r="B1628">
        <v>166</v>
      </c>
      <c r="C1628" s="6">
        <f>IF('weather data'!C1628&gt;'user input'!$C$3,'user input'!$C$3,'weather data'!C1628)</f>
        <v>23.888888888888889</v>
      </c>
      <c r="D1628" s="6">
        <f>IF('weather data'!D1628&lt;'user input'!$C$2,'user input'!$C$2,'weather data'!D1628)</f>
        <v>10</v>
      </c>
      <c r="E1628">
        <f t="shared" si="26"/>
        <v>16.944444444444443</v>
      </c>
      <c r="F1628">
        <f>IF((E1628-'user input'!$C$2)&lt;0,0,E1628-'user input'!$C$2)</f>
        <v>6.9444444444444429</v>
      </c>
      <c r="G1628">
        <f>IF(B1628&lt;'user input'!$C$5,0,(F1628+G1627))</f>
        <v>324.16666666666663</v>
      </c>
      <c r="H1628">
        <f>G1628/'user input'!$C$4</f>
        <v>0.27013888888888887</v>
      </c>
    </row>
    <row r="1629" spans="1:8" x14ac:dyDescent="0.2">
      <c r="A1629" s="1">
        <v>41805</v>
      </c>
      <c r="B1629">
        <v>167</v>
      </c>
      <c r="C1629" s="6">
        <f>IF('weather data'!C1629&gt;'user input'!$C$3,'user input'!$C$3,'weather data'!C1629)</f>
        <v>25.555555555555554</v>
      </c>
      <c r="D1629" s="6">
        <f>IF('weather data'!D1629&lt;'user input'!$C$2,'user input'!$C$2,'weather data'!D1629)</f>
        <v>17.222222222222221</v>
      </c>
      <c r="E1629">
        <f t="shared" si="26"/>
        <v>21.388888888888886</v>
      </c>
      <c r="F1629">
        <f>IF((E1629-'user input'!$C$2)&lt;0,0,E1629-'user input'!$C$2)</f>
        <v>11.388888888888886</v>
      </c>
      <c r="G1629">
        <f>IF(B1629&lt;'user input'!$C$5,0,(F1629+G1628))</f>
        <v>335.55555555555554</v>
      </c>
      <c r="H1629">
        <f>G1629/'user input'!$C$4</f>
        <v>0.27962962962962962</v>
      </c>
    </row>
    <row r="1630" spans="1:8" x14ac:dyDescent="0.2">
      <c r="A1630" s="1">
        <v>41806</v>
      </c>
      <c r="B1630">
        <v>168</v>
      </c>
      <c r="C1630" s="6">
        <f>IF('weather data'!C1630&gt;'user input'!$C$3,'user input'!$C$3,'weather data'!C1630)</f>
        <v>28.333333333333336</v>
      </c>
      <c r="D1630" s="6">
        <f>IF('weather data'!D1630&lt;'user input'!$C$2,'user input'!$C$2,'weather data'!D1630)</f>
        <v>12.777777777777777</v>
      </c>
      <c r="E1630">
        <f t="shared" si="26"/>
        <v>20.555555555555557</v>
      </c>
      <c r="F1630">
        <f>IF((E1630-'user input'!$C$2)&lt;0,0,E1630-'user input'!$C$2)</f>
        <v>10.555555555555557</v>
      </c>
      <c r="G1630">
        <f>IF(B1630&lt;'user input'!$C$5,0,(F1630+G1629))</f>
        <v>346.11111111111109</v>
      </c>
      <c r="H1630">
        <f>G1630/'user input'!$C$4</f>
        <v>0.28842592592592592</v>
      </c>
    </row>
    <row r="1631" spans="1:8" x14ac:dyDescent="0.2">
      <c r="A1631" s="1">
        <v>41807</v>
      </c>
      <c r="B1631">
        <v>169</v>
      </c>
      <c r="C1631" s="6">
        <f>IF('weather data'!C1631&gt;'user input'!$C$3,'user input'!$C$3,'weather data'!C1631)</f>
        <v>29.444444444444446</v>
      </c>
      <c r="D1631" s="6">
        <f>IF('weather data'!D1631&lt;'user input'!$C$2,'user input'!$C$2,'weather data'!D1631)</f>
        <v>13.888888888888889</v>
      </c>
      <c r="E1631">
        <f t="shared" si="26"/>
        <v>21.666666666666668</v>
      </c>
      <c r="F1631">
        <f>IF((E1631-'user input'!$C$2)&lt;0,0,E1631-'user input'!$C$2)</f>
        <v>11.666666666666668</v>
      </c>
      <c r="G1631">
        <f>IF(B1631&lt;'user input'!$C$5,0,(F1631+G1630))</f>
        <v>357.77777777777777</v>
      </c>
      <c r="H1631">
        <f>G1631/'user input'!$C$4</f>
        <v>0.29814814814814816</v>
      </c>
    </row>
    <row r="1632" spans="1:8" x14ac:dyDescent="0.2">
      <c r="A1632" s="1">
        <v>41808</v>
      </c>
      <c r="B1632">
        <v>170</v>
      </c>
      <c r="C1632" s="6">
        <f>IF('weather data'!C1632&gt;'user input'!$C$3,'user input'!$C$3,'weather data'!C1632)</f>
        <v>29.444444444444446</v>
      </c>
      <c r="D1632" s="6">
        <f>IF('weather data'!D1632&lt;'user input'!$C$2,'user input'!$C$2,'weather data'!D1632)</f>
        <v>18.888888888888889</v>
      </c>
      <c r="E1632">
        <f t="shared" si="26"/>
        <v>24.166666666666668</v>
      </c>
      <c r="F1632">
        <f>IF((E1632-'user input'!$C$2)&lt;0,0,E1632-'user input'!$C$2)</f>
        <v>14.166666666666668</v>
      </c>
      <c r="G1632">
        <f>IF(B1632&lt;'user input'!$C$5,0,(F1632+G1631))</f>
        <v>371.94444444444446</v>
      </c>
      <c r="H1632">
        <f>G1632/'user input'!$C$4</f>
        <v>0.30995370370370373</v>
      </c>
    </row>
    <row r="1633" spans="1:8" x14ac:dyDescent="0.2">
      <c r="A1633" s="1">
        <v>41809</v>
      </c>
      <c r="B1633">
        <v>171</v>
      </c>
      <c r="C1633" s="6">
        <f>IF('weather data'!C1633&gt;'user input'!$C$3,'user input'!$C$3,'weather data'!C1633)</f>
        <v>25.555555555555554</v>
      </c>
      <c r="D1633" s="6">
        <f>IF('weather data'!D1633&lt;'user input'!$C$2,'user input'!$C$2,'weather data'!D1633)</f>
        <v>17.777777777777779</v>
      </c>
      <c r="E1633">
        <f t="shared" si="26"/>
        <v>21.666666666666664</v>
      </c>
      <c r="F1633">
        <f>IF((E1633-'user input'!$C$2)&lt;0,0,E1633-'user input'!$C$2)</f>
        <v>11.666666666666664</v>
      </c>
      <c r="G1633">
        <f>IF(B1633&lt;'user input'!$C$5,0,(F1633+G1632))</f>
        <v>383.61111111111114</v>
      </c>
      <c r="H1633">
        <f>G1633/'user input'!$C$4</f>
        <v>0.31967592592592597</v>
      </c>
    </row>
    <row r="1634" spans="1:8" x14ac:dyDescent="0.2">
      <c r="A1634" s="1">
        <v>41810</v>
      </c>
      <c r="B1634">
        <v>172</v>
      </c>
      <c r="C1634" s="6">
        <f>IF('weather data'!C1634&gt;'user input'!$C$3,'user input'!$C$3,'weather data'!C1634)</f>
        <v>23.888888888888889</v>
      </c>
      <c r="D1634" s="6">
        <f>IF('weather data'!D1634&lt;'user input'!$C$2,'user input'!$C$2,'weather data'!D1634)</f>
        <v>17.777777777777779</v>
      </c>
      <c r="E1634">
        <f t="shared" si="26"/>
        <v>20.833333333333336</v>
      </c>
      <c r="F1634">
        <f>IF((E1634-'user input'!$C$2)&lt;0,0,E1634-'user input'!$C$2)</f>
        <v>10.833333333333336</v>
      </c>
      <c r="G1634">
        <f>IF(B1634&lt;'user input'!$C$5,0,(F1634+G1633))</f>
        <v>394.44444444444446</v>
      </c>
      <c r="H1634">
        <f>G1634/'user input'!$C$4</f>
        <v>0.32870370370370372</v>
      </c>
    </row>
    <row r="1635" spans="1:8" x14ac:dyDescent="0.2">
      <c r="A1635" s="1">
        <v>41811</v>
      </c>
      <c r="B1635">
        <v>173</v>
      </c>
      <c r="C1635" s="6">
        <f>IF('weather data'!C1635&gt;'user input'!$C$3,'user input'!$C$3,'weather data'!C1635)</f>
        <v>28.888888888888889</v>
      </c>
      <c r="D1635" s="6">
        <f>IF('weather data'!D1635&lt;'user input'!$C$2,'user input'!$C$2,'weather data'!D1635)</f>
        <v>18.333333333333332</v>
      </c>
      <c r="E1635">
        <f t="shared" si="26"/>
        <v>23.611111111111111</v>
      </c>
      <c r="F1635">
        <f>IF((E1635-'user input'!$C$2)&lt;0,0,E1635-'user input'!$C$2)</f>
        <v>13.611111111111111</v>
      </c>
      <c r="G1635">
        <f>IF(B1635&lt;'user input'!$C$5,0,(F1635+G1634))</f>
        <v>408.05555555555554</v>
      </c>
      <c r="H1635">
        <f>G1635/'user input'!$C$4</f>
        <v>0.34004629629629629</v>
      </c>
    </row>
    <row r="1636" spans="1:8" x14ac:dyDescent="0.2">
      <c r="A1636" s="1">
        <v>41812</v>
      </c>
      <c r="B1636">
        <v>174</v>
      </c>
      <c r="C1636" s="6">
        <f>IF('weather data'!C1636&gt;'user input'!$C$3,'user input'!$C$3,'weather data'!C1636)</f>
        <v>27.222222222222221</v>
      </c>
      <c r="D1636" s="6">
        <f>IF('weather data'!D1636&lt;'user input'!$C$2,'user input'!$C$2,'weather data'!D1636)</f>
        <v>15</v>
      </c>
      <c r="E1636">
        <f t="shared" si="26"/>
        <v>21.111111111111111</v>
      </c>
      <c r="F1636">
        <f>IF((E1636-'user input'!$C$2)&lt;0,0,E1636-'user input'!$C$2)</f>
        <v>11.111111111111111</v>
      </c>
      <c r="G1636">
        <f>IF(B1636&lt;'user input'!$C$5,0,(F1636+G1635))</f>
        <v>419.16666666666663</v>
      </c>
      <c r="H1636">
        <f>G1636/'user input'!$C$4</f>
        <v>0.34930555555555554</v>
      </c>
    </row>
    <row r="1637" spans="1:8" x14ac:dyDescent="0.2">
      <c r="A1637" s="1">
        <v>41813</v>
      </c>
      <c r="B1637">
        <v>175</v>
      </c>
      <c r="C1637" s="6">
        <f>IF('weather data'!C1637&gt;'user input'!$C$3,'user input'!$C$3,'weather data'!C1637)</f>
        <v>27.222222222222221</v>
      </c>
      <c r="D1637" s="6">
        <f>IF('weather data'!D1637&lt;'user input'!$C$2,'user input'!$C$2,'weather data'!D1637)</f>
        <v>18.333333333333332</v>
      </c>
      <c r="E1637">
        <f t="shared" si="26"/>
        <v>22.777777777777779</v>
      </c>
      <c r="F1637">
        <f>IF((E1637-'user input'!$C$2)&lt;0,0,E1637-'user input'!$C$2)</f>
        <v>12.777777777777779</v>
      </c>
      <c r="G1637">
        <f>IF(B1637&lt;'user input'!$C$5,0,(F1637+G1636))</f>
        <v>431.9444444444444</v>
      </c>
      <c r="H1637">
        <f>G1637/'user input'!$C$4</f>
        <v>0.35995370370370366</v>
      </c>
    </row>
    <row r="1638" spans="1:8" x14ac:dyDescent="0.2">
      <c r="A1638" s="1">
        <v>41814</v>
      </c>
      <c r="B1638">
        <v>176</v>
      </c>
      <c r="C1638" s="6">
        <f>IF('weather data'!C1638&gt;'user input'!$C$3,'user input'!$C$3,'weather data'!C1638)</f>
        <v>28.333333333333336</v>
      </c>
      <c r="D1638" s="6">
        <f>IF('weather data'!D1638&lt;'user input'!$C$2,'user input'!$C$2,'weather data'!D1638)</f>
        <v>17.777777777777779</v>
      </c>
      <c r="E1638">
        <f t="shared" si="26"/>
        <v>23.055555555555557</v>
      </c>
      <c r="F1638">
        <f>IF((E1638-'user input'!$C$2)&lt;0,0,E1638-'user input'!$C$2)</f>
        <v>13.055555555555557</v>
      </c>
      <c r="G1638">
        <f>IF(B1638&lt;'user input'!$C$5,0,(F1638+G1637))</f>
        <v>444.99999999999994</v>
      </c>
      <c r="H1638">
        <f>G1638/'user input'!$C$4</f>
        <v>0.37083333333333329</v>
      </c>
    </row>
    <row r="1639" spans="1:8" x14ac:dyDescent="0.2">
      <c r="A1639" s="1">
        <v>41815</v>
      </c>
      <c r="B1639">
        <v>177</v>
      </c>
      <c r="C1639" s="6">
        <f>IF('weather data'!C1639&gt;'user input'!$C$3,'user input'!$C$3,'weather data'!C1639)</f>
        <v>29.444444444444446</v>
      </c>
      <c r="D1639" s="6">
        <f>IF('weather data'!D1639&lt;'user input'!$C$2,'user input'!$C$2,'weather data'!D1639)</f>
        <v>18.333333333333332</v>
      </c>
      <c r="E1639">
        <f t="shared" si="26"/>
        <v>23.888888888888889</v>
      </c>
      <c r="F1639">
        <f>IF((E1639-'user input'!$C$2)&lt;0,0,E1639-'user input'!$C$2)</f>
        <v>13.888888888888889</v>
      </c>
      <c r="G1639">
        <f>IF(B1639&lt;'user input'!$C$5,0,(F1639+G1638))</f>
        <v>458.88888888888886</v>
      </c>
      <c r="H1639">
        <f>G1639/'user input'!$C$4</f>
        <v>0.38240740740740736</v>
      </c>
    </row>
    <row r="1640" spans="1:8" x14ac:dyDescent="0.2">
      <c r="A1640" s="1">
        <v>41816</v>
      </c>
      <c r="B1640">
        <v>178</v>
      </c>
      <c r="C1640" s="6">
        <f>IF('weather data'!C1640&gt;'user input'!$C$3,'user input'!$C$3,'weather data'!C1640)</f>
        <v>24.444444444444446</v>
      </c>
      <c r="D1640" s="6">
        <f>IF('weather data'!D1640&lt;'user input'!$C$2,'user input'!$C$2,'weather data'!D1640)</f>
        <v>16.666666666666668</v>
      </c>
      <c r="E1640">
        <f t="shared" si="26"/>
        <v>20.555555555555557</v>
      </c>
      <c r="F1640">
        <f>IF((E1640-'user input'!$C$2)&lt;0,0,E1640-'user input'!$C$2)</f>
        <v>10.555555555555557</v>
      </c>
      <c r="G1640">
        <f>IF(B1640&lt;'user input'!$C$5,0,(F1640+G1639))</f>
        <v>469.4444444444444</v>
      </c>
      <c r="H1640">
        <f>G1640/'user input'!$C$4</f>
        <v>0.39120370370370366</v>
      </c>
    </row>
    <row r="1641" spans="1:8" x14ac:dyDescent="0.2">
      <c r="A1641" s="1">
        <v>41817</v>
      </c>
      <c r="B1641">
        <v>179</v>
      </c>
      <c r="C1641" s="6">
        <f>IF('weather data'!C1641&gt;'user input'!$C$3,'user input'!$C$3,'weather data'!C1641)</f>
        <v>27.222222222222221</v>
      </c>
      <c r="D1641" s="6">
        <f>IF('weather data'!D1641&lt;'user input'!$C$2,'user input'!$C$2,'weather data'!D1641)</f>
        <v>16.666666666666668</v>
      </c>
      <c r="E1641">
        <f t="shared" si="26"/>
        <v>21.944444444444443</v>
      </c>
      <c r="F1641">
        <f>IF((E1641-'user input'!$C$2)&lt;0,0,E1641-'user input'!$C$2)</f>
        <v>11.944444444444443</v>
      </c>
      <c r="G1641">
        <f>IF(B1641&lt;'user input'!$C$5,0,(F1641+G1640))</f>
        <v>481.38888888888886</v>
      </c>
      <c r="H1641">
        <f>G1641/'user input'!$C$4</f>
        <v>0.40115740740740741</v>
      </c>
    </row>
    <row r="1642" spans="1:8" x14ac:dyDescent="0.2">
      <c r="A1642" s="1">
        <v>41818</v>
      </c>
      <c r="B1642">
        <v>180</v>
      </c>
      <c r="C1642" s="6">
        <f>IF('weather data'!C1642&gt;'user input'!$C$3,'user input'!$C$3,'weather data'!C1642)</f>
        <v>29.444444444444446</v>
      </c>
      <c r="D1642" s="6">
        <f>IF('weather data'!D1642&lt;'user input'!$C$2,'user input'!$C$2,'weather data'!D1642)</f>
        <v>19.444444444444443</v>
      </c>
      <c r="E1642">
        <f t="shared" si="26"/>
        <v>24.444444444444443</v>
      </c>
      <c r="F1642">
        <f>IF((E1642-'user input'!$C$2)&lt;0,0,E1642-'user input'!$C$2)</f>
        <v>14.444444444444443</v>
      </c>
      <c r="G1642">
        <f>IF(B1642&lt;'user input'!$C$5,0,(F1642+G1641))</f>
        <v>495.83333333333331</v>
      </c>
      <c r="H1642">
        <f>G1642/'user input'!$C$4</f>
        <v>0.41319444444444442</v>
      </c>
    </row>
    <row r="1643" spans="1:8" x14ac:dyDescent="0.2">
      <c r="A1643" s="1">
        <v>41819</v>
      </c>
      <c r="B1643">
        <v>181</v>
      </c>
      <c r="C1643" s="6">
        <f>IF('weather data'!C1643&gt;'user input'!$C$3,'user input'!$C$3,'weather data'!C1643)</f>
        <v>29.444444444444446</v>
      </c>
      <c r="D1643" s="6">
        <f>IF('weather data'!D1643&lt;'user input'!$C$2,'user input'!$C$2,'weather data'!D1643)</f>
        <v>18.333333333333332</v>
      </c>
      <c r="E1643">
        <f t="shared" si="26"/>
        <v>23.888888888888889</v>
      </c>
      <c r="F1643">
        <f>IF((E1643-'user input'!$C$2)&lt;0,0,E1643-'user input'!$C$2)</f>
        <v>13.888888888888889</v>
      </c>
      <c r="G1643">
        <f>IF(B1643&lt;'user input'!$C$5,0,(F1643+G1642))</f>
        <v>509.72222222222223</v>
      </c>
      <c r="H1643">
        <f>G1643/'user input'!$C$4</f>
        <v>0.42476851851851855</v>
      </c>
    </row>
    <row r="1644" spans="1:8" x14ac:dyDescent="0.2">
      <c r="A1644" s="1">
        <v>41820</v>
      </c>
      <c r="B1644">
        <v>182</v>
      </c>
      <c r="C1644" s="6">
        <f>IF('weather data'!C1644&gt;'user input'!$C$3,'user input'!$C$3,'weather data'!C1644)</f>
        <v>26.111111111111111</v>
      </c>
      <c r="D1644" s="6">
        <f>IF('weather data'!D1644&lt;'user input'!$C$2,'user input'!$C$2,'weather data'!D1644)</f>
        <v>18.333333333333332</v>
      </c>
      <c r="E1644">
        <f t="shared" si="26"/>
        <v>22.222222222222221</v>
      </c>
      <c r="F1644">
        <f>IF((E1644-'user input'!$C$2)&lt;0,0,E1644-'user input'!$C$2)</f>
        <v>12.222222222222221</v>
      </c>
      <c r="G1644">
        <f>IF(B1644&lt;'user input'!$C$5,0,(F1644+G1643))</f>
        <v>521.94444444444446</v>
      </c>
      <c r="H1644">
        <f>G1644/'user input'!$C$4</f>
        <v>0.43495370370370373</v>
      </c>
    </row>
    <row r="1645" spans="1:8" x14ac:dyDescent="0.2">
      <c r="A1645" s="1">
        <v>41821</v>
      </c>
      <c r="B1645">
        <v>183</v>
      </c>
      <c r="C1645" s="6">
        <f>IF('weather data'!C1645&gt;'user input'!$C$3,'user input'!$C$3,'weather data'!C1645)</f>
        <v>29.444444444444446</v>
      </c>
      <c r="D1645" s="6">
        <f>IF('weather data'!D1645&lt;'user input'!$C$2,'user input'!$C$2,'weather data'!D1645)</f>
        <v>17.222222222222221</v>
      </c>
      <c r="E1645">
        <f t="shared" si="26"/>
        <v>23.333333333333336</v>
      </c>
      <c r="F1645">
        <f>IF((E1645-'user input'!$C$2)&lt;0,0,E1645-'user input'!$C$2)</f>
        <v>13.333333333333336</v>
      </c>
      <c r="G1645">
        <f>IF(B1645&lt;'user input'!$C$5,0,(F1645+G1644))</f>
        <v>535.27777777777783</v>
      </c>
      <c r="H1645">
        <f>G1645/'user input'!$C$4</f>
        <v>0.44606481481481486</v>
      </c>
    </row>
    <row r="1646" spans="1:8" x14ac:dyDescent="0.2">
      <c r="A1646" s="1">
        <v>41822</v>
      </c>
      <c r="B1646">
        <v>184</v>
      </c>
      <c r="C1646" s="6">
        <f>IF('weather data'!C1646&gt;'user input'!$C$3,'user input'!$C$3,'weather data'!C1646)</f>
        <v>26.111111111111111</v>
      </c>
      <c r="D1646" s="6">
        <f>IF('weather data'!D1646&lt;'user input'!$C$2,'user input'!$C$2,'weather data'!D1646)</f>
        <v>13.333333333333332</v>
      </c>
      <c r="E1646">
        <f t="shared" si="26"/>
        <v>19.722222222222221</v>
      </c>
      <c r="F1646">
        <f>IF((E1646-'user input'!$C$2)&lt;0,0,E1646-'user input'!$C$2)</f>
        <v>9.7222222222222214</v>
      </c>
      <c r="G1646">
        <f>IF(B1646&lt;'user input'!$C$5,0,(F1646+G1645))</f>
        <v>545</v>
      </c>
      <c r="H1646">
        <f>G1646/'user input'!$C$4</f>
        <v>0.45416666666666666</v>
      </c>
    </row>
    <row r="1647" spans="1:8" x14ac:dyDescent="0.2">
      <c r="A1647" s="1">
        <v>41823</v>
      </c>
      <c r="B1647">
        <v>185</v>
      </c>
      <c r="C1647" s="6">
        <f>IF('weather data'!C1647&gt;'user input'!$C$3,'user input'!$C$3,'weather data'!C1647)</f>
        <v>19.444444444444443</v>
      </c>
      <c r="D1647" s="6">
        <f>IF('weather data'!D1647&lt;'user input'!$C$2,'user input'!$C$2,'weather data'!D1647)</f>
        <v>10</v>
      </c>
      <c r="E1647">
        <f t="shared" si="26"/>
        <v>14.722222222222221</v>
      </c>
      <c r="F1647">
        <f>IF((E1647-'user input'!$C$2)&lt;0,0,E1647-'user input'!$C$2)</f>
        <v>4.7222222222222214</v>
      </c>
      <c r="G1647">
        <f>IF(B1647&lt;'user input'!$C$5,0,(F1647+G1646))</f>
        <v>549.72222222222217</v>
      </c>
      <c r="H1647">
        <f>G1647/'user input'!$C$4</f>
        <v>0.45810185185185182</v>
      </c>
    </row>
    <row r="1648" spans="1:8" x14ac:dyDescent="0.2">
      <c r="A1648" s="1">
        <v>41824</v>
      </c>
      <c r="B1648">
        <v>186</v>
      </c>
      <c r="C1648" s="6">
        <f>IF('weather data'!C1648&gt;'user input'!$C$3,'user input'!$C$3,'weather data'!C1648)</f>
        <v>24.444444444444446</v>
      </c>
      <c r="D1648" s="6">
        <f>IF('weather data'!D1648&lt;'user input'!$C$2,'user input'!$C$2,'weather data'!D1648)</f>
        <v>10.555555555555555</v>
      </c>
      <c r="E1648">
        <f t="shared" si="26"/>
        <v>17.5</v>
      </c>
      <c r="F1648">
        <f>IF((E1648-'user input'!$C$2)&lt;0,0,E1648-'user input'!$C$2)</f>
        <v>7.5</v>
      </c>
      <c r="G1648">
        <f>IF(B1648&lt;'user input'!$C$5,0,(F1648+G1647))</f>
        <v>557.22222222222217</v>
      </c>
      <c r="H1648">
        <f>G1648/'user input'!$C$4</f>
        <v>0.46435185185185179</v>
      </c>
    </row>
    <row r="1649" spans="1:8" x14ac:dyDescent="0.2">
      <c r="A1649" s="1">
        <v>41825</v>
      </c>
      <c r="B1649">
        <v>187</v>
      </c>
      <c r="C1649" s="6">
        <f>IF('weather data'!C1649&gt;'user input'!$C$3,'user input'!$C$3,'weather data'!C1649)</f>
        <v>26.111111111111111</v>
      </c>
      <c r="D1649" s="6">
        <f>IF('weather data'!D1649&lt;'user input'!$C$2,'user input'!$C$2,'weather data'!D1649)</f>
        <v>12.777777777777777</v>
      </c>
      <c r="E1649">
        <f t="shared" si="26"/>
        <v>19.444444444444443</v>
      </c>
      <c r="F1649">
        <f>IF((E1649-'user input'!$C$2)&lt;0,0,E1649-'user input'!$C$2)</f>
        <v>9.4444444444444429</v>
      </c>
      <c r="G1649">
        <f>IF(B1649&lt;'user input'!$C$5,0,(F1649+G1648))</f>
        <v>566.66666666666663</v>
      </c>
      <c r="H1649">
        <f>G1649/'user input'!$C$4</f>
        <v>0.47222222222222221</v>
      </c>
    </row>
    <row r="1650" spans="1:8" x14ac:dyDescent="0.2">
      <c r="A1650" s="1">
        <v>41826</v>
      </c>
      <c r="B1650">
        <v>188</v>
      </c>
      <c r="C1650" s="6">
        <f>IF('weather data'!C1650&gt;'user input'!$C$3,'user input'!$C$3,'weather data'!C1650)</f>
        <v>24.444444444444446</v>
      </c>
      <c r="D1650" s="6">
        <f>IF('weather data'!D1650&lt;'user input'!$C$2,'user input'!$C$2,'weather data'!D1650)</f>
        <v>15.555555555555555</v>
      </c>
      <c r="E1650">
        <f t="shared" si="26"/>
        <v>20</v>
      </c>
      <c r="F1650">
        <f>IF((E1650-'user input'!$C$2)&lt;0,0,E1650-'user input'!$C$2)</f>
        <v>10</v>
      </c>
      <c r="G1650">
        <f>IF(B1650&lt;'user input'!$C$5,0,(F1650+G1649))</f>
        <v>576.66666666666663</v>
      </c>
      <c r="H1650">
        <f>G1650/'user input'!$C$4</f>
        <v>0.48055555555555551</v>
      </c>
    </row>
    <row r="1651" spans="1:8" x14ac:dyDescent="0.2">
      <c r="A1651" s="1">
        <v>41827</v>
      </c>
      <c r="B1651">
        <v>189</v>
      </c>
      <c r="C1651" s="6">
        <f>IF('weather data'!C1651&gt;'user input'!$C$3,'user input'!$C$3,'weather data'!C1651)</f>
        <v>26.666666666666664</v>
      </c>
      <c r="D1651" s="6">
        <f>IF('weather data'!D1651&lt;'user input'!$C$2,'user input'!$C$2,'weather data'!D1651)</f>
        <v>17.222222222222221</v>
      </c>
      <c r="E1651">
        <f t="shared" si="26"/>
        <v>21.944444444444443</v>
      </c>
      <c r="F1651">
        <f>IF((E1651-'user input'!$C$2)&lt;0,0,E1651-'user input'!$C$2)</f>
        <v>11.944444444444443</v>
      </c>
      <c r="G1651">
        <f>IF(B1651&lt;'user input'!$C$5,0,(F1651+G1650))</f>
        <v>588.61111111111109</v>
      </c>
      <c r="H1651">
        <f>G1651/'user input'!$C$4</f>
        <v>0.49050925925925926</v>
      </c>
    </row>
    <row r="1652" spans="1:8" x14ac:dyDescent="0.2">
      <c r="A1652" s="1">
        <v>41828</v>
      </c>
      <c r="B1652">
        <v>190</v>
      </c>
      <c r="C1652" s="6">
        <f>IF('weather data'!C1652&gt;'user input'!$C$3,'user input'!$C$3,'weather data'!C1652)</f>
        <v>28.888888888888889</v>
      </c>
      <c r="D1652" s="6">
        <f>IF('weather data'!D1652&lt;'user input'!$C$2,'user input'!$C$2,'weather data'!D1652)</f>
        <v>17.222222222222221</v>
      </c>
      <c r="E1652">
        <f t="shared" si="26"/>
        <v>23.055555555555557</v>
      </c>
      <c r="F1652">
        <f>IF((E1652-'user input'!$C$2)&lt;0,0,E1652-'user input'!$C$2)</f>
        <v>13.055555555555557</v>
      </c>
      <c r="G1652">
        <f>IF(B1652&lt;'user input'!$C$5,0,(F1652+G1651))</f>
        <v>601.66666666666663</v>
      </c>
      <c r="H1652">
        <f>G1652/'user input'!$C$4</f>
        <v>0.50138888888888888</v>
      </c>
    </row>
    <row r="1653" spans="1:8" x14ac:dyDescent="0.2">
      <c r="A1653" s="1">
        <v>41829</v>
      </c>
      <c r="B1653">
        <v>191</v>
      </c>
      <c r="C1653" s="6">
        <f>IF('weather data'!C1653&gt;'user input'!$C$3,'user input'!$C$3,'weather data'!C1653)</f>
        <v>25.555555555555554</v>
      </c>
      <c r="D1653" s="6">
        <f>IF('weather data'!D1653&lt;'user input'!$C$2,'user input'!$C$2,'weather data'!D1653)</f>
        <v>12.777777777777777</v>
      </c>
      <c r="E1653">
        <f t="shared" si="26"/>
        <v>19.166666666666664</v>
      </c>
      <c r="F1653">
        <f>IF((E1653-'user input'!$C$2)&lt;0,0,E1653-'user input'!$C$2)</f>
        <v>9.1666666666666643</v>
      </c>
      <c r="G1653">
        <f>IF(B1653&lt;'user input'!$C$5,0,(F1653+G1652))</f>
        <v>610.83333333333326</v>
      </c>
      <c r="H1653">
        <f>G1653/'user input'!$C$4</f>
        <v>0.50902777777777775</v>
      </c>
    </row>
    <row r="1654" spans="1:8" x14ac:dyDescent="0.2">
      <c r="A1654" s="1">
        <v>41830</v>
      </c>
      <c r="B1654">
        <v>192</v>
      </c>
      <c r="C1654" s="6">
        <f>IF('weather data'!C1654&gt;'user input'!$C$3,'user input'!$C$3,'weather data'!C1654)</f>
        <v>23.888888888888889</v>
      </c>
      <c r="D1654" s="6">
        <f>IF('weather data'!D1654&lt;'user input'!$C$2,'user input'!$C$2,'weather data'!D1654)</f>
        <v>10</v>
      </c>
      <c r="E1654">
        <f t="shared" si="26"/>
        <v>16.944444444444443</v>
      </c>
      <c r="F1654">
        <f>IF((E1654-'user input'!$C$2)&lt;0,0,E1654-'user input'!$C$2)</f>
        <v>6.9444444444444429</v>
      </c>
      <c r="G1654">
        <f>IF(B1654&lt;'user input'!$C$5,0,(F1654+G1653))</f>
        <v>617.77777777777771</v>
      </c>
      <c r="H1654">
        <f>G1654/'user input'!$C$4</f>
        <v>0.51481481481481473</v>
      </c>
    </row>
    <row r="1655" spans="1:8" x14ac:dyDescent="0.2">
      <c r="A1655" s="1">
        <v>41831</v>
      </c>
      <c r="B1655">
        <v>193</v>
      </c>
      <c r="C1655" s="6">
        <f>IF('weather data'!C1655&gt;'user input'!$C$3,'user input'!$C$3,'weather data'!C1655)</f>
        <v>26.666666666666664</v>
      </c>
      <c r="D1655" s="6">
        <f>IF('weather data'!D1655&lt;'user input'!$C$2,'user input'!$C$2,'weather data'!D1655)</f>
        <v>11.666666666666668</v>
      </c>
      <c r="E1655">
        <f t="shared" si="26"/>
        <v>19.166666666666664</v>
      </c>
      <c r="F1655">
        <f>IF((E1655-'user input'!$C$2)&lt;0,0,E1655-'user input'!$C$2)</f>
        <v>9.1666666666666643</v>
      </c>
      <c r="G1655">
        <f>IF(B1655&lt;'user input'!$C$5,0,(F1655+G1654))</f>
        <v>626.94444444444434</v>
      </c>
      <c r="H1655">
        <f>G1655/'user input'!$C$4</f>
        <v>0.52245370370370359</v>
      </c>
    </row>
    <row r="1656" spans="1:8" x14ac:dyDescent="0.2">
      <c r="A1656" s="1">
        <v>41832</v>
      </c>
      <c r="B1656">
        <v>194</v>
      </c>
      <c r="C1656" s="6">
        <f>IF('weather data'!C1656&gt;'user input'!$C$3,'user input'!$C$3,'weather data'!C1656)</f>
        <v>25</v>
      </c>
      <c r="D1656" s="6">
        <f>IF('weather data'!D1656&lt;'user input'!$C$2,'user input'!$C$2,'weather data'!D1656)</f>
        <v>15.555555555555555</v>
      </c>
      <c r="E1656">
        <f t="shared" si="26"/>
        <v>20.277777777777779</v>
      </c>
      <c r="F1656">
        <f>IF((E1656-'user input'!$C$2)&lt;0,0,E1656-'user input'!$C$2)</f>
        <v>10.277777777777779</v>
      </c>
      <c r="G1656">
        <f>IF(B1656&lt;'user input'!$C$5,0,(F1656+G1655))</f>
        <v>637.22222222222217</v>
      </c>
      <c r="H1656">
        <f>G1656/'user input'!$C$4</f>
        <v>0.53101851851851845</v>
      </c>
    </row>
    <row r="1657" spans="1:8" x14ac:dyDescent="0.2">
      <c r="A1657" s="1">
        <v>41833</v>
      </c>
      <c r="B1657">
        <v>195</v>
      </c>
      <c r="C1657" s="6">
        <f>IF('weather data'!C1657&gt;'user input'!$C$3,'user input'!$C$3,'weather data'!C1657)</f>
        <v>25.555555555555554</v>
      </c>
      <c r="D1657" s="6">
        <f>IF('weather data'!D1657&lt;'user input'!$C$2,'user input'!$C$2,'weather data'!D1657)</f>
        <v>17.222222222222221</v>
      </c>
      <c r="E1657">
        <f t="shared" si="26"/>
        <v>21.388888888888886</v>
      </c>
      <c r="F1657">
        <f>IF((E1657-'user input'!$C$2)&lt;0,0,E1657-'user input'!$C$2)</f>
        <v>11.388888888888886</v>
      </c>
      <c r="G1657">
        <f>IF(B1657&lt;'user input'!$C$5,0,(F1657+G1656))</f>
        <v>648.61111111111109</v>
      </c>
      <c r="H1657">
        <f>G1657/'user input'!$C$4</f>
        <v>0.54050925925925919</v>
      </c>
    </row>
    <row r="1658" spans="1:8" x14ac:dyDescent="0.2">
      <c r="A1658" s="1">
        <v>41834</v>
      </c>
      <c r="B1658">
        <v>196</v>
      </c>
      <c r="C1658" s="6">
        <f>IF('weather data'!C1658&gt;'user input'!$C$3,'user input'!$C$3,'weather data'!C1658)</f>
        <v>27.777777777777779</v>
      </c>
      <c r="D1658" s="6">
        <f>IF('weather data'!D1658&lt;'user input'!$C$2,'user input'!$C$2,'weather data'!D1658)</f>
        <v>12.222222222222223</v>
      </c>
      <c r="E1658">
        <f t="shared" si="26"/>
        <v>20</v>
      </c>
      <c r="F1658">
        <f>IF((E1658-'user input'!$C$2)&lt;0,0,E1658-'user input'!$C$2)</f>
        <v>10</v>
      </c>
      <c r="G1658">
        <f>IF(B1658&lt;'user input'!$C$5,0,(F1658+G1657))</f>
        <v>658.61111111111109</v>
      </c>
      <c r="H1658">
        <f>G1658/'user input'!$C$4</f>
        <v>0.5488425925925926</v>
      </c>
    </row>
    <row r="1659" spans="1:8" x14ac:dyDescent="0.2">
      <c r="A1659" s="1">
        <v>41835</v>
      </c>
      <c r="B1659">
        <v>197</v>
      </c>
      <c r="C1659" s="6">
        <f>IF('weather data'!C1659&gt;'user input'!$C$3,'user input'!$C$3,'weather data'!C1659)</f>
        <v>23.888888888888889</v>
      </c>
      <c r="D1659" s="6">
        <f>IF('weather data'!D1659&lt;'user input'!$C$2,'user input'!$C$2,'weather data'!D1659)</f>
        <v>11.111111111111111</v>
      </c>
      <c r="E1659">
        <f t="shared" si="26"/>
        <v>17.5</v>
      </c>
      <c r="F1659">
        <f>IF((E1659-'user input'!$C$2)&lt;0,0,E1659-'user input'!$C$2)</f>
        <v>7.5</v>
      </c>
      <c r="G1659">
        <f>IF(B1659&lt;'user input'!$C$5,0,(F1659+G1658))</f>
        <v>666.11111111111109</v>
      </c>
      <c r="H1659">
        <f>G1659/'user input'!$C$4</f>
        <v>0.55509259259259258</v>
      </c>
    </row>
    <row r="1660" spans="1:8" x14ac:dyDescent="0.2">
      <c r="A1660" s="1">
        <v>41836</v>
      </c>
      <c r="B1660">
        <v>198</v>
      </c>
      <c r="C1660" s="6">
        <f>IF('weather data'!C1660&gt;'user input'!$C$3,'user input'!$C$3,'weather data'!C1660)</f>
        <v>23.888888888888889</v>
      </c>
      <c r="D1660" s="6">
        <f>IF('weather data'!D1660&lt;'user input'!$C$2,'user input'!$C$2,'weather data'!D1660)</f>
        <v>10</v>
      </c>
      <c r="E1660">
        <f t="shared" si="26"/>
        <v>16.944444444444443</v>
      </c>
      <c r="F1660">
        <f>IF((E1660-'user input'!$C$2)&lt;0,0,E1660-'user input'!$C$2)</f>
        <v>6.9444444444444429</v>
      </c>
      <c r="G1660">
        <f>IF(B1660&lt;'user input'!$C$5,0,(F1660+G1659))</f>
        <v>673.05555555555554</v>
      </c>
      <c r="H1660">
        <f>G1660/'user input'!$C$4</f>
        <v>0.56087962962962967</v>
      </c>
    </row>
    <row r="1661" spans="1:8" x14ac:dyDescent="0.2">
      <c r="A1661" s="1">
        <v>41837</v>
      </c>
      <c r="B1661">
        <v>199</v>
      </c>
      <c r="C1661" s="6">
        <f>IF('weather data'!C1661&gt;'user input'!$C$3,'user input'!$C$3,'weather data'!C1661)</f>
        <v>22.222222222222221</v>
      </c>
      <c r="D1661" s="6">
        <f>IF('weather data'!D1661&lt;'user input'!$C$2,'user input'!$C$2,'weather data'!D1661)</f>
        <v>10</v>
      </c>
      <c r="E1661">
        <f t="shared" si="26"/>
        <v>16.111111111111111</v>
      </c>
      <c r="F1661">
        <f>IF((E1661-'user input'!$C$2)&lt;0,0,E1661-'user input'!$C$2)</f>
        <v>6.1111111111111107</v>
      </c>
      <c r="G1661">
        <f>IF(B1661&lt;'user input'!$C$5,0,(F1661+G1660))</f>
        <v>679.16666666666663</v>
      </c>
      <c r="H1661">
        <f>G1661/'user input'!$C$4</f>
        <v>0.56597222222222221</v>
      </c>
    </row>
    <row r="1662" spans="1:8" x14ac:dyDescent="0.2">
      <c r="A1662" s="1">
        <v>41838</v>
      </c>
      <c r="B1662">
        <v>200</v>
      </c>
      <c r="C1662" s="6">
        <f>IF('weather data'!C1662&gt;'user input'!$C$3,'user input'!$C$3,'weather data'!C1662)</f>
        <v>24.444444444444446</v>
      </c>
      <c r="D1662" s="6">
        <f>IF('weather data'!D1662&lt;'user input'!$C$2,'user input'!$C$2,'weather data'!D1662)</f>
        <v>10</v>
      </c>
      <c r="E1662">
        <f t="shared" si="26"/>
        <v>17.222222222222221</v>
      </c>
      <c r="F1662">
        <f>IF((E1662-'user input'!$C$2)&lt;0,0,E1662-'user input'!$C$2)</f>
        <v>7.2222222222222214</v>
      </c>
      <c r="G1662">
        <f>IF(B1662&lt;'user input'!$C$5,0,(F1662+G1661))</f>
        <v>686.3888888888888</v>
      </c>
      <c r="H1662">
        <f>G1662/'user input'!$C$4</f>
        <v>0.57199074074074063</v>
      </c>
    </row>
    <row r="1663" spans="1:8" x14ac:dyDescent="0.2">
      <c r="A1663" s="1">
        <v>41839</v>
      </c>
      <c r="B1663">
        <v>201</v>
      </c>
      <c r="C1663" s="6">
        <f>IF('weather data'!C1663&gt;'user input'!$C$3,'user input'!$C$3,'weather data'!C1663)</f>
        <v>26.666666666666664</v>
      </c>
      <c r="D1663" s="6">
        <f>IF('weather data'!D1663&lt;'user input'!$C$2,'user input'!$C$2,'weather data'!D1663)</f>
        <v>11.111111111111111</v>
      </c>
      <c r="E1663">
        <f t="shared" si="26"/>
        <v>18.888888888888886</v>
      </c>
      <c r="F1663">
        <f>IF((E1663-'user input'!$C$2)&lt;0,0,E1663-'user input'!$C$2)</f>
        <v>8.8888888888888857</v>
      </c>
      <c r="G1663">
        <f>IF(B1663&lt;'user input'!$C$5,0,(F1663+G1662))</f>
        <v>695.27777777777771</v>
      </c>
      <c r="H1663">
        <f>G1663/'user input'!$C$4</f>
        <v>0.57939814814814805</v>
      </c>
    </row>
    <row r="1664" spans="1:8" x14ac:dyDescent="0.2">
      <c r="A1664" s="1">
        <v>41840</v>
      </c>
      <c r="B1664">
        <v>202</v>
      </c>
      <c r="C1664" s="6">
        <f>IF('weather data'!C1664&gt;'user input'!$C$3,'user input'!$C$3,'weather data'!C1664)</f>
        <v>26.111111111111111</v>
      </c>
      <c r="D1664" s="6">
        <f>IF('weather data'!D1664&lt;'user input'!$C$2,'user input'!$C$2,'weather data'!D1664)</f>
        <v>12.222222222222223</v>
      </c>
      <c r="E1664">
        <f t="shared" si="26"/>
        <v>19.166666666666668</v>
      </c>
      <c r="F1664">
        <f>IF((E1664-'user input'!$C$2)&lt;0,0,E1664-'user input'!$C$2)</f>
        <v>9.1666666666666679</v>
      </c>
      <c r="G1664">
        <f>IF(B1664&lt;'user input'!$C$5,0,(F1664+G1663))</f>
        <v>704.44444444444434</v>
      </c>
      <c r="H1664">
        <f>G1664/'user input'!$C$4</f>
        <v>0.58703703703703691</v>
      </c>
    </row>
    <row r="1665" spans="1:8" x14ac:dyDescent="0.2">
      <c r="A1665" s="1">
        <v>41841</v>
      </c>
      <c r="B1665">
        <v>203</v>
      </c>
      <c r="C1665" s="6">
        <f>IF('weather data'!C1665&gt;'user input'!$C$3,'user input'!$C$3,'weather data'!C1665)</f>
        <v>27.222222222222221</v>
      </c>
      <c r="D1665" s="6">
        <f>IF('weather data'!D1665&lt;'user input'!$C$2,'user input'!$C$2,'weather data'!D1665)</f>
        <v>16.111111111111111</v>
      </c>
      <c r="E1665">
        <f t="shared" si="26"/>
        <v>21.666666666666664</v>
      </c>
      <c r="F1665">
        <f>IF((E1665-'user input'!$C$2)&lt;0,0,E1665-'user input'!$C$2)</f>
        <v>11.666666666666664</v>
      </c>
      <c r="G1665">
        <f>IF(B1665&lt;'user input'!$C$5,0,(F1665+G1664))</f>
        <v>716.11111111111097</v>
      </c>
      <c r="H1665">
        <f>G1665/'user input'!$C$4</f>
        <v>0.5967592592592591</v>
      </c>
    </row>
    <row r="1666" spans="1:8" x14ac:dyDescent="0.2">
      <c r="A1666" s="1">
        <v>41842</v>
      </c>
      <c r="B1666">
        <v>204</v>
      </c>
      <c r="C1666" s="6">
        <f>IF('weather data'!C1666&gt;'user input'!$C$3,'user input'!$C$3,'weather data'!C1666)</f>
        <v>30</v>
      </c>
      <c r="D1666" s="6">
        <f>IF('weather data'!D1666&lt;'user input'!$C$2,'user input'!$C$2,'weather data'!D1666)</f>
        <v>17.222222222222221</v>
      </c>
      <c r="E1666">
        <f t="shared" si="26"/>
        <v>23.611111111111111</v>
      </c>
      <c r="F1666">
        <f>IF((E1666-'user input'!$C$2)&lt;0,0,E1666-'user input'!$C$2)</f>
        <v>13.611111111111111</v>
      </c>
      <c r="G1666">
        <f>IF(B1666&lt;'user input'!$C$5,0,(F1666+G1665))</f>
        <v>729.72222222222206</v>
      </c>
      <c r="H1666">
        <f>G1666/'user input'!$C$4</f>
        <v>0.60810185185185173</v>
      </c>
    </row>
    <row r="1667" spans="1:8" x14ac:dyDescent="0.2">
      <c r="A1667" s="1">
        <v>41843</v>
      </c>
      <c r="B1667">
        <v>205</v>
      </c>
      <c r="C1667" s="6">
        <f>IF('weather data'!C1667&gt;'user input'!$C$3,'user input'!$C$3,'weather data'!C1667)</f>
        <v>30</v>
      </c>
      <c r="D1667" s="6">
        <f>IF('weather data'!D1667&lt;'user input'!$C$2,'user input'!$C$2,'weather data'!D1667)</f>
        <v>13.888888888888889</v>
      </c>
      <c r="E1667">
        <f t="shared" si="26"/>
        <v>21.944444444444443</v>
      </c>
      <c r="F1667">
        <f>IF((E1667-'user input'!$C$2)&lt;0,0,E1667-'user input'!$C$2)</f>
        <v>11.944444444444443</v>
      </c>
      <c r="G1667">
        <f>IF(B1667&lt;'user input'!$C$5,0,(F1667+G1666))</f>
        <v>741.66666666666652</v>
      </c>
      <c r="H1667">
        <f>G1667/'user input'!$C$4</f>
        <v>0.61805555555555547</v>
      </c>
    </row>
    <row r="1668" spans="1:8" x14ac:dyDescent="0.2">
      <c r="A1668" s="1">
        <v>41844</v>
      </c>
      <c r="B1668">
        <v>206</v>
      </c>
      <c r="C1668" s="6">
        <f>IF('weather data'!C1668&gt;'user input'!$C$3,'user input'!$C$3,'weather data'!C1668)</f>
        <v>26.111111111111111</v>
      </c>
      <c r="D1668" s="6">
        <f>IF('weather data'!D1668&lt;'user input'!$C$2,'user input'!$C$2,'weather data'!D1668)</f>
        <v>11.111111111111111</v>
      </c>
      <c r="E1668">
        <f t="shared" si="26"/>
        <v>18.611111111111111</v>
      </c>
      <c r="F1668">
        <f>IF((E1668-'user input'!$C$2)&lt;0,0,E1668-'user input'!$C$2)</f>
        <v>8.6111111111111107</v>
      </c>
      <c r="G1668">
        <f>IF(B1668&lt;'user input'!$C$5,0,(F1668+G1667))</f>
        <v>750.2777777777776</v>
      </c>
      <c r="H1668">
        <f>G1668/'user input'!$C$4</f>
        <v>0.62523148148148133</v>
      </c>
    </row>
    <row r="1669" spans="1:8" x14ac:dyDescent="0.2">
      <c r="A1669" s="1">
        <v>41845</v>
      </c>
      <c r="B1669">
        <v>207</v>
      </c>
      <c r="C1669" s="6">
        <f>IF('weather data'!C1669&gt;'user input'!$C$3,'user input'!$C$3,'weather data'!C1669)</f>
        <v>26.666666666666664</v>
      </c>
      <c r="D1669" s="6">
        <f>IF('weather data'!D1669&lt;'user input'!$C$2,'user input'!$C$2,'weather data'!D1669)</f>
        <v>11.666666666666668</v>
      </c>
      <c r="E1669">
        <f t="shared" si="26"/>
        <v>19.166666666666664</v>
      </c>
      <c r="F1669">
        <f>IF((E1669-'user input'!$C$2)&lt;0,0,E1669-'user input'!$C$2)</f>
        <v>9.1666666666666643</v>
      </c>
      <c r="G1669">
        <f>IF(B1669&lt;'user input'!$C$5,0,(F1669+G1668))</f>
        <v>759.44444444444423</v>
      </c>
      <c r="H1669">
        <f>G1669/'user input'!$C$4</f>
        <v>0.63287037037037019</v>
      </c>
    </row>
    <row r="1670" spans="1:8" x14ac:dyDescent="0.2">
      <c r="A1670" s="1">
        <v>41846</v>
      </c>
      <c r="B1670">
        <v>208</v>
      </c>
      <c r="C1670" s="6">
        <f>IF('weather data'!C1670&gt;'user input'!$C$3,'user input'!$C$3,'weather data'!C1670)</f>
        <v>26.111111111111111</v>
      </c>
      <c r="D1670" s="6">
        <f>IF('weather data'!D1670&lt;'user input'!$C$2,'user input'!$C$2,'weather data'!D1670)</f>
        <v>16.666666666666668</v>
      </c>
      <c r="E1670">
        <f t="shared" si="26"/>
        <v>21.388888888888889</v>
      </c>
      <c r="F1670">
        <f>IF((E1670-'user input'!$C$2)&lt;0,0,E1670-'user input'!$C$2)</f>
        <v>11.388888888888889</v>
      </c>
      <c r="G1670">
        <f>IF(B1670&lt;'user input'!$C$5,0,(F1670+G1669))</f>
        <v>770.83333333333314</v>
      </c>
      <c r="H1670">
        <f>G1670/'user input'!$C$4</f>
        <v>0.64236111111111094</v>
      </c>
    </row>
    <row r="1671" spans="1:8" x14ac:dyDescent="0.2">
      <c r="A1671" s="1">
        <v>41847</v>
      </c>
      <c r="B1671">
        <v>209</v>
      </c>
      <c r="C1671" s="6">
        <f>IF('weather data'!C1671&gt;'user input'!$C$3,'user input'!$C$3,'weather data'!C1671)</f>
        <v>26.111111111111111</v>
      </c>
      <c r="D1671" s="6">
        <f>IF('weather data'!D1671&lt;'user input'!$C$2,'user input'!$C$2,'weather data'!D1671)</f>
        <v>17.222222222222221</v>
      </c>
      <c r="E1671">
        <f t="shared" si="26"/>
        <v>21.666666666666664</v>
      </c>
      <c r="F1671">
        <f>IF((E1671-'user input'!$C$2)&lt;0,0,E1671-'user input'!$C$2)</f>
        <v>11.666666666666664</v>
      </c>
      <c r="G1671">
        <f>IF(B1671&lt;'user input'!$C$5,0,(F1671+G1670))</f>
        <v>782.49999999999977</v>
      </c>
      <c r="H1671">
        <f>G1671/'user input'!$C$4</f>
        <v>0.65208333333333313</v>
      </c>
    </row>
    <row r="1672" spans="1:8" x14ac:dyDescent="0.2">
      <c r="A1672" s="1">
        <v>41848</v>
      </c>
      <c r="B1672">
        <v>210</v>
      </c>
      <c r="C1672" s="6">
        <f>IF('weather data'!C1672&gt;'user input'!$C$3,'user input'!$C$3,'weather data'!C1672)</f>
        <v>25</v>
      </c>
      <c r="D1672" s="6">
        <f>IF('weather data'!D1672&lt;'user input'!$C$2,'user input'!$C$2,'weather data'!D1672)</f>
        <v>11.666666666666668</v>
      </c>
      <c r="E1672">
        <f t="shared" si="26"/>
        <v>18.333333333333336</v>
      </c>
      <c r="F1672">
        <f>IF((E1672-'user input'!$C$2)&lt;0,0,E1672-'user input'!$C$2)</f>
        <v>8.3333333333333357</v>
      </c>
      <c r="G1672">
        <f>IF(B1672&lt;'user input'!$C$5,0,(F1672+G1671))</f>
        <v>790.83333333333314</v>
      </c>
      <c r="H1672">
        <f>G1672/'user input'!$C$4</f>
        <v>0.65902777777777766</v>
      </c>
    </row>
    <row r="1673" spans="1:8" x14ac:dyDescent="0.2">
      <c r="A1673" s="1">
        <v>41849</v>
      </c>
      <c r="B1673">
        <v>211</v>
      </c>
      <c r="C1673" s="6">
        <f>IF('weather data'!C1673&gt;'user input'!$C$3,'user input'!$C$3,'weather data'!C1673)</f>
        <v>22.777777777777779</v>
      </c>
      <c r="D1673" s="6">
        <f>IF('weather data'!D1673&lt;'user input'!$C$2,'user input'!$C$2,'weather data'!D1673)</f>
        <v>12.222222222222223</v>
      </c>
      <c r="E1673">
        <f t="shared" si="26"/>
        <v>17.5</v>
      </c>
      <c r="F1673">
        <f>IF((E1673-'user input'!$C$2)&lt;0,0,E1673-'user input'!$C$2)</f>
        <v>7.5</v>
      </c>
      <c r="G1673">
        <f>IF(B1673&lt;'user input'!$C$5,0,(F1673+G1672))</f>
        <v>798.33333333333314</v>
      </c>
      <c r="H1673">
        <f>G1673/'user input'!$C$4</f>
        <v>0.66527777777777763</v>
      </c>
    </row>
    <row r="1674" spans="1:8" x14ac:dyDescent="0.2">
      <c r="A1674" s="1">
        <v>41850</v>
      </c>
      <c r="B1674">
        <v>212</v>
      </c>
      <c r="C1674" s="6">
        <f>IF('weather data'!C1674&gt;'user input'!$C$3,'user input'!$C$3,'weather data'!C1674)</f>
        <v>26.111111111111111</v>
      </c>
      <c r="D1674" s="6">
        <f>IF('weather data'!D1674&lt;'user input'!$C$2,'user input'!$C$2,'weather data'!D1674)</f>
        <v>11.666666666666668</v>
      </c>
      <c r="E1674">
        <f t="shared" si="26"/>
        <v>18.888888888888889</v>
      </c>
      <c r="F1674">
        <f>IF((E1674-'user input'!$C$2)&lt;0,0,E1674-'user input'!$C$2)</f>
        <v>8.8888888888888893</v>
      </c>
      <c r="G1674">
        <f>IF(B1674&lt;'user input'!$C$5,0,(F1674+G1673))</f>
        <v>807.22222222222206</v>
      </c>
      <c r="H1674">
        <f>G1674/'user input'!$C$4</f>
        <v>0.67268518518518505</v>
      </c>
    </row>
    <row r="1675" spans="1:8" x14ac:dyDescent="0.2">
      <c r="A1675" s="1">
        <v>41851</v>
      </c>
      <c r="B1675">
        <v>213</v>
      </c>
      <c r="C1675" s="6">
        <f>IF('weather data'!C1675&gt;'user input'!$C$3,'user input'!$C$3,'weather data'!C1675)</f>
        <v>25</v>
      </c>
      <c r="D1675" s="6">
        <f>IF('weather data'!D1675&lt;'user input'!$C$2,'user input'!$C$2,'weather data'!D1675)</f>
        <v>12.222222222222223</v>
      </c>
      <c r="E1675">
        <f t="shared" si="26"/>
        <v>18.611111111111111</v>
      </c>
      <c r="F1675">
        <f>IF((E1675-'user input'!$C$2)&lt;0,0,E1675-'user input'!$C$2)</f>
        <v>8.6111111111111107</v>
      </c>
      <c r="G1675">
        <f>IF(B1675&lt;'user input'!$C$5,0,(F1675+G1674))</f>
        <v>815.83333333333314</v>
      </c>
      <c r="H1675">
        <f>G1675/'user input'!$C$4</f>
        <v>0.67986111111111092</v>
      </c>
    </row>
    <row r="1676" spans="1:8" x14ac:dyDescent="0.2">
      <c r="A1676" s="1">
        <v>41852</v>
      </c>
      <c r="B1676">
        <v>214</v>
      </c>
      <c r="C1676" s="6">
        <f>IF('weather data'!C1676&gt;'user input'!$C$3,'user input'!$C$3,'weather data'!C1676)</f>
        <v>27.222222222222221</v>
      </c>
      <c r="D1676" s="6">
        <f>IF('weather data'!D1676&lt;'user input'!$C$2,'user input'!$C$2,'weather data'!D1676)</f>
        <v>12.222222222222223</v>
      </c>
      <c r="E1676">
        <f t="shared" si="26"/>
        <v>19.722222222222221</v>
      </c>
      <c r="F1676">
        <f>IF((E1676-'user input'!$C$2)&lt;0,0,E1676-'user input'!$C$2)</f>
        <v>9.7222222222222214</v>
      </c>
      <c r="G1676">
        <f>IF(B1676&lt;'user input'!$C$5,0,(F1676+G1675))</f>
        <v>825.55555555555532</v>
      </c>
      <c r="H1676">
        <f>G1676/'user input'!$C$4</f>
        <v>0.68796296296296278</v>
      </c>
    </row>
    <row r="1677" spans="1:8" x14ac:dyDescent="0.2">
      <c r="A1677" s="1">
        <v>41853</v>
      </c>
      <c r="B1677">
        <v>215</v>
      </c>
      <c r="C1677" s="6">
        <f>IF('weather data'!C1677&gt;'user input'!$C$3,'user input'!$C$3,'weather data'!C1677)</f>
        <v>28.888888888888889</v>
      </c>
      <c r="D1677" s="6">
        <f>IF('weather data'!D1677&lt;'user input'!$C$2,'user input'!$C$2,'weather data'!D1677)</f>
        <v>11.111111111111111</v>
      </c>
      <c r="E1677">
        <f t="shared" si="26"/>
        <v>20</v>
      </c>
      <c r="F1677">
        <f>IF((E1677-'user input'!$C$2)&lt;0,0,E1677-'user input'!$C$2)</f>
        <v>10</v>
      </c>
      <c r="G1677">
        <f>IF(B1677&lt;'user input'!$C$5,0,(F1677+G1676))</f>
        <v>835.55555555555532</v>
      </c>
      <c r="H1677">
        <f>G1677/'user input'!$C$4</f>
        <v>0.69629629629629608</v>
      </c>
    </row>
    <row r="1678" spans="1:8" x14ac:dyDescent="0.2">
      <c r="A1678" s="1">
        <v>41854</v>
      </c>
      <c r="B1678">
        <v>216</v>
      </c>
      <c r="C1678" s="6">
        <f>IF('weather data'!C1678&gt;'user input'!$C$3,'user input'!$C$3,'weather data'!C1678)</f>
        <v>30</v>
      </c>
      <c r="D1678" s="6">
        <f>IF('weather data'!D1678&lt;'user input'!$C$2,'user input'!$C$2,'weather data'!D1678)</f>
        <v>13.888888888888889</v>
      </c>
      <c r="E1678">
        <f t="shared" si="26"/>
        <v>21.944444444444443</v>
      </c>
      <c r="F1678">
        <f>IF((E1678-'user input'!$C$2)&lt;0,0,E1678-'user input'!$C$2)</f>
        <v>11.944444444444443</v>
      </c>
      <c r="G1678">
        <f>IF(B1678&lt;'user input'!$C$5,0,(F1678+G1677))</f>
        <v>847.49999999999977</v>
      </c>
      <c r="H1678">
        <f>G1678/'user input'!$C$4</f>
        <v>0.70624999999999982</v>
      </c>
    </row>
    <row r="1679" spans="1:8" x14ac:dyDescent="0.2">
      <c r="A1679" s="1">
        <v>41855</v>
      </c>
      <c r="B1679">
        <v>217</v>
      </c>
      <c r="C1679" s="6">
        <f>IF('weather data'!C1679&gt;'user input'!$C$3,'user input'!$C$3,'weather data'!C1679)</f>
        <v>29.444444444444446</v>
      </c>
      <c r="D1679" s="6">
        <f>IF('weather data'!D1679&lt;'user input'!$C$2,'user input'!$C$2,'weather data'!D1679)</f>
        <v>15.555555555555555</v>
      </c>
      <c r="E1679">
        <f t="shared" si="26"/>
        <v>22.5</v>
      </c>
      <c r="F1679">
        <f>IF((E1679-'user input'!$C$2)&lt;0,0,E1679-'user input'!$C$2)</f>
        <v>12.5</v>
      </c>
      <c r="G1679">
        <f>IF(B1679&lt;'user input'!$C$5,0,(F1679+G1678))</f>
        <v>859.99999999999977</v>
      </c>
      <c r="H1679">
        <f>G1679/'user input'!$C$4</f>
        <v>0.71666666666666645</v>
      </c>
    </row>
    <row r="1680" spans="1:8" x14ac:dyDescent="0.2">
      <c r="A1680" s="1">
        <v>41856</v>
      </c>
      <c r="B1680">
        <v>218</v>
      </c>
      <c r="C1680" s="6">
        <f>IF('weather data'!C1680&gt;'user input'!$C$3,'user input'!$C$3,'weather data'!C1680)</f>
        <v>28.333333333333336</v>
      </c>
      <c r="D1680" s="6">
        <f>IF('weather data'!D1680&lt;'user input'!$C$2,'user input'!$C$2,'weather data'!D1680)</f>
        <v>15.555555555555555</v>
      </c>
      <c r="E1680">
        <f t="shared" si="26"/>
        <v>21.944444444444446</v>
      </c>
      <c r="F1680">
        <f>IF((E1680-'user input'!$C$2)&lt;0,0,E1680-'user input'!$C$2)</f>
        <v>11.944444444444446</v>
      </c>
      <c r="G1680">
        <f>IF(B1680&lt;'user input'!$C$5,0,(F1680+G1679))</f>
        <v>871.94444444444423</v>
      </c>
      <c r="H1680">
        <f>G1680/'user input'!$C$4</f>
        <v>0.72662037037037019</v>
      </c>
    </row>
    <row r="1681" spans="1:8" x14ac:dyDescent="0.2">
      <c r="A1681" s="1">
        <v>41857</v>
      </c>
      <c r="B1681">
        <v>219</v>
      </c>
      <c r="C1681" s="6">
        <f>IF('weather data'!C1681&gt;'user input'!$C$3,'user input'!$C$3,'weather data'!C1681)</f>
        <v>26.111111111111111</v>
      </c>
      <c r="D1681" s="6">
        <f>IF('weather data'!D1681&lt;'user input'!$C$2,'user input'!$C$2,'weather data'!D1681)</f>
        <v>14.444444444444445</v>
      </c>
      <c r="E1681">
        <f t="shared" si="26"/>
        <v>20.277777777777779</v>
      </c>
      <c r="F1681">
        <f>IF((E1681-'user input'!$C$2)&lt;0,0,E1681-'user input'!$C$2)</f>
        <v>10.277777777777779</v>
      </c>
      <c r="G1681">
        <f>IF(B1681&lt;'user input'!$C$5,0,(F1681+G1680))</f>
        <v>882.22222222222206</v>
      </c>
      <c r="H1681">
        <f>G1681/'user input'!$C$4</f>
        <v>0.73518518518518505</v>
      </c>
    </row>
    <row r="1682" spans="1:8" x14ac:dyDescent="0.2">
      <c r="A1682" s="1">
        <v>41858</v>
      </c>
      <c r="B1682">
        <v>220</v>
      </c>
      <c r="C1682" s="6">
        <f>IF('weather data'!C1682&gt;'user input'!$C$3,'user input'!$C$3,'weather data'!C1682)</f>
        <v>27.222222222222221</v>
      </c>
      <c r="D1682" s="6">
        <f>IF('weather data'!D1682&lt;'user input'!$C$2,'user input'!$C$2,'weather data'!D1682)</f>
        <v>12.222222222222223</v>
      </c>
      <c r="E1682">
        <f t="shared" ref="E1682:E1745" si="27">(C1682+D1682)/2</f>
        <v>19.722222222222221</v>
      </c>
      <c r="F1682">
        <f>IF((E1682-'user input'!$C$2)&lt;0,0,E1682-'user input'!$C$2)</f>
        <v>9.7222222222222214</v>
      </c>
      <c r="G1682">
        <f>IF(B1682&lt;'user input'!$C$5,0,(F1682+G1681))</f>
        <v>891.94444444444423</v>
      </c>
      <c r="H1682">
        <f>G1682/'user input'!$C$4</f>
        <v>0.74328703703703691</v>
      </c>
    </row>
    <row r="1683" spans="1:8" x14ac:dyDescent="0.2">
      <c r="A1683" s="1">
        <v>41859</v>
      </c>
      <c r="B1683">
        <v>221</v>
      </c>
      <c r="C1683" s="6">
        <f>IF('weather data'!C1683&gt;'user input'!$C$3,'user input'!$C$3,'weather data'!C1683)</f>
        <v>28.333333333333336</v>
      </c>
      <c r="D1683" s="6">
        <f>IF('weather data'!D1683&lt;'user input'!$C$2,'user input'!$C$2,'weather data'!D1683)</f>
        <v>12.777777777777777</v>
      </c>
      <c r="E1683">
        <f t="shared" si="27"/>
        <v>20.555555555555557</v>
      </c>
      <c r="F1683">
        <f>IF((E1683-'user input'!$C$2)&lt;0,0,E1683-'user input'!$C$2)</f>
        <v>10.555555555555557</v>
      </c>
      <c r="G1683">
        <f>IF(B1683&lt;'user input'!$C$5,0,(F1683+G1682))</f>
        <v>902.49999999999977</v>
      </c>
      <c r="H1683">
        <f>G1683/'user input'!$C$4</f>
        <v>0.7520833333333331</v>
      </c>
    </row>
    <row r="1684" spans="1:8" x14ac:dyDescent="0.2">
      <c r="A1684" s="1">
        <v>41860</v>
      </c>
      <c r="B1684">
        <v>222</v>
      </c>
      <c r="C1684" s="6">
        <f>IF('weather data'!C1684&gt;'user input'!$C$3,'user input'!$C$3,'weather data'!C1684)</f>
        <v>28.888888888888889</v>
      </c>
      <c r="D1684" s="6">
        <f>IF('weather data'!D1684&lt;'user input'!$C$2,'user input'!$C$2,'weather data'!D1684)</f>
        <v>12.222222222222223</v>
      </c>
      <c r="E1684">
        <f t="shared" si="27"/>
        <v>20.555555555555557</v>
      </c>
      <c r="F1684">
        <f>IF((E1684-'user input'!$C$2)&lt;0,0,E1684-'user input'!$C$2)</f>
        <v>10.555555555555557</v>
      </c>
      <c r="G1684">
        <f>IF(B1684&lt;'user input'!$C$5,0,(F1684+G1683))</f>
        <v>913.05555555555532</v>
      </c>
      <c r="H1684">
        <f>G1684/'user input'!$C$4</f>
        <v>0.76087962962962941</v>
      </c>
    </row>
    <row r="1685" spans="1:8" x14ac:dyDescent="0.2">
      <c r="A1685" s="1">
        <v>41861</v>
      </c>
      <c r="B1685">
        <v>223</v>
      </c>
      <c r="C1685" s="6">
        <f>IF('weather data'!C1685&gt;'user input'!$C$3,'user input'!$C$3,'weather data'!C1685)</f>
        <v>26.666666666666664</v>
      </c>
      <c r="D1685" s="6">
        <f>IF('weather data'!D1685&lt;'user input'!$C$2,'user input'!$C$2,'weather data'!D1685)</f>
        <v>16.666666666666668</v>
      </c>
      <c r="E1685">
        <f t="shared" si="27"/>
        <v>21.666666666666664</v>
      </c>
      <c r="F1685">
        <f>IF((E1685-'user input'!$C$2)&lt;0,0,E1685-'user input'!$C$2)</f>
        <v>11.666666666666664</v>
      </c>
      <c r="G1685">
        <f>IF(B1685&lt;'user input'!$C$5,0,(F1685+G1684))</f>
        <v>924.72222222222194</v>
      </c>
      <c r="H1685">
        <f>G1685/'user input'!$C$4</f>
        <v>0.77060185185185159</v>
      </c>
    </row>
    <row r="1686" spans="1:8" x14ac:dyDescent="0.2">
      <c r="A1686" s="1">
        <v>41862</v>
      </c>
      <c r="B1686">
        <v>224</v>
      </c>
      <c r="C1686" s="6">
        <f>IF('weather data'!C1686&gt;'user input'!$C$3,'user input'!$C$3,'weather data'!C1686)</f>
        <v>28.333333333333336</v>
      </c>
      <c r="D1686" s="6">
        <f>IF('weather data'!D1686&lt;'user input'!$C$2,'user input'!$C$2,'weather data'!D1686)</f>
        <v>14.444444444444445</v>
      </c>
      <c r="E1686">
        <f t="shared" si="27"/>
        <v>21.388888888888889</v>
      </c>
      <c r="F1686">
        <f>IF((E1686-'user input'!$C$2)&lt;0,0,E1686-'user input'!$C$2)</f>
        <v>11.388888888888889</v>
      </c>
      <c r="G1686">
        <f>IF(B1686&lt;'user input'!$C$5,0,(F1686+G1685))</f>
        <v>936.11111111111086</v>
      </c>
      <c r="H1686">
        <f>G1686/'user input'!$C$4</f>
        <v>0.78009259259259234</v>
      </c>
    </row>
    <row r="1687" spans="1:8" x14ac:dyDescent="0.2">
      <c r="A1687" s="1">
        <v>41863</v>
      </c>
      <c r="B1687">
        <v>225</v>
      </c>
      <c r="C1687" s="6">
        <f>IF('weather data'!C1687&gt;'user input'!$C$3,'user input'!$C$3,'weather data'!C1687)</f>
        <v>28.333333333333336</v>
      </c>
      <c r="D1687" s="6">
        <f>IF('weather data'!D1687&lt;'user input'!$C$2,'user input'!$C$2,'weather data'!D1687)</f>
        <v>14.444444444444445</v>
      </c>
      <c r="E1687">
        <f t="shared" si="27"/>
        <v>21.388888888888889</v>
      </c>
      <c r="F1687">
        <f>IF((E1687-'user input'!$C$2)&lt;0,0,E1687-'user input'!$C$2)</f>
        <v>11.388888888888889</v>
      </c>
      <c r="G1687">
        <f>IF(B1687&lt;'user input'!$C$5,0,(F1687+G1686))</f>
        <v>947.49999999999977</v>
      </c>
      <c r="H1687">
        <f>G1687/'user input'!$C$4</f>
        <v>0.78958333333333319</v>
      </c>
    </row>
    <row r="1688" spans="1:8" x14ac:dyDescent="0.2">
      <c r="A1688" s="1">
        <v>41864</v>
      </c>
      <c r="B1688">
        <v>226</v>
      </c>
      <c r="C1688" s="6">
        <f>IF('weather data'!C1688&gt;'user input'!$C$3,'user input'!$C$3,'weather data'!C1688)</f>
        <v>25</v>
      </c>
      <c r="D1688" s="6">
        <f>IF('weather data'!D1688&lt;'user input'!$C$2,'user input'!$C$2,'weather data'!D1688)</f>
        <v>11.111111111111111</v>
      </c>
      <c r="E1688">
        <f t="shared" si="27"/>
        <v>18.055555555555557</v>
      </c>
      <c r="F1688">
        <f>IF((E1688-'user input'!$C$2)&lt;0,0,E1688-'user input'!$C$2)</f>
        <v>8.0555555555555571</v>
      </c>
      <c r="G1688">
        <f>IF(B1688&lt;'user input'!$C$5,0,(F1688+G1687))</f>
        <v>955.55555555555532</v>
      </c>
      <c r="H1688">
        <f>G1688/'user input'!$C$4</f>
        <v>0.79629629629629606</v>
      </c>
    </row>
    <row r="1689" spans="1:8" x14ac:dyDescent="0.2">
      <c r="A1689" s="1">
        <v>41865</v>
      </c>
      <c r="B1689">
        <v>227</v>
      </c>
      <c r="C1689" s="6">
        <f>IF('weather data'!C1689&gt;'user input'!$C$3,'user input'!$C$3,'weather data'!C1689)</f>
        <v>28.888888888888889</v>
      </c>
      <c r="D1689" s="6">
        <f>IF('weather data'!D1689&lt;'user input'!$C$2,'user input'!$C$2,'weather data'!D1689)</f>
        <v>10.555555555555555</v>
      </c>
      <c r="E1689">
        <f t="shared" si="27"/>
        <v>19.722222222222221</v>
      </c>
      <c r="F1689">
        <f>IF((E1689-'user input'!$C$2)&lt;0,0,E1689-'user input'!$C$2)</f>
        <v>9.7222222222222214</v>
      </c>
      <c r="G1689">
        <f>IF(B1689&lt;'user input'!$C$5,0,(F1689+G1688))</f>
        <v>965.27777777777749</v>
      </c>
      <c r="H1689">
        <f>G1689/'user input'!$C$4</f>
        <v>0.80439814814814792</v>
      </c>
    </row>
    <row r="1690" spans="1:8" x14ac:dyDescent="0.2">
      <c r="A1690" s="1">
        <v>41866</v>
      </c>
      <c r="B1690">
        <v>228</v>
      </c>
      <c r="C1690" s="6">
        <f>IF('weather data'!C1690&gt;'user input'!$C$3,'user input'!$C$3,'weather data'!C1690)</f>
        <v>27.222222222222221</v>
      </c>
      <c r="D1690" s="6">
        <f>IF('weather data'!D1690&lt;'user input'!$C$2,'user input'!$C$2,'weather data'!D1690)</f>
        <v>10</v>
      </c>
      <c r="E1690">
        <f t="shared" si="27"/>
        <v>18.611111111111111</v>
      </c>
      <c r="F1690">
        <f>IF((E1690-'user input'!$C$2)&lt;0,0,E1690-'user input'!$C$2)</f>
        <v>8.6111111111111107</v>
      </c>
      <c r="G1690">
        <f>IF(B1690&lt;'user input'!$C$5,0,(F1690+G1689))</f>
        <v>973.88888888888857</v>
      </c>
      <c r="H1690">
        <f>G1690/'user input'!$C$4</f>
        <v>0.81157407407407378</v>
      </c>
    </row>
    <row r="1691" spans="1:8" x14ac:dyDescent="0.2">
      <c r="A1691" s="1">
        <v>41867</v>
      </c>
      <c r="B1691">
        <v>229</v>
      </c>
      <c r="C1691" s="6">
        <f>IF('weather data'!C1691&gt;'user input'!$C$3,'user input'!$C$3,'weather data'!C1691)</f>
        <v>27.222222222222221</v>
      </c>
      <c r="D1691" s="6">
        <f>IF('weather data'!D1691&lt;'user input'!$C$2,'user input'!$C$2,'weather data'!D1691)</f>
        <v>10</v>
      </c>
      <c r="E1691">
        <f t="shared" si="27"/>
        <v>18.611111111111111</v>
      </c>
      <c r="F1691">
        <f>IF((E1691-'user input'!$C$2)&lt;0,0,E1691-'user input'!$C$2)</f>
        <v>8.6111111111111107</v>
      </c>
      <c r="G1691">
        <f>IF(B1691&lt;'user input'!$C$5,0,(F1691+G1690))</f>
        <v>982.49999999999966</v>
      </c>
      <c r="H1691">
        <f>G1691/'user input'!$C$4</f>
        <v>0.81874999999999976</v>
      </c>
    </row>
    <row r="1692" spans="1:8" x14ac:dyDescent="0.2">
      <c r="A1692" s="1">
        <v>41868</v>
      </c>
      <c r="B1692">
        <v>230</v>
      </c>
      <c r="C1692" s="6">
        <f>IF('weather data'!C1692&gt;'user input'!$C$3,'user input'!$C$3,'weather data'!C1692)</f>
        <v>29.444444444444446</v>
      </c>
      <c r="D1692" s="6">
        <f>IF('weather data'!D1692&lt;'user input'!$C$2,'user input'!$C$2,'weather data'!D1692)</f>
        <v>16.666666666666668</v>
      </c>
      <c r="E1692">
        <f t="shared" si="27"/>
        <v>23.055555555555557</v>
      </c>
      <c r="F1692">
        <f>IF((E1692-'user input'!$C$2)&lt;0,0,E1692-'user input'!$C$2)</f>
        <v>13.055555555555557</v>
      </c>
      <c r="G1692">
        <f>IF(B1692&lt;'user input'!$C$5,0,(F1692+G1691))</f>
        <v>995.5555555555552</v>
      </c>
      <c r="H1692">
        <f>G1692/'user input'!$C$4</f>
        <v>0.82962962962962938</v>
      </c>
    </row>
    <row r="1693" spans="1:8" x14ac:dyDescent="0.2">
      <c r="A1693" s="1">
        <v>41869</v>
      </c>
      <c r="B1693">
        <v>231</v>
      </c>
      <c r="C1693" s="6">
        <f>IF('weather data'!C1693&gt;'user input'!$C$3,'user input'!$C$3,'weather data'!C1693)</f>
        <v>27.222222222222221</v>
      </c>
      <c r="D1693" s="6">
        <f>IF('weather data'!D1693&lt;'user input'!$C$2,'user input'!$C$2,'weather data'!D1693)</f>
        <v>16.666666666666668</v>
      </c>
      <c r="E1693">
        <f t="shared" si="27"/>
        <v>21.944444444444443</v>
      </c>
      <c r="F1693">
        <f>IF((E1693-'user input'!$C$2)&lt;0,0,E1693-'user input'!$C$2)</f>
        <v>11.944444444444443</v>
      </c>
      <c r="G1693">
        <f>IF(B1693&lt;'user input'!$C$5,0,(F1693+G1692))</f>
        <v>1007.4999999999997</v>
      </c>
      <c r="H1693">
        <f>G1693/'user input'!$C$4</f>
        <v>0.83958333333333302</v>
      </c>
    </row>
    <row r="1694" spans="1:8" x14ac:dyDescent="0.2">
      <c r="A1694" s="1">
        <v>41870</v>
      </c>
      <c r="B1694">
        <v>232</v>
      </c>
      <c r="C1694" s="6">
        <f>IF('weather data'!C1694&gt;'user input'!$C$3,'user input'!$C$3,'weather data'!C1694)</f>
        <v>28.888888888888889</v>
      </c>
      <c r="D1694" s="6">
        <f>IF('weather data'!D1694&lt;'user input'!$C$2,'user input'!$C$2,'weather data'!D1694)</f>
        <v>17.222222222222221</v>
      </c>
      <c r="E1694">
        <f t="shared" si="27"/>
        <v>23.055555555555557</v>
      </c>
      <c r="F1694">
        <f>IF((E1694-'user input'!$C$2)&lt;0,0,E1694-'user input'!$C$2)</f>
        <v>13.055555555555557</v>
      </c>
      <c r="G1694">
        <f>IF(B1694&lt;'user input'!$C$5,0,(F1694+G1693))</f>
        <v>1020.5555555555552</v>
      </c>
      <c r="H1694">
        <f>G1694/'user input'!$C$4</f>
        <v>0.85046296296296264</v>
      </c>
    </row>
    <row r="1695" spans="1:8" x14ac:dyDescent="0.2">
      <c r="A1695" s="1">
        <v>41871</v>
      </c>
      <c r="B1695">
        <v>233</v>
      </c>
      <c r="C1695" s="6">
        <f>IF('weather data'!C1695&gt;'user input'!$C$3,'user input'!$C$3,'weather data'!C1695)</f>
        <v>28.333333333333336</v>
      </c>
      <c r="D1695" s="6">
        <f>IF('weather data'!D1695&lt;'user input'!$C$2,'user input'!$C$2,'weather data'!D1695)</f>
        <v>15</v>
      </c>
      <c r="E1695">
        <f t="shared" si="27"/>
        <v>21.666666666666668</v>
      </c>
      <c r="F1695">
        <f>IF((E1695-'user input'!$C$2)&lt;0,0,E1695-'user input'!$C$2)</f>
        <v>11.666666666666668</v>
      </c>
      <c r="G1695">
        <f>IF(B1695&lt;'user input'!$C$5,0,(F1695+G1694))</f>
        <v>1032.2222222222219</v>
      </c>
      <c r="H1695">
        <f>G1695/'user input'!$C$4</f>
        <v>0.86018518518518494</v>
      </c>
    </row>
    <row r="1696" spans="1:8" x14ac:dyDescent="0.2">
      <c r="A1696" s="1">
        <v>41872</v>
      </c>
      <c r="B1696">
        <v>234</v>
      </c>
      <c r="C1696" s="6">
        <f>IF('weather data'!C1696&gt;'user input'!$C$3,'user input'!$C$3,'weather data'!C1696)</f>
        <v>30</v>
      </c>
      <c r="D1696" s="6">
        <f>IF('weather data'!D1696&lt;'user input'!$C$2,'user input'!$C$2,'weather data'!D1696)</f>
        <v>16.111111111111111</v>
      </c>
      <c r="E1696">
        <f t="shared" si="27"/>
        <v>23.055555555555557</v>
      </c>
      <c r="F1696">
        <f>IF((E1696-'user input'!$C$2)&lt;0,0,E1696-'user input'!$C$2)</f>
        <v>13.055555555555557</v>
      </c>
      <c r="G1696">
        <f>IF(B1696&lt;'user input'!$C$5,0,(F1696+G1695))</f>
        <v>1045.2777777777776</v>
      </c>
      <c r="H1696">
        <f>G1696/'user input'!$C$4</f>
        <v>0.87106481481481468</v>
      </c>
    </row>
    <row r="1697" spans="1:8" x14ac:dyDescent="0.2">
      <c r="A1697" s="1">
        <v>41873</v>
      </c>
      <c r="B1697">
        <v>235</v>
      </c>
      <c r="C1697" s="6">
        <f>IF('weather data'!C1697&gt;'user input'!$C$3,'user input'!$C$3,'weather data'!C1697)</f>
        <v>26.666666666666664</v>
      </c>
      <c r="D1697" s="6">
        <f>IF('weather data'!D1697&lt;'user input'!$C$2,'user input'!$C$2,'weather data'!D1697)</f>
        <v>20</v>
      </c>
      <c r="E1697">
        <f t="shared" si="27"/>
        <v>23.333333333333332</v>
      </c>
      <c r="F1697">
        <f>IF((E1697-'user input'!$C$2)&lt;0,0,E1697-'user input'!$C$2)</f>
        <v>13.333333333333332</v>
      </c>
      <c r="G1697">
        <f>IF(B1697&lt;'user input'!$C$5,0,(F1697+G1696))</f>
        <v>1058.6111111111109</v>
      </c>
      <c r="H1697">
        <f>G1697/'user input'!$C$4</f>
        <v>0.88217592592592575</v>
      </c>
    </row>
    <row r="1698" spans="1:8" x14ac:dyDescent="0.2">
      <c r="A1698" s="1">
        <v>41874</v>
      </c>
      <c r="B1698">
        <v>236</v>
      </c>
      <c r="C1698" s="6">
        <f>IF('weather data'!C1698&gt;'user input'!$C$3,'user input'!$C$3,'weather data'!C1698)</f>
        <v>30</v>
      </c>
      <c r="D1698" s="6">
        <f>IF('weather data'!D1698&lt;'user input'!$C$2,'user input'!$C$2,'weather data'!D1698)</f>
        <v>21.666666666666664</v>
      </c>
      <c r="E1698">
        <f t="shared" si="27"/>
        <v>25.833333333333332</v>
      </c>
      <c r="F1698">
        <f>IF((E1698-'user input'!$C$2)&lt;0,0,E1698-'user input'!$C$2)</f>
        <v>15.833333333333332</v>
      </c>
      <c r="G1698">
        <f>IF(B1698&lt;'user input'!$C$5,0,(F1698+G1697))</f>
        <v>1074.4444444444441</v>
      </c>
      <c r="H1698">
        <f>G1698/'user input'!$C$4</f>
        <v>0.89537037037037015</v>
      </c>
    </row>
    <row r="1699" spans="1:8" x14ac:dyDescent="0.2">
      <c r="A1699" s="1">
        <v>41875</v>
      </c>
      <c r="B1699">
        <v>237</v>
      </c>
      <c r="C1699" s="6">
        <f>IF('weather data'!C1699&gt;'user input'!$C$3,'user input'!$C$3,'weather data'!C1699)</f>
        <v>26.666666666666664</v>
      </c>
      <c r="D1699" s="6">
        <f>IF('weather data'!D1699&lt;'user input'!$C$2,'user input'!$C$2,'weather data'!D1699)</f>
        <v>20.555555555555554</v>
      </c>
      <c r="E1699">
        <f t="shared" si="27"/>
        <v>23.611111111111107</v>
      </c>
      <c r="F1699">
        <f>IF((E1699-'user input'!$C$2)&lt;0,0,E1699-'user input'!$C$2)</f>
        <v>13.611111111111107</v>
      </c>
      <c r="G1699">
        <f>IF(B1699&lt;'user input'!$C$5,0,(F1699+G1698))</f>
        <v>1088.0555555555552</v>
      </c>
      <c r="H1699">
        <f>G1699/'user input'!$C$4</f>
        <v>0.90671296296296267</v>
      </c>
    </row>
    <row r="1700" spans="1:8" x14ac:dyDescent="0.2">
      <c r="A1700" s="1">
        <v>41876</v>
      </c>
      <c r="B1700">
        <v>238</v>
      </c>
      <c r="C1700" s="6">
        <f>IF('weather data'!C1700&gt;'user input'!$C$3,'user input'!$C$3,'weather data'!C1700)</f>
        <v>30</v>
      </c>
      <c r="D1700" s="6">
        <f>IF('weather data'!D1700&lt;'user input'!$C$2,'user input'!$C$2,'weather data'!D1700)</f>
        <v>22.222222222222221</v>
      </c>
      <c r="E1700">
        <f t="shared" si="27"/>
        <v>26.111111111111111</v>
      </c>
      <c r="F1700">
        <f>IF((E1700-'user input'!$C$2)&lt;0,0,E1700-'user input'!$C$2)</f>
        <v>16.111111111111111</v>
      </c>
      <c r="G1700">
        <f>IF(B1700&lt;'user input'!$C$5,0,(F1700+G1699))</f>
        <v>1104.1666666666663</v>
      </c>
      <c r="H1700">
        <f>G1700/'user input'!$C$4</f>
        <v>0.92013888888888862</v>
      </c>
    </row>
    <row r="1701" spans="1:8" x14ac:dyDescent="0.2">
      <c r="A1701" s="1">
        <v>41877</v>
      </c>
      <c r="B1701">
        <v>239</v>
      </c>
      <c r="C1701" s="6">
        <f>IF('weather data'!C1701&gt;'user input'!$C$3,'user input'!$C$3,'weather data'!C1701)</f>
        <v>27.222222222222221</v>
      </c>
      <c r="D1701" s="6">
        <f>IF('weather data'!D1701&lt;'user input'!$C$2,'user input'!$C$2,'weather data'!D1701)</f>
        <v>19.444444444444443</v>
      </c>
      <c r="E1701">
        <f t="shared" si="27"/>
        <v>23.333333333333332</v>
      </c>
      <c r="F1701">
        <f>IF((E1701-'user input'!$C$2)&lt;0,0,E1701-'user input'!$C$2)</f>
        <v>13.333333333333332</v>
      </c>
      <c r="G1701">
        <f>IF(B1701&lt;'user input'!$C$5,0,(F1701+G1700))</f>
        <v>1117.4999999999995</v>
      </c>
      <c r="H1701">
        <f>G1701/'user input'!$C$4</f>
        <v>0.93124999999999958</v>
      </c>
    </row>
    <row r="1702" spans="1:8" x14ac:dyDescent="0.2">
      <c r="A1702" s="1">
        <v>41878</v>
      </c>
      <c r="B1702">
        <v>240</v>
      </c>
      <c r="C1702" s="6">
        <f>IF('weather data'!C1702&gt;'user input'!$C$3,'user input'!$C$3,'weather data'!C1702)</f>
        <v>25.555555555555554</v>
      </c>
      <c r="D1702" s="6">
        <f>IF('weather data'!D1702&lt;'user input'!$C$2,'user input'!$C$2,'weather data'!D1702)</f>
        <v>15</v>
      </c>
      <c r="E1702">
        <f t="shared" si="27"/>
        <v>20.277777777777779</v>
      </c>
      <c r="F1702">
        <f>IF((E1702-'user input'!$C$2)&lt;0,0,E1702-'user input'!$C$2)</f>
        <v>10.277777777777779</v>
      </c>
      <c r="G1702">
        <f>IF(B1702&lt;'user input'!$C$5,0,(F1702+G1701))</f>
        <v>1127.7777777777774</v>
      </c>
      <c r="H1702">
        <f>G1702/'user input'!$C$4</f>
        <v>0.93981481481481444</v>
      </c>
    </row>
    <row r="1703" spans="1:8" x14ac:dyDescent="0.2">
      <c r="A1703" s="1">
        <v>41879</v>
      </c>
      <c r="B1703">
        <v>241</v>
      </c>
      <c r="C1703" s="6">
        <f>IF('weather data'!C1703&gt;'user input'!$C$3,'user input'!$C$3,'weather data'!C1703)</f>
        <v>25</v>
      </c>
      <c r="D1703" s="6">
        <f>IF('weather data'!D1703&lt;'user input'!$C$2,'user input'!$C$2,'weather data'!D1703)</f>
        <v>11.666666666666668</v>
      </c>
      <c r="E1703">
        <f t="shared" si="27"/>
        <v>18.333333333333336</v>
      </c>
      <c r="F1703">
        <f>IF((E1703-'user input'!$C$2)&lt;0,0,E1703-'user input'!$C$2)</f>
        <v>8.3333333333333357</v>
      </c>
      <c r="G1703">
        <f>IF(B1703&lt;'user input'!$C$5,0,(F1703+G1702))</f>
        <v>1136.1111111111106</v>
      </c>
      <c r="H1703">
        <f>G1703/'user input'!$C$4</f>
        <v>0.94675925925925886</v>
      </c>
    </row>
    <row r="1704" spans="1:8" x14ac:dyDescent="0.2">
      <c r="A1704" s="1">
        <v>41880</v>
      </c>
      <c r="B1704">
        <v>242</v>
      </c>
      <c r="C1704" s="6">
        <f>IF('weather data'!C1704&gt;'user input'!$C$3,'user input'!$C$3,'weather data'!C1704)</f>
        <v>25</v>
      </c>
      <c r="D1704" s="6">
        <f>IF('weather data'!D1704&lt;'user input'!$C$2,'user input'!$C$2,'weather data'!D1704)</f>
        <v>12.222222222222223</v>
      </c>
      <c r="E1704">
        <f t="shared" si="27"/>
        <v>18.611111111111111</v>
      </c>
      <c r="F1704">
        <f>IF((E1704-'user input'!$C$2)&lt;0,0,E1704-'user input'!$C$2)</f>
        <v>8.6111111111111107</v>
      </c>
      <c r="G1704">
        <f>IF(B1704&lt;'user input'!$C$5,0,(F1704+G1703))</f>
        <v>1144.7222222222217</v>
      </c>
      <c r="H1704">
        <f>G1704/'user input'!$C$4</f>
        <v>0.95393518518518472</v>
      </c>
    </row>
    <row r="1705" spans="1:8" x14ac:dyDescent="0.2">
      <c r="A1705" s="1">
        <v>41881</v>
      </c>
      <c r="B1705">
        <v>243</v>
      </c>
      <c r="C1705" s="6">
        <f>IF('weather data'!C1705&gt;'user input'!$C$3,'user input'!$C$3,'weather data'!C1705)</f>
        <v>30</v>
      </c>
      <c r="D1705" s="6">
        <f>IF('weather data'!D1705&lt;'user input'!$C$2,'user input'!$C$2,'weather data'!D1705)</f>
        <v>18.888888888888889</v>
      </c>
      <c r="E1705">
        <f t="shared" si="27"/>
        <v>24.444444444444443</v>
      </c>
      <c r="F1705">
        <f>IF((E1705-'user input'!$C$2)&lt;0,0,E1705-'user input'!$C$2)</f>
        <v>14.444444444444443</v>
      </c>
      <c r="G1705">
        <f>IF(B1705&lt;'user input'!$C$5,0,(F1705+G1704))</f>
        <v>1159.1666666666661</v>
      </c>
      <c r="H1705">
        <f>G1705/'user input'!$C$4</f>
        <v>0.96597222222222168</v>
      </c>
    </row>
    <row r="1706" spans="1:8" x14ac:dyDescent="0.2">
      <c r="A1706" s="1">
        <v>41882</v>
      </c>
      <c r="B1706">
        <v>244</v>
      </c>
      <c r="C1706" s="6">
        <f>IF('weather data'!C1706&gt;'user input'!$C$3,'user input'!$C$3,'weather data'!C1706)</f>
        <v>27.222222222222221</v>
      </c>
      <c r="D1706" s="6">
        <f>IF('weather data'!D1706&lt;'user input'!$C$2,'user input'!$C$2,'weather data'!D1706)</f>
        <v>15.555555555555555</v>
      </c>
      <c r="E1706">
        <f t="shared" si="27"/>
        <v>21.388888888888889</v>
      </c>
      <c r="F1706">
        <f>IF((E1706-'user input'!$C$2)&lt;0,0,E1706-'user input'!$C$2)</f>
        <v>11.388888888888889</v>
      </c>
      <c r="G1706">
        <f>IF(B1706&lt;'user input'!$C$5,0,(F1706+G1705))</f>
        <v>1170.555555555555</v>
      </c>
      <c r="H1706">
        <f>G1706/'user input'!$C$4</f>
        <v>0.97546296296296253</v>
      </c>
    </row>
    <row r="1707" spans="1:8" x14ac:dyDescent="0.2">
      <c r="A1707" s="1">
        <v>41883</v>
      </c>
      <c r="B1707">
        <v>245</v>
      </c>
      <c r="C1707" s="6">
        <f>IF('weather data'!C1707&gt;'user input'!$C$3,'user input'!$C$3,'weather data'!C1707)</f>
        <v>29.444444444444446</v>
      </c>
      <c r="D1707" s="6">
        <f>IF('weather data'!D1707&lt;'user input'!$C$2,'user input'!$C$2,'weather data'!D1707)</f>
        <v>16.666666666666668</v>
      </c>
      <c r="E1707">
        <f t="shared" si="27"/>
        <v>23.055555555555557</v>
      </c>
      <c r="F1707">
        <f>IF((E1707-'user input'!$C$2)&lt;0,0,E1707-'user input'!$C$2)</f>
        <v>13.055555555555557</v>
      </c>
      <c r="G1707">
        <f>IF(B1707&lt;'user input'!$C$5,0,(F1707+G1706))</f>
        <v>1183.6111111111106</v>
      </c>
      <c r="H1707">
        <f>G1707/'user input'!$C$4</f>
        <v>0.98634259259259216</v>
      </c>
    </row>
    <row r="1708" spans="1:8" x14ac:dyDescent="0.2">
      <c r="A1708" s="1">
        <v>41884</v>
      </c>
      <c r="B1708">
        <v>246</v>
      </c>
      <c r="C1708" s="6">
        <f>IF('weather data'!C1708&gt;'user input'!$C$3,'user input'!$C$3,'weather data'!C1708)</f>
        <v>26.111111111111111</v>
      </c>
      <c r="D1708" s="6">
        <f>IF('weather data'!D1708&lt;'user input'!$C$2,'user input'!$C$2,'weather data'!D1708)</f>
        <v>13.888888888888889</v>
      </c>
      <c r="E1708">
        <f t="shared" si="27"/>
        <v>20</v>
      </c>
      <c r="F1708">
        <f>IF((E1708-'user input'!$C$2)&lt;0,0,E1708-'user input'!$C$2)</f>
        <v>10</v>
      </c>
      <c r="G1708">
        <f>IF(B1708&lt;'user input'!$C$5,0,(F1708+G1707))</f>
        <v>1193.6111111111106</v>
      </c>
      <c r="H1708">
        <f>G1708/'user input'!$C$4</f>
        <v>0.99467592592592557</v>
      </c>
    </row>
    <row r="1709" spans="1:8" x14ac:dyDescent="0.2">
      <c r="A1709" s="1">
        <v>41885</v>
      </c>
      <c r="B1709">
        <v>247</v>
      </c>
      <c r="C1709" s="6">
        <f>IF('weather data'!C1709&gt;'user input'!$C$3,'user input'!$C$3,'weather data'!C1709)</f>
        <v>25.555555555555554</v>
      </c>
      <c r="D1709" s="6">
        <f>IF('weather data'!D1709&lt;'user input'!$C$2,'user input'!$C$2,'weather data'!D1709)</f>
        <v>10.555555555555555</v>
      </c>
      <c r="E1709">
        <f t="shared" si="27"/>
        <v>18.055555555555554</v>
      </c>
      <c r="F1709">
        <f>IF((E1709-'user input'!$C$2)&lt;0,0,E1709-'user input'!$C$2)</f>
        <v>8.0555555555555536</v>
      </c>
      <c r="G1709">
        <f>IF(B1709&lt;'user input'!$C$5,0,(F1709+G1708))</f>
        <v>1201.6666666666663</v>
      </c>
      <c r="H1709">
        <f>G1709/'user input'!$C$4</f>
        <v>1.0013888888888887</v>
      </c>
    </row>
    <row r="1710" spans="1:8" x14ac:dyDescent="0.2">
      <c r="A1710" s="1">
        <v>41886</v>
      </c>
      <c r="B1710">
        <v>248</v>
      </c>
      <c r="C1710" s="6">
        <f>IF('weather data'!C1710&gt;'user input'!$C$3,'user input'!$C$3,'weather data'!C1710)</f>
        <v>27.777777777777779</v>
      </c>
      <c r="D1710" s="6">
        <f>IF('weather data'!D1710&lt;'user input'!$C$2,'user input'!$C$2,'weather data'!D1710)</f>
        <v>11.666666666666668</v>
      </c>
      <c r="E1710">
        <f t="shared" si="27"/>
        <v>19.722222222222221</v>
      </c>
      <c r="F1710">
        <f>IF((E1710-'user input'!$C$2)&lt;0,0,E1710-'user input'!$C$2)</f>
        <v>9.7222222222222214</v>
      </c>
      <c r="G1710">
        <f>IF(B1710&lt;'user input'!$C$5,0,(F1710+G1709))</f>
        <v>1211.3888888888885</v>
      </c>
      <c r="H1710">
        <f>G1710/'user input'!$C$4</f>
        <v>1.0094907407407403</v>
      </c>
    </row>
    <row r="1711" spans="1:8" x14ac:dyDescent="0.2">
      <c r="A1711" s="1">
        <v>41887</v>
      </c>
      <c r="B1711">
        <v>249</v>
      </c>
      <c r="C1711" s="6">
        <f>IF('weather data'!C1711&gt;'user input'!$C$3,'user input'!$C$3,'weather data'!C1711)</f>
        <v>28.888888888888889</v>
      </c>
      <c r="D1711" s="6">
        <f>IF('weather data'!D1711&lt;'user input'!$C$2,'user input'!$C$2,'weather data'!D1711)</f>
        <v>21.666666666666664</v>
      </c>
      <c r="E1711">
        <f t="shared" si="27"/>
        <v>25.277777777777779</v>
      </c>
      <c r="F1711">
        <f>IF((E1711-'user input'!$C$2)&lt;0,0,E1711-'user input'!$C$2)</f>
        <v>15.277777777777779</v>
      </c>
      <c r="G1711">
        <f>IF(B1711&lt;'user input'!$C$5,0,(F1711+G1710))</f>
        <v>1226.6666666666663</v>
      </c>
      <c r="H1711">
        <f>G1711/'user input'!$C$4</f>
        <v>1.0222222222222219</v>
      </c>
    </row>
    <row r="1712" spans="1:8" x14ac:dyDescent="0.2">
      <c r="A1712" s="1">
        <v>41888</v>
      </c>
      <c r="B1712">
        <v>250</v>
      </c>
      <c r="C1712" s="6">
        <f>IF('weather data'!C1712&gt;'user input'!$C$3,'user input'!$C$3,'weather data'!C1712)</f>
        <v>23.333333333333336</v>
      </c>
      <c r="D1712" s="6">
        <f>IF('weather data'!D1712&lt;'user input'!$C$2,'user input'!$C$2,'weather data'!D1712)</f>
        <v>10</v>
      </c>
      <c r="E1712">
        <f t="shared" si="27"/>
        <v>16.666666666666668</v>
      </c>
      <c r="F1712">
        <f>IF((E1712-'user input'!$C$2)&lt;0,0,E1712-'user input'!$C$2)</f>
        <v>6.6666666666666679</v>
      </c>
      <c r="G1712">
        <f>IF(B1712&lt;'user input'!$C$5,0,(F1712+G1711))</f>
        <v>1233.333333333333</v>
      </c>
      <c r="H1712">
        <f>G1712/'user input'!$C$4</f>
        <v>1.0277777777777775</v>
      </c>
    </row>
    <row r="1713" spans="1:8" x14ac:dyDescent="0.2">
      <c r="A1713" s="1">
        <v>41889</v>
      </c>
      <c r="B1713">
        <v>251</v>
      </c>
      <c r="C1713" s="6">
        <f>IF('weather data'!C1713&gt;'user input'!$C$3,'user input'!$C$3,'weather data'!C1713)</f>
        <v>23.888888888888889</v>
      </c>
      <c r="D1713" s="6">
        <f>IF('weather data'!D1713&lt;'user input'!$C$2,'user input'!$C$2,'weather data'!D1713)</f>
        <v>10</v>
      </c>
      <c r="E1713">
        <f t="shared" si="27"/>
        <v>16.944444444444443</v>
      </c>
      <c r="F1713">
        <f>IF((E1713-'user input'!$C$2)&lt;0,0,E1713-'user input'!$C$2)</f>
        <v>6.9444444444444429</v>
      </c>
      <c r="G1713">
        <f>IF(B1713&lt;'user input'!$C$5,0,(F1713+G1712))</f>
        <v>1240.2777777777774</v>
      </c>
      <c r="H1713">
        <f>G1713/'user input'!$C$4</f>
        <v>1.0335648148148144</v>
      </c>
    </row>
    <row r="1714" spans="1:8" x14ac:dyDescent="0.2">
      <c r="A1714" s="1">
        <v>41890</v>
      </c>
      <c r="B1714">
        <v>252</v>
      </c>
      <c r="C1714" s="6">
        <f>IF('weather data'!C1714&gt;'user input'!$C$3,'user input'!$C$3,'weather data'!C1714)</f>
        <v>26.111111111111111</v>
      </c>
      <c r="D1714" s="6">
        <f>IF('weather data'!D1714&lt;'user input'!$C$2,'user input'!$C$2,'weather data'!D1714)</f>
        <v>10</v>
      </c>
      <c r="E1714">
        <f t="shared" si="27"/>
        <v>18.055555555555557</v>
      </c>
      <c r="F1714">
        <f>IF((E1714-'user input'!$C$2)&lt;0,0,E1714-'user input'!$C$2)</f>
        <v>8.0555555555555571</v>
      </c>
      <c r="G1714">
        <f>IF(B1714&lt;'user input'!$C$5,0,(F1714+G1713))</f>
        <v>1248.333333333333</v>
      </c>
      <c r="H1714">
        <f>G1714/'user input'!$C$4</f>
        <v>1.0402777777777776</v>
      </c>
    </row>
    <row r="1715" spans="1:8" x14ac:dyDescent="0.2">
      <c r="A1715" s="1">
        <v>41891</v>
      </c>
      <c r="B1715">
        <v>253</v>
      </c>
      <c r="C1715" s="6">
        <f>IF('weather data'!C1715&gt;'user input'!$C$3,'user input'!$C$3,'weather data'!C1715)</f>
        <v>23.888888888888889</v>
      </c>
      <c r="D1715" s="6">
        <f>IF('weather data'!D1715&lt;'user input'!$C$2,'user input'!$C$2,'weather data'!D1715)</f>
        <v>10</v>
      </c>
      <c r="E1715">
        <f t="shared" si="27"/>
        <v>16.944444444444443</v>
      </c>
      <c r="F1715">
        <f>IF((E1715-'user input'!$C$2)&lt;0,0,E1715-'user input'!$C$2)</f>
        <v>6.9444444444444429</v>
      </c>
      <c r="G1715">
        <f>IF(B1715&lt;'user input'!$C$5,0,(F1715+G1714))</f>
        <v>1255.2777777777774</v>
      </c>
      <c r="H1715">
        <f>G1715/'user input'!$C$4</f>
        <v>1.0460648148148144</v>
      </c>
    </row>
    <row r="1716" spans="1:8" x14ac:dyDescent="0.2">
      <c r="A1716" s="1">
        <v>41892</v>
      </c>
      <c r="B1716">
        <v>254</v>
      </c>
      <c r="C1716" s="6">
        <f>IF('weather data'!C1716&gt;'user input'!$C$3,'user input'!$C$3,'weather data'!C1716)</f>
        <v>26.111111111111111</v>
      </c>
      <c r="D1716" s="6">
        <f>IF('weather data'!D1716&lt;'user input'!$C$2,'user input'!$C$2,'weather data'!D1716)</f>
        <v>13.333333333333332</v>
      </c>
      <c r="E1716">
        <f t="shared" si="27"/>
        <v>19.722222222222221</v>
      </c>
      <c r="F1716">
        <f>IF((E1716-'user input'!$C$2)&lt;0,0,E1716-'user input'!$C$2)</f>
        <v>9.7222222222222214</v>
      </c>
      <c r="G1716">
        <f>IF(B1716&lt;'user input'!$C$5,0,(F1716+G1715))</f>
        <v>1264.9999999999995</v>
      </c>
      <c r="H1716">
        <f>G1716/'user input'!$C$4</f>
        <v>1.0541666666666663</v>
      </c>
    </row>
    <row r="1717" spans="1:8" x14ac:dyDescent="0.2">
      <c r="A1717" s="1">
        <v>41893</v>
      </c>
      <c r="B1717">
        <v>255</v>
      </c>
      <c r="C1717" s="6">
        <f>IF('weather data'!C1717&gt;'user input'!$C$3,'user input'!$C$3,'weather data'!C1717)</f>
        <v>21.111111111111111</v>
      </c>
      <c r="D1717" s="6">
        <f>IF('weather data'!D1717&lt;'user input'!$C$2,'user input'!$C$2,'weather data'!D1717)</f>
        <v>10</v>
      </c>
      <c r="E1717">
        <f t="shared" si="27"/>
        <v>15.555555555555555</v>
      </c>
      <c r="F1717">
        <f>IF((E1717-'user input'!$C$2)&lt;0,0,E1717-'user input'!$C$2)</f>
        <v>5.5555555555555554</v>
      </c>
      <c r="G1717">
        <f>IF(B1717&lt;'user input'!$C$5,0,(F1717+G1716))</f>
        <v>1270.5555555555552</v>
      </c>
      <c r="H1717">
        <f>G1717/'user input'!$C$4</f>
        <v>1.058796296296296</v>
      </c>
    </row>
    <row r="1718" spans="1:8" x14ac:dyDescent="0.2">
      <c r="A1718" s="1">
        <v>41894</v>
      </c>
      <c r="B1718">
        <v>256</v>
      </c>
      <c r="C1718" s="6">
        <f>IF('weather data'!C1718&gt;'user input'!$C$3,'user input'!$C$3,'weather data'!C1718)</f>
        <v>12.222222222222223</v>
      </c>
      <c r="D1718" s="6">
        <f>IF('weather data'!D1718&lt;'user input'!$C$2,'user input'!$C$2,'weather data'!D1718)</f>
        <v>10</v>
      </c>
      <c r="E1718">
        <f t="shared" si="27"/>
        <v>11.111111111111111</v>
      </c>
      <c r="F1718">
        <f>IF((E1718-'user input'!$C$2)&lt;0,0,E1718-'user input'!$C$2)</f>
        <v>1.1111111111111107</v>
      </c>
      <c r="G1718">
        <f>IF(B1718&lt;'user input'!$C$5,0,(F1718+G1717))</f>
        <v>1271.6666666666663</v>
      </c>
      <c r="H1718">
        <f>G1718/'user input'!$C$4</f>
        <v>1.059722222222222</v>
      </c>
    </row>
    <row r="1719" spans="1:8" x14ac:dyDescent="0.2">
      <c r="A1719" s="1">
        <v>41895</v>
      </c>
      <c r="B1719">
        <v>257</v>
      </c>
      <c r="C1719" s="6">
        <f>IF('weather data'!C1719&gt;'user input'!$C$3,'user input'!$C$3,'weather data'!C1719)</f>
        <v>9.4444444444444446</v>
      </c>
      <c r="D1719" s="6">
        <f>IF('weather data'!D1719&lt;'user input'!$C$2,'user input'!$C$2,'weather data'!D1719)</f>
        <v>10</v>
      </c>
      <c r="E1719">
        <f t="shared" si="27"/>
        <v>9.7222222222222214</v>
      </c>
      <c r="F1719">
        <f>IF((E1719-'user input'!$C$2)&lt;0,0,E1719-'user input'!$C$2)</f>
        <v>0</v>
      </c>
      <c r="G1719">
        <f>IF(B1719&lt;'user input'!$C$5,0,(F1719+G1718))</f>
        <v>1271.6666666666663</v>
      </c>
      <c r="H1719">
        <f>G1719/'user input'!$C$4</f>
        <v>1.059722222222222</v>
      </c>
    </row>
    <row r="1720" spans="1:8" x14ac:dyDescent="0.2">
      <c r="A1720" s="1">
        <v>41896</v>
      </c>
      <c r="B1720">
        <v>258</v>
      </c>
      <c r="C1720" s="6">
        <f>IF('weather data'!C1720&gt;'user input'!$C$3,'user input'!$C$3,'weather data'!C1720)</f>
        <v>15</v>
      </c>
      <c r="D1720" s="6">
        <f>IF('weather data'!D1720&lt;'user input'!$C$2,'user input'!$C$2,'weather data'!D1720)</f>
        <v>10</v>
      </c>
      <c r="E1720">
        <f t="shared" si="27"/>
        <v>12.5</v>
      </c>
      <c r="F1720">
        <f>IF((E1720-'user input'!$C$2)&lt;0,0,E1720-'user input'!$C$2)</f>
        <v>2.5</v>
      </c>
      <c r="G1720">
        <f>IF(B1720&lt;'user input'!$C$5,0,(F1720+G1719))</f>
        <v>1274.1666666666663</v>
      </c>
      <c r="H1720">
        <f>G1720/'user input'!$C$4</f>
        <v>1.0618055555555552</v>
      </c>
    </row>
    <row r="1721" spans="1:8" x14ac:dyDescent="0.2">
      <c r="A1721" s="1">
        <v>41897</v>
      </c>
      <c r="B1721">
        <v>259</v>
      </c>
      <c r="C1721" s="6">
        <f>IF('weather data'!C1721&gt;'user input'!$C$3,'user input'!$C$3,'weather data'!C1721)</f>
        <v>18.888888888888889</v>
      </c>
      <c r="D1721" s="6">
        <f>IF('weather data'!D1721&lt;'user input'!$C$2,'user input'!$C$2,'weather data'!D1721)</f>
        <v>10</v>
      </c>
      <c r="E1721">
        <f t="shared" si="27"/>
        <v>14.444444444444445</v>
      </c>
      <c r="F1721">
        <f>IF((E1721-'user input'!$C$2)&lt;0,0,E1721-'user input'!$C$2)</f>
        <v>4.4444444444444446</v>
      </c>
      <c r="G1721">
        <f>IF(B1721&lt;'user input'!$C$5,0,(F1721+G1720))</f>
        <v>1278.6111111111106</v>
      </c>
      <c r="H1721">
        <f>G1721/'user input'!$C$4</f>
        <v>1.0655092592592588</v>
      </c>
    </row>
    <row r="1722" spans="1:8" x14ac:dyDescent="0.2">
      <c r="A1722" s="1">
        <v>41898</v>
      </c>
      <c r="B1722">
        <v>260</v>
      </c>
      <c r="C1722" s="6">
        <f>IF('weather data'!C1722&gt;'user input'!$C$3,'user input'!$C$3,'weather data'!C1722)</f>
        <v>18.888888888888889</v>
      </c>
      <c r="D1722" s="6">
        <f>IF('weather data'!D1722&lt;'user input'!$C$2,'user input'!$C$2,'weather data'!D1722)</f>
        <v>10</v>
      </c>
      <c r="E1722">
        <f t="shared" si="27"/>
        <v>14.444444444444445</v>
      </c>
      <c r="F1722">
        <f>IF((E1722-'user input'!$C$2)&lt;0,0,E1722-'user input'!$C$2)</f>
        <v>4.4444444444444446</v>
      </c>
      <c r="G1722">
        <f>IF(B1722&lt;'user input'!$C$5,0,(F1722+G1721))</f>
        <v>1283.055555555555</v>
      </c>
      <c r="H1722">
        <f>G1722/'user input'!$C$4</f>
        <v>1.0692129629629625</v>
      </c>
    </row>
    <row r="1723" spans="1:8" x14ac:dyDescent="0.2">
      <c r="A1723" s="1">
        <v>41899</v>
      </c>
      <c r="B1723">
        <v>261</v>
      </c>
      <c r="C1723" s="6">
        <f>IF('weather data'!C1723&gt;'user input'!$C$3,'user input'!$C$3,'weather data'!C1723)</f>
        <v>18.888888888888889</v>
      </c>
      <c r="D1723" s="6">
        <f>IF('weather data'!D1723&lt;'user input'!$C$2,'user input'!$C$2,'weather data'!D1723)</f>
        <v>10</v>
      </c>
      <c r="E1723">
        <f t="shared" si="27"/>
        <v>14.444444444444445</v>
      </c>
      <c r="F1723">
        <f>IF((E1723-'user input'!$C$2)&lt;0,0,E1723-'user input'!$C$2)</f>
        <v>4.4444444444444446</v>
      </c>
      <c r="G1723">
        <f>IF(B1723&lt;'user input'!$C$5,0,(F1723+G1722))</f>
        <v>1287.4999999999993</v>
      </c>
      <c r="H1723">
        <f>G1723/'user input'!$C$4</f>
        <v>1.0729166666666661</v>
      </c>
    </row>
    <row r="1724" spans="1:8" x14ac:dyDescent="0.2">
      <c r="A1724" s="1">
        <v>41900</v>
      </c>
      <c r="B1724">
        <v>262</v>
      </c>
      <c r="C1724" s="6">
        <f>IF('weather data'!C1724&gt;'user input'!$C$3,'user input'!$C$3,'weather data'!C1724)</f>
        <v>21.666666666666664</v>
      </c>
      <c r="D1724" s="6">
        <f>IF('weather data'!D1724&lt;'user input'!$C$2,'user input'!$C$2,'weather data'!D1724)</f>
        <v>10</v>
      </c>
      <c r="E1724">
        <f t="shared" si="27"/>
        <v>15.833333333333332</v>
      </c>
      <c r="F1724">
        <f>IF((E1724-'user input'!$C$2)&lt;0,0,E1724-'user input'!$C$2)</f>
        <v>5.8333333333333321</v>
      </c>
      <c r="G1724">
        <f>IF(B1724&lt;'user input'!$C$5,0,(F1724+G1723))</f>
        <v>1293.3333333333326</v>
      </c>
      <c r="H1724">
        <f>G1724/'user input'!$C$4</f>
        <v>1.0777777777777771</v>
      </c>
    </row>
    <row r="1725" spans="1:8" x14ac:dyDescent="0.2">
      <c r="A1725" s="1">
        <v>41901</v>
      </c>
      <c r="B1725">
        <v>263</v>
      </c>
      <c r="C1725" s="6">
        <f>IF('weather data'!C1725&gt;'user input'!$C$3,'user input'!$C$3,'weather data'!C1725)</f>
        <v>21.666666666666664</v>
      </c>
      <c r="D1725" s="6">
        <f>IF('weather data'!D1725&lt;'user input'!$C$2,'user input'!$C$2,'weather data'!D1725)</f>
        <v>10</v>
      </c>
      <c r="E1725">
        <f t="shared" si="27"/>
        <v>15.833333333333332</v>
      </c>
      <c r="F1725">
        <f>IF((E1725-'user input'!$C$2)&lt;0,0,E1725-'user input'!$C$2)</f>
        <v>5.8333333333333321</v>
      </c>
      <c r="G1725">
        <f>IF(B1725&lt;'user input'!$C$5,0,(F1725+G1724))</f>
        <v>1299.1666666666658</v>
      </c>
      <c r="H1725">
        <f>G1725/'user input'!$C$4</f>
        <v>1.0826388888888883</v>
      </c>
    </row>
    <row r="1726" spans="1:8" x14ac:dyDescent="0.2">
      <c r="A1726" s="1">
        <v>41902</v>
      </c>
      <c r="B1726">
        <v>264</v>
      </c>
      <c r="C1726" s="6">
        <f>IF('weather data'!C1726&gt;'user input'!$C$3,'user input'!$C$3,'weather data'!C1726)</f>
        <v>23.333333333333336</v>
      </c>
      <c r="D1726" s="6">
        <f>IF('weather data'!D1726&lt;'user input'!$C$2,'user input'!$C$2,'weather data'!D1726)</f>
        <v>11.111111111111111</v>
      </c>
      <c r="E1726">
        <f t="shared" si="27"/>
        <v>17.222222222222221</v>
      </c>
      <c r="F1726">
        <f>IF((E1726-'user input'!$C$2)&lt;0,0,E1726-'user input'!$C$2)</f>
        <v>7.2222222222222214</v>
      </c>
      <c r="G1726">
        <f>IF(B1726&lt;'user input'!$C$5,0,(F1726+G1725))</f>
        <v>1306.388888888888</v>
      </c>
      <c r="H1726">
        <f>G1726/'user input'!$C$4</f>
        <v>1.0886574074074067</v>
      </c>
    </row>
    <row r="1727" spans="1:8" x14ac:dyDescent="0.2">
      <c r="A1727" s="1">
        <v>41903</v>
      </c>
      <c r="B1727">
        <v>265</v>
      </c>
      <c r="C1727" s="6">
        <f>IF('weather data'!C1727&gt;'user input'!$C$3,'user input'!$C$3,'weather data'!C1727)</f>
        <v>24.444444444444446</v>
      </c>
      <c r="D1727" s="6">
        <f>IF('weather data'!D1727&lt;'user input'!$C$2,'user input'!$C$2,'weather data'!D1727)</f>
        <v>11.111111111111111</v>
      </c>
      <c r="E1727">
        <f t="shared" si="27"/>
        <v>17.777777777777779</v>
      </c>
      <c r="F1727">
        <f>IF((E1727-'user input'!$C$2)&lt;0,0,E1727-'user input'!$C$2)</f>
        <v>7.7777777777777786</v>
      </c>
      <c r="G1727">
        <f>IF(B1727&lt;'user input'!$C$5,0,(F1727+G1726))</f>
        <v>1314.1666666666658</v>
      </c>
      <c r="H1727">
        <f>G1727/'user input'!$C$4</f>
        <v>1.0951388888888882</v>
      </c>
    </row>
    <row r="1728" spans="1:8" x14ac:dyDescent="0.2">
      <c r="A1728" s="1">
        <v>41904</v>
      </c>
      <c r="B1728">
        <v>266</v>
      </c>
      <c r="C1728" s="6">
        <f>IF('weather data'!C1728&gt;'user input'!$C$3,'user input'!$C$3,'weather data'!C1728)</f>
        <v>17.777777777777779</v>
      </c>
      <c r="D1728" s="6">
        <f>IF('weather data'!D1728&lt;'user input'!$C$2,'user input'!$C$2,'weather data'!D1728)</f>
        <v>10</v>
      </c>
      <c r="E1728">
        <f t="shared" si="27"/>
        <v>13.888888888888889</v>
      </c>
      <c r="F1728">
        <f>IF((E1728-'user input'!$C$2)&lt;0,0,E1728-'user input'!$C$2)</f>
        <v>3.8888888888888893</v>
      </c>
      <c r="G1728">
        <f>IF(B1728&lt;'user input'!$C$5,0,(F1728+G1727))</f>
        <v>1318.0555555555547</v>
      </c>
      <c r="H1728">
        <f>G1728/'user input'!$C$4</f>
        <v>1.0983796296296289</v>
      </c>
    </row>
    <row r="1729" spans="1:8" x14ac:dyDescent="0.2">
      <c r="A1729" s="1">
        <v>41905</v>
      </c>
      <c r="B1729">
        <v>267</v>
      </c>
      <c r="C1729" s="6">
        <f>IF('weather data'!C1729&gt;'user input'!$C$3,'user input'!$C$3,'weather data'!C1729)</f>
        <v>20.555555555555554</v>
      </c>
      <c r="D1729" s="6">
        <f>IF('weather data'!D1729&lt;'user input'!$C$2,'user input'!$C$2,'weather data'!D1729)</f>
        <v>10</v>
      </c>
      <c r="E1729">
        <f t="shared" si="27"/>
        <v>15.277777777777777</v>
      </c>
      <c r="F1729">
        <f>IF((E1729-'user input'!$C$2)&lt;0,0,E1729-'user input'!$C$2)</f>
        <v>5.2777777777777768</v>
      </c>
      <c r="G1729">
        <f>IF(B1729&lt;'user input'!$C$5,0,(F1729+G1728))</f>
        <v>1323.3333333333326</v>
      </c>
      <c r="H1729">
        <f>G1729/'user input'!$C$4</f>
        <v>1.1027777777777772</v>
      </c>
    </row>
    <row r="1730" spans="1:8" x14ac:dyDescent="0.2">
      <c r="A1730" s="1">
        <v>41906</v>
      </c>
      <c r="B1730">
        <v>268</v>
      </c>
      <c r="C1730" s="6">
        <f>IF('weather data'!C1730&gt;'user input'!$C$3,'user input'!$C$3,'weather data'!C1730)</f>
        <v>23.333333333333336</v>
      </c>
      <c r="D1730" s="6">
        <f>IF('weather data'!D1730&lt;'user input'!$C$2,'user input'!$C$2,'weather data'!D1730)</f>
        <v>10</v>
      </c>
      <c r="E1730">
        <f t="shared" si="27"/>
        <v>16.666666666666668</v>
      </c>
      <c r="F1730">
        <f>IF((E1730-'user input'!$C$2)&lt;0,0,E1730-'user input'!$C$2)</f>
        <v>6.6666666666666679</v>
      </c>
      <c r="G1730">
        <f>IF(B1730&lt;'user input'!$C$5,0,(F1730+G1729))</f>
        <v>1329.9999999999993</v>
      </c>
      <c r="H1730">
        <f>G1730/'user input'!$C$4</f>
        <v>1.1083333333333327</v>
      </c>
    </row>
    <row r="1731" spans="1:8" x14ac:dyDescent="0.2">
      <c r="A1731" s="1">
        <v>41907</v>
      </c>
      <c r="B1731">
        <v>269</v>
      </c>
      <c r="C1731" s="6">
        <f>IF('weather data'!C1731&gt;'user input'!$C$3,'user input'!$C$3,'weather data'!C1731)</f>
        <v>21.111111111111111</v>
      </c>
      <c r="D1731" s="6">
        <f>IF('weather data'!D1731&lt;'user input'!$C$2,'user input'!$C$2,'weather data'!D1731)</f>
        <v>10</v>
      </c>
      <c r="E1731">
        <f t="shared" si="27"/>
        <v>15.555555555555555</v>
      </c>
      <c r="F1731">
        <f>IF((E1731-'user input'!$C$2)&lt;0,0,E1731-'user input'!$C$2)</f>
        <v>5.5555555555555554</v>
      </c>
      <c r="G1731">
        <f>IF(B1731&lt;'user input'!$C$5,0,(F1731+G1730))</f>
        <v>1335.555555555555</v>
      </c>
      <c r="H1731">
        <f>G1731/'user input'!$C$4</f>
        <v>1.1129629629629625</v>
      </c>
    </row>
    <row r="1732" spans="1:8" x14ac:dyDescent="0.2">
      <c r="A1732" s="1">
        <v>41908</v>
      </c>
      <c r="B1732">
        <v>270</v>
      </c>
      <c r="C1732" s="6">
        <f>IF('weather data'!C1732&gt;'user input'!$C$3,'user input'!$C$3,'weather data'!C1732)</f>
        <v>25.555555555555554</v>
      </c>
      <c r="D1732" s="6">
        <f>IF('weather data'!D1732&lt;'user input'!$C$2,'user input'!$C$2,'weather data'!D1732)</f>
        <v>10</v>
      </c>
      <c r="E1732">
        <f t="shared" si="27"/>
        <v>17.777777777777779</v>
      </c>
      <c r="F1732">
        <f>IF((E1732-'user input'!$C$2)&lt;0,0,E1732-'user input'!$C$2)</f>
        <v>7.7777777777777786</v>
      </c>
      <c r="G1732">
        <f>IF(B1732&lt;'user input'!$C$5,0,(F1732+G1731))</f>
        <v>1343.3333333333328</v>
      </c>
      <c r="H1732">
        <f>G1732/'user input'!$C$4</f>
        <v>1.119444444444444</v>
      </c>
    </row>
    <row r="1733" spans="1:8" x14ac:dyDescent="0.2">
      <c r="A1733" s="1">
        <v>41909</v>
      </c>
      <c r="B1733">
        <v>271</v>
      </c>
      <c r="C1733" s="6">
        <f>IF('weather data'!C1733&gt;'user input'!$C$3,'user input'!$C$3,'weather data'!C1733)</f>
        <v>26.666666666666664</v>
      </c>
      <c r="D1733" s="6">
        <f>IF('weather data'!D1733&lt;'user input'!$C$2,'user input'!$C$2,'weather data'!D1733)</f>
        <v>10</v>
      </c>
      <c r="E1733">
        <f t="shared" si="27"/>
        <v>18.333333333333332</v>
      </c>
      <c r="F1733">
        <f>IF((E1733-'user input'!$C$2)&lt;0,0,E1733-'user input'!$C$2)</f>
        <v>8.3333333333333321</v>
      </c>
      <c r="G1733">
        <f>IF(B1733&lt;'user input'!$C$5,0,(F1733+G1732))</f>
        <v>1351.6666666666661</v>
      </c>
      <c r="H1733">
        <f>G1733/'user input'!$C$4</f>
        <v>1.1263888888888884</v>
      </c>
    </row>
    <row r="1734" spans="1:8" x14ac:dyDescent="0.2">
      <c r="A1734" s="1">
        <v>41910</v>
      </c>
      <c r="B1734">
        <v>272</v>
      </c>
      <c r="C1734" s="6">
        <f>IF('weather data'!C1734&gt;'user input'!$C$3,'user input'!$C$3,'weather data'!C1734)</f>
        <v>27.777777777777779</v>
      </c>
      <c r="D1734" s="6">
        <f>IF('weather data'!D1734&lt;'user input'!$C$2,'user input'!$C$2,'weather data'!D1734)</f>
        <v>10</v>
      </c>
      <c r="E1734">
        <f t="shared" si="27"/>
        <v>18.888888888888889</v>
      </c>
      <c r="F1734">
        <f>IF((E1734-'user input'!$C$2)&lt;0,0,E1734-'user input'!$C$2)</f>
        <v>8.8888888888888893</v>
      </c>
      <c r="G1734">
        <f>IF(B1734&lt;'user input'!$C$5,0,(F1734+G1733))</f>
        <v>1360.555555555555</v>
      </c>
      <c r="H1734">
        <f>G1734/'user input'!$C$4</f>
        <v>1.1337962962962957</v>
      </c>
    </row>
    <row r="1735" spans="1:8" x14ac:dyDescent="0.2">
      <c r="A1735" s="1">
        <v>41911</v>
      </c>
      <c r="B1735">
        <v>273</v>
      </c>
      <c r="C1735" s="6">
        <f>IF('weather data'!C1735&gt;'user input'!$C$3,'user input'!$C$3,'weather data'!C1735)</f>
        <v>28.333333333333336</v>
      </c>
      <c r="D1735" s="6">
        <f>IF('weather data'!D1735&lt;'user input'!$C$2,'user input'!$C$2,'weather data'!D1735)</f>
        <v>10.555555555555555</v>
      </c>
      <c r="E1735">
        <f t="shared" si="27"/>
        <v>19.444444444444446</v>
      </c>
      <c r="F1735">
        <f>IF((E1735-'user input'!$C$2)&lt;0,0,E1735-'user input'!$C$2)</f>
        <v>9.4444444444444464</v>
      </c>
      <c r="G1735">
        <f>IF(B1735&lt;'user input'!$C$5,0,(F1735+G1734))</f>
        <v>1369.9999999999993</v>
      </c>
      <c r="H1735">
        <f>G1735/'user input'!$C$4</f>
        <v>1.1416666666666662</v>
      </c>
    </row>
    <row r="1736" spans="1:8" x14ac:dyDescent="0.2">
      <c r="A1736" s="1">
        <v>41912</v>
      </c>
      <c r="B1736">
        <v>274</v>
      </c>
      <c r="C1736" s="6">
        <f>IF('weather data'!C1736&gt;'user input'!$C$3,'user input'!$C$3,'weather data'!C1736)</f>
        <v>27.777777777777779</v>
      </c>
      <c r="D1736" s="6">
        <f>IF('weather data'!D1736&lt;'user input'!$C$2,'user input'!$C$2,'weather data'!D1736)</f>
        <v>10</v>
      </c>
      <c r="E1736">
        <f t="shared" si="27"/>
        <v>18.888888888888889</v>
      </c>
      <c r="F1736">
        <f>IF((E1736-'user input'!$C$2)&lt;0,0,E1736-'user input'!$C$2)</f>
        <v>8.8888888888888893</v>
      </c>
      <c r="G1736">
        <f>IF(B1736&lt;'user input'!$C$5,0,(F1736+G1735))</f>
        <v>1378.8888888888882</v>
      </c>
      <c r="H1736">
        <f>G1736/'user input'!$C$4</f>
        <v>1.1490740740740735</v>
      </c>
    </row>
    <row r="1737" spans="1:8" x14ac:dyDescent="0.2">
      <c r="A1737" s="1">
        <v>41913</v>
      </c>
      <c r="B1737">
        <v>275</v>
      </c>
      <c r="C1737" s="6">
        <f>IF('weather data'!C1737&gt;'user input'!$C$3,'user input'!$C$3,'weather data'!C1737)</f>
        <v>13.888888888888889</v>
      </c>
      <c r="D1737" s="6">
        <f>IF('weather data'!D1737&lt;'user input'!$C$2,'user input'!$C$2,'weather data'!D1737)</f>
        <v>10</v>
      </c>
      <c r="E1737">
        <f t="shared" si="27"/>
        <v>11.944444444444445</v>
      </c>
      <c r="F1737">
        <f>IF((E1737-'user input'!$C$2)&lt;0,0,E1737-'user input'!$C$2)</f>
        <v>1.9444444444444446</v>
      </c>
      <c r="G1737">
        <f>IF(B1737&lt;'user input'!$C$5,0,(F1737+G1736))</f>
        <v>1380.8333333333326</v>
      </c>
      <c r="H1737">
        <f>G1737/'user input'!$C$4</f>
        <v>1.1506944444444438</v>
      </c>
    </row>
    <row r="1738" spans="1:8" x14ac:dyDescent="0.2">
      <c r="A1738" s="1">
        <v>41914</v>
      </c>
      <c r="B1738">
        <v>276</v>
      </c>
      <c r="C1738" s="6">
        <f>IF('weather data'!C1738&gt;'user input'!$C$3,'user input'!$C$3,'weather data'!C1738)</f>
        <v>21.111111111111111</v>
      </c>
      <c r="D1738" s="6">
        <f>IF('weather data'!D1738&lt;'user input'!$C$2,'user input'!$C$2,'weather data'!D1738)</f>
        <v>10</v>
      </c>
      <c r="E1738">
        <f t="shared" si="27"/>
        <v>15.555555555555555</v>
      </c>
      <c r="F1738">
        <f>IF((E1738-'user input'!$C$2)&lt;0,0,E1738-'user input'!$C$2)</f>
        <v>5.5555555555555554</v>
      </c>
      <c r="G1738">
        <f>IF(B1738&lt;'user input'!$C$5,0,(F1738+G1737))</f>
        <v>1386.3888888888882</v>
      </c>
      <c r="H1738">
        <f>G1738/'user input'!$C$4</f>
        <v>1.1553240740740736</v>
      </c>
    </row>
    <row r="1739" spans="1:8" x14ac:dyDescent="0.2">
      <c r="A1739" s="1">
        <v>41915</v>
      </c>
      <c r="B1739">
        <v>277</v>
      </c>
      <c r="C1739" s="6">
        <f>IF('weather data'!C1739&gt;'user input'!$C$3,'user input'!$C$3,'weather data'!C1739)</f>
        <v>21.111111111111111</v>
      </c>
      <c r="D1739" s="6">
        <f>IF('weather data'!D1739&lt;'user input'!$C$2,'user input'!$C$2,'weather data'!D1739)</f>
        <v>10</v>
      </c>
      <c r="E1739">
        <f t="shared" si="27"/>
        <v>15.555555555555555</v>
      </c>
      <c r="F1739">
        <f>IF((E1739-'user input'!$C$2)&lt;0,0,E1739-'user input'!$C$2)</f>
        <v>5.5555555555555554</v>
      </c>
      <c r="G1739">
        <f>IF(B1739&lt;'user input'!$C$5,0,(F1739+G1738))</f>
        <v>1391.9444444444439</v>
      </c>
      <c r="H1739">
        <f>G1739/'user input'!$C$4</f>
        <v>1.1599537037037033</v>
      </c>
    </row>
    <row r="1740" spans="1:8" x14ac:dyDescent="0.2">
      <c r="A1740" s="1">
        <v>41916</v>
      </c>
      <c r="B1740">
        <v>278</v>
      </c>
      <c r="C1740" s="6">
        <f>IF('weather data'!C1740&gt;'user input'!$C$3,'user input'!$C$3,'weather data'!C1740)</f>
        <v>11.111111111111111</v>
      </c>
      <c r="D1740" s="6">
        <f>IF('weather data'!D1740&lt;'user input'!$C$2,'user input'!$C$2,'weather data'!D1740)</f>
        <v>10</v>
      </c>
      <c r="E1740">
        <f t="shared" si="27"/>
        <v>10.555555555555555</v>
      </c>
      <c r="F1740">
        <f>IF((E1740-'user input'!$C$2)&lt;0,0,E1740-'user input'!$C$2)</f>
        <v>0.55555555555555536</v>
      </c>
      <c r="G1740">
        <f>IF(B1740&lt;'user input'!$C$5,0,(F1740+G1739))</f>
        <v>1392.4999999999995</v>
      </c>
      <c r="H1740">
        <f>G1740/'user input'!$C$4</f>
        <v>1.1604166666666662</v>
      </c>
    </row>
    <row r="1741" spans="1:8" x14ac:dyDescent="0.2">
      <c r="A1741" s="1">
        <v>41917</v>
      </c>
      <c r="B1741">
        <v>279</v>
      </c>
      <c r="C1741" s="6">
        <f>IF('weather data'!C1741&gt;'user input'!$C$3,'user input'!$C$3,'weather data'!C1741)</f>
        <v>11.666666666666668</v>
      </c>
      <c r="D1741" s="6">
        <f>IF('weather data'!D1741&lt;'user input'!$C$2,'user input'!$C$2,'weather data'!D1741)</f>
        <v>10</v>
      </c>
      <c r="E1741">
        <f t="shared" si="27"/>
        <v>10.833333333333334</v>
      </c>
      <c r="F1741">
        <f>IF((E1741-'user input'!$C$2)&lt;0,0,E1741-'user input'!$C$2)</f>
        <v>0.83333333333333393</v>
      </c>
      <c r="G1741">
        <f>IF(B1741&lt;'user input'!$C$5,0,(F1741+G1740))</f>
        <v>1393.3333333333328</v>
      </c>
      <c r="H1741">
        <f>G1741/'user input'!$C$4</f>
        <v>1.1611111111111108</v>
      </c>
    </row>
    <row r="1742" spans="1:8" x14ac:dyDescent="0.2">
      <c r="A1742" s="1">
        <v>41918</v>
      </c>
      <c r="B1742">
        <v>280</v>
      </c>
      <c r="C1742" s="6">
        <f>IF('weather data'!C1742&gt;'user input'!$C$3,'user input'!$C$3,'weather data'!C1742)</f>
        <v>12.222222222222223</v>
      </c>
      <c r="D1742" s="6">
        <f>IF('weather data'!D1742&lt;'user input'!$C$2,'user input'!$C$2,'weather data'!D1742)</f>
        <v>10</v>
      </c>
      <c r="E1742">
        <f t="shared" si="27"/>
        <v>11.111111111111111</v>
      </c>
      <c r="F1742">
        <f>IF((E1742-'user input'!$C$2)&lt;0,0,E1742-'user input'!$C$2)</f>
        <v>1.1111111111111107</v>
      </c>
      <c r="G1742">
        <f>IF(B1742&lt;'user input'!$C$5,0,(F1742+G1741))</f>
        <v>1394.4444444444439</v>
      </c>
      <c r="H1742">
        <f>G1742/'user input'!$C$4</f>
        <v>1.1620370370370365</v>
      </c>
    </row>
    <row r="1743" spans="1:8" x14ac:dyDescent="0.2">
      <c r="A1743" s="1">
        <v>41919</v>
      </c>
      <c r="B1743">
        <v>281</v>
      </c>
      <c r="C1743" s="6">
        <f>IF('weather data'!C1743&gt;'user input'!$C$3,'user input'!$C$3,'weather data'!C1743)</f>
        <v>13.888888888888889</v>
      </c>
      <c r="D1743" s="6">
        <f>IF('weather data'!D1743&lt;'user input'!$C$2,'user input'!$C$2,'weather data'!D1743)</f>
        <v>10</v>
      </c>
      <c r="E1743">
        <f t="shared" si="27"/>
        <v>11.944444444444445</v>
      </c>
      <c r="F1743">
        <f>IF((E1743-'user input'!$C$2)&lt;0,0,E1743-'user input'!$C$2)</f>
        <v>1.9444444444444446</v>
      </c>
      <c r="G1743">
        <f>IF(B1743&lt;'user input'!$C$5,0,(F1743+G1742))</f>
        <v>1396.3888888888882</v>
      </c>
      <c r="H1743">
        <f>G1743/'user input'!$C$4</f>
        <v>1.1636574074074069</v>
      </c>
    </row>
    <row r="1744" spans="1:8" x14ac:dyDescent="0.2">
      <c r="A1744" s="1">
        <v>41920</v>
      </c>
      <c r="B1744">
        <v>282</v>
      </c>
      <c r="C1744" s="6">
        <f>IF('weather data'!C1744&gt;'user input'!$C$3,'user input'!$C$3,'weather data'!C1744)</f>
        <v>18.333333333333332</v>
      </c>
      <c r="D1744" s="6">
        <f>IF('weather data'!D1744&lt;'user input'!$C$2,'user input'!$C$2,'weather data'!D1744)</f>
        <v>10</v>
      </c>
      <c r="E1744">
        <f t="shared" si="27"/>
        <v>14.166666666666666</v>
      </c>
      <c r="F1744">
        <f>IF((E1744-'user input'!$C$2)&lt;0,0,E1744-'user input'!$C$2)</f>
        <v>4.1666666666666661</v>
      </c>
      <c r="G1744">
        <f>IF(B1744&lt;'user input'!$C$5,0,(F1744+G1743))</f>
        <v>1400.555555555555</v>
      </c>
      <c r="H1744">
        <f>G1744/'user input'!$C$4</f>
        <v>1.1671296296296292</v>
      </c>
    </row>
    <row r="1745" spans="1:8" x14ac:dyDescent="0.2">
      <c r="A1745" s="1">
        <v>41921</v>
      </c>
      <c r="B1745">
        <v>283</v>
      </c>
      <c r="C1745" s="6">
        <f>IF('weather data'!C1745&gt;'user input'!$C$3,'user input'!$C$3,'weather data'!C1745)</f>
        <v>18.333333333333332</v>
      </c>
      <c r="D1745" s="6">
        <f>IF('weather data'!D1745&lt;'user input'!$C$2,'user input'!$C$2,'weather data'!D1745)</f>
        <v>10</v>
      </c>
      <c r="E1745">
        <f t="shared" si="27"/>
        <v>14.166666666666666</v>
      </c>
      <c r="F1745">
        <f>IF((E1745-'user input'!$C$2)&lt;0,0,E1745-'user input'!$C$2)</f>
        <v>4.1666666666666661</v>
      </c>
      <c r="G1745">
        <f>IF(B1745&lt;'user input'!$C$5,0,(F1745+G1744))</f>
        <v>1404.7222222222217</v>
      </c>
      <c r="H1745">
        <f>G1745/'user input'!$C$4</f>
        <v>1.1706018518518515</v>
      </c>
    </row>
    <row r="1746" spans="1:8" x14ac:dyDescent="0.2">
      <c r="A1746" s="1">
        <v>41922</v>
      </c>
      <c r="B1746">
        <v>284</v>
      </c>
      <c r="C1746" s="6">
        <f>IF('weather data'!C1746&gt;'user input'!$C$3,'user input'!$C$3,'weather data'!C1746)</f>
        <v>18.888888888888889</v>
      </c>
      <c r="D1746" s="6">
        <f>IF('weather data'!D1746&lt;'user input'!$C$2,'user input'!$C$2,'weather data'!D1746)</f>
        <v>10</v>
      </c>
      <c r="E1746">
        <f t="shared" ref="E1746:E1809" si="28">(C1746+D1746)/2</f>
        <v>14.444444444444445</v>
      </c>
      <c r="F1746">
        <f>IF((E1746-'user input'!$C$2)&lt;0,0,E1746-'user input'!$C$2)</f>
        <v>4.4444444444444446</v>
      </c>
      <c r="G1746">
        <f>IF(B1746&lt;'user input'!$C$5,0,(F1746+G1745))</f>
        <v>1409.1666666666661</v>
      </c>
      <c r="H1746">
        <f>G1746/'user input'!$C$4</f>
        <v>1.174305555555555</v>
      </c>
    </row>
    <row r="1747" spans="1:8" x14ac:dyDescent="0.2">
      <c r="A1747" s="1">
        <v>41923</v>
      </c>
      <c r="B1747">
        <v>285</v>
      </c>
      <c r="C1747" s="6">
        <f>IF('weather data'!C1747&gt;'user input'!$C$3,'user input'!$C$3,'weather data'!C1747)</f>
        <v>18.333333333333332</v>
      </c>
      <c r="D1747" s="6">
        <f>IF('weather data'!D1747&lt;'user input'!$C$2,'user input'!$C$2,'weather data'!D1747)</f>
        <v>10</v>
      </c>
      <c r="E1747">
        <f t="shared" si="28"/>
        <v>14.166666666666666</v>
      </c>
      <c r="F1747">
        <f>IF((E1747-'user input'!$C$2)&lt;0,0,E1747-'user input'!$C$2)</f>
        <v>4.1666666666666661</v>
      </c>
      <c r="G1747">
        <f>IF(B1747&lt;'user input'!$C$5,0,(F1747+G1746))</f>
        <v>1413.3333333333328</v>
      </c>
      <c r="H1747">
        <f>G1747/'user input'!$C$4</f>
        <v>1.1777777777777774</v>
      </c>
    </row>
    <row r="1748" spans="1:8" x14ac:dyDescent="0.2">
      <c r="A1748" s="1">
        <v>41924</v>
      </c>
      <c r="B1748">
        <v>286</v>
      </c>
      <c r="C1748" s="6">
        <f>IF('weather data'!C1748&gt;'user input'!$C$3,'user input'!$C$3,'weather data'!C1748)</f>
        <v>16.111111111111111</v>
      </c>
      <c r="D1748" s="6">
        <f>IF('weather data'!D1748&lt;'user input'!$C$2,'user input'!$C$2,'weather data'!D1748)</f>
        <v>10</v>
      </c>
      <c r="E1748">
        <f t="shared" si="28"/>
        <v>13.055555555555555</v>
      </c>
      <c r="F1748">
        <f>IF((E1748-'user input'!$C$2)&lt;0,0,E1748-'user input'!$C$2)</f>
        <v>3.0555555555555554</v>
      </c>
      <c r="G1748">
        <f>IF(B1748&lt;'user input'!$C$5,0,(F1748+G1747))</f>
        <v>1416.3888888888885</v>
      </c>
      <c r="H1748">
        <f>G1748/'user input'!$C$4</f>
        <v>1.1803240740740737</v>
      </c>
    </row>
    <row r="1749" spans="1:8" x14ac:dyDescent="0.2">
      <c r="A1749" s="1">
        <v>41925</v>
      </c>
      <c r="B1749">
        <v>287</v>
      </c>
      <c r="C1749" s="6">
        <f>IF('weather data'!C1749&gt;'user input'!$C$3,'user input'!$C$3,'weather data'!C1749)</f>
        <v>16.666666666666668</v>
      </c>
      <c r="D1749" s="6">
        <f>IF('weather data'!D1749&lt;'user input'!$C$2,'user input'!$C$2,'weather data'!D1749)</f>
        <v>10</v>
      </c>
      <c r="E1749">
        <f t="shared" si="28"/>
        <v>13.333333333333334</v>
      </c>
      <c r="F1749">
        <f>IF((E1749-'user input'!$C$2)&lt;0,0,E1749-'user input'!$C$2)</f>
        <v>3.3333333333333339</v>
      </c>
      <c r="G1749">
        <f>IF(B1749&lt;'user input'!$C$5,0,(F1749+G1748))</f>
        <v>1419.7222222222217</v>
      </c>
      <c r="H1749">
        <f>G1749/'user input'!$C$4</f>
        <v>1.1831018518518515</v>
      </c>
    </row>
    <row r="1750" spans="1:8" x14ac:dyDescent="0.2">
      <c r="A1750" s="1">
        <v>41926</v>
      </c>
      <c r="B1750">
        <v>288</v>
      </c>
      <c r="C1750" s="6">
        <f>IF('weather data'!C1750&gt;'user input'!$C$3,'user input'!$C$3,'weather data'!C1750)</f>
        <v>15</v>
      </c>
      <c r="D1750" s="6">
        <f>IF('weather data'!D1750&lt;'user input'!$C$2,'user input'!$C$2,'weather data'!D1750)</f>
        <v>10.555555555555555</v>
      </c>
      <c r="E1750">
        <f t="shared" si="28"/>
        <v>12.777777777777779</v>
      </c>
      <c r="F1750">
        <f>IF((E1750-'user input'!$C$2)&lt;0,0,E1750-'user input'!$C$2)</f>
        <v>2.7777777777777786</v>
      </c>
      <c r="G1750">
        <f>IF(B1750&lt;'user input'!$C$5,0,(F1750+G1749))</f>
        <v>1422.4999999999995</v>
      </c>
      <c r="H1750">
        <f>G1750/'user input'!$C$4</f>
        <v>1.1854166666666663</v>
      </c>
    </row>
    <row r="1751" spans="1:8" x14ac:dyDescent="0.2">
      <c r="A1751" s="1">
        <v>41927</v>
      </c>
      <c r="B1751">
        <v>289</v>
      </c>
      <c r="C1751" s="6">
        <f>IF('weather data'!C1751&gt;'user input'!$C$3,'user input'!$C$3,'weather data'!C1751)</f>
        <v>12.222222222222223</v>
      </c>
      <c r="D1751" s="6">
        <f>IF('weather data'!D1751&lt;'user input'!$C$2,'user input'!$C$2,'weather data'!D1751)</f>
        <v>10</v>
      </c>
      <c r="E1751">
        <f t="shared" si="28"/>
        <v>11.111111111111111</v>
      </c>
      <c r="F1751">
        <f>IF((E1751-'user input'!$C$2)&lt;0,0,E1751-'user input'!$C$2)</f>
        <v>1.1111111111111107</v>
      </c>
      <c r="G1751">
        <f>IF(B1751&lt;'user input'!$C$5,0,(F1751+G1750))</f>
        <v>1423.6111111111106</v>
      </c>
      <c r="H1751">
        <f>G1751/'user input'!$C$4</f>
        <v>1.1863425925925921</v>
      </c>
    </row>
    <row r="1752" spans="1:8" x14ac:dyDescent="0.2">
      <c r="A1752" s="1">
        <v>41928</v>
      </c>
      <c r="B1752">
        <v>290</v>
      </c>
      <c r="C1752" s="6">
        <f>IF('weather data'!C1752&gt;'user input'!$C$3,'user input'!$C$3,'weather data'!C1752)</f>
        <v>12.222222222222223</v>
      </c>
      <c r="D1752" s="6">
        <f>IF('weather data'!D1752&lt;'user input'!$C$2,'user input'!$C$2,'weather data'!D1752)</f>
        <v>10</v>
      </c>
      <c r="E1752">
        <f t="shared" si="28"/>
        <v>11.111111111111111</v>
      </c>
      <c r="F1752">
        <f>IF((E1752-'user input'!$C$2)&lt;0,0,E1752-'user input'!$C$2)</f>
        <v>1.1111111111111107</v>
      </c>
      <c r="G1752">
        <f>IF(B1752&lt;'user input'!$C$5,0,(F1752+G1751))</f>
        <v>1424.7222222222217</v>
      </c>
      <c r="H1752">
        <f>G1752/'user input'!$C$4</f>
        <v>1.1872685185185181</v>
      </c>
    </row>
    <row r="1753" spans="1:8" x14ac:dyDescent="0.2">
      <c r="A1753" s="1">
        <v>41929</v>
      </c>
      <c r="B1753">
        <v>291</v>
      </c>
      <c r="C1753" s="6">
        <f>IF('weather data'!C1753&gt;'user input'!$C$3,'user input'!$C$3,'weather data'!C1753)</f>
        <v>18.333333333333332</v>
      </c>
      <c r="D1753" s="6">
        <f>IF('weather data'!D1753&lt;'user input'!$C$2,'user input'!$C$2,'weather data'!D1753)</f>
        <v>10</v>
      </c>
      <c r="E1753">
        <f t="shared" si="28"/>
        <v>14.166666666666666</v>
      </c>
      <c r="F1753">
        <f>IF((E1753-'user input'!$C$2)&lt;0,0,E1753-'user input'!$C$2)</f>
        <v>4.1666666666666661</v>
      </c>
      <c r="G1753">
        <f>IF(B1753&lt;'user input'!$C$5,0,(F1753+G1752))</f>
        <v>1428.8888888888885</v>
      </c>
      <c r="H1753">
        <f>G1753/'user input'!$C$4</f>
        <v>1.1907407407407404</v>
      </c>
    </row>
    <row r="1754" spans="1:8" x14ac:dyDescent="0.2">
      <c r="A1754" s="1">
        <v>41930</v>
      </c>
      <c r="B1754">
        <v>292</v>
      </c>
      <c r="C1754" s="6">
        <f>IF('weather data'!C1754&gt;'user input'!$C$3,'user input'!$C$3,'weather data'!C1754)</f>
        <v>12.777777777777777</v>
      </c>
      <c r="D1754" s="6">
        <f>IF('weather data'!D1754&lt;'user input'!$C$2,'user input'!$C$2,'weather data'!D1754)</f>
        <v>10</v>
      </c>
      <c r="E1754">
        <f t="shared" si="28"/>
        <v>11.388888888888889</v>
      </c>
      <c r="F1754">
        <f>IF((E1754-'user input'!$C$2)&lt;0,0,E1754-'user input'!$C$2)</f>
        <v>1.3888888888888893</v>
      </c>
      <c r="G1754">
        <f>IF(B1754&lt;'user input'!$C$5,0,(F1754+G1753))</f>
        <v>1430.2777777777774</v>
      </c>
      <c r="H1754">
        <f>G1754/'user input'!$C$4</f>
        <v>1.1918981481481479</v>
      </c>
    </row>
    <row r="1755" spans="1:8" x14ac:dyDescent="0.2">
      <c r="A1755" s="1">
        <v>41931</v>
      </c>
      <c r="B1755">
        <v>293</v>
      </c>
      <c r="C1755" s="6">
        <f>IF('weather data'!C1755&gt;'user input'!$C$3,'user input'!$C$3,'weather data'!C1755)</f>
        <v>12.777777777777777</v>
      </c>
      <c r="D1755" s="6">
        <f>IF('weather data'!D1755&lt;'user input'!$C$2,'user input'!$C$2,'weather data'!D1755)</f>
        <v>10</v>
      </c>
      <c r="E1755">
        <f t="shared" si="28"/>
        <v>11.388888888888889</v>
      </c>
      <c r="F1755">
        <f>IF((E1755-'user input'!$C$2)&lt;0,0,E1755-'user input'!$C$2)</f>
        <v>1.3888888888888893</v>
      </c>
      <c r="G1755">
        <f>IF(B1755&lt;'user input'!$C$5,0,(F1755+G1754))</f>
        <v>1431.6666666666663</v>
      </c>
      <c r="H1755">
        <f>G1755/'user input'!$C$4</f>
        <v>1.1930555555555553</v>
      </c>
    </row>
    <row r="1756" spans="1:8" x14ac:dyDescent="0.2">
      <c r="A1756" s="1">
        <v>41932</v>
      </c>
      <c r="B1756">
        <v>294</v>
      </c>
      <c r="C1756" s="6">
        <f>IF('weather data'!C1756&gt;'user input'!$C$3,'user input'!$C$3,'weather data'!C1756)</f>
        <v>14.444444444444445</v>
      </c>
      <c r="D1756" s="6">
        <f>IF('weather data'!D1756&lt;'user input'!$C$2,'user input'!$C$2,'weather data'!D1756)</f>
        <v>10</v>
      </c>
      <c r="E1756">
        <f t="shared" si="28"/>
        <v>12.222222222222221</v>
      </c>
      <c r="F1756">
        <f>IF((E1756-'user input'!$C$2)&lt;0,0,E1756-'user input'!$C$2)</f>
        <v>2.2222222222222214</v>
      </c>
      <c r="G1756">
        <f>IF(B1756&lt;'user input'!$C$5,0,(F1756+G1755))</f>
        <v>1433.8888888888885</v>
      </c>
      <c r="H1756">
        <f>G1756/'user input'!$C$4</f>
        <v>1.1949074074074071</v>
      </c>
    </row>
    <row r="1757" spans="1:8" x14ac:dyDescent="0.2">
      <c r="A1757" s="1">
        <v>41933</v>
      </c>
      <c r="B1757">
        <v>295</v>
      </c>
      <c r="C1757" s="6">
        <f>IF('weather data'!C1757&gt;'user input'!$C$3,'user input'!$C$3,'weather data'!C1757)</f>
        <v>16.666666666666668</v>
      </c>
      <c r="D1757" s="6">
        <f>IF('weather data'!D1757&lt;'user input'!$C$2,'user input'!$C$2,'weather data'!D1757)</f>
        <v>10</v>
      </c>
      <c r="E1757">
        <f t="shared" si="28"/>
        <v>13.333333333333334</v>
      </c>
      <c r="F1757">
        <f>IF((E1757-'user input'!$C$2)&lt;0,0,E1757-'user input'!$C$2)</f>
        <v>3.3333333333333339</v>
      </c>
      <c r="G1757">
        <f>IF(B1757&lt;'user input'!$C$5,0,(F1757+G1756))</f>
        <v>1437.2222222222217</v>
      </c>
      <c r="H1757">
        <f>G1757/'user input'!$C$4</f>
        <v>1.1976851851851849</v>
      </c>
    </row>
    <row r="1758" spans="1:8" x14ac:dyDescent="0.2">
      <c r="A1758" s="1">
        <v>41934</v>
      </c>
      <c r="B1758">
        <v>296</v>
      </c>
      <c r="C1758" s="6">
        <f>IF('weather data'!C1758&gt;'user input'!$C$3,'user input'!$C$3,'weather data'!C1758)</f>
        <v>15.555555555555555</v>
      </c>
      <c r="D1758" s="6">
        <f>IF('weather data'!D1758&lt;'user input'!$C$2,'user input'!$C$2,'weather data'!D1758)</f>
        <v>10</v>
      </c>
      <c r="E1758">
        <f t="shared" si="28"/>
        <v>12.777777777777779</v>
      </c>
      <c r="F1758">
        <f>IF((E1758-'user input'!$C$2)&lt;0,0,E1758-'user input'!$C$2)</f>
        <v>2.7777777777777786</v>
      </c>
      <c r="G1758">
        <f>IF(B1758&lt;'user input'!$C$5,0,(F1758+G1757))</f>
        <v>1439.9999999999995</v>
      </c>
      <c r="H1758">
        <f>G1758/'user input'!$C$4</f>
        <v>1.1999999999999995</v>
      </c>
    </row>
    <row r="1759" spans="1:8" x14ac:dyDescent="0.2">
      <c r="A1759" s="1">
        <v>41935</v>
      </c>
      <c r="B1759">
        <v>297</v>
      </c>
      <c r="C1759" s="6">
        <f>IF('weather data'!C1759&gt;'user input'!$C$3,'user input'!$C$3,'weather data'!C1759)</f>
        <v>15</v>
      </c>
      <c r="D1759" s="6">
        <f>IF('weather data'!D1759&lt;'user input'!$C$2,'user input'!$C$2,'weather data'!D1759)</f>
        <v>10</v>
      </c>
      <c r="E1759">
        <f t="shared" si="28"/>
        <v>12.5</v>
      </c>
      <c r="F1759">
        <f>IF((E1759-'user input'!$C$2)&lt;0,0,E1759-'user input'!$C$2)</f>
        <v>2.5</v>
      </c>
      <c r="G1759">
        <f>IF(B1759&lt;'user input'!$C$5,0,(F1759+G1758))</f>
        <v>1442.4999999999995</v>
      </c>
      <c r="H1759">
        <f>G1759/'user input'!$C$4</f>
        <v>1.2020833333333329</v>
      </c>
    </row>
    <row r="1760" spans="1:8" x14ac:dyDescent="0.2">
      <c r="A1760" s="1">
        <v>41936</v>
      </c>
      <c r="B1760">
        <v>298</v>
      </c>
      <c r="C1760" s="6">
        <f>IF('weather data'!C1760&gt;'user input'!$C$3,'user input'!$C$3,'weather data'!C1760)</f>
        <v>9.4444444444444446</v>
      </c>
      <c r="D1760" s="6">
        <f>IF('weather data'!D1760&lt;'user input'!$C$2,'user input'!$C$2,'weather data'!D1760)</f>
        <v>10</v>
      </c>
      <c r="E1760">
        <f t="shared" si="28"/>
        <v>9.7222222222222214</v>
      </c>
      <c r="F1760">
        <f>IF((E1760-'user input'!$C$2)&lt;0,0,E1760-'user input'!$C$2)</f>
        <v>0</v>
      </c>
      <c r="G1760">
        <f>IF(B1760&lt;'user input'!$C$5,0,(F1760+G1759))</f>
        <v>1442.4999999999995</v>
      </c>
      <c r="H1760">
        <f>G1760/'user input'!$C$4</f>
        <v>1.2020833333333329</v>
      </c>
    </row>
    <row r="1761" spans="1:8" x14ac:dyDescent="0.2">
      <c r="A1761" s="1">
        <v>41937</v>
      </c>
      <c r="B1761">
        <v>299</v>
      </c>
      <c r="C1761" s="6">
        <f>IF('weather data'!C1761&gt;'user input'!$C$3,'user input'!$C$3,'weather data'!C1761)</f>
        <v>17.222222222222221</v>
      </c>
      <c r="D1761" s="6">
        <f>IF('weather data'!D1761&lt;'user input'!$C$2,'user input'!$C$2,'weather data'!D1761)</f>
        <v>10</v>
      </c>
      <c r="E1761">
        <f t="shared" si="28"/>
        <v>13.611111111111111</v>
      </c>
      <c r="F1761">
        <f>IF((E1761-'user input'!$C$2)&lt;0,0,E1761-'user input'!$C$2)</f>
        <v>3.6111111111111107</v>
      </c>
      <c r="G1761">
        <f>IF(B1761&lt;'user input'!$C$5,0,(F1761+G1760))</f>
        <v>1446.1111111111106</v>
      </c>
      <c r="H1761">
        <f>G1761/'user input'!$C$4</f>
        <v>1.2050925925925922</v>
      </c>
    </row>
    <row r="1762" spans="1:8" x14ac:dyDescent="0.2">
      <c r="A1762" s="1">
        <v>41938</v>
      </c>
      <c r="B1762">
        <v>300</v>
      </c>
      <c r="C1762" s="6">
        <f>IF('weather data'!C1762&gt;'user input'!$C$3,'user input'!$C$3,'weather data'!C1762)</f>
        <v>20</v>
      </c>
      <c r="D1762" s="6">
        <f>IF('weather data'!D1762&lt;'user input'!$C$2,'user input'!$C$2,'weather data'!D1762)</f>
        <v>10</v>
      </c>
      <c r="E1762">
        <f t="shared" si="28"/>
        <v>15</v>
      </c>
      <c r="F1762">
        <f>IF((E1762-'user input'!$C$2)&lt;0,0,E1762-'user input'!$C$2)</f>
        <v>5</v>
      </c>
      <c r="G1762">
        <f>IF(B1762&lt;'user input'!$C$5,0,(F1762+G1761))</f>
        <v>1451.1111111111106</v>
      </c>
      <c r="H1762">
        <f>G1762/'user input'!$C$4</f>
        <v>1.2092592592592588</v>
      </c>
    </row>
    <row r="1763" spans="1:8" x14ac:dyDescent="0.2">
      <c r="A1763" s="1">
        <v>41939</v>
      </c>
      <c r="B1763">
        <v>301</v>
      </c>
      <c r="C1763" s="6">
        <f>IF('weather data'!C1763&gt;'user input'!$C$3,'user input'!$C$3,'weather data'!C1763)</f>
        <v>17.777777777777779</v>
      </c>
      <c r="D1763" s="6">
        <f>IF('weather data'!D1763&lt;'user input'!$C$2,'user input'!$C$2,'weather data'!D1763)</f>
        <v>10</v>
      </c>
      <c r="E1763">
        <f t="shared" si="28"/>
        <v>13.888888888888889</v>
      </c>
      <c r="F1763">
        <f>IF((E1763-'user input'!$C$2)&lt;0,0,E1763-'user input'!$C$2)</f>
        <v>3.8888888888888893</v>
      </c>
      <c r="G1763">
        <f>IF(B1763&lt;'user input'!$C$5,0,(F1763+G1762))</f>
        <v>1454.9999999999995</v>
      </c>
      <c r="H1763">
        <f>G1763/'user input'!$C$4</f>
        <v>1.2124999999999997</v>
      </c>
    </row>
    <row r="1764" spans="1:8" x14ac:dyDescent="0.2">
      <c r="A1764" s="1">
        <v>41940</v>
      </c>
      <c r="B1764">
        <v>302</v>
      </c>
      <c r="C1764" s="6">
        <f>IF('weather data'!C1764&gt;'user input'!$C$3,'user input'!$C$3,'weather data'!C1764)</f>
        <v>23.888888888888889</v>
      </c>
      <c r="D1764" s="6">
        <f>IF('weather data'!D1764&lt;'user input'!$C$2,'user input'!$C$2,'weather data'!D1764)</f>
        <v>10</v>
      </c>
      <c r="E1764">
        <f t="shared" si="28"/>
        <v>16.944444444444443</v>
      </c>
      <c r="F1764">
        <f>IF((E1764-'user input'!$C$2)&lt;0,0,E1764-'user input'!$C$2)</f>
        <v>6.9444444444444429</v>
      </c>
      <c r="G1764">
        <f>IF(B1764&lt;'user input'!$C$5,0,(F1764+G1763))</f>
        <v>1461.9444444444439</v>
      </c>
      <c r="H1764">
        <f>G1764/'user input'!$C$4</f>
        <v>1.2182870370370367</v>
      </c>
    </row>
    <row r="1765" spans="1:8" x14ac:dyDescent="0.2">
      <c r="A1765" s="1">
        <v>41941</v>
      </c>
      <c r="B1765">
        <v>303</v>
      </c>
      <c r="C1765" s="6">
        <f>IF('weather data'!C1765&gt;'user input'!$C$3,'user input'!$C$3,'weather data'!C1765)</f>
        <v>11.111111111111111</v>
      </c>
      <c r="D1765" s="6">
        <f>IF('weather data'!D1765&lt;'user input'!$C$2,'user input'!$C$2,'weather data'!D1765)</f>
        <v>10</v>
      </c>
      <c r="E1765">
        <f t="shared" si="28"/>
        <v>10.555555555555555</v>
      </c>
      <c r="F1765">
        <f>IF((E1765-'user input'!$C$2)&lt;0,0,E1765-'user input'!$C$2)</f>
        <v>0.55555555555555536</v>
      </c>
      <c r="G1765">
        <f>IF(B1765&lt;'user input'!$C$5,0,(F1765+G1764))</f>
        <v>1462.4999999999995</v>
      </c>
      <c r="H1765">
        <f>G1765/'user input'!$C$4</f>
        <v>1.2187499999999996</v>
      </c>
    </row>
    <row r="1766" spans="1:8" x14ac:dyDescent="0.2">
      <c r="A1766" s="1">
        <v>41942</v>
      </c>
      <c r="B1766">
        <v>304</v>
      </c>
      <c r="C1766" s="6">
        <f>IF('weather data'!C1766&gt;'user input'!$C$3,'user input'!$C$3,'weather data'!C1766)</f>
        <v>8.8888888888888893</v>
      </c>
      <c r="D1766" s="6">
        <f>IF('weather data'!D1766&lt;'user input'!$C$2,'user input'!$C$2,'weather data'!D1766)</f>
        <v>10</v>
      </c>
      <c r="E1766">
        <f t="shared" si="28"/>
        <v>9.4444444444444446</v>
      </c>
      <c r="F1766">
        <f>IF((E1766-'user input'!$C$2)&lt;0,0,E1766-'user input'!$C$2)</f>
        <v>0</v>
      </c>
      <c r="G1766">
        <f>IF(B1766&lt;'user input'!$C$5,0,(F1766+G1765))</f>
        <v>1462.4999999999995</v>
      </c>
      <c r="H1766">
        <f>G1766/'user input'!$C$4</f>
        <v>1.2187499999999996</v>
      </c>
    </row>
    <row r="1767" spans="1:8" x14ac:dyDescent="0.2">
      <c r="A1767" s="1">
        <v>41943</v>
      </c>
      <c r="B1767">
        <v>305</v>
      </c>
      <c r="C1767" s="6">
        <f>IF('weather data'!C1767&gt;'user input'!$C$3,'user input'!$C$3,'weather data'!C1767)</f>
        <v>8.8888888888888893</v>
      </c>
      <c r="D1767" s="6">
        <f>IF('weather data'!D1767&lt;'user input'!$C$2,'user input'!$C$2,'weather data'!D1767)</f>
        <v>10</v>
      </c>
      <c r="E1767">
        <f t="shared" si="28"/>
        <v>9.4444444444444446</v>
      </c>
      <c r="F1767">
        <f>IF((E1767-'user input'!$C$2)&lt;0,0,E1767-'user input'!$C$2)</f>
        <v>0</v>
      </c>
      <c r="G1767">
        <f>IF(B1767&lt;'user input'!$C$5,0,(F1767+G1766))</f>
        <v>1462.4999999999995</v>
      </c>
      <c r="H1767">
        <f>G1767/'user input'!$C$4</f>
        <v>1.2187499999999996</v>
      </c>
    </row>
    <row r="1768" spans="1:8" x14ac:dyDescent="0.2">
      <c r="A1768" s="1">
        <v>41944</v>
      </c>
      <c r="B1768">
        <v>306</v>
      </c>
      <c r="C1768" s="6">
        <f>IF('weather data'!C1768&gt;'user input'!$C$3,'user input'!$C$3,'weather data'!C1768)</f>
        <v>8.8888888888888893</v>
      </c>
      <c r="D1768" s="6">
        <f>IF('weather data'!D1768&lt;'user input'!$C$2,'user input'!$C$2,'weather data'!D1768)</f>
        <v>10</v>
      </c>
      <c r="E1768">
        <f t="shared" si="28"/>
        <v>9.4444444444444446</v>
      </c>
      <c r="F1768">
        <f>IF((E1768-'user input'!$C$2)&lt;0,0,E1768-'user input'!$C$2)</f>
        <v>0</v>
      </c>
      <c r="G1768">
        <f>IF(B1768&lt;'user input'!$C$5,0,(F1768+G1767))</f>
        <v>1462.4999999999995</v>
      </c>
      <c r="H1768">
        <f>G1768/'user input'!$C$4</f>
        <v>1.2187499999999996</v>
      </c>
    </row>
    <row r="1769" spans="1:8" x14ac:dyDescent="0.2">
      <c r="A1769" s="1">
        <v>41945</v>
      </c>
      <c r="B1769">
        <v>307</v>
      </c>
      <c r="C1769" s="6">
        <f>IF('weather data'!C1769&gt;'user input'!$C$3,'user input'!$C$3,'weather data'!C1769)</f>
        <v>7.2222222222222223</v>
      </c>
      <c r="D1769" s="6">
        <f>IF('weather data'!D1769&lt;'user input'!$C$2,'user input'!$C$2,'weather data'!D1769)</f>
        <v>10</v>
      </c>
      <c r="E1769">
        <f t="shared" si="28"/>
        <v>8.6111111111111107</v>
      </c>
      <c r="F1769">
        <f>IF((E1769-'user input'!$C$2)&lt;0,0,E1769-'user input'!$C$2)</f>
        <v>0</v>
      </c>
      <c r="G1769">
        <f>IF(B1769&lt;'user input'!$C$5,0,(F1769+G1768))</f>
        <v>1462.4999999999995</v>
      </c>
      <c r="H1769">
        <f>G1769/'user input'!$C$4</f>
        <v>1.2187499999999996</v>
      </c>
    </row>
    <row r="1770" spans="1:8" x14ac:dyDescent="0.2">
      <c r="A1770" s="1">
        <v>41946</v>
      </c>
      <c r="B1770">
        <v>308</v>
      </c>
      <c r="C1770" s="6">
        <f>IF('weather data'!C1770&gt;'user input'!$C$3,'user input'!$C$3,'weather data'!C1770)</f>
        <v>12.222222222222223</v>
      </c>
      <c r="D1770" s="6">
        <f>IF('weather data'!D1770&lt;'user input'!$C$2,'user input'!$C$2,'weather data'!D1770)</f>
        <v>10</v>
      </c>
      <c r="E1770">
        <f t="shared" si="28"/>
        <v>11.111111111111111</v>
      </c>
      <c r="F1770">
        <f>IF((E1770-'user input'!$C$2)&lt;0,0,E1770-'user input'!$C$2)</f>
        <v>1.1111111111111107</v>
      </c>
      <c r="G1770">
        <f>IF(B1770&lt;'user input'!$C$5,0,(F1770+G1769))</f>
        <v>1463.6111111111106</v>
      </c>
      <c r="H1770">
        <f>G1770/'user input'!$C$4</f>
        <v>1.2196759259259256</v>
      </c>
    </row>
    <row r="1771" spans="1:8" x14ac:dyDescent="0.2">
      <c r="A1771" s="1">
        <v>41947</v>
      </c>
      <c r="B1771">
        <v>309</v>
      </c>
      <c r="C1771" s="6">
        <f>IF('weather data'!C1771&gt;'user input'!$C$3,'user input'!$C$3,'weather data'!C1771)</f>
        <v>15</v>
      </c>
      <c r="D1771" s="6">
        <f>IF('weather data'!D1771&lt;'user input'!$C$2,'user input'!$C$2,'weather data'!D1771)</f>
        <v>10</v>
      </c>
      <c r="E1771">
        <f t="shared" si="28"/>
        <v>12.5</v>
      </c>
      <c r="F1771">
        <f>IF((E1771-'user input'!$C$2)&lt;0,0,E1771-'user input'!$C$2)</f>
        <v>2.5</v>
      </c>
      <c r="G1771">
        <f>IF(B1771&lt;'user input'!$C$5,0,(F1771+G1770))</f>
        <v>1466.1111111111106</v>
      </c>
      <c r="H1771">
        <f>G1771/'user input'!$C$4</f>
        <v>1.2217592592592588</v>
      </c>
    </row>
    <row r="1772" spans="1:8" x14ac:dyDescent="0.2">
      <c r="A1772" s="1">
        <v>41948</v>
      </c>
      <c r="B1772">
        <v>310</v>
      </c>
      <c r="C1772" s="6">
        <f>IF('weather data'!C1772&gt;'user input'!$C$3,'user input'!$C$3,'weather data'!C1772)</f>
        <v>11.111111111111111</v>
      </c>
      <c r="D1772" s="6">
        <f>IF('weather data'!D1772&lt;'user input'!$C$2,'user input'!$C$2,'weather data'!D1772)</f>
        <v>10</v>
      </c>
      <c r="E1772">
        <f t="shared" si="28"/>
        <v>10.555555555555555</v>
      </c>
      <c r="F1772">
        <f>IF((E1772-'user input'!$C$2)&lt;0,0,E1772-'user input'!$C$2)</f>
        <v>0.55555555555555536</v>
      </c>
      <c r="G1772">
        <f>IF(B1772&lt;'user input'!$C$5,0,(F1772+G1771))</f>
        <v>1466.6666666666663</v>
      </c>
      <c r="H1772">
        <f>G1772/'user input'!$C$4</f>
        <v>1.2222222222222219</v>
      </c>
    </row>
    <row r="1773" spans="1:8" x14ac:dyDescent="0.2">
      <c r="A1773" s="1">
        <v>41949</v>
      </c>
      <c r="B1773">
        <v>311</v>
      </c>
      <c r="C1773" s="6">
        <f>IF('weather data'!C1773&gt;'user input'!$C$3,'user input'!$C$3,'weather data'!C1773)</f>
        <v>10.555555555555555</v>
      </c>
      <c r="D1773" s="6">
        <f>IF('weather data'!D1773&lt;'user input'!$C$2,'user input'!$C$2,'weather data'!D1773)</f>
        <v>10</v>
      </c>
      <c r="E1773">
        <f t="shared" si="28"/>
        <v>10.277777777777779</v>
      </c>
      <c r="F1773">
        <f>IF((E1773-'user input'!$C$2)&lt;0,0,E1773-'user input'!$C$2)</f>
        <v>0.27777777777777857</v>
      </c>
      <c r="G1773">
        <f>IF(B1773&lt;'user input'!$C$5,0,(F1773+G1772))</f>
        <v>1466.9444444444441</v>
      </c>
      <c r="H1773">
        <f>G1773/'user input'!$C$4</f>
        <v>1.2224537037037033</v>
      </c>
    </row>
    <row r="1774" spans="1:8" x14ac:dyDescent="0.2">
      <c r="A1774" s="1">
        <v>41950</v>
      </c>
      <c r="B1774">
        <v>312</v>
      </c>
      <c r="C1774" s="6">
        <f>IF('weather data'!C1774&gt;'user input'!$C$3,'user input'!$C$3,'weather data'!C1774)</f>
        <v>3.8888888888888888</v>
      </c>
      <c r="D1774" s="6">
        <f>IF('weather data'!D1774&lt;'user input'!$C$2,'user input'!$C$2,'weather data'!D1774)</f>
        <v>10</v>
      </c>
      <c r="E1774">
        <f t="shared" si="28"/>
        <v>6.9444444444444446</v>
      </c>
      <c r="F1774">
        <f>IF((E1774-'user input'!$C$2)&lt;0,0,E1774-'user input'!$C$2)</f>
        <v>0</v>
      </c>
      <c r="G1774">
        <f>IF(B1774&lt;'user input'!$C$5,0,(F1774+G1773))</f>
        <v>1466.9444444444441</v>
      </c>
      <c r="H1774">
        <f>G1774/'user input'!$C$4</f>
        <v>1.2224537037037033</v>
      </c>
    </row>
    <row r="1775" spans="1:8" x14ac:dyDescent="0.2">
      <c r="A1775" s="1">
        <v>41951</v>
      </c>
      <c r="B1775">
        <v>313</v>
      </c>
      <c r="C1775" s="6">
        <f>IF('weather data'!C1775&gt;'user input'!$C$3,'user input'!$C$3,'weather data'!C1775)</f>
        <v>5.5555555555555554</v>
      </c>
      <c r="D1775" s="6">
        <f>IF('weather data'!D1775&lt;'user input'!$C$2,'user input'!$C$2,'weather data'!D1775)</f>
        <v>10</v>
      </c>
      <c r="E1775">
        <f t="shared" si="28"/>
        <v>7.7777777777777777</v>
      </c>
      <c r="F1775">
        <f>IF((E1775-'user input'!$C$2)&lt;0,0,E1775-'user input'!$C$2)</f>
        <v>0</v>
      </c>
      <c r="G1775">
        <f>IF(B1775&lt;'user input'!$C$5,0,(F1775+G1774))</f>
        <v>1466.9444444444441</v>
      </c>
      <c r="H1775">
        <f>G1775/'user input'!$C$4</f>
        <v>1.2224537037037033</v>
      </c>
    </row>
    <row r="1776" spans="1:8" x14ac:dyDescent="0.2">
      <c r="A1776" s="1">
        <v>41952</v>
      </c>
      <c r="B1776">
        <v>314</v>
      </c>
      <c r="C1776" s="6">
        <f>IF('weather data'!C1776&gt;'user input'!$C$3,'user input'!$C$3,'weather data'!C1776)</f>
        <v>7.2222222222222223</v>
      </c>
      <c r="D1776" s="6">
        <f>IF('weather data'!D1776&lt;'user input'!$C$2,'user input'!$C$2,'weather data'!D1776)</f>
        <v>10</v>
      </c>
      <c r="E1776">
        <f t="shared" si="28"/>
        <v>8.6111111111111107</v>
      </c>
      <c r="F1776">
        <f>IF((E1776-'user input'!$C$2)&lt;0,0,E1776-'user input'!$C$2)</f>
        <v>0</v>
      </c>
      <c r="G1776">
        <f>IF(B1776&lt;'user input'!$C$5,0,(F1776+G1775))</f>
        <v>1466.9444444444441</v>
      </c>
      <c r="H1776">
        <f>G1776/'user input'!$C$4</f>
        <v>1.2224537037037033</v>
      </c>
    </row>
    <row r="1777" spans="1:8" x14ac:dyDescent="0.2">
      <c r="A1777" s="1">
        <v>41953</v>
      </c>
      <c r="B1777">
        <v>315</v>
      </c>
      <c r="C1777" s="6">
        <f>IF('weather data'!C1777&gt;'user input'!$C$3,'user input'!$C$3,'weather data'!C1777)</f>
        <v>8.8888888888888893</v>
      </c>
      <c r="D1777" s="6">
        <f>IF('weather data'!D1777&lt;'user input'!$C$2,'user input'!$C$2,'weather data'!D1777)</f>
        <v>10</v>
      </c>
      <c r="E1777">
        <f t="shared" si="28"/>
        <v>9.4444444444444446</v>
      </c>
      <c r="F1777">
        <f>IF((E1777-'user input'!$C$2)&lt;0,0,E1777-'user input'!$C$2)</f>
        <v>0</v>
      </c>
      <c r="G1777">
        <f>IF(B1777&lt;'user input'!$C$5,0,(F1777+G1776))</f>
        <v>1466.9444444444441</v>
      </c>
      <c r="H1777">
        <f>G1777/'user input'!$C$4</f>
        <v>1.2224537037037033</v>
      </c>
    </row>
    <row r="1778" spans="1:8" x14ac:dyDescent="0.2">
      <c r="A1778" s="1">
        <v>41954</v>
      </c>
      <c r="B1778">
        <v>316</v>
      </c>
      <c r="C1778" s="6">
        <f>IF('weather data'!C1778&gt;'user input'!$C$3,'user input'!$C$3,'weather data'!C1778)</f>
        <v>13.888888888888889</v>
      </c>
      <c r="D1778" s="6">
        <f>IF('weather data'!D1778&lt;'user input'!$C$2,'user input'!$C$2,'weather data'!D1778)</f>
        <v>10</v>
      </c>
      <c r="E1778">
        <f t="shared" si="28"/>
        <v>11.944444444444445</v>
      </c>
      <c r="F1778">
        <f>IF((E1778-'user input'!$C$2)&lt;0,0,E1778-'user input'!$C$2)</f>
        <v>1.9444444444444446</v>
      </c>
      <c r="G1778">
        <f>IF(B1778&lt;'user input'!$C$5,0,(F1778+G1777))</f>
        <v>1468.8888888888885</v>
      </c>
      <c r="H1778">
        <f>G1778/'user input'!$C$4</f>
        <v>1.2240740740740736</v>
      </c>
    </row>
    <row r="1779" spans="1:8" x14ac:dyDescent="0.2">
      <c r="A1779" s="1">
        <v>41955</v>
      </c>
      <c r="B1779">
        <v>317</v>
      </c>
      <c r="C1779" s="6">
        <f>IF('weather data'!C1779&gt;'user input'!$C$3,'user input'!$C$3,'weather data'!C1779)</f>
        <v>2.2222222222222223</v>
      </c>
      <c r="D1779" s="6">
        <f>IF('weather data'!D1779&lt;'user input'!$C$2,'user input'!$C$2,'weather data'!D1779)</f>
        <v>10</v>
      </c>
      <c r="E1779">
        <f t="shared" si="28"/>
        <v>6.1111111111111107</v>
      </c>
      <c r="F1779">
        <f>IF((E1779-'user input'!$C$2)&lt;0,0,E1779-'user input'!$C$2)</f>
        <v>0</v>
      </c>
      <c r="G1779">
        <f>IF(B1779&lt;'user input'!$C$5,0,(F1779+G1778))</f>
        <v>1468.8888888888885</v>
      </c>
      <c r="H1779">
        <f>G1779/'user input'!$C$4</f>
        <v>1.2240740740740736</v>
      </c>
    </row>
    <row r="1780" spans="1:8" x14ac:dyDescent="0.2">
      <c r="A1780" s="1">
        <v>41956</v>
      </c>
      <c r="B1780">
        <v>318</v>
      </c>
      <c r="C1780" s="6">
        <f>IF('weather data'!C1780&gt;'user input'!$C$3,'user input'!$C$3,'weather data'!C1780)</f>
        <v>-3.8888888888888888</v>
      </c>
      <c r="D1780" s="6">
        <f>IF('weather data'!D1780&lt;'user input'!$C$2,'user input'!$C$2,'weather data'!D1780)</f>
        <v>10</v>
      </c>
      <c r="E1780">
        <f t="shared" si="28"/>
        <v>3.0555555555555554</v>
      </c>
      <c r="F1780">
        <f>IF((E1780-'user input'!$C$2)&lt;0,0,E1780-'user input'!$C$2)</f>
        <v>0</v>
      </c>
      <c r="G1780">
        <f>IF(B1780&lt;'user input'!$C$5,0,(F1780+G1779))</f>
        <v>1468.8888888888885</v>
      </c>
      <c r="H1780">
        <f>G1780/'user input'!$C$4</f>
        <v>1.2240740740740736</v>
      </c>
    </row>
    <row r="1781" spans="1:8" x14ac:dyDescent="0.2">
      <c r="A1781" s="1">
        <v>41957</v>
      </c>
      <c r="B1781">
        <v>319</v>
      </c>
      <c r="C1781" s="6">
        <f>IF('weather data'!C1781&gt;'user input'!$C$3,'user input'!$C$3,'weather data'!C1781)</f>
        <v>-3.333333333333333</v>
      </c>
      <c r="D1781" s="6">
        <f>IF('weather data'!D1781&lt;'user input'!$C$2,'user input'!$C$2,'weather data'!D1781)</f>
        <v>10</v>
      </c>
      <c r="E1781">
        <f t="shared" si="28"/>
        <v>3.3333333333333335</v>
      </c>
      <c r="F1781">
        <f>IF((E1781-'user input'!$C$2)&lt;0,0,E1781-'user input'!$C$2)</f>
        <v>0</v>
      </c>
      <c r="G1781">
        <f>IF(B1781&lt;'user input'!$C$5,0,(F1781+G1780))</f>
        <v>1468.8888888888885</v>
      </c>
      <c r="H1781">
        <f>G1781/'user input'!$C$4</f>
        <v>1.2240740740740736</v>
      </c>
    </row>
    <row r="1782" spans="1:8" x14ac:dyDescent="0.2">
      <c r="A1782" s="1">
        <v>41958</v>
      </c>
      <c r="B1782">
        <v>320</v>
      </c>
      <c r="C1782" s="6">
        <f>IF('weather data'!C1782&gt;'user input'!$C$3,'user input'!$C$3,'weather data'!C1782)</f>
        <v>-3.333333333333333</v>
      </c>
      <c r="D1782" s="6">
        <f>IF('weather data'!D1782&lt;'user input'!$C$2,'user input'!$C$2,'weather data'!D1782)</f>
        <v>10</v>
      </c>
      <c r="E1782">
        <f t="shared" si="28"/>
        <v>3.3333333333333335</v>
      </c>
      <c r="F1782">
        <f>IF((E1782-'user input'!$C$2)&lt;0,0,E1782-'user input'!$C$2)</f>
        <v>0</v>
      </c>
      <c r="G1782">
        <f>IF(B1782&lt;'user input'!$C$5,0,(F1782+G1781))</f>
        <v>1468.8888888888885</v>
      </c>
      <c r="H1782">
        <f>G1782/'user input'!$C$4</f>
        <v>1.2240740740740736</v>
      </c>
    </row>
    <row r="1783" spans="1:8" x14ac:dyDescent="0.2">
      <c r="A1783" s="1">
        <v>41959</v>
      </c>
      <c r="B1783">
        <v>321</v>
      </c>
      <c r="C1783" s="6">
        <f>IF('weather data'!C1783&gt;'user input'!$C$3,'user input'!$C$3,'weather data'!C1783)</f>
        <v>-3.8888888888888888</v>
      </c>
      <c r="D1783" s="6">
        <f>IF('weather data'!D1783&lt;'user input'!$C$2,'user input'!$C$2,'weather data'!D1783)</f>
        <v>10</v>
      </c>
      <c r="E1783">
        <f t="shared" si="28"/>
        <v>3.0555555555555554</v>
      </c>
      <c r="F1783">
        <f>IF((E1783-'user input'!$C$2)&lt;0,0,E1783-'user input'!$C$2)</f>
        <v>0</v>
      </c>
      <c r="G1783">
        <f>IF(B1783&lt;'user input'!$C$5,0,(F1783+G1782))</f>
        <v>1468.8888888888885</v>
      </c>
      <c r="H1783">
        <f>G1783/'user input'!$C$4</f>
        <v>1.2240740740740736</v>
      </c>
    </row>
    <row r="1784" spans="1:8" x14ac:dyDescent="0.2">
      <c r="A1784" s="1">
        <v>41960</v>
      </c>
      <c r="B1784">
        <v>322</v>
      </c>
      <c r="C1784" s="6">
        <f>IF('weather data'!C1784&gt;'user input'!$C$3,'user input'!$C$3,'weather data'!C1784)</f>
        <v>-3.333333333333333</v>
      </c>
      <c r="D1784" s="6">
        <f>IF('weather data'!D1784&lt;'user input'!$C$2,'user input'!$C$2,'weather data'!D1784)</f>
        <v>10</v>
      </c>
      <c r="E1784">
        <f t="shared" si="28"/>
        <v>3.3333333333333335</v>
      </c>
      <c r="F1784">
        <f>IF((E1784-'user input'!$C$2)&lt;0,0,E1784-'user input'!$C$2)</f>
        <v>0</v>
      </c>
      <c r="G1784">
        <f>IF(B1784&lt;'user input'!$C$5,0,(F1784+G1783))</f>
        <v>1468.8888888888885</v>
      </c>
      <c r="H1784">
        <f>G1784/'user input'!$C$4</f>
        <v>1.2240740740740736</v>
      </c>
    </row>
    <row r="1785" spans="1:8" x14ac:dyDescent="0.2">
      <c r="A1785" s="1">
        <v>41961</v>
      </c>
      <c r="B1785">
        <v>323</v>
      </c>
      <c r="C1785" s="6">
        <f>IF('weather data'!C1785&gt;'user input'!$C$3,'user input'!$C$3,'weather data'!C1785)</f>
        <v>-9.4444444444444446</v>
      </c>
      <c r="D1785" s="6">
        <f>IF('weather data'!D1785&lt;'user input'!$C$2,'user input'!$C$2,'weather data'!D1785)</f>
        <v>10</v>
      </c>
      <c r="E1785">
        <f t="shared" si="28"/>
        <v>0.27777777777777768</v>
      </c>
      <c r="F1785">
        <f>IF((E1785-'user input'!$C$2)&lt;0,0,E1785-'user input'!$C$2)</f>
        <v>0</v>
      </c>
      <c r="G1785">
        <f>IF(B1785&lt;'user input'!$C$5,0,(F1785+G1784))</f>
        <v>1468.8888888888885</v>
      </c>
      <c r="H1785">
        <f>G1785/'user input'!$C$4</f>
        <v>1.2240740740740736</v>
      </c>
    </row>
    <row r="1786" spans="1:8" x14ac:dyDescent="0.2">
      <c r="A1786" s="1">
        <v>41962</v>
      </c>
      <c r="B1786">
        <v>324</v>
      </c>
      <c r="C1786" s="6">
        <f>IF('weather data'!C1786&gt;'user input'!$C$3,'user input'!$C$3,'weather data'!C1786)</f>
        <v>-7.7777777777777777</v>
      </c>
      <c r="D1786" s="6">
        <f>IF('weather data'!D1786&lt;'user input'!$C$2,'user input'!$C$2,'weather data'!D1786)</f>
        <v>10</v>
      </c>
      <c r="E1786">
        <f t="shared" si="28"/>
        <v>1.1111111111111112</v>
      </c>
      <c r="F1786">
        <f>IF((E1786-'user input'!$C$2)&lt;0,0,E1786-'user input'!$C$2)</f>
        <v>0</v>
      </c>
      <c r="G1786">
        <f>IF(B1786&lt;'user input'!$C$5,0,(F1786+G1785))</f>
        <v>1468.8888888888885</v>
      </c>
      <c r="H1786">
        <f>G1786/'user input'!$C$4</f>
        <v>1.2240740740740736</v>
      </c>
    </row>
    <row r="1787" spans="1:8" x14ac:dyDescent="0.2">
      <c r="A1787" s="1">
        <v>41963</v>
      </c>
      <c r="B1787">
        <v>325</v>
      </c>
      <c r="C1787" s="6">
        <f>IF('weather data'!C1787&gt;'user input'!$C$3,'user input'!$C$3,'weather data'!C1787)</f>
        <v>-3.333333333333333</v>
      </c>
      <c r="D1787" s="6">
        <f>IF('weather data'!D1787&lt;'user input'!$C$2,'user input'!$C$2,'weather data'!D1787)</f>
        <v>10</v>
      </c>
      <c r="E1787">
        <f t="shared" si="28"/>
        <v>3.3333333333333335</v>
      </c>
      <c r="F1787">
        <f>IF((E1787-'user input'!$C$2)&lt;0,0,E1787-'user input'!$C$2)</f>
        <v>0</v>
      </c>
      <c r="G1787">
        <f>IF(B1787&lt;'user input'!$C$5,0,(F1787+G1786))</f>
        <v>1468.8888888888885</v>
      </c>
      <c r="H1787">
        <f>G1787/'user input'!$C$4</f>
        <v>1.2240740740740736</v>
      </c>
    </row>
    <row r="1788" spans="1:8" x14ac:dyDescent="0.2">
      <c r="A1788" s="1">
        <v>41964</v>
      </c>
      <c r="B1788">
        <v>326</v>
      </c>
      <c r="C1788" s="6">
        <f>IF('weather data'!C1788&gt;'user input'!$C$3,'user input'!$C$3,'weather data'!C1788)</f>
        <v>-5</v>
      </c>
      <c r="D1788" s="6">
        <f>IF('weather data'!D1788&lt;'user input'!$C$2,'user input'!$C$2,'weather data'!D1788)</f>
        <v>10</v>
      </c>
      <c r="E1788">
        <f t="shared" si="28"/>
        <v>2.5</v>
      </c>
      <c r="F1788">
        <f>IF((E1788-'user input'!$C$2)&lt;0,0,E1788-'user input'!$C$2)</f>
        <v>0</v>
      </c>
      <c r="G1788">
        <f>IF(B1788&lt;'user input'!$C$5,0,(F1788+G1787))</f>
        <v>1468.8888888888885</v>
      </c>
      <c r="H1788">
        <f>G1788/'user input'!$C$4</f>
        <v>1.2240740740740736</v>
      </c>
    </row>
    <row r="1789" spans="1:8" x14ac:dyDescent="0.2">
      <c r="A1789" s="1">
        <v>41965</v>
      </c>
      <c r="B1789">
        <v>327</v>
      </c>
      <c r="C1789" s="6">
        <f>IF('weather data'!C1789&gt;'user input'!$C$3,'user input'!$C$3,'weather data'!C1789)</f>
        <v>1.6666666666666665</v>
      </c>
      <c r="D1789" s="6">
        <f>IF('weather data'!D1789&lt;'user input'!$C$2,'user input'!$C$2,'weather data'!D1789)</f>
        <v>10</v>
      </c>
      <c r="E1789">
        <f t="shared" si="28"/>
        <v>5.833333333333333</v>
      </c>
      <c r="F1789">
        <f>IF((E1789-'user input'!$C$2)&lt;0,0,E1789-'user input'!$C$2)</f>
        <v>0</v>
      </c>
      <c r="G1789">
        <f>IF(B1789&lt;'user input'!$C$5,0,(F1789+G1788))</f>
        <v>1468.8888888888885</v>
      </c>
      <c r="H1789">
        <f>G1789/'user input'!$C$4</f>
        <v>1.2240740740740736</v>
      </c>
    </row>
    <row r="1790" spans="1:8" x14ac:dyDescent="0.2">
      <c r="A1790" s="1">
        <v>41966</v>
      </c>
      <c r="B1790">
        <v>328</v>
      </c>
      <c r="C1790" s="6">
        <f>IF('weather data'!C1790&gt;'user input'!$C$3,'user input'!$C$3,'weather data'!C1790)</f>
        <v>11.111111111111111</v>
      </c>
      <c r="D1790" s="6">
        <f>IF('weather data'!D1790&lt;'user input'!$C$2,'user input'!$C$2,'weather data'!D1790)</f>
        <v>10</v>
      </c>
      <c r="E1790">
        <f t="shared" si="28"/>
        <v>10.555555555555555</v>
      </c>
      <c r="F1790">
        <f>IF((E1790-'user input'!$C$2)&lt;0,0,E1790-'user input'!$C$2)</f>
        <v>0.55555555555555536</v>
      </c>
      <c r="G1790">
        <f>IF(B1790&lt;'user input'!$C$5,0,(F1790+G1789))</f>
        <v>1469.4444444444441</v>
      </c>
      <c r="H1790">
        <f>G1790/'user input'!$C$4</f>
        <v>1.2245370370370368</v>
      </c>
    </row>
    <row r="1791" spans="1:8" x14ac:dyDescent="0.2">
      <c r="A1791" s="1">
        <v>41967</v>
      </c>
      <c r="B1791">
        <v>329</v>
      </c>
      <c r="C1791" s="6">
        <f>IF('weather data'!C1791&gt;'user input'!$C$3,'user input'!$C$3,'weather data'!C1791)</f>
        <v>10</v>
      </c>
      <c r="D1791" s="6">
        <f>IF('weather data'!D1791&lt;'user input'!$C$2,'user input'!$C$2,'weather data'!D1791)</f>
        <v>10</v>
      </c>
      <c r="E1791">
        <f t="shared" si="28"/>
        <v>10</v>
      </c>
      <c r="F1791">
        <f>IF((E1791-'user input'!$C$2)&lt;0,0,E1791-'user input'!$C$2)</f>
        <v>0</v>
      </c>
      <c r="G1791">
        <f>IF(B1791&lt;'user input'!$C$5,0,(F1791+G1790))</f>
        <v>1469.4444444444441</v>
      </c>
      <c r="H1791">
        <f>G1791/'user input'!$C$4</f>
        <v>1.2245370370370368</v>
      </c>
    </row>
    <row r="1792" spans="1:8" x14ac:dyDescent="0.2">
      <c r="A1792" s="1">
        <v>41968</v>
      </c>
      <c r="B1792">
        <v>330</v>
      </c>
      <c r="C1792" s="6">
        <f>IF('weather data'!C1792&gt;'user input'!$C$3,'user input'!$C$3,'weather data'!C1792)</f>
        <v>3.8888888888888888</v>
      </c>
      <c r="D1792" s="6">
        <f>IF('weather data'!D1792&lt;'user input'!$C$2,'user input'!$C$2,'weather data'!D1792)</f>
        <v>10</v>
      </c>
      <c r="E1792">
        <f t="shared" si="28"/>
        <v>6.9444444444444446</v>
      </c>
      <c r="F1792">
        <f>IF((E1792-'user input'!$C$2)&lt;0,0,E1792-'user input'!$C$2)</f>
        <v>0</v>
      </c>
      <c r="G1792">
        <f>IF(B1792&lt;'user input'!$C$5,0,(F1792+G1791))</f>
        <v>1469.4444444444441</v>
      </c>
      <c r="H1792">
        <f>G1792/'user input'!$C$4</f>
        <v>1.2245370370370368</v>
      </c>
    </row>
    <row r="1793" spans="1:8" x14ac:dyDescent="0.2">
      <c r="A1793" s="1">
        <v>41969</v>
      </c>
      <c r="B1793">
        <v>331</v>
      </c>
      <c r="C1793" s="6">
        <f>IF('weather data'!C1793&gt;'user input'!$C$3,'user input'!$C$3,'weather data'!C1793)</f>
        <v>-0.55555555555555558</v>
      </c>
      <c r="D1793" s="6">
        <f>IF('weather data'!D1793&lt;'user input'!$C$2,'user input'!$C$2,'weather data'!D1793)</f>
        <v>10</v>
      </c>
      <c r="E1793">
        <f t="shared" si="28"/>
        <v>4.7222222222222223</v>
      </c>
      <c r="F1793">
        <f>IF((E1793-'user input'!$C$2)&lt;0,0,E1793-'user input'!$C$2)</f>
        <v>0</v>
      </c>
      <c r="G1793">
        <f>IF(B1793&lt;'user input'!$C$5,0,(F1793+G1792))</f>
        <v>1469.4444444444441</v>
      </c>
      <c r="H1793">
        <f>G1793/'user input'!$C$4</f>
        <v>1.2245370370370368</v>
      </c>
    </row>
    <row r="1794" spans="1:8" x14ac:dyDescent="0.2">
      <c r="A1794" s="1">
        <v>41970</v>
      </c>
      <c r="B1794">
        <v>332</v>
      </c>
      <c r="C1794" s="6">
        <f>IF('weather data'!C1794&gt;'user input'!$C$3,'user input'!$C$3,'weather data'!C1794)</f>
        <v>-5.5555555555555554</v>
      </c>
      <c r="D1794" s="6">
        <f>IF('weather data'!D1794&lt;'user input'!$C$2,'user input'!$C$2,'weather data'!D1794)</f>
        <v>10</v>
      </c>
      <c r="E1794">
        <f t="shared" si="28"/>
        <v>2.2222222222222223</v>
      </c>
      <c r="F1794">
        <f>IF((E1794-'user input'!$C$2)&lt;0,0,E1794-'user input'!$C$2)</f>
        <v>0</v>
      </c>
      <c r="G1794">
        <f>IF(B1794&lt;'user input'!$C$5,0,(F1794+G1793))</f>
        <v>1469.4444444444441</v>
      </c>
      <c r="H1794">
        <f>G1794/'user input'!$C$4</f>
        <v>1.2245370370370368</v>
      </c>
    </row>
    <row r="1795" spans="1:8" x14ac:dyDescent="0.2">
      <c r="A1795" s="1">
        <v>41971</v>
      </c>
      <c r="B1795">
        <v>333</v>
      </c>
      <c r="C1795" s="6">
        <f>IF('weather data'!C1795&gt;'user input'!$C$3,'user input'!$C$3,'weather data'!C1795)</f>
        <v>-8.3333333333333339</v>
      </c>
      <c r="D1795" s="6">
        <f>IF('weather data'!D1795&lt;'user input'!$C$2,'user input'!$C$2,'weather data'!D1795)</f>
        <v>10</v>
      </c>
      <c r="E1795">
        <f t="shared" si="28"/>
        <v>0.83333333333333304</v>
      </c>
      <c r="F1795">
        <f>IF((E1795-'user input'!$C$2)&lt;0,0,E1795-'user input'!$C$2)</f>
        <v>0</v>
      </c>
      <c r="G1795">
        <f>IF(B1795&lt;'user input'!$C$5,0,(F1795+G1794))</f>
        <v>1469.4444444444441</v>
      </c>
      <c r="H1795">
        <f>G1795/'user input'!$C$4</f>
        <v>1.2245370370370368</v>
      </c>
    </row>
    <row r="1796" spans="1:8" x14ac:dyDescent="0.2">
      <c r="A1796" s="1">
        <v>41972</v>
      </c>
      <c r="B1796">
        <v>334</v>
      </c>
      <c r="C1796" s="6">
        <f>IF('weather data'!C1796&gt;'user input'!$C$3,'user input'!$C$3,'weather data'!C1796)</f>
        <v>-2.7777777777777777</v>
      </c>
      <c r="D1796" s="6">
        <f>IF('weather data'!D1796&lt;'user input'!$C$2,'user input'!$C$2,'weather data'!D1796)</f>
        <v>10</v>
      </c>
      <c r="E1796">
        <f t="shared" si="28"/>
        <v>3.6111111111111112</v>
      </c>
      <c r="F1796">
        <f>IF((E1796-'user input'!$C$2)&lt;0,0,E1796-'user input'!$C$2)</f>
        <v>0</v>
      </c>
      <c r="G1796">
        <f>IF(B1796&lt;'user input'!$C$5,0,(F1796+G1795))</f>
        <v>1469.4444444444441</v>
      </c>
      <c r="H1796">
        <f>G1796/'user input'!$C$4</f>
        <v>1.2245370370370368</v>
      </c>
    </row>
    <row r="1797" spans="1:8" x14ac:dyDescent="0.2">
      <c r="A1797" s="1">
        <v>41973</v>
      </c>
      <c r="B1797">
        <v>335</v>
      </c>
      <c r="C1797" s="6">
        <f>IF('weather data'!C1797&gt;'user input'!$C$3,'user input'!$C$3,'weather data'!C1797)</f>
        <v>7.2222222222222223</v>
      </c>
      <c r="D1797" s="6">
        <f>IF('weather data'!D1797&lt;'user input'!$C$2,'user input'!$C$2,'weather data'!D1797)</f>
        <v>10</v>
      </c>
      <c r="E1797">
        <f t="shared" si="28"/>
        <v>8.6111111111111107</v>
      </c>
      <c r="F1797">
        <f>IF((E1797-'user input'!$C$2)&lt;0,0,E1797-'user input'!$C$2)</f>
        <v>0</v>
      </c>
      <c r="G1797">
        <f>IF(B1797&lt;'user input'!$C$5,0,(F1797+G1796))</f>
        <v>1469.4444444444441</v>
      </c>
      <c r="H1797">
        <f>G1797/'user input'!$C$4</f>
        <v>1.2245370370370368</v>
      </c>
    </row>
    <row r="1798" spans="1:8" x14ac:dyDescent="0.2">
      <c r="A1798" s="1">
        <v>41974</v>
      </c>
      <c r="B1798">
        <v>336</v>
      </c>
      <c r="C1798" s="6">
        <f>IF('weather data'!C1798&gt;'user input'!$C$3,'user input'!$C$3,'weather data'!C1798)</f>
        <v>-1.1111111111111112</v>
      </c>
      <c r="D1798" s="6">
        <f>IF('weather data'!D1798&lt;'user input'!$C$2,'user input'!$C$2,'weather data'!D1798)</f>
        <v>10</v>
      </c>
      <c r="E1798">
        <f t="shared" si="28"/>
        <v>4.4444444444444446</v>
      </c>
      <c r="F1798">
        <f>IF((E1798-'user input'!$C$2)&lt;0,0,E1798-'user input'!$C$2)</f>
        <v>0</v>
      </c>
      <c r="G1798">
        <f>IF(B1798&lt;'user input'!$C$5,0,(F1798+G1797))</f>
        <v>1469.4444444444441</v>
      </c>
      <c r="H1798">
        <f>G1798/'user input'!$C$4</f>
        <v>1.2245370370370368</v>
      </c>
    </row>
    <row r="1799" spans="1:8" x14ac:dyDescent="0.2">
      <c r="A1799" s="1">
        <v>41975</v>
      </c>
      <c r="B1799">
        <v>337</v>
      </c>
      <c r="C1799" s="6">
        <f>IF('weather data'!C1799&gt;'user input'!$C$3,'user input'!$C$3,'weather data'!C1799)</f>
        <v>-10</v>
      </c>
      <c r="D1799" s="6">
        <f>IF('weather data'!D1799&lt;'user input'!$C$2,'user input'!$C$2,'weather data'!D1799)</f>
        <v>10</v>
      </c>
      <c r="E1799">
        <f t="shared" si="28"/>
        <v>0</v>
      </c>
      <c r="F1799">
        <f>IF((E1799-'user input'!$C$2)&lt;0,0,E1799-'user input'!$C$2)</f>
        <v>0</v>
      </c>
      <c r="G1799">
        <f>IF(B1799&lt;'user input'!$C$5,0,(F1799+G1798))</f>
        <v>1469.4444444444441</v>
      </c>
      <c r="H1799">
        <f>G1799/'user input'!$C$4</f>
        <v>1.2245370370370368</v>
      </c>
    </row>
    <row r="1800" spans="1:8" x14ac:dyDescent="0.2">
      <c r="A1800" s="1">
        <v>41976</v>
      </c>
      <c r="B1800">
        <v>338</v>
      </c>
      <c r="C1800" s="6">
        <f>IF('weather data'!C1800&gt;'user input'!$C$3,'user input'!$C$3,'weather data'!C1800)</f>
        <v>-1.1111111111111112</v>
      </c>
      <c r="D1800" s="6">
        <f>IF('weather data'!D1800&lt;'user input'!$C$2,'user input'!$C$2,'weather data'!D1800)</f>
        <v>10</v>
      </c>
      <c r="E1800">
        <f t="shared" si="28"/>
        <v>4.4444444444444446</v>
      </c>
      <c r="F1800">
        <f>IF((E1800-'user input'!$C$2)&lt;0,0,E1800-'user input'!$C$2)</f>
        <v>0</v>
      </c>
      <c r="G1800">
        <f>IF(B1800&lt;'user input'!$C$5,0,(F1800+G1799))</f>
        <v>1469.4444444444441</v>
      </c>
      <c r="H1800">
        <f>G1800/'user input'!$C$4</f>
        <v>1.2245370370370368</v>
      </c>
    </row>
    <row r="1801" spans="1:8" x14ac:dyDescent="0.2">
      <c r="A1801" s="1">
        <v>41977</v>
      </c>
      <c r="B1801">
        <v>339</v>
      </c>
      <c r="C1801" s="6">
        <f>IF('weather data'!C1801&gt;'user input'!$C$3,'user input'!$C$3,'weather data'!C1801)</f>
        <v>-0.55555555555555558</v>
      </c>
      <c r="D1801" s="6">
        <f>IF('weather data'!D1801&lt;'user input'!$C$2,'user input'!$C$2,'weather data'!D1801)</f>
        <v>10</v>
      </c>
      <c r="E1801">
        <f t="shared" si="28"/>
        <v>4.7222222222222223</v>
      </c>
      <c r="F1801">
        <f>IF((E1801-'user input'!$C$2)&lt;0,0,E1801-'user input'!$C$2)</f>
        <v>0</v>
      </c>
      <c r="G1801">
        <f>IF(B1801&lt;'user input'!$C$5,0,(F1801+G1800))</f>
        <v>1469.4444444444441</v>
      </c>
      <c r="H1801">
        <f>G1801/'user input'!$C$4</f>
        <v>1.2245370370370368</v>
      </c>
    </row>
    <row r="1802" spans="1:8" x14ac:dyDescent="0.2">
      <c r="A1802" s="1">
        <v>41978</v>
      </c>
      <c r="B1802">
        <v>340</v>
      </c>
      <c r="C1802" s="6">
        <f>IF('weather data'!C1802&gt;'user input'!$C$3,'user input'!$C$3,'weather data'!C1802)</f>
        <v>-0.55555555555555558</v>
      </c>
      <c r="D1802" s="6">
        <f>IF('weather data'!D1802&lt;'user input'!$C$2,'user input'!$C$2,'weather data'!D1802)</f>
        <v>10</v>
      </c>
      <c r="E1802">
        <f t="shared" si="28"/>
        <v>4.7222222222222223</v>
      </c>
      <c r="F1802">
        <f>IF((E1802-'user input'!$C$2)&lt;0,0,E1802-'user input'!$C$2)</f>
        <v>0</v>
      </c>
      <c r="G1802">
        <f>IF(B1802&lt;'user input'!$C$5,0,(F1802+G1801))</f>
        <v>1469.4444444444441</v>
      </c>
      <c r="H1802">
        <f>G1802/'user input'!$C$4</f>
        <v>1.2245370370370368</v>
      </c>
    </row>
    <row r="1803" spans="1:8" x14ac:dyDescent="0.2">
      <c r="A1803" s="1">
        <v>41979</v>
      </c>
      <c r="B1803">
        <v>341</v>
      </c>
      <c r="C1803" s="6">
        <f>IF('weather data'!C1803&gt;'user input'!$C$3,'user input'!$C$3,'weather data'!C1803)</f>
        <v>1.1111111111111112</v>
      </c>
      <c r="D1803" s="6">
        <f>IF('weather data'!D1803&lt;'user input'!$C$2,'user input'!$C$2,'weather data'!D1803)</f>
        <v>10</v>
      </c>
      <c r="E1803">
        <f t="shared" si="28"/>
        <v>5.5555555555555554</v>
      </c>
      <c r="F1803">
        <f>IF((E1803-'user input'!$C$2)&lt;0,0,E1803-'user input'!$C$2)</f>
        <v>0</v>
      </c>
      <c r="G1803">
        <f>IF(B1803&lt;'user input'!$C$5,0,(F1803+G1802))</f>
        <v>1469.4444444444441</v>
      </c>
      <c r="H1803">
        <f>G1803/'user input'!$C$4</f>
        <v>1.2245370370370368</v>
      </c>
    </row>
    <row r="1804" spans="1:8" x14ac:dyDescent="0.2">
      <c r="A1804" s="1">
        <v>41980</v>
      </c>
      <c r="B1804">
        <v>342</v>
      </c>
      <c r="C1804" s="6">
        <f>IF('weather data'!C1804&gt;'user input'!$C$3,'user input'!$C$3,'weather data'!C1804)</f>
        <v>1.6666666666666665</v>
      </c>
      <c r="D1804" s="6">
        <f>IF('weather data'!D1804&lt;'user input'!$C$2,'user input'!$C$2,'weather data'!D1804)</f>
        <v>10</v>
      </c>
      <c r="E1804">
        <f t="shared" si="28"/>
        <v>5.833333333333333</v>
      </c>
      <c r="F1804">
        <f>IF((E1804-'user input'!$C$2)&lt;0,0,E1804-'user input'!$C$2)</f>
        <v>0</v>
      </c>
      <c r="G1804">
        <f>IF(B1804&lt;'user input'!$C$5,0,(F1804+G1803))</f>
        <v>1469.4444444444441</v>
      </c>
      <c r="H1804">
        <f>G1804/'user input'!$C$4</f>
        <v>1.2245370370370368</v>
      </c>
    </row>
    <row r="1805" spans="1:8" x14ac:dyDescent="0.2">
      <c r="A1805" s="1">
        <v>41981</v>
      </c>
      <c r="B1805">
        <v>343</v>
      </c>
      <c r="C1805" s="6">
        <f>IF('weather data'!C1805&gt;'user input'!$C$3,'user input'!$C$3,'weather data'!C1805)</f>
        <v>1.6666666666666665</v>
      </c>
      <c r="D1805" s="6">
        <f>IF('weather data'!D1805&lt;'user input'!$C$2,'user input'!$C$2,'weather data'!D1805)</f>
        <v>10</v>
      </c>
      <c r="E1805">
        <f t="shared" si="28"/>
        <v>5.833333333333333</v>
      </c>
      <c r="F1805">
        <f>IF((E1805-'user input'!$C$2)&lt;0,0,E1805-'user input'!$C$2)</f>
        <v>0</v>
      </c>
      <c r="G1805">
        <f>IF(B1805&lt;'user input'!$C$5,0,(F1805+G1804))</f>
        <v>1469.4444444444441</v>
      </c>
      <c r="H1805">
        <f>G1805/'user input'!$C$4</f>
        <v>1.2245370370370368</v>
      </c>
    </row>
    <row r="1806" spans="1:8" x14ac:dyDescent="0.2">
      <c r="A1806" s="1">
        <v>41982</v>
      </c>
      <c r="B1806">
        <v>344</v>
      </c>
      <c r="C1806" s="6">
        <f>IF('weather data'!C1806&gt;'user input'!$C$3,'user input'!$C$3,'weather data'!C1806)</f>
        <v>0.55555555555555558</v>
      </c>
      <c r="D1806" s="6">
        <f>IF('weather data'!D1806&lt;'user input'!$C$2,'user input'!$C$2,'weather data'!D1806)</f>
        <v>10</v>
      </c>
      <c r="E1806">
        <f t="shared" si="28"/>
        <v>5.2777777777777777</v>
      </c>
      <c r="F1806">
        <f>IF((E1806-'user input'!$C$2)&lt;0,0,E1806-'user input'!$C$2)</f>
        <v>0</v>
      </c>
      <c r="G1806">
        <f>IF(B1806&lt;'user input'!$C$5,0,(F1806+G1805))</f>
        <v>1469.4444444444441</v>
      </c>
      <c r="H1806">
        <f>G1806/'user input'!$C$4</f>
        <v>1.2245370370370368</v>
      </c>
    </row>
    <row r="1807" spans="1:8" x14ac:dyDescent="0.2">
      <c r="A1807" s="1">
        <v>41983</v>
      </c>
      <c r="B1807">
        <v>345</v>
      </c>
      <c r="C1807" s="6">
        <f>IF('weather data'!C1807&gt;'user input'!$C$3,'user input'!$C$3,'weather data'!C1807)</f>
        <v>0.55555555555555558</v>
      </c>
      <c r="D1807" s="6">
        <f>IF('weather data'!D1807&lt;'user input'!$C$2,'user input'!$C$2,'weather data'!D1807)</f>
        <v>10</v>
      </c>
      <c r="E1807">
        <f t="shared" si="28"/>
        <v>5.2777777777777777</v>
      </c>
      <c r="F1807">
        <f>IF((E1807-'user input'!$C$2)&lt;0,0,E1807-'user input'!$C$2)</f>
        <v>0</v>
      </c>
      <c r="G1807">
        <f>IF(B1807&lt;'user input'!$C$5,0,(F1807+G1806))</f>
        <v>1469.4444444444441</v>
      </c>
      <c r="H1807">
        <f>G1807/'user input'!$C$4</f>
        <v>1.2245370370370368</v>
      </c>
    </row>
    <row r="1808" spans="1:8" x14ac:dyDescent="0.2">
      <c r="A1808" s="1">
        <v>41984</v>
      </c>
      <c r="B1808">
        <v>346</v>
      </c>
      <c r="C1808" s="6">
        <f>IF('weather data'!C1808&gt;'user input'!$C$3,'user input'!$C$3,'weather data'!C1808)</f>
        <v>-3.8888888888888888</v>
      </c>
      <c r="D1808" s="6">
        <f>IF('weather data'!D1808&lt;'user input'!$C$2,'user input'!$C$2,'weather data'!D1808)</f>
        <v>10</v>
      </c>
      <c r="E1808">
        <f t="shared" si="28"/>
        <v>3.0555555555555554</v>
      </c>
      <c r="F1808">
        <f>IF((E1808-'user input'!$C$2)&lt;0,0,E1808-'user input'!$C$2)</f>
        <v>0</v>
      </c>
      <c r="G1808">
        <f>IF(B1808&lt;'user input'!$C$5,0,(F1808+G1807))</f>
        <v>1469.4444444444441</v>
      </c>
      <c r="H1808">
        <f>G1808/'user input'!$C$4</f>
        <v>1.2245370370370368</v>
      </c>
    </row>
    <row r="1809" spans="1:8" x14ac:dyDescent="0.2">
      <c r="A1809" s="1">
        <v>41985</v>
      </c>
      <c r="B1809">
        <v>347</v>
      </c>
      <c r="C1809" s="6">
        <f>IF('weather data'!C1809&gt;'user input'!$C$3,'user input'!$C$3,'weather data'!C1809)</f>
        <v>-1.1111111111111112</v>
      </c>
      <c r="D1809" s="6">
        <f>IF('weather data'!D1809&lt;'user input'!$C$2,'user input'!$C$2,'weather data'!D1809)</f>
        <v>10</v>
      </c>
      <c r="E1809">
        <f t="shared" si="28"/>
        <v>4.4444444444444446</v>
      </c>
      <c r="F1809">
        <f>IF((E1809-'user input'!$C$2)&lt;0,0,E1809-'user input'!$C$2)</f>
        <v>0</v>
      </c>
      <c r="G1809">
        <f>IF(B1809&lt;'user input'!$C$5,0,(F1809+G1808))</f>
        <v>1469.4444444444441</v>
      </c>
      <c r="H1809">
        <f>G1809/'user input'!$C$4</f>
        <v>1.2245370370370368</v>
      </c>
    </row>
    <row r="1810" spans="1:8" x14ac:dyDescent="0.2">
      <c r="A1810" s="1">
        <v>41986</v>
      </c>
      <c r="B1810">
        <v>348</v>
      </c>
      <c r="C1810" s="6">
        <f>IF('weather data'!C1810&gt;'user input'!$C$3,'user input'!$C$3,'weather data'!C1810)</f>
        <v>1.1111111111111112</v>
      </c>
      <c r="D1810" s="6">
        <f>IF('weather data'!D1810&lt;'user input'!$C$2,'user input'!$C$2,'weather data'!D1810)</f>
        <v>10</v>
      </c>
      <c r="E1810">
        <f t="shared" ref="E1810:E1873" si="29">(C1810+D1810)/2</f>
        <v>5.5555555555555554</v>
      </c>
      <c r="F1810">
        <f>IF((E1810-'user input'!$C$2)&lt;0,0,E1810-'user input'!$C$2)</f>
        <v>0</v>
      </c>
      <c r="G1810">
        <f>IF(B1810&lt;'user input'!$C$5,0,(F1810+G1809))</f>
        <v>1469.4444444444441</v>
      </c>
      <c r="H1810">
        <f>G1810/'user input'!$C$4</f>
        <v>1.2245370370370368</v>
      </c>
    </row>
    <row r="1811" spans="1:8" x14ac:dyDescent="0.2">
      <c r="A1811" s="1">
        <v>41987</v>
      </c>
      <c r="B1811">
        <v>349</v>
      </c>
      <c r="C1811" s="6">
        <f>IF('weather data'!C1811&gt;'user input'!$C$3,'user input'!$C$3,'weather data'!C1811)</f>
        <v>5.5555555555555554</v>
      </c>
      <c r="D1811" s="6">
        <f>IF('weather data'!D1811&lt;'user input'!$C$2,'user input'!$C$2,'weather data'!D1811)</f>
        <v>10</v>
      </c>
      <c r="E1811">
        <f t="shared" si="29"/>
        <v>7.7777777777777777</v>
      </c>
      <c r="F1811">
        <f>IF((E1811-'user input'!$C$2)&lt;0,0,E1811-'user input'!$C$2)</f>
        <v>0</v>
      </c>
      <c r="G1811">
        <f>IF(B1811&lt;'user input'!$C$5,0,(F1811+G1810))</f>
        <v>1469.4444444444441</v>
      </c>
      <c r="H1811">
        <f>G1811/'user input'!$C$4</f>
        <v>1.2245370370370368</v>
      </c>
    </row>
    <row r="1812" spans="1:8" x14ac:dyDescent="0.2">
      <c r="A1812" s="1">
        <v>41988</v>
      </c>
      <c r="B1812">
        <v>350</v>
      </c>
      <c r="C1812" s="6">
        <f>IF('weather data'!C1812&gt;'user input'!$C$3,'user input'!$C$3,'weather data'!C1812)</f>
        <v>7.7777777777777777</v>
      </c>
      <c r="D1812" s="6">
        <f>IF('weather data'!D1812&lt;'user input'!$C$2,'user input'!$C$2,'weather data'!D1812)</f>
        <v>10</v>
      </c>
      <c r="E1812">
        <f t="shared" si="29"/>
        <v>8.8888888888888893</v>
      </c>
      <c r="F1812">
        <f>IF((E1812-'user input'!$C$2)&lt;0,0,E1812-'user input'!$C$2)</f>
        <v>0</v>
      </c>
      <c r="G1812">
        <f>IF(B1812&lt;'user input'!$C$5,0,(F1812+G1811))</f>
        <v>1469.4444444444441</v>
      </c>
      <c r="H1812">
        <f>G1812/'user input'!$C$4</f>
        <v>1.2245370370370368</v>
      </c>
    </row>
    <row r="1813" spans="1:8" x14ac:dyDescent="0.2">
      <c r="A1813" s="1">
        <v>41989</v>
      </c>
      <c r="B1813">
        <v>351</v>
      </c>
      <c r="C1813" s="6">
        <f>IF('weather data'!C1813&gt;'user input'!$C$3,'user input'!$C$3,'weather data'!C1813)</f>
        <v>7.2222222222222223</v>
      </c>
      <c r="D1813" s="6">
        <f>IF('weather data'!D1813&lt;'user input'!$C$2,'user input'!$C$2,'weather data'!D1813)</f>
        <v>10</v>
      </c>
      <c r="E1813">
        <f t="shared" si="29"/>
        <v>8.6111111111111107</v>
      </c>
      <c r="F1813">
        <f>IF((E1813-'user input'!$C$2)&lt;0,0,E1813-'user input'!$C$2)</f>
        <v>0</v>
      </c>
      <c r="G1813">
        <f>IF(B1813&lt;'user input'!$C$5,0,(F1813+G1812))</f>
        <v>1469.4444444444441</v>
      </c>
      <c r="H1813">
        <f>G1813/'user input'!$C$4</f>
        <v>1.2245370370370368</v>
      </c>
    </row>
    <row r="1814" spans="1:8" x14ac:dyDescent="0.2">
      <c r="A1814" s="1">
        <v>41990</v>
      </c>
      <c r="B1814">
        <v>352</v>
      </c>
      <c r="C1814" s="6">
        <f>IF('weather data'!C1814&gt;'user input'!$C$3,'user input'!$C$3,'weather data'!C1814)</f>
        <v>5</v>
      </c>
      <c r="D1814" s="6">
        <f>IF('weather data'!D1814&lt;'user input'!$C$2,'user input'!$C$2,'weather data'!D1814)</f>
        <v>10</v>
      </c>
      <c r="E1814">
        <f t="shared" si="29"/>
        <v>7.5</v>
      </c>
      <c r="F1814">
        <f>IF((E1814-'user input'!$C$2)&lt;0,0,E1814-'user input'!$C$2)</f>
        <v>0</v>
      </c>
      <c r="G1814">
        <f>IF(B1814&lt;'user input'!$C$5,0,(F1814+G1813))</f>
        <v>1469.4444444444441</v>
      </c>
      <c r="H1814">
        <f>G1814/'user input'!$C$4</f>
        <v>1.2245370370370368</v>
      </c>
    </row>
    <row r="1815" spans="1:8" x14ac:dyDescent="0.2">
      <c r="A1815" s="1">
        <v>41991</v>
      </c>
      <c r="B1815">
        <v>353</v>
      </c>
      <c r="C1815" s="6">
        <f>IF('weather data'!C1815&gt;'user input'!$C$3,'user input'!$C$3,'weather data'!C1815)</f>
        <v>-2.7777777777777777</v>
      </c>
      <c r="D1815" s="6">
        <f>IF('weather data'!D1815&lt;'user input'!$C$2,'user input'!$C$2,'weather data'!D1815)</f>
        <v>10</v>
      </c>
      <c r="E1815">
        <f t="shared" si="29"/>
        <v>3.6111111111111112</v>
      </c>
      <c r="F1815">
        <f>IF((E1815-'user input'!$C$2)&lt;0,0,E1815-'user input'!$C$2)</f>
        <v>0</v>
      </c>
      <c r="G1815">
        <f>IF(B1815&lt;'user input'!$C$5,0,(F1815+G1814))</f>
        <v>1469.4444444444441</v>
      </c>
      <c r="H1815">
        <f>G1815/'user input'!$C$4</f>
        <v>1.2245370370370368</v>
      </c>
    </row>
    <row r="1816" spans="1:8" x14ac:dyDescent="0.2">
      <c r="A1816" s="1">
        <v>41992</v>
      </c>
      <c r="B1816">
        <v>354</v>
      </c>
      <c r="C1816" s="6">
        <f>IF('weather data'!C1816&gt;'user input'!$C$3,'user input'!$C$3,'weather data'!C1816)</f>
        <v>-3.333333333333333</v>
      </c>
      <c r="D1816" s="6">
        <f>IF('weather data'!D1816&lt;'user input'!$C$2,'user input'!$C$2,'weather data'!D1816)</f>
        <v>10</v>
      </c>
      <c r="E1816">
        <f t="shared" si="29"/>
        <v>3.3333333333333335</v>
      </c>
      <c r="F1816">
        <f>IF((E1816-'user input'!$C$2)&lt;0,0,E1816-'user input'!$C$2)</f>
        <v>0</v>
      </c>
      <c r="G1816">
        <f>IF(B1816&lt;'user input'!$C$5,0,(F1816+G1815))</f>
        <v>1469.4444444444441</v>
      </c>
      <c r="H1816">
        <f>G1816/'user input'!$C$4</f>
        <v>1.2245370370370368</v>
      </c>
    </row>
    <row r="1817" spans="1:8" x14ac:dyDescent="0.2">
      <c r="A1817" s="1">
        <v>41993</v>
      </c>
      <c r="B1817">
        <v>355</v>
      </c>
      <c r="C1817" s="6">
        <f>IF('weather data'!C1817&gt;'user input'!$C$3,'user input'!$C$3,'weather data'!C1817)</f>
        <v>-2.7777777777777777</v>
      </c>
      <c r="D1817" s="6">
        <f>IF('weather data'!D1817&lt;'user input'!$C$2,'user input'!$C$2,'weather data'!D1817)</f>
        <v>10</v>
      </c>
      <c r="E1817">
        <f t="shared" si="29"/>
        <v>3.6111111111111112</v>
      </c>
      <c r="F1817">
        <f>IF((E1817-'user input'!$C$2)&lt;0,0,E1817-'user input'!$C$2)</f>
        <v>0</v>
      </c>
      <c r="G1817">
        <f>IF(B1817&lt;'user input'!$C$5,0,(F1817+G1816))</f>
        <v>1469.4444444444441</v>
      </c>
      <c r="H1817">
        <f>G1817/'user input'!$C$4</f>
        <v>1.2245370370370368</v>
      </c>
    </row>
    <row r="1818" spans="1:8" x14ac:dyDescent="0.2">
      <c r="A1818" s="1">
        <v>41994</v>
      </c>
      <c r="B1818">
        <v>356</v>
      </c>
      <c r="C1818" s="6">
        <f>IF('weather data'!C1818&gt;'user input'!$C$3,'user input'!$C$3,'weather data'!C1818)</f>
        <v>1.1111111111111112</v>
      </c>
      <c r="D1818" s="6">
        <f>IF('weather data'!D1818&lt;'user input'!$C$2,'user input'!$C$2,'weather data'!D1818)</f>
        <v>10</v>
      </c>
      <c r="E1818">
        <f t="shared" si="29"/>
        <v>5.5555555555555554</v>
      </c>
      <c r="F1818">
        <f>IF((E1818-'user input'!$C$2)&lt;0,0,E1818-'user input'!$C$2)</f>
        <v>0</v>
      </c>
      <c r="G1818">
        <f>IF(B1818&lt;'user input'!$C$5,0,(F1818+G1817))</f>
        <v>1469.4444444444441</v>
      </c>
      <c r="H1818">
        <f>G1818/'user input'!$C$4</f>
        <v>1.2245370370370368</v>
      </c>
    </row>
    <row r="1819" spans="1:8" x14ac:dyDescent="0.2">
      <c r="A1819" s="1">
        <v>41995</v>
      </c>
      <c r="B1819">
        <v>357</v>
      </c>
      <c r="C1819" s="6">
        <f>IF('weather data'!C1819&gt;'user input'!$C$3,'user input'!$C$3,'weather data'!C1819)</f>
        <v>2.7777777777777777</v>
      </c>
      <c r="D1819" s="6">
        <f>IF('weather data'!D1819&lt;'user input'!$C$2,'user input'!$C$2,'weather data'!D1819)</f>
        <v>10</v>
      </c>
      <c r="E1819">
        <f t="shared" si="29"/>
        <v>6.3888888888888893</v>
      </c>
      <c r="F1819">
        <f>IF((E1819-'user input'!$C$2)&lt;0,0,E1819-'user input'!$C$2)</f>
        <v>0</v>
      </c>
      <c r="G1819">
        <f>IF(B1819&lt;'user input'!$C$5,0,(F1819+G1818))</f>
        <v>1469.4444444444441</v>
      </c>
      <c r="H1819">
        <f>G1819/'user input'!$C$4</f>
        <v>1.2245370370370368</v>
      </c>
    </row>
    <row r="1820" spans="1:8" x14ac:dyDescent="0.2">
      <c r="A1820" s="1">
        <v>41996</v>
      </c>
      <c r="B1820">
        <v>358</v>
      </c>
      <c r="C1820" s="6">
        <f>IF('weather data'!C1820&gt;'user input'!$C$3,'user input'!$C$3,'weather data'!C1820)</f>
        <v>3.333333333333333</v>
      </c>
      <c r="D1820" s="6">
        <f>IF('weather data'!D1820&lt;'user input'!$C$2,'user input'!$C$2,'weather data'!D1820)</f>
        <v>10</v>
      </c>
      <c r="E1820">
        <f t="shared" si="29"/>
        <v>6.6666666666666661</v>
      </c>
      <c r="F1820">
        <f>IF((E1820-'user input'!$C$2)&lt;0,0,E1820-'user input'!$C$2)</f>
        <v>0</v>
      </c>
      <c r="G1820">
        <f>IF(B1820&lt;'user input'!$C$5,0,(F1820+G1819))</f>
        <v>1469.4444444444441</v>
      </c>
      <c r="H1820">
        <f>G1820/'user input'!$C$4</f>
        <v>1.2245370370370368</v>
      </c>
    </row>
    <row r="1821" spans="1:8" x14ac:dyDescent="0.2">
      <c r="A1821" s="1">
        <v>41997</v>
      </c>
      <c r="B1821">
        <v>359</v>
      </c>
      <c r="C1821" s="6">
        <f>IF('weather data'!C1821&gt;'user input'!$C$3,'user input'!$C$3,'weather data'!C1821)</f>
        <v>5</v>
      </c>
      <c r="D1821" s="6">
        <f>IF('weather data'!D1821&lt;'user input'!$C$2,'user input'!$C$2,'weather data'!D1821)</f>
        <v>10</v>
      </c>
      <c r="E1821">
        <f t="shared" si="29"/>
        <v>7.5</v>
      </c>
      <c r="F1821">
        <f>IF((E1821-'user input'!$C$2)&lt;0,0,E1821-'user input'!$C$2)</f>
        <v>0</v>
      </c>
      <c r="G1821">
        <f>IF(B1821&lt;'user input'!$C$5,0,(F1821+G1820))</f>
        <v>1469.4444444444441</v>
      </c>
      <c r="H1821">
        <f>G1821/'user input'!$C$4</f>
        <v>1.2245370370370368</v>
      </c>
    </row>
    <row r="1822" spans="1:8" x14ac:dyDescent="0.2">
      <c r="A1822" s="1">
        <v>41998</v>
      </c>
      <c r="B1822">
        <v>360</v>
      </c>
      <c r="C1822" s="6">
        <f>IF('weather data'!C1822&gt;'user input'!$C$3,'user input'!$C$3,'weather data'!C1822)</f>
        <v>1.1111111111111112</v>
      </c>
      <c r="D1822" s="6">
        <f>IF('weather data'!D1822&lt;'user input'!$C$2,'user input'!$C$2,'weather data'!D1822)</f>
        <v>10</v>
      </c>
      <c r="E1822">
        <f t="shared" si="29"/>
        <v>5.5555555555555554</v>
      </c>
      <c r="F1822">
        <f>IF((E1822-'user input'!$C$2)&lt;0,0,E1822-'user input'!$C$2)</f>
        <v>0</v>
      </c>
      <c r="G1822">
        <f>IF(B1822&lt;'user input'!$C$5,0,(F1822+G1821))</f>
        <v>1469.4444444444441</v>
      </c>
      <c r="H1822">
        <f>G1822/'user input'!$C$4</f>
        <v>1.2245370370370368</v>
      </c>
    </row>
    <row r="1823" spans="1:8" x14ac:dyDescent="0.2">
      <c r="A1823" s="1">
        <v>41999</v>
      </c>
      <c r="B1823">
        <v>361</v>
      </c>
      <c r="C1823" s="6">
        <f>IF('weather data'!C1823&gt;'user input'!$C$3,'user input'!$C$3,'weather data'!C1823)</f>
        <v>5</v>
      </c>
      <c r="D1823" s="6">
        <f>IF('weather data'!D1823&lt;'user input'!$C$2,'user input'!$C$2,'weather data'!D1823)</f>
        <v>10</v>
      </c>
      <c r="E1823">
        <f t="shared" si="29"/>
        <v>7.5</v>
      </c>
      <c r="F1823">
        <f>IF((E1823-'user input'!$C$2)&lt;0,0,E1823-'user input'!$C$2)</f>
        <v>0</v>
      </c>
      <c r="G1823">
        <f>IF(B1823&lt;'user input'!$C$5,0,(F1823+G1822))</f>
        <v>1469.4444444444441</v>
      </c>
      <c r="H1823">
        <f>G1823/'user input'!$C$4</f>
        <v>1.2245370370370368</v>
      </c>
    </row>
    <row r="1824" spans="1:8" x14ac:dyDescent="0.2">
      <c r="A1824" s="1">
        <v>42000</v>
      </c>
      <c r="B1824">
        <v>362</v>
      </c>
      <c r="C1824" s="6">
        <f>IF('weather data'!C1824&gt;'user input'!$C$3,'user input'!$C$3,'weather data'!C1824)</f>
        <v>8.3333333333333339</v>
      </c>
      <c r="D1824" s="6">
        <f>IF('weather data'!D1824&lt;'user input'!$C$2,'user input'!$C$2,'weather data'!D1824)</f>
        <v>10</v>
      </c>
      <c r="E1824">
        <f t="shared" si="29"/>
        <v>9.1666666666666679</v>
      </c>
      <c r="F1824">
        <f>IF((E1824-'user input'!$C$2)&lt;0,0,E1824-'user input'!$C$2)</f>
        <v>0</v>
      </c>
      <c r="G1824">
        <f>IF(B1824&lt;'user input'!$C$5,0,(F1824+G1823))</f>
        <v>1469.4444444444441</v>
      </c>
      <c r="H1824">
        <f>G1824/'user input'!$C$4</f>
        <v>1.2245370370370368</v>
      </c>
    </row>
    <row r="1825" spans="1:8" x14ac:dyDescent="0.2">
      <c r="A1825" s="1">
        <v>42001</v>
      </c>
      <c r="B1825">
        <v>363</v>
      </c>
      <c r="C1825" s="6">
        <f>IF('weather data'!C1825&gt;'user input'!$C$3,'user input'!$C$3,'weather data'!C1825)</f>
        <v>1.6666666666666665</v>
      </c>
      <c r="D1825" s="6">
        <f>IF('weather data'!D1825&lt;'user input'!$C$2,'user input'!$C$2,'weather data'!D1825)</f>
        <v>10</v>
      </c>
      <c r="E1825">
        <f t="shared" si="29"/>
        <v>5.833333333333333</v>
      </c>
      <c r="F1825">
        <f>IF((E1825-'user input'!$C$2)&lt;0,0,E1825-'user input'!$C$2)</f>
        <v>0</v>
      </c>
      <c r="G1825">
        <f>IF(B1825&lt;'user input'!$C$5,0,(F1825+G1824))</f>
        <v>1469.4444444444441</v>
      </c>
      <c r="H1825">
        <f>G1825/'user input'!$C$4</f>
        <v>1.2245370370370368</v>
      </c>
    </row>
    <row r="1826" spans="1:8" x14ac:dyDescent="0.2">
      <c r="A1826" s="1">
        <v>42002</v>
      </c>
      <c r="B1826">
        <v>364</v>
      </c>
      <c r="C1826" s="6">
        <f>IF('weather data'!C1826&gt;'user input'!$C$3,'user input'!$C$3,'weather data'!C1826)</f>
        <v>-0.55555555555555558</v>
      </c>
      <c r="D1826" s="6">
        <f>IF('weather data'!D1826&lt;'user input'!$C$2,'user input'!$C$2,'weather data'!D1826)</f>
        <v>10</v>
      </c>
      <c r="E1826">
        <f t="shared" si="29"/>
        <v>4.7222222222222223</v>
      </c>
      <c r="F1826">
        <f>IF((E1826-'user input'!$C$2)&lt;0,0,E1826-'user input'!$C$2)</f>
        <v>0</v>
      </c>
      <c r="G1826">
        <f>IF(B1826&lt;'user input'!$C$5,0,(F1826+G1825))</f>
        <v>1469.4444444444441</v>
      </c>
      <c r="H1826">
        <f>G1826/'user input'!$C$4</f>
        <v>1.2245370370370368</v>
      </c>
    </row>
    <row r="1827" spans="1:8" x14ac:dyDescent="0.2">
      <c r="A1827" s="1">
        <v>42003</v>
      </c>
      <c r="B1827">
        <v>365</v>
      </c>
      <c r="C1827" s="6">
        <f>IF('weather data'!C1827&gt;'user input'!$C$3,'user input'!$C$3,'weather data'!C1827)</f>
        <v>-5</v>
      </c>
      <c r="D1827" s="6">
        <f>IF('weather data'!D1827&lt;'user input'!$C$2,'user input'!$C$2,'weather data'!D1827)</f>
        <v>10</v>
      </c>
      <c r="E1827">
        <f t="shared" si="29"/>
        <v>2.5</v>
      </c>
      <c r="F1827">
        <f>IF((E1827-'user input'!$C$2)&lt;0,0,E1827-'user input'!$C$2)</f>
        <v>0</v>
      </c>
      <c r="G1827">
        <f>IF(B1827&lt;'user input'!$C$5,0,(F1827+G1826))</f>
        <v>1469.4444444444441</v>
      </c>
      <c r="H1827">
        <f>G1827/'user input'!$C$4</f>
        <v>1.2245370370370368</v>
      </c>
    </row>
    <row r="1828" spans="1:8" x14ac:dyDescent="0.2">
      <c r="A1828" s="1">
        <v>42004</v>
      </c>
      <c r="B1828">
        <v>1</v>
      </c>
      <c r="C1828" s="6">
        <f>IF('weather data'!C1828&gt;'user input'!$C$3,'user input'!$C$3,'weather data'!C1828)</f>
        <v>-10</v>
      </c>
      <c r="D1828" s="6">
        <f>IF('weather data'!D1828&lt;'user input'!$C$2,'user input'!$C$2,'weather data'!D1828)</f>
        <v>10</v>
      </c>
      <c r="E1828">
        <f t="shared" si="29"/>
        <v>0</v>
      </c>
      <c r="F1828">
        <f>IF((E1828-'user input'!$C$2)&lt;0,0,E1828-'user input'!$C$2)</f>
        <v>0</v>
      </c>
      <c r="G1828">
        <f>IF(B1828&lt;'user input'!$C$5,0,(F1828+G1827))</f>
        <v>0</v>
      </c>
      <c r="H1828">
        <f>G1828/'user input'!$C$4</f>
        <v>0</v>
      </c>
    </row>
    <row r="1829" spans="1:8" x14ac:dyDescent="0.2">
      <c r="A1829" s="1">
        <v>42005</v>
      </c>
      <c r="B1829">
        <v>2</v>
      </c>
      <c r="C1829" s="6">
        <f>IF('weather data'!C1829&gt;'user input'!$C$3,'user input'!$C$3,'weather data'!C1829)</f>
        <v>-7.7777777777777777</v>
      </c>
      <c r="D1829" s="6">
        <f>IF('weather data'!D1829&lt;'user input'!$C$2,'user input'!$C$2,'weather data'!D1829)</f>
        <v>10</v>
      </c>
      <c r="E1829">
        <f t="shared" si="29"/>
        <v>1.1111111111111112</v>
      </c>
      <c r="F1829">
        <f>IF((E1829-'user input'!$C$2)&lt;0,0,E1829-'user input'!$C$2)</f>
        <v>0</v>
      </c>
      <c r="G1829">
        <f>IF(B1829&lt;'user input'!$C$5,0,(F1829+G1828))</f>
        <v>0</v>
      </c>
      <c r="H1829">
        <f>G1829/'user input'!$C$4</f>
        <v>0</v>
      </c>
    </row>
    <row r="1830" spans="1:8" x14ac:dyDescent="0.2">
      <c r="A1830" s="1">
        <v>42006</v>
      </c>
      <c r="B1830">
        <v>3</v>
      </c>
      <c r="C1830" s="6">
        <f>IF('weather data'!C1830&gt;'user input'!$C$3,'user input'!$C$3,'weather data'!C1830)</f>
        <v>0</v>
      </c>
      <c r="D1830" s="6">
        <f>IF('weather data'!D1830&lt;'user input'!$C$2,'user input'!$C$2,'weather data'!D1830)</f>
        <v>10</v>
      </c>
      <c r="E1830">
        <f t="shared" si="29"/>
        <v>5</v>
      </c>
      <c r="F1830">
        <f>IF((E1830-'user input'!$C$2)&lt;0,0,E1830-'user input'!$C$2)</f>
        <v>0</v>
      </c>
      <c r="G1830">
        <f>IF(B1830&lt;'user input'!$C$5,0,(F1830+G1829))</f>
        <v>0</v>
      </c>
      <c r="H1830">
        <f>G1830/'user input'!$C$4</f>
        <v>0</v>
      </c>
    </row>
    <row r="1831" spans="1:8" x14ac:dyDescent="0.2">
      <c r="A1831" s="1">
        <v>42007</v>
      </c>
      <c r="B1831">
        <v>4</v>
      </c>
      <c r="C1831" s="6">
        <f>IF('weather data'!C1831&gt;'user input'!$C$3,'user input'!$C$3,'weather data'!C1831)</f>
        <v>0</v>
      </c>
      <c r="D1831" s="6">
        <f>IF('weather data'!D1831&lt;'user input'!$C$2,'user input'!$C$2,'weather data'!D1831)</f>
        <v>10</v>
      </c>
      <c r="E1831">
        <f t="shared" si="29"/>
        <v>5</v>
      </c>
      <c r="F1831">
        <f>IF((E1831-'user input'!$C$2)&lt;0,0,E1831-'user input'!$C$2)</f>
        <v>0</v>
      </c>
      <c r="G1831">
        <f>IF(B1831&lt;'user input'!$C$5,0,(F1831+G1830))</f>
        <v>0</v>
      </c>
      <c r="H1831">
        <f>G1831/'user input'!$C$4</f>
        <v>0</v>
      </c>
    </row>
    <row r="1832" spans="1:8" x14ac:dyDescent="0.2">
      <c r="A1832" s="1">
        <v>42008</v>
      </c>
      <c r="B1832">
        <v>5</v>
      </c>
      <c r="C1832" s="6">
        <f>IF('weather data'!C1832&gt;'user input'!$C$3,'user input'!$C$3,'weather data'!C1832)</f>
        <v>-0.55555555555555558</v>
      </c>
      <c r="D1832" s="6">
        <f>IF('weather data'!D1832&lt;'user input'!$C$2,'user input'!$C$2,'weather data'!D1832)</f>
        <v>10</v>
      </c>
      <c r="E1832">
        <f t="shared" si="29"/>
        <v>4.7222222222222223</v>
      </c>
      <c r="F1832">
        <f>IF((E1832-'user input'!$C$2)&lt;0,0,E1832-'user input'!$C$2)</f>
        <v>0</v>
      </c>
      <c r="G1832">
        <f>IF(B1832&lt;'user input'!$C$5,0,(F1832+G1831))</f>
        <v>0</v>
      </c>
      <c r="H1832">
        <f>G1832/'user input'!$C$4</f>
        <v>0</v>
      </c>
    </row>
    <row r="1833" spans="1:8" x14ac:dyDescent="0.2">
      <c r="A1833" s="1">
        <v>42009</v>
      </c>
      <c r="B1833">
        <v>6</v>
      </c>
      <c r="C1833" s="6">
        <f>IF('weather data'!C1833&gt;'user input'!$C$3,'user input'!$C$3,'weather data'!C1833)</f>
        <v>-10</v>
      </c>
      <c r="D1833" s="6">
        <f>IF('weather data'!D1833&lt;'user input'!$C$2,'user input'!$C$2,'weather data'!D1833)</f>
        <v>10</v>
      </c>
      <c r="E1833">
        <f t="shared" si="29"/>
        <v>0</v>
      </c>
      <c r="F1833">
        <f>IF((E1833-'user input'!$C$2)&lt;0,0,E1833-'user input'!$C$2)</f>
        <v>0</v>
      </c>
      <c r="G1833">
        <f>IF(B1833&lt;'user input'!$C$5,0,(F1833+G1832))</f>
        <v>0</v>
      </c>
      <c r="H1833">
        <f>G1833/'user input'!$C$4</f>
        <v>0</v>
      </c>
    </row>
    <row r="1834" spans="1:8" x14ac:dyDescent="0.2">
      <c r="A1834" s="1">
        <v>42010</v>
      </c>
      <c r="B1834">
        <v>7</v>
      </c>
      <c r="C1834" s="6">
        <f>IF('weather data'!C1834&gt;'user input'!$C$3,'user input'!$C$3,'weather data'!C1834)</f>
        <v>-12.222222222222223</v>
      </c>
      <c r="D1834" s="6">
        <f>IF('weather data'!D1834&lt;'user input'!$C$2,'user input'!$C$2,'weather data'!D1834)</f>
        <v>10</v>
      </c>
      <c r="E1834">
        <f t="shared" si="29"/>
        <v>-1.1111111111111116</v>
      </c>
      <c r="F1834">
        <f>IF((E1834-'user input'!$C$2)&lt;0,0,E1834-'user input'!$C$2)</f>
        <v>0</v>
      </c>
      <c r="G1834">
        <f>IF(B1834&lt;'user input'!$C$5,0,(F1834+G1833))</f>
        <v>0</v>
      </c>
      <c r="H1834">
        <f>G1834/'user input'!$C$4</f>
        <v>0</v>
      </c>
    </row>
    <row r="1835" spans="1:8" x14ac:dyDescent="0.2">
      <c r="A1835" s="1">
        <v>42011</v>
      </c>
      <c r="B1835">
        <v>8</v>
      </c>
      <c r="C1835" s="6">
        <f>IF('weather data'!C1835&gt;'user input'!$C$3,'user input'!$C$3,'weather data'!C1835)</f>
        <v>-11.111111111111111</v>
      </c>
      <c r="D1835" s="6">
        <f>IF('weather data'!D1835&lt;'user input'!$C$2,'user input'!$C$2,'weather data'!D1835)</f>
        <v>10</v>
      </c>
      <c r="E1835">
        <f t="shared" si="29"/>
        <v>-0.55555555555555536</v>
      </c>
      <c r="F1835">
        <f>IF((E1835-'user input'!$C$2)&lt;0,0,E1835-'user input'!$C$2)</f>
        <v>0</v>
      </c>
      <c r="G1835">
        <f>IF(B1835&lt;'user input'!$C$5,0,(F1835+G1834))</f>
        <v>0</v>
      </c>
      <c r="H1835">
        <f>G1835/'user input'!$C$4</f>
        <v>0</v>
      </c>
    </row>
    <row r="1836" spans="1:8" x14ac:dyDescent="0.2">
      <c r="A1836" s="1">
        <v>42012</v>
      </c>
      <c r="B1836">
        <v>9</v>
      </c>
      <c r="C1836" s="6">
        <f>IF('weather data'!C1836&gt;'user input'!$C$3,'user input'!$C$3,'weather data'!C1836)</f>
        <v>-18.333333333333332</v>
      </c>
      <c r="D1836" s="6">
        <f>IF('weather data'!D1836&lt;'user input'!$C$2,'user input'!$C$2,'weather data'!D1836)</f>
        <v>10</v>
      </c>
      <c r="E1836">
        <f t="shared" si="29"/>
        <v>-4.1666666666666661</v>
      </c>
      <c r="F1836">
        <f>IF((E1836-'user input'!$C$2)&lt;0,0,E1836-'user input'!$C$2)</f>
        <v>0</v>
      </c>
      <c r="G1836">
        <f>IF(B1836&lt;'user input'!$C$5,0,(F1836+G1835))</f>
        <v>0</v>
      </c>
      <c r="H1836">
        <f>G1836/'user input'!$C$4</f>
        <v>0</v>
      </c>
    </row>
    <row r="1837" spans="1:8" x14ac:dyDescent="0.2">
      <c r="A1837" s="1">
        <v>42013</v>
      </c>
      <c r="B1837">
        <v>10</v>
      </c>
      <c r="C1837" s="6">
        <f>IF('weather data'!C1837&gt;'user input'!$C$3,'user input'!$C$3,'weather data'!C1837)</f>
        <v>-11.666666666666668</v>
      </c>
      <c r="D1837" s="6">
        <f>IF('weather data'!D1837&lt;'user input'!$C$2,'user input'!$C$2,'weather data'!D1837)</f>
        <v>10</v>
      </c>
      <c r="E1837">
        <f t="shared" si="29"/>
        <v>-0.83333333333333393</v>
      </c>
      <c r="F1837">
        <f>IF((E1837-'user input'!$C$2)&lt;0,0,E1837-'user input'!$C$2)</f>
        <v>0</v>
      </c>
      <c r="G1837">
        <f>IF(B1837&lt;'user input'!$C$5,0,(F1837+G1836))</f>
        <v>0</v>
      </c>
      <c r="H1837">
        <f>G1837/'user input'!$C$4</f>
        <v>0</v>
      </c>
    </row>
    <row r="1838" spans="1:8" x14ac:dyDescent="0.2">
      <c r="A1838" s="1">
        <v>42014</v>
      </c>
      <c r="B1838">
        <v>11</v>
      </c>
      <c r="C1838" s="6">
        <f>IF('weather data'!C1838&gt;'user input'!$C$3,'user input'!$C$3,'weather data'!C1838)</f>
        <v>-15</v>
      </c>
      <c r="D1838" s="6">
        <f>IF('weather data'!D1838&lt;'user input'!$C$2,'user input'!$C$2,'weather data'!D1838)</f>
        <v>10</v>
      </c>
      <c r="E1838">
        <f t="shared" si="29"/>
        <v>-2.5</v>
      </c>
      <c r="F1838">
        <f>IF((E1838-'user input'!$C$2)&lt;0,0,E1838-'user input'!$C$2)</f>
        <v>0</v>
      </c>
      <c r="G1838">
        <f>IF(B1838&lt;'user input'!$C$5,0,(F1838+G1837))</f>
        <v>0</v>
      </c>
      <c r="H1838">
        <f>G1838/'user input'!$C$4</f>
        <v>0</v>
      </c>
    </row>
    <row r="1839" spans="1:8" x14ac:dyDescent="0.2">
      <c r="A1839" s="1">
        <v>42015</v>
      </c>
      <c r="B1839">
        <v>12</v>
      </c>
      <c r="C1839" s="6">
        <f>IF('weather data'!C1839&gt;'user input'!$C$3,'user input'!$C$3,'weather data'!C1839)</f>
        <v>-5.5555555555555554</v>
      </c>
      <c r="D1839" s="6">
        <f>IF('weather data'!D1839&lt;'user input'!$C$2,'user input'!$C$2,'weather data'!D1839)</f>
        <v>10</v>
      </c>
      <c r="E1839">
        <f t="shared" si="29"/>
        <v>2.2222222222222223</v>
      </c>
      <c r="F1839">
        <f>IF((E1839-'user input'!$C$2)&lt;0,0,E1839-'user input'!$C$2)</f>
        <v>0</v>
      </c>
      <c r="G1839">
        <f>IF(B1839&lt;'user input'!$C$5,0,(F1839+G1838))</f>
        <v>0</v>
      </c>
      <c r="H1839">
        <f>G1839/'user input'!$C$4</f>
        <v>0</v>
      </c>
    </row>
    <row r="1840" spans="1:8" x14ac:dyDescent="0.2">
      <c r="A1840" s="1">
        <v>42016</v>
      </c>
      <c r="B1840">
        <v>13</v>
      </c>
      <c r="C1840" s="6">
        <f>IF('weather data'!C1840&gt;'user input'!$C$3,'user input'!$C$3,'weather data'!C1840)</f>
        <v>-3.8888888888888888</v>
      </c>
      <c r="D1840" s="6">
        <f>IF('weather data'!D1840&lt;'user input'!$C$2,'user input'!$C$2,'weather data'!D1840)</f>
        <v>10</v>
      </c>
      <c r="E1840">
        <f t="shared" si="29"/>
        <v>3.0555555555555554</v>
      </c>
      <c r="F1840">
        <f>IF((E1840-'user input'!$C$2)&lt;0,0,E1840-'user input'!$C$2)</f>
        <v>0</v>
      </c>
      <c r="G1840">
        <f>IF(B1840&lt;'user input'!$C$5,0,(F1840+G1839))</f>
        <v>0</v>
      </c>
      <c r="H1840">
        <f>G1840/'user input'!$C$4</f>
        <v>0</v>
      </c>
    </row>
    <row r="1841" spans="1:8" x14ac:dyDescent="0.2">
      <c r="A1841" s="1">
        <v>42017</v>
      </c>
      <c r="B1841">
        <v>14</v>
      </c>
      <c r="C1841" s="6">
        <f>IF('weather data'!C1841&gt;'user input'!$C$3,'user input'!$C$3,'weather data'!C1841)</f>
        <v>-9.4444444444444446</v>
      </c>
      <c r="D1841" s="6">
        <f>IF('weather data'!D1841&lt;'user input'!$C$2,'user input'!$C$2,'weather data'!D1841)</f>
        <v>10</v>
      </c>
      <c r="E1841">
        <f t="shared" si="29"/>
        <v>0.27777777777777768</v>
      </c>
      <c r="F1841">
        <f>IF((E1841-'user input'!$C$2)&lt;0,0,E1841-'user input'!$C$2)</f>
        <v>0</v>
      </c>
      <c r="G1841">
        <f>IF(B1841&lt;'user input'!$C$5,0,(F1841+G1840))</f>
        <v>0</v>
      </c>
      <c r="H1841">
        <f>G1841/'user input'!$C$4</f>
        <v>0</v>
      </c>
    </row>
    <row r="1842" spans="1:8" x14ac:dyDescent="0.2">
      <c r="A1842" s="1">
        <v>42018</v>
      </c>
      <c r="B1842">
        <v>15</v>
      </c>
      <c r="C1842" s="6">
        <f>IF('weather data'!C1842&gt;'user input'!$C$3,'user input'!$C$3,'weather data'!C1842)</f>
        <v>-7.7777777777777777</v>
      </c>
      <c r="D1842" s="6">
        <f>IF('weather data'!D1842&lt;'user input'!$C$2,'user input'!$C$2,'weather data'!D1842)</f>
        <v>10</v>
      </c>
      <c r="E1842">
        <f t="shared" si="29"/>
        <v>1.1111111111111112</v>
      </c>
      <c r="F1842">
        <f>IF((E1842-'user input'!$C$2)&lt;0,0,E1842-'user input'!$C$2)</f>
        <v>0</v>
      </c>
      <c r="G1842">
        <f>IF(B1842&lt;'user input'!$C$5,0,(F1842+G1841))</f>
        <v>0</v>
      </c>
      <c r="H1842">
        <f>G1842/'user input'!$C$4</f>
        <v>0</v>
      </c>
    </row>
    <row r="1843" spans="1:8" x14ac:dyDescent="0.2">
      <c r="A1843" s="1">
        <v>42019</v>
      </c>
      <c r="B1843">
        <v>16</v>
      </c>
      <c r="C1843" s="6">
        <f>IF('weather data'!C1843&gt;'user input'!$C$3,'user input'!$C$3,'weather data'!C1843)</f>
        <v>-5.5555555555555554</v>
      </c>
      <c r="D1843" s="6">
        <f>IF('weather data'!D1843&lt;'user input'!$C$2,'user input'!$C$2,'weather data'!D1843)</f>
        <v>10</v>
      </c>
      <c r="E1843">
        <f t="shared" si="29"/>
        <v>2.2222222222222223</v>
      </c>
      <c r="F1843">
        <f>IF((E1843-'user input'!$C$2)&lt;0,0,E1843-'user input'!$C$2)</f>
        <v>0</v>
      </c>
      <c r="G1843">
        <f>IF(B1843&lt;'user input'!$C$5,0,(F1843+G1842))</f>
        <v>0</v>
      </c>
      <c r="H1843">
        <f>G1843/'user input'!$C$4</f>
        <v>0</v>
      </c>
    </row>
    <row r="1844" spans="1:8" x14ac:dyDescent="0.2">
      <c r="A1844" s="1">
        <v>42020</v>
      </c>
      <c r="B1844">
        <v>17</v>
      </c>
      <c r="C1844" s="6">
        <f>IF('weather data'!C1844&gt;'user input'!$C$3,'user input'!$C$3,'weather data'!C1844)</f>
        <v>2.2222222222222223</v>
      </c>
      <c r="D1844" s="6">
        <f>IF('weather data'!D1844&lt;'user input'!$C$2,'user input'!$C$2,'weather data'!D1844)</f>
        <v>10</v>
      </c>
      <c r="E1844">
        <f t="shared" si="29"/>
        <v>6.1111111111111107</v>
      </c>
      <c r="F1844">
        <f>IF((E1844-'user input'!$C$2)&lt;0,0,E1844-'user input'!$C$2)</f>
        <v>0</v>
      </c>
      <c r="G1844">
        <f>IF(B1844&lt;'user input'!$C$5,0,(F1844+G1843))</f>
        <v>0</v>
      </c>
      <c r="H1844">
        <f>G1844/'user input'!$C$4</f>
        <v>0</v>
      </c>
    </row>
    <row r="1845" spans="1:8" x14ac:dyDescent="0.2">
      <c r="A1845" s="1">
        <v>42021</v>
      </c>
      <c r="B1845">
        <v>18</v>
      </c>
      <c r="C1845" s="6">
        <f>IF('weather data'!C1845&gt;'user input'!$C$3,'user input'!$C$3,'weather data'!C1845)</f>
        <v>4.4444444444444446</v>
      </c>
      <c r="D1845" s="6">
        <f>IF('weather data'!D1845&lt;'user input'!$C$2,'user input'!$C$2,'weather data'!D1845)</f>
        <v>10</v>
      </c>
      <c r="E1845">
        <f t="shared" si="29"/>
        <v>7.2222222222222223</v>
      </c>
      <c r="F1845">
        <f>IF((E1845-'user input'!$C$2)&lt;0,0,E1845-'user input'!$C$2)</f>
        <v>0</v>
      </c>
      <c r="G1845">
        <f>IF(B1845&lt;'user input'!$C$5,0,(F1845+G1844))</f>
        <v>0</v>
      </c>
      <c r="H1845">
        <f>G1845/'user input'!$C$4</f>
        <v>0</v>
      </c>
    </row>
    <row r="1846" spans="1:8" x14ac:dyDescent="0.2">
      <c r="A1846" s="1">
        <v>42022</v>
      </c>
      <c r="B1846">
        <v>19</v>
      </c>
      <c r="C1846" s="6">
        <f>IF('weather data'!C1846&gt;'user input'!$C$3,'user input'!$C$3,'weather data'!C1846)</f>
        <v>4.4444444444444446</v>
      </c>
      <c r="D1846" s="6">
        <f>IF('weather data'!D1846&lt;'user input'!$C$2,'user input'!$C$2,'weather data'!D1846)</f>
        <v>10</v>
      </c>
      <c r="E1846">
        <f t="shared" si="29"/>
        <v>7.2222222222222223</v>
      </c>
      <c r="F1846">
        <f>IF((E1846-'user input'!$C$2)&lt;0,0,E1846-'user input'!$C$2)</f>
        <v>0</v>
      </c>
      <c r="G1846">
        <f>IF(B1846&lt;'user input'!$C$5,0,(F1846+G1845))</f>
        <v>0</v>
      </c>
      <c r="H1846">
        <f>G1846/'user input'!$C$4</f>
        <v>0</v>
      </c>
    </row>
    <row r="1847" spans="1:8" x14ac:dyDescent="0.2">
      <c r="A1847" s="1">
        <v>42023</v>
      </c>
      <c r="B1847">
        <v>20</v>
      </c>
      <c r="C1847" s="6">
        <f>IF('weather data'!C1847&gt;'user input'!$C$3,'user input'!$C$3,'weather data'!C1847)</f>
        <v>5.5555555555555554</v>
      </c>
      <c r="D1847" s="6">
        <f>IF('weather data'!D1847&lt;'user input'!$C$2,'user input'!$C$2,'weather data'!D1847)</f>
        <v>10</v>
      </c>
      <c r="E1847">
        <f t="shared" si="29"/>
        <v>7.7777777777777777</v>
      </c>
      <c r="F1847">
        <f>IF((E1847-'user input'!$C$2)&lt;0,0,E1847-'user input'!$C$2)</f>
        <v>0</v>
      </c>
      <c r="G1847">
        <f>IF(B1847&lt;'user input'!$C$5,0,(F1847+G1846))</f>
        <v>0</v>
      </c>
      <c r="H1847">
        <f>G1847/'user input'!$C$4</f>
        <v>0</v>
      </c>
    </row>
    <row r="1848" spans="1:8" x14ac:dyDescent="0.2">
      <c r="A1848" s="1">
        <v>42024</v>
      </c>
      <c r="B1848">
        <v>21</v>
      </c>
      <c r="C1848" s="6">
        <f>IF('weather data'!C1848&gt;'user input'!$C$3,'user input'!$C$3,'weather data'!C1848)</f>
        <v>1.1111111111111112</v>
      </c>
      <c r="D1848" s="6">
        <f>IF('weather data'!D1848&lt;'user input'!$C$2,'user input'!$C$2,'weather data'!D1848)</f>
        <v>10</v>
      </c>
      <c r="E1848">
        <f t="shared" si="29"/>
        <v>5.5555555555555554</v>
      </c>
      <c r="F1848">
        <f>IF((E1848-'user input'!$C$2)&lt;0,0,E1848-'user input'!$C$2)</f>
        <v>0</v>
      </c>
      <c r="G1848">
        <f>IF(B1848&lt;'user input'!$C$5,0,(F1848+G1847))</f>
        <v>0</v>
      </c>
      <c r="H1848">
        <f>G1848/'user input'!$C$4</f>
        <v>0</v>
      </c>
    </row>
    <row r="1849" spans="1:8" x14ac:dyDescent="0.2">
      <c r="A1849" s="1">
        <v>42025</v>
      </c>
      <c r="B1849">
        <v>22</v>
      </c>
      <c r="C1849" s="6">
        <f>IF('weather data'!C1849&gt;'user input'!$C$3,'user input'!$C$3,'weather data'!C1849)</f>
        <v>-0.55555555555555558</v>
      </c>
      <c r="D1849" s="6">
        <f>IF('weather data'!D1849&lt;'user input'!$C$2,'user input'!$C$2,'weather data'!D1849)</f>
        <v>10</v>
      </c>
      <c r="E1849">
        <f t="shared" si="29"/>
        <v>4.7222222222222223</v>
      </c>
      <c r="F1849">
        <f>IF((E1849-'user input'!$C$2)&lt;0,0,E1849-'user input'!$C$2)</f>
        <v>0</v>
      </c>
      <c r="G1849">
        <f>IF(B1849&lt;'user input'!$C$5,0,(F1849+G1848))</f>
        <v>0</v>
      </c>
      <c r="H1849">
        <f>G1849/'user input'!$C$4</f>
        <v>0</v>
      </c>
    </row>
    <row r="1850" spans="1:8" x14ac:dyDescent="0.2">
      <c r="A1850" s="1">
        <v>42026</v>
      </c>
      <c r="B1850">
        <v>23</v>
      </c>
      <c r="C1850" s="6">
        <f>IF('weather data'!C1850&gt;'user input'!$C$3,'user input'!$C$3,'weather data'!C1850)</f>
        <v>-1.6666666666666665</v>
      </c>
      <c r="D1850" s="6">
        <f>IF('weather data'!D1850&lt;'user input'!$C$2,'user input'!$C$2,'weather data'!D1850)</f>
        <v>10</v>
      </c>
      <c r="E1850">
        <f t="shared" si="29"/>
        <v>4.166666666666667</v>
      </c>
      <c r="F1850">
        <f>IF((E1850-'user input'!$C$2)&lt;0,0,E1850-'user input'!$C$2)</f>
        <v>0</v>
      </c>
      <c r="G1850">
        <f>IF(B1850&lt;'user input'!$C$5,0,(F1850+G1849))</f>
        <v>0</v>
      </c>
      <c r="H1850">
        <f>G1850/'user input'!$C$4</f>
        <v>0</v>
      </c>
    </row>
    <row r="1851" spans="1:8" x14ac:dyDescent="0.2">
      <c r="A1851" s="1">
        <v>42027</v>
      </c>
      <c r="B1851">
        <v>24</v>
      </c>
      <c r="C1851" s="6">
        <f>IF('weather data'!C1851&gt;'user input'!$C$3,'user input'!$C$3,'weather data'!C1851)</f>
        <v>0</v>
      </c>
      <c r="D1851" s="6">
        <f>IF('weather data'!D1851&lt;'user input'!$C$2,'user input'!$C$2,'weather data'!D1851)</f>
        <v>10</v>
      </c>
      <c r="E1851">
        <f t="shared" si="29"/>
        <v>5</v>
      </c>
      <c r="F1851">
        <f>IF((E1851-'user input'!$C$2)&lt;0,0,E1851-'user input'!$C$2)</f>
        <v>0</v>
      </c>
      <c r="G1851">
        <f>IF(B1851&lt;'user input'!$C$5,0,(F1851+G1850))</f>
        <v>0</v>
      </c>
      <c r="H1851">
        <f>G1851/'user input'!$C$4</f>
        <v>0</v>
      </c>
    </row>
    <row r="1852" spans="1:8" x14ac:dyDescent="0.2">
      <c r="A1852" s="1">
        <v>42028</v>
      </c>
      <c r="B1852">
        <v>25</v>
      </c>
      <c r="C1852" s="6">
        <f>IF('weather data'!C1852&gt;'user input'!$C$3,'user input'!$C$3,'weather data'!C1852)</f>
        <v>1.6666666666666665</v>
      </c>
      <c r="D1852" s="6">
        <f>IF('weather data'!D1852&lt;'user input'!$C$2,'user input'!$C$2,'weather data'!D1852)</f>
        <v>10</v>
      </c>
      <c r="E1852">
        <f t="shared" si="29"/>
        <v>5.833333333333333</v>
      </c>
      <c r="F1852">
        <f>IF((E1852-'user input'!$C$2)&lt;0,0,E1852-'user input'!$C$2)</f>
        <v>0</v>
      </c>
      <c r="G1852">
        <f>IF(B1852&lt;'user input'!$C$5,0,(F1852+G1851))</f>
        <v>0</v>
      </c>
      <c r="H1852">
        <f>G1852/'user input'!$C$4</f>
        <v>0</v>
      </c>
    </row>
    <row r="1853" spans="1:8" x14ac:dyDescent="0.2">
      <c r="A1853" s="1">
        <v>42029</v>
      </c>
      <c r="B1853">
        <v>26</v>
      </c>
      <c r="C1853" s="6">
        <f>IF('weather data'!C1853&gt;'user input'!$C$3,'user input'!$C$3,'weather data'!C1853)</f>
        <v>0.55555555555555558</v>
      </c>
      <c r="D1853" s="6">
        <f>IF('weather data'!D1853&lt;'user input'!$C$2,'user input'!$C$2,'weather data'!D1853)</f>
        <v>10</v>
      </c>
      <c r="E1853">
        <f t="shared" si="29"/>
        <v>5.2777777777777777</v>
      </c>
      <c r="F1853">
        <f>IF((E1853-'user input'!$C$2)&lt;0,0,E1853-'user input'!$C$2)</f>
        <v>0</v>
      </c>
      <c r="G1853">
        <f>IF(B1853&lt;'user input'!$C$5,0,(F1853+G1852))</f>
        <v>0</v>
      </c>
      <c r="H1853">
        <f>G1853/'user input'!$C$4</f>
        <v>0</v>
      </c>
    </row>
    <row r="1854" spans="1:8" x14ac:dyDescent="0.2">
      <c r="A1854" s="1">
        <v>42030</v>
      </c>
      <c r="B1854">
        <v>27</v>
      </c>
      <c r="C1854" s="6">
        <f>IF('weather data'!C1854&gt;'user input'!$C$3,'user input'!$C$3,'weather data'!C1854)</f>
        <v>-4.4444444444444446</v>
      </c>
      <c r="D1854" s="6">
        <f>IF('weather data'!D1854&lt;'user input'!$C$2,'user input'!$C$2,'weather data'!D1854)</f>
        <v>10</v>
      </c>
      <c r="E1854">
        <f t="shared" si="29"/>
        <v>2.7777777777777777</v>
      </c>
      <c r="F1854">
        <f>IF((E1854-'user input'!$C$2)&lt;0,0,E1854-'user input'!$C$2)</f>
        <v>0</v>
      </c>
      <c r="G1854">
        <f>IF(B1854&lt;'user input'!$C$5,0,(F1854+G1853))</f>
        <v>0</v>
      </c>
      <c r="H1854">
        <f>G1854/'user input'!$C$4</f>
        <v>0</v>
      </c>
    </row>
    <row r="1855" spans="1:8" x14ac:dyDescent="0.2">
      <c r="A1855" s="1">
        <v>42031</v>
      </c>
      <c r="B1855">
        <v>28</v>
      </c>
      <c r="C1855" s="6">
        <f>IF('weather data'!C1855&gt;'user input'!$C$3,'user input'!$C$3,'weather data'!C1855)</f>
        <v>-4.4444444444444446</v>
      </c>
      <c r="D1855" s="6">
        <f>IF('weather data'!D1855&lt;'user input'!$C$2,'user input'!$C$2,'weather data'!D1855)</f>
        <v>10</v>
      </c>
      <c r="E1855">
        <f t="shared" si="29"/>
        <v>2.7777777777777777</v>
      </c>
      <c r="F1855">
        <f>IF((E1855-'user input'!$C$2)&lt;0,0,E1855-'user input'!$C$2)</f>
        <v>0</v>
      </c>
      <c r="G1855">
        <f>IF(B1855&lt;'user input'!$C$5,0,(F1855+G1854))</f>
        <v>0</v>
      </c>
      <c r="H1855">
        <f>G1855/'user input'!$C$4</f>
        <v>0</v>
      </c>
    </row>
    <row r="1856" spans="1:8" x14ac:dyDescent="0.2">
      <c r="A1856" s="1">
        <v>42032</v>
      </c>
      <c r="B1856">
        <v>29</v>
      </c>
      <c r="C1856" s="6">
        <f>IF('weather data'!C1856&gt;'user input'!$C$3,'user input'!$C$3,'weather data'!C1856)</f>
        <v>-2.7777777777777777</v>
      </c>
      <c r="D1856" s="6">
        <f>IF('weather data'!D1856&lt;'user input'!$C$2,'user input'!$C$2,'weather data'!D1856)</f>
        <v>10</v>
      </c>
      <c r="E1856">
        <f t="shared" si="29"/>
        <v>3.6111111111111112</v>
      </c>
      <c r="F1856">
        <f>IF((E1856-'user input'!$C$2)&lt;0,0,E1856-'user input'!$C$2)</f>
        <v>0</v>
      </c>
      <c r="G1856">
        <f>IF(B1856&lt;'user input'!$C$5,0,(F1856+G1855))</f>
        <v>0</v>
      </c>
      <c r="H1856">
        <f>G1856/'user input'!$C$4</f>
        <v>0</v>
      </c>
    </row>
    <row r="1857" spans="1:8" x14ac:dyDescent="0.2">
      <c r="A1857" s="1">
        <v>42033</v>
      </c>
      <c r="B1857">
        <v>30</v>
      </c>
      <c r="C1857" s="6">
        <f>IF('weather data'!C1857&gt;'user input'!$C$3,'user input'!$C$3,'weather data'!C1857)</f>
        <v>0.55555555555555558</v>
      </c>
      <c r="D1857" s="6">
        <f>IF('weather data'!D1857&lt;'user input'!$C$2,'user input'!$C$2,'weather data'!D1857)</f>
        <v>10</v>
      </c>
      <c r="E1857">
        <f t="shared" si="29"/>
        <v>5.2777777777777777</v>
      </c>
      <c r="F1857">
        <f>IF((E1857-'user input'!$C$2)&lt;0,0,E1857-'user input'!$C$2)</f>
        <v>0</v>
      </c>
      <c r="G1857">
        <f>IF(B1857&lt;'user input'!$C$5,0,(F1857+G1856))</f>
        <v>0</v>
      </c>
      <c r="H1857">
        <f>G1857/'user input'!$C$4</f>
        <v>0</v>
      </c>
    </row>
    <row r="1858" spans="1:8" x14ac:dyDescent="0.2">
      <c r="A1858" s="1">
        <v>42034</v>
      </c>
      <c r="B1858">
        <v>31</v>
      </c>
      <c r="C1858" s="6">
        <f>IF('weather data'!C1858&gt;'user input'!$C$3,'user input'!$C$3,'weather data'!C1858)</f>
        <v>1.1111111111111112</v>
      </c>
      <c r="D1858" s="6">
        <f>IF('weather data'!D1858&lt;'user input'!$C$2,'user input'!$C$2,'weather data'!D1858)</f>
        <v>10</v>
      </c>
      <c r="E1858">
        <f t="shared" si="29"/>
        <v>5.5555555555555554</v>
      </c>
      <c r="F1858">
        <f>IF((E1858-'user input'!$C$2)&lt;0,0,E1858-'user input'!$C$2)</f>
        <v>0</v>
      </c>
      <c r="G1858">
        <f>IF(B1858&lt;'user input'!$C$5,0,(F1858+G1857))</f>
        <v>0</v>
      </c>
      <c r="H1858">
        <f>G1858/'user input'!$C$4</f>
        <v>0</v>
      </c>
    </row>
    <row r="1859" spans="1:8" x14ac:dyDescent="0.2">
      <c r="A1859" s="1">
        <v>42035</v>
      </c>
      <c r="B1859">
        <v>32</v>
      </c>
      <c r="C1859" s="6">
        <f>IF('weather data'!C1859&gt;'user input'!$C$3,'user input'!$C$3,'weather data'!C1859)</f>
        <v>-3.333333333333333</v>
      </c>
      <c r="D1859" s="6">
        <f>IF('weather data'!D1859&lt;'user input'!$C$2,'user input'!$C$2,'weather data'!D1859)</f>
        <v>10</v>
      </c>
      <c r="E1859">
        <f t="shared" si="29"/>
        <v>3.3333333333333335</v>
      </c>
      <c r="F1859">
        <f>IF((E1859-'user input'!$C$2)&lt;0,0,E1859-'user input'!$C$2)</f>
        <v>0</v>
      </c>
      <c r="G1859">
        <f>IF(B1859&lt;'user input'!$C$5,0,(F1859+G1858))</f>
        <v>0</v>
      </c>
      <c r="H1859">
        <f>G1859/'user input'!$C$4</f>
        <v>0</v>
      </c>
    </row>
    <row r="1860" spans="1:8" x14ac:dyDescent="0.2">
      <c r="A1860" s="1">
        <v>42036</v>
      </c>
      <c r="B1860">
        <v>33</v>
      </c>
      <c r="C1860" s="6">
        <f>IF('weather data'!C1860&gt;'user input'!$C$3,'user input'!$C$3,'weather data'!C1860)</f>
        <v>0.55555555555555558</v>
      </c>
      <c r="D1860" s="6">
        <f>IF('weather data'!D1860&lt;'user input'!$C$2,'user input'!$C$2,'weather data'!D1860)</f>
        <v>10</v>
      </c>
      <c r="E1860">
        <f t="shared" si="29"/>
        <v>5.2777777777777777</v>
      </c>
      <c r="F1860">
        <f>IF((E1860-'user input'!$C$2)&lt;0,0,E1860-'user input'!$C$2)</f>
        <v>0</v>
      </c>
      <c r="G1860">
        <f>IF(B1860&lt;'user input'!$C$5,0,(F1860+G1859))</f>
        <v>0</v>
      </c>
      <c r="H1860">
        <f>G1860/'user input'!$C$4</f>
        <v>0</v>
      </c>
    </row>
    <row r="1861" spans="1:8" x14ac:dyDescent="0.2">
      <c r="A1861" s="1">
        <v>42037</v>
      </c>
      <c r="B1861">
        <v>34</v>
      </c>
      <c r="C1861" s="6">
        <f>IF('weather data'!C1861&gt;'user input'!$C$3,'user input'!$C$3,'weather data'!C1861)</f>
        <v>-8.3333333333333339</v>
      </c>
      <c r="D1861" s="6">
        <f>IF('weather data'!D1861&lt;'user input'!$C$2,'user input'!$C$2,'weather data'!D1861)</f>
        <v>10</v>
      </c>
      <c r="E1861">
        <f t="shared" si="29"/>
        <v>0.83333333333333304</v>
      </c>
      <c r="F1861">
        <f>IF((E1861-'user input'!$C$2)&lt;0,0,E1861-'user input'!$C$2)</f>
        <v>0</v>
      </c>
      <c r="G1861">
        <f>IF(B1861&lt;'user input'!$C$5,0,(F1861+G1860))</f>
        <v>0</v>
      </c>
      <c r="H1861">
        <f>G1861/'user input'!$C$4</f>
        <v>0</v>
      </c>
    </row>
    <row r="1862" spans="1:8" x14ac:dyDescent="0.2">
      <c r="A1862" s="1">
        <v>42038</v>
      </c>
      <c r="B1862">
        <v>35</v>
      </c>
      <c r="C1862" s="6">
        <f>IF('weather data'!C1862&gt;'user input'!$C$3,'user input'!$C$3,'weather data'!C1862)</f>
        <v>-10</v>
      </c>
      <c r="D1862" s="6">
        <f>IF('weather data'!D1862&lt;'user input'!$C$2,'user input'!$C$2,'weather data'!D1862)</f>
        <v>10</v>
      </c>
      <c r="E1862">
        <f t="shared" si="29"/>
        <v>0</v>
      </c>
      <c r="F1862">
        <f>IF((E1862-'user input'!$C$2)&lt;0,0,E1862-'user input'!$C$2)</f>
        <v>0</v>
      </c>
      <c r="G1862">
        <f>IF(B1862&lt;'user input'!$C$5,0,(F1862+G1861))</f>
        <v>0</v>
      </c>
      <c r="H1862">
        <f>G1862/'user input'!$C$4</f>
        <v>0</v>
      </c>
    </row>
    <row r="1863" spans="1:8" x14ac:dyDescent="0.2">
      <c r="A1863" s="1">
        <v>42039</v>
      </c>
      <c r="B1863">
        <v>36</v>
      </c>
      <c r="C1863" s="6">
        <f>IF('weather data'!C1863&gt;'user input'!$C$3,'user input'!$C$3,'weather data'!C1863)</f>
        <v>-8.3333333333333339</v>
      </c>
      <c r="D1863" s="6">
        <f>IF('weather data'!D1863&lt;'user input'!$C$2,'user input'!$C$2,'weather data'!D1863)</f>
        <v>10</v>
      </c>
      <c r="E1863">
        <f t="shared" si="29"/>
        <v>0.83333333333333304</v>
      </c>
      <c r="F1863">
        <f>IF((E1863-'user input'!$C$2)&lt;0,0,E1863-'user input'!$C$2)</f>
        <v>0</v>
      </c>
      <c r="G1863">
        <f>IF(B1863&lt;'user input'!$C$5,0,(F1863+G1862))</f>
        <v>0</v>
      </c>
      <c r="H1863">
        <f>G1863/'user input'!$C$4</f>
        <v>0</v>
      </c>
    </row>
    <row r="1864" spans="1:8" x14ac:dyDescent="0.2">
      <c r="A1864" s="1">
        <v>42040</v>
      </c>
      <c r="B1864">
        <v>37</v>
      </c>
      <c r="C1864" s="6">
        <f>IF('weather data'!C1864&gt;'user input'!$C$3,'user input'!$C$3,'weather data'!C1864)</f>
        <v>-7.7777777777777777</v>
      </c>
      <c r="D1864" s="6">
        <f>IF('weather data'!D1864&lt;'user input'!$C$2,'user input'!$C$2,'weather data'!D1864)</f>
        <v>10</v>
      </c>
      <c r="E1864">
        <f t="shared" si="29"/>
        <v>1.1111111111111112</v>
      </c>
      <c r="F1864">
        <f>IF((E1864-'user input'!$C$2)&lt;0,0,E1864-'user input'!$C$2)</f>
        <v>0</v>
      </c>
      <c r="G1864">
        <f>IF(B1864&lt;'user input'!$C$5,0,(F1864+G1863))</f>
        <v>0</v>
      </c>
      <c r="H1864">
        <f>G1864/'user input'!$C$4</f>
        <v>0</v>
      </c>
    </row>
    <row r="1865" spans="1:8" x14ac:dyDescent="0.2">
      <c r="A1865" s="1">
        <v>42041</v>
      </c>
      <c r="B1865">
        <v>38</v>
      </c>
      <c r="C1865" s="6">
        <f>IF('weather data'!C1865&gt;'user input'!$C$3,'user input'!$C$3,'weather data'!C1865)</f>
        <v>-10</v>
      </c>
      <c r="D1865" s="6">
        <f>IF('weather data'!D1865&lt;'user input'!$C$2,'user input'!$C$2,'weather data'!D1865)</f>
        <v>10</v>
      </c>
      <c r="E1865">
        <f t="shared" si="29"/>
        <v>0</v>
      </c>
      <c r="F1865">
        <f>IF((E1865-'user input'!$C$2)&lt;0,0,E1865-'user input'!$C$2)</f>
        <v>0</v>
      </c>
      <c r="G1865">
        <f>IF(B1865&lt;'user input'!$C$5,0,(F1865+G1864))</f>
        <v>0</v>
      </c>
      <c r="H1865">
        <f>G1865/'user input'!$C$4</f>
        <v>0</v>
      </c>
    </row>
    <row r="1866" spans="1:8" x14ac:dyDescent="0.2">
      <c r="A1866" s="1">
        <v>42042</v>
      </c>
      <c r="B1866">
        <v>39</v>
      </c>
      <c r="C1866" s="6">
        <f>IF('weather data'!C1866&gt;'user input'!$C$3,'user input'!$C$3,'weather data'!C1866)</f>
        <v>-1.1111111111111112</v>
      </c>
      <c r="D1866" s="6">
        <f>IF('weather data'!D1866&lt;'user input'!$C$2,'user input'!$C$2,'weather data'!D1866)</f>
        <v>10</v>
      </c>
      <c r="E1866">
        <f t="shared" si="29"/>
        <v>4.4444444444444446</v>
      </c>
      <c r="F1866">
        <f>IF((E1866-'user input'!$C$2)&lt;0,0,E1866-'user input'!$C$2)</f>
        <v>0</v>
      </c>
      <c r="G1866">
        <f>IF(B1866&lt;'user input'!$C$5,0,(F1866+G1865))</f>
        <v>0</v>
      </c>
      <c r="H1866">
        <f>G1866/'user input'!$C$4</f>
        <v>0</v>
      </c>
    </row>
    <row r="1867" spans="1:8" x14ac:dyDescent="0.2">
      <c r="A1867" s="1">
        <v>42043</v>
      </c>
      <c r="B1867">
        <v>40</v>
      </c>
      <c r="C1867" s="6">
        <f>IF('weather data'!C1867&gt;'user input'!$C$3,'user input'!$C$3,'weather data'!C1867)</f>
        <v>3.8888888888888888</v>
      </c>
      <c r="D1867" s="6">
        <f>IF('weather data'!D1867&lt;'user input'!$C$2,'user input'!$C$2,'weather data'!D1867)</f>
        <v>10</v>
      </c>
      <c r="E1867">
        <f t="shared" si="29"/>
        <v>6.9444444444444446</v>
      </c>
      <c r="F1867">
        <f>IF((E1867-'user input'!$C$2)&lt;0,0,E1867-'user input'!$C$2)</f>
        <v>0</v>
      </c>
      <c r="G1867">
        <f>IF(B1867&lt;'user input'!$C$5,0,(F1867+G1866))</f>
        <v>0</v>
      </c>
      <c r="H1867">
        <f>G1867/'user input'!$C$4</f>
        <v>0</v>
      </c>
    </row>
    <row r="1868" spans="1:8" x14ac:dyDescent="0.2">
      <c r="A1868" s="1">
        <v>42044</v>
      </c>
      <c r="B1868">
        <v>41</v>
      </c>
      <c r="C1868" s="6">
        <f>IF('weather data'!C1868&gt;'user input'!$C$3,'user input'!$C$3,'weather data'!C1868)</f>
        <v>3.333333333333333</v>
      </c>
      <c r="D1868" s="6">
        <f>IF('weather data'!D1868&lt;'user input'!$C$2,'user input'!$C$2,'weather data'!D1868)</f>
        <v>10</v>
      </c>
      <c r="E1868">
        <f t="shared" si="29"/>
        <v>6.6666666666666661</v>
      </c>
      <c r="F1868">
        <f>IF((E1868-'user input'!$C$2)&lt;0,0,E1868-'user input'!$C$2)</f>
        <v>0</v>
      </c>
      <c r="G1868">
        <f>IF(B1868&lt;'user input'!$C$5,0,(F1868+G1867))</f>
        <v>0</v>
      </c>
      <c r="H1868">
        <f>G1868/'user input'!$C$4</f>
        <v>0</v>
      </c>
    </row>
    <row r="1869" spans="1:8" x14ac:dyDescent="0.2">
      <c r="A1869" s="1">
        <v>42045</v>
      </c>
      <c r="B1869">
        <v>42</v>
      </c>
      <c r="C1869" s="6">
        <f>IF('weather data'!C1869&gt;'user input'!$C$3,'user input'!$C$3,'weather data'!C1869)</f>
        <v>-1.6666666666666665</v>
      </c>
      <c r="D1869" s="6">
        <f>IF('weather data'!D1869&lt;'user input'!$C$2,'user input'!$C$2,'weather data'!D1869)</f>
        <v>10</v>
      </c>
      <c r="E1869">
        <f t="shared" si="29"/>
        <v>4.166666666666667</v>
      </c>
      <c r="F1869">
        <f>IF((E1869-'user input'!$C$2)&lt;0,0,E1869-'user input'!$C$2)</f>
        <v>0</v>
      </c>
      <c r="G1869">
        <f>IF(B1869&lt;'user input'!$C$5,0,(F1869+G1868))</f>
        <v>0</v>
      </c>
      <c r="H1869">
        <f>G1869/'user input'!$C$4</f>
        <v>0</v>
      </c>
    </row>
    <row r="1870" spans="1:8" x14ac:dyDescent="0.2">
      <c r="A1870" s="1">
        <v>42046</v>
      </c>
      <c r="B1870">
        <v>43</v>
      </c>
      <c r="C1870" s="6">
        <f>IF('weather data'!C1870&gt;'user input'!$C$3,'user input'!$C$3,'weather data'!C1870)</f>
        <v>0</v>
      </c>
      <c r="D1870" s="6">
        <f>IF('weather data'!D1870&lt;'user input'!$C$2,'user input'!$C$2,'weather data'!D1870)</f>
        <v>10</v>
      </c>
      <c r="E1870">
        <f t="shared" si="29"/>
        <v>5</v>
      </c>
      <c r="F1870">
        <f>IF((E1870-'user input'!$C$2)&lt;0,0,E1870-'user input'!$C$2)</f>
        <v>0</v>
      </c>
      <c r="G1870">
        <f>IF(B1870&lt;'user input'!$C$5,0,(F1870+G1869))</f>
        <v>0</v>
      </c>
      <c r="H1870">
        <f>G1870/'user input'!$C$4</f>
        <v>0</v>
      </c>
    </row>
    <row r="1871" spans="1:8" x14ac:dyDescent="0.2">
      <c r="A1871" s="1">
        <v>42047</v>
      </c>
      <c r="B1871">
        <v>44</v>
      </c>
      <c r="C1871" s="6">
        <f>IF('weather data'!C1871&gt;'user input'!$C$3,'user input'!$C$3,'weather data'!C1871)</f>
        <v>0</v>
      </c>
      <c r="D1871" s="6">
        <f>IF('weather data'!D1871&lt;'user input'!$C$2,'user input'!$C$2,'weather data'!D1871)</f>
        <v>10</v>
      </c>
      <c r="E1871">
        <f t="shared" si="29"/>
        <v>5</v>
      </c>
      <c r="F1871">
        <f>IF((E1871-'user input'!$C$2)&lt;0,0,E1871-'user input'!$C$2)</f>
        <v>0</v>
      </c>
      <c r="G1871">
        <f>IF(B1871&lt;'user input'!$C$5,0,(F1871+G1870))</f>
        <v>0</v>
      </c>
      <c r="H1871">
        <f>G1871/'user input'!$C$4</f>
        <v>0</v>
      </c>
    </row>
    <row r="1872" spans="1:8" x14ac:dyDescent="0.2">
      <c r="A1872" s="1">
        <v>42048</v>
      </c>
      <c r="B1872">
        <v>45</v>
      </c>
      <c r="C1872" s="6">
        <f>IF('weather data'!C1872&gt;'user input'!$C$3,'user input'!$C$3,'weather data'!C1872)</f>
        <v>-11.111111111111111</v>
      </c>
      <c r="D1872" s="6">
        <f>IF('weather data'!D1872&lt;'user input'!$C$2,'user input'!$C$2,'weather data'!D1872)</f>
        <v>10</v>
      </c>
      <c r="E1872">
        <f t="shared" si="29"/>
        <v>-0.55555555555555536</v>
      </c>
      <c r="F1872">
        <f>IF((E1872-'user input'!$C$2)&lt;0,0,E1872-'user input'!$C$2)</f>
        <v>0</v>
      </c>
      <c r="G1872">
        <f>IF(B1872&lt;'user input'!$C$5,0,(F1872+G1871))</f>
        <v>0</v>
      </c>
      <c r="H1872">
        <f>G1872/'user input'!$C$4</f>
        <v>0</v>
      </c>
    </row>
    <row r="1873" spans="1:8" x14ac:dyDescent="0.2">
      <c r="A1873" s="1">
        <v>42049</v>
      </c>
      <c r="B1873">
        <v>46</v>
      </c>
      <c r="C1873" s="6">
        <f>IF('weather data'!C1873&gt;'user input'!$C$3,'user input'!$C$3,'weather data'!C1873)</f>
        <v>-2.7777777777777777</v>
      </c>
      <c r="D1873" s="6">
        <f>IF('weather data'!D1873&lt;'user input'!$C$2,'user input'!$C$2,'weather data'!D1873)</f>
        <v>10</v>
      </c>
      <c r="E1873">
        <f t="shared" si="29"/>
        <v>3.6111111111111112</v>
      </c>
      <c r="F1873">
        <f>IF((E1873-'user input'!$C$2)&lt;0,0,E1873-'user input'!$C$2)</f>
        <v>0</v>
      </c>
      <c r="G1873">
        <f>IF(B1873&lt;'user input'!$C$5,0,(F1873+G1872))</f>
        <v>0</v>
      </c>
      <c r="H1873">
        <f>G1873/'user input'!$C$4</f>
        <v>0</v>
      </c>
    </row>
    <row r="1874" spans="1:8" x14ac:dyDescent="0.2">
      <c r="A1874" s="1">
        <v>42050</v>
      </c>
      <c r="B1874">
        <v>47</v>
      </c>
      <c r="C1874" s="6">
        <f>IF('weather data'!C1874&gt;'user input'!$C$3,'user input'!$C$3,'weather data'!C1874)</f>
        <v>-14.444444444444445</v>
      </c>
      <c r="D1874" s="6">
        <f>IF('weather data'!D1874&lt;'user input'!$C$2,'user input'!$C$2,'weather data'!D1874)</f>
        <v>10</v>
      </c>
      <c r="E1874">
        <f t="shared" ref="E1874:E1937" si="30">(C1874+D1874)/2</f>
        <v>-2.2222222222222223</v>
      </c>
      <c r="F1874">
        <f>IF((E1874-'user input'!$C$2)&lt;0,0,E1874-'user input'!$C$2)</f>
        <v>0</v>
      </c>
      <c r="G1874">
        <f>IF(B1874&lt;'user input'!$C$5,0,(F1874+G1873))</f>
        <v>0</v>
      </c>
      <c r="H1874">
        <f>G1874/'user input'!$C$4</f>
        <v>0</v>
      </c>
    </row>
    <row r="1875" spans="1:8" x14ac:dyDescent="0.2">
      <c r="A1875" s="1">
        <v>42051</v>
      </c>
      <c r="B1875">
        <v>48</v>
      </c>
      <c r="C1875" s="6">
        <f>IF('weather data'!C1875&gt;'user input'!$C$3,'user input'!$C$3,'weather data'!C1875)</f>
        <v>-11.666666666666668</v>
      </c>
      <c r="D1875" s="6">
        <f>IF('weather data'!D1875&lt;'user input'!$C$2,'user input'!$C$2,'weather data'!D1875)</f>
        <v>10</v>
      </c>
      <c r="E1875">
        <f t="shared" si="30"/>
        <v>-0.83333333333333393</v>
      </c>
      <c r="F1875">
        <f>IF((E1875-'user input'!$C$2)&lt;0,0,E1875-'user input'!$C$2)</f>
        <v>0</v>
      </c>
      <c r="G1875">
        <f>IF(B1875&lt;'user input'!$C$5,0,(F1875+G1874))</f>
        <v>0</v>
      </c>
      <c r="H1875">
        <f>G1875/'user input'!$C$4</f>
        <v>0</v>
      </c>
    </row>
    <row r="1876" spans="1:8" x14ac:dyDescent="0.2">
      <c r="A1876" s="1">
        <v>42052</v>
      </c>
      <c r="B1876">
        <v>49</v>
      </c>
      <c r="C1876" s="6">
        <f>IF('weather data'!C1876&gt;'user input'!$C$3,'user input'!$C$3,'weather data'!C1876)</f>
        <v>-8.3333333333333339</v>
      </c>
      <c r="D1876" s="6">
        <f>IF('weather data'!D1876&lt;'user input'!$C$2,'user input'!$C$2,'weather data'!D1876)</f>
        <v>10</v>
      </c>
      <c r="E1876">
        <f t="shared" si="30"/>
        <v>0.83333333333333304</v>
      </c>
      <c r="F1876">
        <f>IF((E1876-'user input'!$C$2)&lt;0,0,E1876-'user input'!$C$2)</f>
        <v>0</v>
      </c>
      <c r="G1876">
        <f>IF(B1876&lt;'user input'!$C$5,0,(F1876+G1875))</f>
        <v>0</v>
      </c>
      <c r="H1876">
        <f>G1876/'user input'!$C$4</f>
        <v>0</v>
      </c>
    </row>
    <row r="1877" spans="1:8" x14ac:dyDescent="0.2">
      <c r="A1877" s="1">
        <v>42053</v>
      </c>
      <c r="B1877">
        <v>50</v>
      </c>
      <c r="C1877" s="6">
        <f>IF('weather data'!C1877&gt;'user input'!$C$3,'user input'!$C$3,'weather data'!C1877)</f>
        <v>-9.4444444444444446</v>
      </c>
      <c r="D1877" s="6">
        <f>IF('weather data'!D1877&lt;'user input'!$C$2,'user input'!$C$2,'weather data'!D1877)</f>
        <v>10</v>
      </c>
      <c r="E1877">
        <f t="shared" si="30"/>
        <v>0.27777777777777768</v>
      </c>
      <c r="F1877">
        <f>IF((E1877-'user input'!$C$2)&lt;0,0,E1877-'user input'!$C$2)</f>
        <v>0</v>
      </c>
      <c r="G1877">
        <f>IF(B1877&lt;'user input'!$C$5,0,(F1877+G1876))</f>
        <v>0</v>
      </c>
      <c r="H1877">
        <f>G1877/'user input'!$C$4</f>
        <v>0</v>
      </c>
    </row>
    <row r="1878" spans="1:8" x14ac:dyDescent="0.2">
      <c r="A1878" s="1">
        <v>42054</v>
      </c>
      <c r="B1878">
        <v>51</v>
      </c>
      <c r="C1878" s="6">
        <f>IF('weather data'!C1878&gt;'user input'!$C$3,'user input'!$C$3,'weather data'!C1878)</f>
        <v>-16.666666666666668</v>
      </c>
      <c r="D1878" s="6">
        <f>IF('weather data'!D1878&lt;'user input'!$C$2,'user input'!$C$2,'weather data'!D1878)</f>
        <v>10</v>
      </c>
      <c r="E1878">
        <f t="shared" si="30"/>
        <v>-3.3333333333333339</v>
      </c>
      <c r="F1878">
        <f>IF((E1878-'user input'!$C$2)&lt;0,0,E1878-'user input'!$C$2)</f>
        <v>0</v>
      </c>
      <c r="G1878">
        <f>IF(B1878&lt;'user input'!$C$5,0,(F1878+G1877))</f>
        <v>0</v>
      </c>
      <c r="H1878">
        <f>G1878/'user input'!$C$4</f>
        <v>0</v>
      </c>
    </row>
    <row r="1879" spans="1:8" x14ac:dyDescent="0.2">
      <c r="A1879" s="1">
        <v>42055</v>
      </c>
      <c r="B1879">
        <v>52</v>
      </c>
      <c r="C1879" s="6">
        <f>IF('weather data'!C1879&gt;'user input'!$C$3,'user input'!$C$3,'weather data'!C1879)</f>
        <v>-15</v>
      </c>
      <c r="D1879" s="6">
        <f>IF('weather data'!D1879&lt;'user input'!$C$2,'user input'!$C$2,'weather data'!D1879)</f>
        <v>10</v>
      </c>
      <c r="E1879">
        <f t="shared" si="30"/>
        <v>-2.5</v>
      </c>
      <c r="F1879">
        <f>IF((E1879-'user input'!$C$2)&lt;0,0,E1879-'user input'!$C$2)</f>
        <v>0</v>
      </c>
      <c r="G1879">
        <f>IF(B1879&lt;'user input'!$C$5,0,(F1879+G1878))</f>
        <v>0</v>
      </c>
      <c r="H1879">
        <f>G1879/'user input'!$C$4</f>
        <v>0</v>
      </c>
    </row>
    <row r="1880" spans="1:8" x14ac:dyDescent="0.2">
      <c r="A1880" s="1">
        <v>42056</v>
      </c>
      <c r="B1880">
        <v>53</v>
      </c>
      <c r="C1880" s="6">
        <f>IF('weather data'!C1880&gt;'user input'!$C$3,'user input'!$C$3,'weather data'!C1880)</f>
        <v>-5</v>
      </c>
      <c r="D1880" s="6">
        <f>IF('weather data'!D1880&lt;'user input'!$C$2,'user input'!$C$2,'weather data'!D1880)</f>
        <v>10</v>
      </c>
      <c r="E1880">
        <f t="shared" si="30"/>
        <v>2.5</v>
      </c>
      <c r="F1880">
        <f>IF((E1880-'user input'!$C$2)&lt;0,0,E1880-'user input'!$C$2)</f>
        <v>0</v>
      </c>
      <c r="G1880">
        <f>IF(B1880&lt;'user input'!$C$5,0,(F1880+G1879))</f>
        <v>0</v>
      </c>
      <c r="H1880">
        <f>G1880/'user input'!$C$4</f>
        <v>0</v>
      </c>
    </row>
    <row r="1881" spans="1:8" x14ac:dyDescent="0.2">
      <c r="A1881" s="1">
        <v>42057</v>
      </c>
      <c r="B1881">
        <v>54</v>
      </c>
      <c r="C1881" s="6">
        <f>IF('weather data'!C1881&gt;'user input'!$C$3,'user input'!$C$3,'weather data'!C1881)</f>
        <v>-1.1111111111111112</v>
      </c>
      <c r="D1881" s="6">
        <f>IF('weather data'!D1881&lt;'user input'!$C$2,'user input'!$C$2,'weather data'!D1881)</f>
        <v>10</v>
      </c>
      <c r="E1881">
        <f t="shared" si="30"/>
        <v>4.4444444444444446</v>
      </c>
      <c r="F1881">
        <f>IF((E1881-'user input'!$C$2)&lt;0,0,E1881-'user input'!$C$2)</f>
        <v>0</v>
      </c>
      <c r="G1881">
        <f>IF(B1881&lt;'user input'!$C$5,0,(F1881+G1880))</f>
        <v>0</v>
      </c>
      <c r="H1881">
        <f>G1881/'user input'!$C$4</f>
        <v>0</v>
      </c>
    </row>
    <row r="1882" spans="1:8" x14ac:dyDescent="0.2">
      <c r="A1882" s="1">
        <v>42058</v>
      </c>
      <c r="B1882">
        <v>55</v>
      </c>
      <c r="C1882" s="6">
        <f>IF('weather data'!C1882&gt;'user input'!$C$3,'user input'!$C$3,'weather data'!C1882)</f>
        <v>-13.333333333333332</v>
      </c>
      <c r="D1882" s="6">
        <f>IF('weather data'!D1882&lt;'user input'!$C$2,'user input'!$C$2,'weather data'!D1882)</f>
        <v>10</v>
      </c>
      <c r="E1882">
        <f t="shared" si="30"/>
        <v>-1.6666666666666661</v>
      </c>
      <c r="F1882">
        <f>IF((E1882-'user input'!$C$2)&lt;0,0,E1882-'user input'!$C$2)</f>
        <v>0</v>
      </c>
      <c r="G1882">
        <f>IF(B1882&lt;'user input'!$C$5,0,(F1882+G1881))</f>
        <v>0</v>
      </c>
      <c r="H1882">
        <f>G1882/'user input'!$C$4</f>
        <v>0</v>
      </c>
    </row>
    <row r="1883" spans="1:8" x14ac:dyDescent="0.2">
      <c r="A1883" s="1">
        <v>42059</v>
      </c>
      <c r="B1883">
        <v>56</v>
      </c>
      <c r="C1883" s="6">
        <f>IF('weather data'!C1883&gt;'user input'!$C$3,'user input'!$C$3,'weather data'!C1883)</f>
        <v>-10</v>
      </c>
      <c r="D1883" s="6">
        <f>IF('weather data'!D1883&lt;'user input'!$C$2,'user input'!$C$2,'weather data'!D1883)</f>
        <v>10</v>
      </c>
      <c r="E1883">
        <f t="shared" si="30"/>
        <v>0</v>
      </c>
      <c r="F1883">
        <f>IF((E1883-'user input'!$C$2)&lt;0,0,E1883-'user input'!$C$2)</f>
        <v>0</v>
      </c>
      <c r="G1883">
        <f>IF(B1883&lt;'user input'!$C$5,0,(F1883+G1882))</f>
        <v>0</v>
      </c>
      <c r="H1883">
        <f>G1883/'user input'!$C$4</f>
        <v>0</v>
      </c>
    </row>
    <row r="1884" spans="1:8" x14ac:dyDescent="0.2">
      <c r="A1884" s="1">
        <v>42060</v>
      </c>
      <c r="B1884">
        <v>57</v>
      </c>
      <c r="C1884" s="6">
        <f>IF('weather data'!C1884&gt;'user input'!$C$3,'user input'!$C$3,'weather data'!C1884)</f>
        <v>1.1111111111111112</v>
      </c>
      <c r="D1884" s="6">
        <f>IF('weather data'!D1884&lt;'user input'!$C$2,'user input'!$C$2,'weather data'!D1884)</f>
        <v>10</v>
      </c>
      <c r="E1884">
        <f t="shared" si="30"/>
        <v>5.5555555555555554</v>
      </c>
      <c r="F1884">
        <f>IF((E1884-'user input'!$C$2)&lt;0,0,E1884-'user input'!$C$2)</f>
        <v>0</v>
      </c>
      <c r="G1884">
        <f>IF(B1884&lt;'user input'!$C$5,0,(F1884+G1883))</f>
        <v>0</v>
      </c>
      <c r="H1884">
        <f>G1884/'user input'!$C$4</f>
        <v>0</v>
      </c>
    </row>
    <row r="1885" spans="1:8" x14ac:dyDescent="0.2">
      <c r="A1885" s="1">
        <v>42061</v>
      </c>
      <c r="B1885">
        <v>58</v>
      </c>
      <c r="C1885" s="6">
        <f>IF('weather data'!C1885&gt;'user input'!$C$3,'user input'!$C$3,'weather data'!C1885)</f>
        <v>-9.4444444444444446</v>
      </c>
      <c r="D1885" s="6">
        <f>IF('weather data'!D1885&lt;'user input'!$C$2,'user input'!$C$2,'weather data'!D1885)</f>
        <v>10</v>
      </c>
      <c r="E1885">
        <f t="shared" si="30"/>
        <v>0.27777777777777768</v>
      </c>
      <c r="F1885">
        <f>IF((E1885-'user input'!$C$2)&lt;0,0,E1885-'user input'!$C$2)</f>
        <v>0</v>
      </c>
      <c r="G1885">
        <f>IF(B1885&lt;'user input'!$C$5,0,(F1885+G1884))</f>
        <v>0</v>
      </c>
      <c r="H1885">
        <f>G1885/'user input'!$C$4</f>
        <v>0</v>
      </c>
    </row>
    <row r="1886" spans="1:8" x14ac:dyDescent="0.2">
      <c r="A1886" s="1">
        <v>42062</v>
      </c>
      <c r="B1886">
        <v>59</v>
      </c>
      <c r="C1886" s="6">
        <f>IF('weather data'!C1886&gt;'user input'!$C$3,'user input'!$C$3,'weather data'!C1886)</f>
        <v>-10.555555555555555</v>
      </c>
      <c r="D1886" s="6">
        <f>IF('weather data'!D1886&lt;'user input'!$C$2,'user input'!$C$2,'weather data'!D1886)</f>
        <v>10</v>
      </c>
      <c r="E1886">
        <f t="shared" si="30"/>
        <v>-0.27777777777777768</v>
      </c>
      <c r="F1886">
        <f>IF((E1886-'user input'!$C$2)&lt;0,0,E1886-'user input'!$C$2)</f>
        <v>0</v>
      </c>
      <c r="G1886">
        <f>IF(B1886&lt;'user input'!$C$5,0,(F1886+G1885))</f>
        <v>0</v>
      </c>
      <c r="H1886">
        <f>G1886/'user input'!$C$4</f>
        <v>0</v>
      </c>
    </row>
    <row r="1887" spans="1:8" x14ac:dyDescent="0.2">
      <c r="A1887" s="1">
        <v>42063</v>
      </c>
      <c r="B1887">
        <v>60</v>
      </c>
      <c r="C1887" s="6">
        <f>IF('weather data'!C1887&gt;'user input'!$C$3,'user input'!$C$3,'weather data'!C1887)</f>
        <v>-8.8888888888888893</v>
      </c>
      <c r="D1887" s="6">
        <f>IF('weather data'!D1887&lt;'user input'!$C$2,'user input'!$C$2,'weather data'!D1887)</f>
        <v>10</v>
      </c>
      <c r="E1887">
        <f t="shared" si="30"/>
        <v>0.55555555555555536</v>
      </c>
      <c r="F1887">
        <f>IF((E1887-'user input'!$C$2)&lt;0,0,E1887-'user input'!$C$2)</f>
        <v>0</v>
      </c>
      <c r="G1887">
        <f>IF(B1887&lt;'user input'!$C$5,0,(F1887+G1886))</f>
        <v>0</v>
      </c>
      <c r="H1887">
        <f>G1887/'user input'!$C$4</f>
        <v>0</v>
      </c>
    </row>
    <row r="1888" spans="1:8" x14ac:dyDescent="0.2">
      <c r="A1888" s="1">
        <v>42064</v>
      </c>
      <c r="B1888">
        <v>61</v>
      </c>
      <c r="C1888" s="6">
        <f>IF('weather data'!C1888&gt;'user input'!$C$3,'user input'!$C$3,'weather data'!C1888)</f>
        <v>-5.5555555555555554</v>
      </c>
      <c r="D1888" s="6">
        <f>IF('weather data'!D1888&lt;'user input'!$C$2,'user input'!$C$2,'weather data'!D1888)</f>
        <v>10</v>
      </c>
      <c r="E1888">
        <f t="shared" si="30"/>
        <v>2.2222222222222223</v>
      </c>
      <c r="F1888">
        <f>IF((E1888-'user input'!$C$2)&lt;0,0,E1888-'user input'!$C$2)</f>
        <v>0</v>
      </c>
      <c r="G1888">
        <f>IF(B1888&lt;'user input'!$C$5,0,(F1888+G1887))</f>
        <v>0</v>
      </c>
      <c r="H1888">
        <f>G1888/'user input'!$C$4</f>
        <v>0</v>
      </c>
    </row>
    <row r="1889" spans="1:8" x14ac:dyDescent="0.2">
      <c r="A1889" s="1">
        <v>42065</v>
      </c>
      <c r="B1889">
        <v>62</v>
      </c>
      <c r="C1889" s="6">
        <f>IF('weather data'!C1889&gt;'user input'!$C$3,'user input'!$C$3,'weather data'!C1889)</f>
        <v>-2.2222222222222223</v>
      </c>
      <c r="D1889" s="6">
        <f>IF('weather data'!D1889&lt;'user input'!$C$2,'user input'!$C$2,'weather data'!D1889)</f>
        <v>10</v>
      </c>
      <c r="E1889">
        <f t="shared" si="30"/>
        <v>3.8888888888888888</v>
      </c>
      <c r="F1889">
        <f>IF((E1889-'user input'!$C$2)&lt;0,0,E1889-'user input'!$C$2)</f>
        <v>0</v>
      </c>
      <c r="G1889">
        <f>IF(B1889&lt;'user input'!$C$5,0,(F1889+G1888))</f>
        <v>0</v>
      </c>
      <c r="H1889">
        <f>G1889/'user input'!$C$4</f>
        <v>0</v>
      </c>
    </row>
    <row r="1890" spans="1:8" x14ac:dyDescent="0.2">
      <c r="A1890" s="1">
        <v>42066</v>
      </c>
      <c r="B1890">
        <v>63</v>
      </c>
      <c r="C1890" s="6">
        <f>IF('weather data'!C1890&gt;'user input'!$C$3,'user input'!$C$3,'weather data'!C1890)</f>
        <v>-2.2222222222222223</v>
      </c>
      <c r="D1890" s="6">
        <f>IF('weather data'!D1890&lt;'user input'!$C$2,'user input'!$C$2,'weather data'!D1890)</f>
        <v>10</v>
      </c>
      <c r="E1890">
        <f t="shared" si="30"/>
        <v>3.8888888888888888</v>
      </c>
      <c r="F1890">
        <f>IF((E1890-'user input'!$C$2)&lt;0,0,E1890-'user input'!$C$2)</f>
        <v>0</v>
      </c>
      <c r="G1890">
        <f>IF(B1890&lt;'user input'!$C$5,0,(F1890+G1889))</f>
        <v>0</v>
      </c>
      <c r="H1890">
        <f>G1890/'user input'!$C$4</f>
        <v>0</v>
      </c>
    </row>
    <row r="1891" spans="1:8" x14ac:dyDescent="0.2">
      <c r="A1891" s="1">
        <v>42067</v>
      </c>
      <c r="B1891">
        <v>64</v>
      </c>
      <c r="C1891" s="6">
        <f>IF('weather data'!C1891&gt;'user input'!$C$3,'user input'!$C$3,'weather data'!C1891)</f>
        <v>-1.1111111111111112</v>
      </c>
      <c r="D1891" s="6">
        <f>IF('weather data'!D1891&lt;'user input'!$C$2,'user input'!$C$2,'weather data'!D1891)</f>
        <v>10</v>
      </c>
      <c r="E1891">
        <f t="shared" si="30"/>
        <v>4.4444444444444446</v>
      </c>
      <c r="F1891">
        <f>IF((E1891-'user input'!$C$2)&lt;0,0,E1891-'user input'!$C$2)</f>
        <v>0</v>
      </c>
      <c r="G1891">
        <f>IF(B1891&lt;'user input'!$C$5,0,(F1891+G1890))</f>
        <v>0</v>
      </c>
      <c r="H1891">
        <f>G1891/'user input'!$C$4</f>
        <v>0</v>
      </c>
    </row>
    <row r="1892" spans="1:8" x14ac:dyDescent="0.2">
      <c r="A1892" s="1">
        <v>42068</v>
      </c>
      <c r="B1892">
        <v>65</v>
      </c>
      <c r="C1892" s="6">
        <f>IF('weather data'!C1892&gt;'user input'!$C$3,'user input'!$C$3,'weather data'!C1892)</f>
        <v>-8.3333333333333339</v>
      </c>
      <c r="D1892" s="6">
        <f>IF('weather data'!D1892&lt;'user input'!$C$2,'user input'!$C$2,'weather data'!D1892)</f>
        <v>10</v>
      </c>
      <c r="E1892">
        <f t="shared" si="30"/>
        <v>0.83333333333333304</v>
      </c>
      <c r="F1892">
        <f>IF((E1892-'user input'!$C$2)&lt;0,0,E1892-'user input'!$C$2)</f>
        <v>0</v>
      </c>
      <c r="G1892">
        <f>IF(B1892&lt;'user input'!$C$5,0,(F1892+G1891))</f>
        <v>0</v>
      </c>
      <c r="H1892">
        <f>G1892/'user input'!$C$4</f>
        <v>0</v>
      </c>
    </row>
    <row r="1893" spans="1:8" x14ac:dyDescent="0.2">
      <c r="A1893" s="1">
        <v>42069</v>
      </c>
      <c r="B1893">
        <v>66</v>
      </c>
      <c r="C1893" s="6">
        <f>IF('weather data'!C1893&gt;'user input'!$C$3,'user input'!$C$3,'weather data'!C1893)</f>
        <v>-10</v>
      </c>
      <c r="D1893" s="6">
        <f>IF('weather data'!D1893&lt;'user input'!$C$2,'user input'!$C$2,'weather data'!D1893)</f>
        <v>10</v>
      </c>
      <c r="E1893">
        <f t="shared" si="30"/>
        <v>0</v>
      </c>
      <c r="F1893">
        <f>IF((E1893-'user input'!$C$2)&lt;0,0,E1893-'user input'!$C$2)</f>
        <v>0</v>
      </c>
      <c r="G1893">
        <f>IF(B1893&lt;'user input'!$C$5,0,(F1893+G1892))</f>
        <v>0</v>
      </c>
      <c r="H1893">
        <f>G1893/'user input'!$C$4</f>
        <v>0</v>
      </c>
    </row>
    <row r="1894" spans="1:8" x14ac:dyDescent="0.2">
      <c r="A1894" s="1">
        <v>42070</v>
      </c>
      <c r="B1894">
        <v>67</v>
      </c>
      <c r="C1894" s="6">
        <f>IF('weather data'!C1894&gt;'user input'!$C$3,'user input'!$C$3,'weather data'!C1894)</f>
        <v>-1.6666666666666665</v>
      </c>
      <c r="D1894" s="6">
        <f>IF('weather data'!D1894&lt;'user input'!$C$2,'user input'!$C$2,'weather data'!D1894)</f>
        <v>10</v>
      </c>
      <c r="E1894">
        <f t="shared" si="30"/>
        <v>4.166666666666667</v>
      </c>
      <c r="F1894">
        <f>IF((E1894-'user input'!$C$2)&lt;0,0,E1894-'user input'!$C$2)</f>
        <v>0</v>
      </c>
      <c r="G1894">
        <f>IF(B1894&lt;'user input'!$C$5,0,(F1894+G1893))</f>
        <v>0</v>
      </c>
      <c r="H1894">
        <f>G1894/'user input'!$C$4</f>
        <v>0</v>
      </c>
    </row>
    <row r="1895" spans="1:8" x14ac:dyDescent="0.2">
      <c r="A1895" s="1">
        <v>42071</v>
      </c>
      <c r="B1895">
        <v>68</v>
      </c>
      <c r="C1895" s="6">
        <f>IF('weather data'!C1895&gt;'user input'!$C$3,'user input'!$C$3,'weather data'!C1895)</f>
        <v>6.6666666666666661</v>
      </c>
      <c r="D1895" s="6">
        <f>IF('weather data'!D1895&lt;'user input'!$C$2,'user input'!$C$2,'weather data'!D1895)</f>
        <v>10</v>
      </c>
      <c r="E1895">
        <f t="shared" si="30"/>
        <v>8.3333333333333321</v>
      </c>
      <c r="F1895">
        <f>IF((E1895-'user input'!$C$2)&lt;0,0,E1895-'user input'!$C$2)</f>
        <v>0</v>
      </c>
      <c r="G1895">
        <f>IF(B1895&lt;'user input'!$C$5,0,(F1895+G1894))</f>
        <v>0</v>
      </c>
      <c r="H1895">
        <f>G1895/'user input'!$C$4</f>
        <v>0</v>
      </c>
    </row>
    <row r="1896" spans="1:8" x14ac:dyDescent="0.2">
      <c r="A1896" s="1">
        <v>42072</v>
      </c>
      <c r="B1896">
        <v>69</v>
      </c>
      <c r="C1896" s="6">
        <f>IF('weather data'!C1896&gt;'user input'!$C$3,'user input'!$C$3,'weather data'!C1896)</f>
        <v>8.8888888888888893</v>
      </c>
      <c r="D1896" s="6">
        <f>IF('weather data'!D1896&lt;'user input'!$C$2,'user input'!$C$2,'weather data'!D1896)</f>
        <v>10</v>
      </c>
      <c r="E1896">
        <f t="shared" si="30"/>
        <v>9.4444444444444446</v>
      </c>
      <c r="F1896">
        <f>IF((E1896-'user input'!$C$2)&lt;0,0,E1896-'user input'!$C$2)</f>
        <v>0</v>
      </c>
      <c r="G1896">
        <f>IF(B1896&lt;'user input'!$C$5,0,(F1896+G1895))</f>
        <v>0</v>
      </c>
      <c r="H1896">
        <f>G1896/'user input'!$C$4</f>
        <v>0</v>
      </c>
    </row>
    <row r="1897" spans="1:8" x14ac:dyDescent="0.2">
      <c r="A1897" s="1">
        <v>42073</v>
      </c>
      <c r="B1897">
        <v>70</v>
      </c>
      <c r="C1897" s="6">
        <f>IF('weather data'!C1897&gt;'user input'!$C$3,'user input'!$C$3,'weather data'!C1897)</f>
        <v>11.111111111111111</v>
      </c>
      <c r="D1897" s="6">
        <f>IF('weather data'!D1897&lt;'user input'!$C$2,'user input'!$C$2,'weather data'!D1897)</f>
        <v>10</v>
      </c>
      <c r="E1897">
        <f t="shared" si="30"/>
        <v>10.555555555555555</v>
      </c>
      <c r="F1897">
        <f>IF((E1897-'user input'!$C$2)&lt;0,0,E1897-'user input'!$C$2)</f>
        <v>0.55555555555555536</v>
      </c>
      <c r="G1897">
        <f>IF(B1897&lt;'user input'!$C$5,0,(F1897+G1896))</f>
        <v>0</v>
      </c>
      <c r="H1897">
        <f>G1897/'user input'!$C$4</f>
        <v>0</v>
      </c>
    </row>
    <row r="1898" spans="1:8" x14ac:dyDescent="0.2">
      <c r="A1898" s="1">
        <v>42074</v>
      </c>
      <c r="B1898">
        <v>71</v>
      </c>
      <c r="C1898" s="6">
        <f>IF('weather data'!C1898&gt;'user input'!$C$3,'user input'!$C$3,'weather data'!C1898)</f>
        <v>13.888888888888889</v>
      </c>
      <c r="D1898" s="6">
        <f>IF('weather data'!D1898&lt;'user input'!$C$2,'user input'!$C$2,'weather data'!D1898)</f>
        <v>10</v>
      </c>
      <c r="E1898">
        <f t="shared" si="30"/>
        <v>11.944444444444445</v>
      </c>
      <c r="F1898">
        <f>IF((E1898-'user input'!$C$2)&lt;0,0,E1898-'user input'!$C$2)</f>
        <v>1.9444444444444446</v>
      </c>
      <c r="G1898">
        <f>IF(B1898&lt;'user input'!$C$5,0,(F1898+G1897))</f>
        <v>0</v>
      </c>
      <c r="H1898">
        <f>G1898/'user input'!$C$4</f>
        <v>0</v>
      </c>
    </row>
    <row r="1899" spans="1:8" x14ac:dyDescent="0.2">
      <c r="A1899" s="1">
        <v>42075</v>
      </c>
      <c r="B1899">
        <v>72</v>
      </c>
      <c r="C1899" s="6">
        <f>IF('weather data'!C1899&gt;'user input'!$C$3,'user input'!$C$3,'weather data'!C1899)</f>
        <v>13.888888888888889</v>
      </c>
      <c r="D1899" s="6">
        <f>IF('weather data'!D1899&lt;'user input'!$C$2,'user input'!$C$2,'weather data'!D1899)</f>
        <v>10</v>
      </c>
      <c r="E1899">
        <f t="shared" si="30"/>
        <v>11.944444444444445</v>
      </c>
      <c r="F1899">
        <f>IF((E1899-'user input'!$C$2)&lt;0,0,E1899-'user input'!$C$2)</f>
        <v>1.9444444444444446</v>
      </c>
      <c r="G1899">
        <f>IF(B1899&lt;'user input'!$C$5,0,(F1899+G1898))</f>
        <v>0</v>
      </c>
      <c r="H1899">
        <f>G1899/'user input'!$C$4</f>
        <v>0</v>
      </c>
    </row>
    <row r="1900" spans="1:8" x14ac:dyDescent="0.2">
      <c r="A1900" s="1">
        <v>42076</v>
      </c>
      <c r="B1900">
        <v>73</v>
      </c>
      <c r="C1900" s="6">
        <f>IF('weather data'!C1900&gt;'user input'!$C$3,'user input'!$C$3,'weather data'!C1900)</f>
        <v>14.444444444444445</v>
      </c>
      <c r="D1900" s="6">
        <f>IF('weather data'!D1900&lt;'user input'!$C$2,'user input'!$C$2,'weather data'!D1900)</f>
        <v>10</v>
      </c>
      <c r="E1900">
        <f t="shared" si="30"/>
        <v>12.222222222222221</v>
      </c>
      <c r="F1900">
        <f>IF((E1900-'user input'!$C$2)&lt;0,0,E1900-'user input'!$C$2)</f>
        <v>2.2222222222222214</v>
      </c>
      <c r="G1900">
        <f>IF(B1900&lt;'user input'!$C$5,0,(F1900+G1899))</f>
        <v>0</v>
      </c>
      <c r="H1900">
        <f>G1900/'user input'!$C$4</f>
        <v>0</v>
      </c>
    </row>
    <row r="1901" spans="1:8" x14ac:dyDescent="0.2">
      <c r="A1901" s="1">
        <v>42077</v>
      </c>
      <c r="B1901">
        <v>74</v>
      </c>
      <c r="C1901" s="6">
        <f>IF('weather data'!C1901&gt;'user input'!$C$3,'user input'!$C$3,'weather data'!C1901)</f>
        <v>20</v>
      </c>
      <c r="D1901" s="6">
        <f>IF('weather data'!D1901&lt;'user input'!$C$2,'user input'!$C$2,'weather data'!D1901)</f>
        <v>10</v>
      </c>
      <c r="E1901">
        <f t="shared" si="30"/>
        <v>15</v>
      </c>
      <c r="F1901">
        <f>IF((E1901-'user input'!$C$2)&lt;0,0,E1901-'user input'!$C$2)</f>
        <v>5</v>
      </c>
      <c r="G1901">
        <f>IF(B1901&lt;'user input'!$C$5,0,(F1901+G1900))</f>
        <v>0</v>
      </c>
      <c r="H1901">
        <f>G1901/'user input'!$C$4</f>
        <v>0</v>
      </c>
    </row>
    <row r="1902" spans="1:8" x14ac:dyDescent="0.2">
      <c r="A1902" s="1">
        <v>42078</v>
      </c>
      <c r="B1902">
        <v>75</v>
      </c>
      <c r="C1902" s="6">
        <f>IF('weather data'!C1902&gt;'user input'!$C$3,'user input'!$C$3,'weather data'!C1902)</f>
        <v>15.555555555555555</v>
      </c>
      <c r="D1902" s="6">
        <f>IF('weather data'!D1902&lt;'user input'!$C$2,'user input'!$C$2,'weather data'!D1902)</f>
        <v>10</v>
      </c>
      <c r="E1902">
        <f t="shared" si="30"/>
        <v>12.777777777777779</v>
      </c>
      <c r="F1902">
        <f>IF((E1902-'user input'!$C$2)&lt;0,0,E1902-'user input'!$C$2)</f>
        <v>2.7777777777777786</v>
      </c>
      <c r="G1902">
        <f>IF(B1902&lt;'user input'!$C$5,0,(F1902+G1901))</f>
        <v>0</v>
      </c>
      <c r="H1902">
        <f>G1902/'user input'!$C$4</f>
        <v>0</v>
      </c>
    </row>
    <row r="1903" spans="1:8" x14ac:dyDescent="0.2">
      <c r="A1903" s="1">
        <v>42079</v>
      </c>
      <c r="B1903">
        <v>76</v>
      </c>
      <c r="C1903" s="6">
        <f>IF('weather data'!C1903&gt;'user input'!$C$3,'user input'!$C$3,'weather data'!C1903)</f>
        <v>16.111111111111111</v>
      </c>
      <c r="D1903" s="6">
        <f>IF('weather data'!D1903&lt;'user input'!$C$2,'user input'!$C$2,'weather data'!D1903)</f>
        <v>10</v>
      </c>
      <c r="E1903">
        <f t="shared" si="30"/>
        <v>13.055555555555555</v>
      </c>
      <c r="F1903">
        <f>IF((E1903-'user input'!$C$2)&lt;0,0,E1903-'user input'!$C$2)</f>
        <v>3.0555555555555554</v>
      </c>
      <c r="G1903">
        <f>IF(B1903&lt;'user input'!$C$5,0,(F1903+G1902))</f>
        <v>0</v>
      </c>
      <c r="H1903">
        <f>G1903/'user input'!$C$4</f>
        <v>0</v>
      </c>
    </row>
    <row r="1904" spans="1:8" x14ac:dyDescent="0.2">
      <c r="A1904" s="1">
        <v>42080</v>
      </c>
      <c r="B1904">
        <v>77</v>
      </c>
      <c r="C1904" s="6">
        <f>IF('weather data'!C1904&gt;'user input'!$C$3,'user input'!$C$3,'weather data'!C1904)</f>
        <v>22.222222222222221</v>
      </c>
      <c r="D1904" s="6">
        <f>IF('weather data'!D1904&lt;'user input'!$C$2,'user input'!$C$2,'weather data'!D1904)</f>
        <v>10</v>
      </c>
      <c r="E1904">
        <f t="shared" si="30"/>
        <v>16.111111111111111</v>
      </c>
      <c r="F1904">
        <f>IF((E1904-'user input'!$C$2)&lt;0,0,E1904-'user input'!$C$2)</f>
        <v>6.1111111111111107</v>
      </c>
      <c r="G1904">
        <f>IF(B1904&lt;'user input'!$C$5,0,(F1904+G1903))</f>
        <v>0</v>
      </c>
      <c r="H1904">
        <f>G1904/'user input'!$C$4</f>
        <v>0</v>
      </c>
    </row>
    <row r="1905" spans="1:8" x14ac:dyDescent="0.2">
      <c r="A1905" s="1">
        <v>42081</v>
      </c>
      <c r="B1905">
        <v>78</v>
      </c>
      <c r="C1905" s="6">
        <f>IF('weather data'!C1905&gt;'user input'!$C$3,'user input'!$C$3,'weather data'!C1905)</f>
        <v>7.2222222222222223</v>
      </c>
      <c r="D1905" s="6">
        <f>IF('weather data'!D1905&lt;'user input'!$C$2,'user input'!$C$2,'weather data'!D1905)</f>
        <v>10</v>
      </c>
      <c r="E1905">
        <f t="shared" si="30"/>
        <v>8.6111111111111107</v>
      </c>
      <c r="F1905">
        <f>IF((E1905-'user input'!$C$2)&lt;0,0,E1905-'user input'!$C$2)</f>
        <v>0</v>
      </c>
      <c r="G1905">
        <f>IF(B1905&lt;'user input'!$C$5,0,(F1905+G1904))</f>
        <v>0</v>
      </c>
      <c r="H1905">
        <f>G1905/'user input'!$C$4</f>
        <v>0</v>
      </c>
    </row>
    <row r="1906" spans="1:8" x14ac:dyDescent="0.2">
      <c r="A1906" s="1">
        <v>42082</v>
      </c>
      <c r="B1906">
        <v>79</v>
      </c>
      <c r="C1906" s="6">
        <f>IF('weather data'!C1906&gt;'user input'!$C$3,'user input'!$C$3,'weather data'!C1906)</f>
        <v>10</v>
      </c>
      <c r="D1906" s="6">
        <f>IF('weather data'!D1906&lt;'user input'!$C$2,'user input'!$C$2,'weather data'!D1906)</f>
        <v>10</v>
      </c>
      <c r="E1906">
        <f t="shared" si="30"/>
        <v>10</v>
      </c>
      <c r="F1906">
        <f>IF((E1906-'user input'!$C$2)&lt;0,0,E1906-'user input'!$C$2)</f>
        <v>0</v>
      </c>
      <c r="G1906">
        <f>IF(B1906&lt;'user input'!$C$5,0,(F1906+G1905))</f>
        <v>0</v>
      </c>
      <c r="H1906">
        <f>G1906/'user input'!$C$4</f>
        <v>0</v>
      </c>
    </row>
    <row r="1907" spans="1:8" x14ac:dyDescent="0.2">
      <c r="A1907" s="1">
        <v>42083</v>
      </c>
      <c r="B1907">
        <v>80</v>
      </c>
      <c r="C1907" s="6">
        <f>IF('weather data'!C1907&gt;'user input'!$C$3,'user input'!$C$3,'weather data'!C1907)</f>
        <v>8.8888888888888893</v>
      </c>
      <c r="D1907" s="6">
        <f>IF('weather data'!D1907&lt;'user input'!$C$2,'user input'!$C$2,'weather data'!D1907)</f>
        <v>10</v>
      </c>
      <c r="E1907">
        <f t="shared" si="30"/>
        <v>9.4444444444444446</v>
      </c>
      <c r="F1907">
        <f>IF((E1907-'user input'!$C$2)&lt;0,0,E1907-'user input'!$C$2)</f>
        <v>0</v>
      </c>
      <c r="G1907">
        <f>IF(B1907&lt;'user input'!$C$5,0,(F1907+G1906))</f>
        <v>0</v>
      </c>
      <c r="H1907">
        <f>G1907/'user input'!$C$4</f>
        <v>0</v>
      </c>
    </row>
    <row r="1908" spans="1:8" x14ac:dyDescent="0.2">
      <c r="A1908" s="1">
        <v>42084</v>
      </c>
      <c r="B1908">
        <v>81</v>
      </c>
      <c r="C1908" s="6">
        <f>IF('weather data'!C1908&gt;'user input'!$C$3,'user input'!$C$3,'weather data'!C1908)</f>
        <v>15</v>
      </c>
      <c r="D1908" s="6">
        <f>IF('weather data'!D1908&lt;'user input'!$C$2,'user input'!$C$2,'weather data'!D1908)</f>
        <v>10</v>
      </c>
      <c r="E1908">
        <f t="shared" si="30"/>
        <v>12.5</v>
      </c>
      <c r="F1908">
        <f>IF((E1908-'user input'!$C$2)&lt;0,0,E1908-'user input'!$C$2)</f>
        <v>2.5</v>
      </c>
      <c r="G1908">
        <f>IF(B1908&lt;'user input'!$C$5,0,(F1908+G1907))</f>
        <v>0</v>
      </c>
      <c r="H1908">
        <f>G1908/'user input'!$C$4</f>
        <v>0</v>
      </c>
    </row>
    <row r="1909" spans="1:8" x14ac:dyDescent="0.2">
      <c r="A1909" s="1">
        <v>42085</v>
      </c>
      <c r="B1909">
        <v>82</v>
      </c>
      <c r="C1909" s="6">
        <f>IF('weather data'!C1909&gt;'user input'!$C$3,'user input'!$C$3,'weather data'!C1909)</f>
        <v>9.4444444444444446</v>
      </c>
      <c r="D1909" s="6">
        <f>IF('weather data'!D1909&lt;'user input'!$C$2,'user input'!$C$2,'weather data'!D1909)</f>
        <v>10</v>
      </c>
      <c r="E1909">
        <f t="shared" si="30"/>
        <v>9.7222222222222214</v>
      </c>
      <c r="F1909">
        <f>IF((E1909-'user input'!$C$2)&lt;0,0,E1909-'user input'!$C$2)</f>
        <v>0</v>
      </c>
      <c r="G1909">
        <f>IF(B1909&lt;'user input'!$C$5,0,(F1909+G1908))</f>
        <v>0</v>
      </c>
      <c r="H1909">
        <f>G1909/'user input'!$C$4</f>
        <v>0</v>
      </c>
    </row>
    <row r="1910" spans="1:8" x14ac:dyDescent="0.2">
      <c r="A1910" s="1">
        <v>42086</v>
      </c>
      <c r="B1910">
        <v>83</v>
      </c>
      <c r="C1910" s="6">
        <f>IF('weather data'!C1910&gt;'user input'!$C$3,'user input'!$C$3,'weather data'!C1910)</f>
        <v>1.6666666666666665</v>
      </c>
      <c r="D1910" s="6">
        <f>IF('weather data'!D1910&lt;'user input'!$C$2,'user input'!$C$2,'weather data'!D1910)</f>
        <v>10</v>
      </c>
      <c r="E1910">
        <f t="shared" si="30"/>
        <v>5.833333333333333</v>
      </c>
      <c r="F1910">
        <f>IF((E1910-'user input'!$C$2)&lt;0,0,E1910-'user input'!$C$2)</f>
        <v>0</v>
      </c>
      <c r="G1910">
        <f>IF(B1910&lt;'user input'!$C$5,0,(F1910+G1909))</f>
        <v>0</v>
      </c>
      <c r="H1910">
        <f>G1910/'user input'!$C$4</f>
        <v>0</v>
      </c>
    </row>
    <row r="1911" spans="1:8" x14ac:dyDescent="0.2">
      <c r="A1911" s="1">
        <v>42087</v>
      </c>
      <c r="B1911">
        <v>84</v>
      </c>
      <c r="C1911" s="6">
        <f>IF('weather data'!C1911&gt;'user input'!$C$3,'user input'!$C$3,'weather data'!C1911)</f>
        <v>1.1111111111111112</v>
      </c>
      <c r="D1911" s="6">
        <f>IF('weather data'!D1911&lt;'user input'!$C$2,'user input'!$C$2,'weather data'!D1911)</f>
        <v>10</v>
      </c>
      <c r="E1911">
        <f t="shared" si="30"/>
        <v>5.5555555555555554</v>
      </c>
      <c r="F1911">
        <f>IF((E1911-'user input'!$C$2)&lt;0,0,E1911-'user input'!$C$2)</f>
        <v>0</v>
      </c>
      <c r="G1911">
        <f>IF(B1911&lt;'user input'!$C$5,0,(F1911+G1910))</f>
        <v>0</v>
      </c>
      <c r="H1911">
        <f>G1911/'user input'!$C$4</f>
        <v>0</v>
      </c>
    </row>
    <row r="1912" spans="1:8" x14ac:dyDescent="0.2">
      <c r="A1912" s="1">
        <v>42088</v>
      </c>
      <c r="B1912">
        <v>85</v>
      </c>
      <c r="C1912" s="6">
        <f>IF('weather data'!C1912&gt;'user input'!$C$3,'user input'!$C$3,'weather data'!C1912)</f>
        <v>4.4444444444444446</v>
      </c>
      <c r="D1912" s="6">
        <f>IF('weather data'!D1912&lt;'user input'!$C$2,'user input'!$C$2,'weather data'!D1912)</f>
        <v>10</v>
      </c>
      <c r="E1912">
        <f t="shared" si="30"/>
        <v>7.2222222222222223</v>
      </c>
      <c r="F1912">
        <f>IF((E1912-'user input'!$C$2)&lt;0,0,E1912-'user input'!$C$2)</f>
        <v>0</v>
      </c>
      <c r="G1912">
        <f>IF(B1912&lt;'user input'!$C$5,0,(F1912+G1911))</f>
        <v>0</v>
      </c>
      <c r="H1912">
        <f>G1912/'user input'!$C$4</f>
        <v>0</v>
      </c>
    </row>
    <row r="1913" spans="1:8" x14ac:dyDescent="0.2">
      <c r="A1913" s="1">
        <v>42089</v>
      </c>
      <c r="B1913">
        <v>86</v>
      </c>
      <c r="C1913" s="6">
        <f>IF('weather data'!C1913&gt;'user input'!$C$3,'user input'!$C$3,'weather data'!C1913)</f>
        <v>7.2222222222222223</v>
      </c>
      <c r="D1913" s="6">
        <f>IF('weather data'!D1913&lt;'user input'!$C$2,'user input'!$C$2,'weather data'!D1913)</f>
        <v>10</v>
      </c>
      <c r="E1913">
        <f t="shared" si="30"/>
        <v>8.6111111111111107</v>
      </c>
      <c r="F1913">
        <f>IF((E1913-'user input'!$C$2)&lt;0,0,E1913-'user input'!$C$2)</f>
        <v>0</v>
      </c>
      <c r="G1913">
        <f>IF(B1913&lt;'user input'!$C$5,0,(F1913+G1912))</f>
        <v>0</v>
      </c>
      <c r="H1913">
        <f>G1913/'user input'!$C$4</f>
        <v>0</v>
      </c>
    </row>
    <row r="1914" spans="1:8" x14ac:dyDescent="0.2">
      <c r="A1914" s="1">
        <v>42090</v>
      </c>
      <c r="B1914">
        <v>87</v>
      </c>
      <c r="C1914" s="6">
        <f>IF('weather data'!C1914&gt;'user input'!$C$3,'user input'!$C$3,'weather data'!C1914)</f>
        <v>2.7777777777777777</v>
      </c>
      <c r="D1914" s="6">
        <f>IF('weather data'!D1914&lt;'user input'!$C$2,'user input'!$C$2,'weather data'!D1914)</f>
        <v>10</v>
      </c>
      <c r="E1914">
        <f t="shared" si="30"/>
        <v>6.3888888888888893</v>
      </c>
      <c r="F1914">
        <f>IF((E1914-'user input'!$C$2)&lt;0,0,E1914-'user input'!$C$2)</f>
        <v>0</v>
      </c>
      <c r="G1914">
        <f>IF(B1914&lt;'user input'!$C$5,0,(F1914+G1913))</f>
        <v>0</v>
      </c>
      <c r="H1914">
        <f>G1914/'user input'!$C$4</f>
        <v>0</v>
      </c>
    </row>
    <row r="1915" spans="1:8" x14ac:dyDescent="0.2">
      <c r="A1915" s="1">
        <v>42091</v>
      </c>
      <c r="B1915">
        <v>88</v>
      </c>
      <c r="C1915" s="6">
        <f>IF('weather data'!C1915&gt;'user input'!$C$3,'user input'!$C$3,'weather data'!C1915)</f>
        <v>2.2222222222222223</v>
      </c>
      <c r="D1915" s="6">
        <f>IF('weather data'!D1915&lt;'user input'!$C$2,'user input'!$C$2,'weather data'!D1915)</f>
        <v>10</v>
      </c>
      <c r="E1915">
        <f t="shared" si="30"/>
        <v>6.1111111111111107</v>
      </c>
      <c r="F1915">
        <f>IF((E1915-'user input'!$C$2)&lt;0,0,E1915-'user input'!$C$2)</f>
        <v>0</v>
      </c>
      <c r="G1915">
        <f>IF(B1915&lt;'user input'!$C$5,0,(F1915+G1914))</f>
        <v>0</v>
      </c>
      <c r="H1915">
        <f>G1915/'user input'!$C$4</f>
        <v>0</v>
      </c>
    </row>
    <row r="1916" spans="1:8" x14ac:dyDescent="0.2">
      <c r="A1916" s="1">
        <v>42092</v>
      </c>
      <c r="B1916">
        <v>89</v>
      </c>
      <c r="C1916" s="6">
        <f>IF('weather data'!C1916&gt;'user input'!$C$3,'user input'!$C$3,'weather data'!C1916)</f>
        <v>3.8888888888888888</v>
      </c>
      <c r="D1916" s="6">
        <f>IF('weather data'!D1916&lt;'user input'!$C$2,'user input'!$C$2,'weather data'!D1916)</f>
        <v>10</v>
      </c>
      <c r="E1916">
        <f t="shared" si="30"/>
        <v>6.9444444444444446</v>
      </c>
      <c r="F1916">
        <f>IF((E1916-'user input'!$C$2)&lt;0,0,E1916-'user input'!$C$2)</f>
        <v>0</v>
      </c>
      <c r="G1916">
        <f>IF(B1916&lt;'user input'!$C$5,0,(F1916+G1915))</f>
        <v>0</v>
      </c>
      <c r="H1916">
        <f>G1916/'user input'!$C$4</f>
        <v>0</v>
      </c>
    </row>
    <row r="1917" spans="1:8" x14ac:dyDescent="0.2">
      <c r="A1917" s="1">
        <v>42093</v>
      </c>
      <c r="B1917">
        <v>90</v>
      </c>
      <c r="C1917" s="6">
        <f>IF('weather data'!C1917&gt;'user input'!$C$3,'user input'!$C$3,'weather data'!C1917)</f>
        <v>7.2222222222222223</v>
      </c>
      <c r="D1917" s="6">
        <f>IF('weather data'!D1917&lt;'user input'!$C$2,'user input'!$C$2,'weather data'!D1917)</f>
        <v>10</v>
      </c>
      <c r="E1917">
        <f t="shared" si="30"/>
        <v>8.6111111111111107</v>
      </c>
      <c r="F1917">
        <f>IF((E1917-'user input'!$C$2)&lt;0,0,E1917-'user input'!$C$2)</f>
        <v>0</v>
      </c>
      <c r="G1917">
        <f>IF(B1917&lt;'user input'!$C$5,0,(F1917+G1916))</f>
        <v>0</v>
      </c>
      <c r="H1917">
        <f>G1917/'user input'!$C$4</f>
        <v>0</v>
      </c>
    </row>
    <row r="1918" spans="1:8" x14ac:dyDescent="0.2">
      <c r="A1918" s="1">
        <v>42094</v>
      </c>
      <c r="B1918">
        <v>91</v>
      </c>
      <c r="C1918" s="6">
        <f>IF('weather data'!C1918&gt;'user input'!$C$3,'user input'!$C$3,'weather data'!C1918)</f>
        <v>13.888888888888889</v>
      </c>
      <c r="D1918" s="6">
        <f>IF('weather data'!D1918&lt;'user input'!$C$2,'user input'!$C$2,'weather data'!D1918)</f>
        <v>10</v>
      </c>
      <c r="E1918">
        <f t="shared" si="30"/>
        <v>11.944444444444445</v>
      </c>
      <c r="F1918">
        <f>IF((E1918-'user input'!$C$2)&lt;0,0,E1918-'user input'!$C$2)</f>
        <v>1.9444444444444446</v>
      </c>
      <c r="G1918">
        <f>IF(B1918&lt;'user input'!$C$5,0,(F1918+G1917))</f>
        <v>0</v>
      </c>
      <c r="H1918">
        <f>G1918/'user input'!$C$4</f>
        <v>0</v>
      </c>
    </row>
    <row r="1919" spans="1:8" x14ac:dyDescent="0.2">
      <c r="A1919" s="1">
        <v>42095</v>
      </c>
      <c r="B1919">
        <v>92</v>
      </c>
      <c r="C1919" s="6">
        <f>IF('weather data'!C1919&gt;'user input'!$C$3,'user input'!$C$3,'weather data'!C1919)</f>
        <v>17.222222222222221</v>
      </c>
      <c r="D1919" s="6">
        <f>IF('weather data'!D1919&lt;'user input'!$C$2,'user input'!$C$2,'weather data'!D1919)</f>
        <v>10</v>
      </c>
      <c r="E1919">
        <f t="shared" si="30"/>
        <v>13.611111111111111</v>
      </c>
      <c r="F1919">
        <f>IF((E1919-'user input'!$C$2)&lt;0,0,E1919-'user input'!$C$2)</f>
        <v>3.6111111111111107</v>
      </c>
      <c r="G1919">
        <f>IF(B1919&lt;'user input'!$C$5,0,(F1919+G1918))</f>
        <v>0</v>
      </c>
      <c r="H1919">
        <f>G1919/'user input'!$C$4</f>
        <v>0</v>
      </c>
    </row>
    <row r="1920" spans="1:8" x14ac:dyDescent="0.2">
      <c r="A1920" s="1">
        <v>42096</v>
      </c>
      <c r="B1920">
        <v>93</v>
      </c>
      <c r="C1920" s="6">
        <f>IF('weather data'!C1920&gt;'user input'!$C$3,'user input'!$C$3,'weather data'!C1920)</f>
        <v>25</v>
      </c>
      <c r="D1920" s="6">
        <f>IF('weather data'!D1920&lt;'user input'!$C$2,'user input'!$C$2,'weather data'!D1920)</f>
        <v>10</v>
      </c>
      <c r="E1920">
        <f t="shared" si="30"/>
        <v>17.5</v>
      </c>
      <c r="F1920">
        <f>IF((E1920-'user input'!$C$2)&lt;0,0,E1920-'user input'!$C$2)</f>
        <v>7.5</v>
      </c>
      <c r="G1920">
        <f>IF(B1920&lt;'user input'!$C$5,0,(F1920+G1919))</f>
        <v>0</v>
      </c>
      <c r="H1920">
        <f>G1920/'user input'!$C$4</f>
        <v>0</v>
      </c>
    </row>
    <row r="1921" spans="1:8" x14ac:dyDescent="0.2">
      <c r="A1921" s="1">
        <v>42097</v>
      </c>
      <c r="B1921">
        <v>94</v>
      </c>
      <c r="C1921" s="6">
        <f>IF('weather data'!C1921&gt;'user input'!$C$3,'user input'!$C$3,'weather data'!C1921)</f>
        <v>18.888888888888889</v>
      </c>
      <c r="D1921" s="6">
        <f>IF('weather data'!D1921&lt;'user input'!$C$2,'user input'!$C$2,'weather data'!D1921)</f>
        <v>10</v>
      </c>
      <c r="E1921">
        <f t="shared" si="30"/>
        <v>14.444444444444445</v>
      </c>
      <c r="F1921">
        <f>IF((E1921-'user input'!$C$2)&lt;0,0,E1921-'user input'!$C$2)</f>
        <v>4.4444444444444446</v>
      </c>
      <c r="G1921">
        <f>IF(B1921&lt;'user input'!$C$5,0,(F1921+G1920))</f>
        <v>0</v>
      </c>
      <c r="H1921">
        <f>G1921/'user input'!$C$4</f>
        <v>0</v>
      </c>
    </row>
    <row r="1922" spans="1:8" x14ac:dyDescent="0.2">
      <c r="A1922" s="1">
        <v>42098</v>
      </c>
      <c r="B1922">
        <v>95</v>
      </c>
      <c r="C1922" s="6">
        <f>IF('weather data'!C1922&gt;'user input'!$C$3,'user input'!$C$3,'weather data'!C1922)</f>
        <v>6.6666666666666661</v>
      </c>
      <c r="D1922" s="6">
        <f>IF('weather data'!D1922&lt;'user input'!$C$2,'user input'!$C$2,'weather data'!D1922)</f>
        <v>10</v>
      </c>
      <c r="E1922">
        <f t="shared" si="30"/>
        <v>8.3333333333333321</v>
      </c>
      <c r="F1922">
        <f>IF((E1922-'user input'!$C$2)&lt;0,0,E1922-'user input'!$C$2)</f>
        <v>0</v>
      </c>
      <c r="G1922">
        <f>IF(B1922&lt;'user input'!$C$5,0,(F1922+G1921))</f>
        <v>0</v>
      </c>
      <c r="H1922">
        <f>G1922/'user input'!$C$4</f>
        <v>0</v>
      </c>
    </row>
    <row r="1923" spans="1:8" x14ac:dyDescent="0.2">
      <c r="A1923" s="1">
        <v>42099</v>
      </c>
      <c r="B1923">
        <v>96</v>
      </c>
      <c r="C1923" s="6">
        <f>IF('weather data'!C1923&gt;'user input'!$C$3,'user input'!$C$3,'weather data'!C1923)</f>
        <v>14.444444444444445</v>
      </c>
      <c r="D1923" s="6">
        <f>IF('weather data'!D1923&lt;'user input'!$C$2,'user input'!$C$2,'weather data'!D1923)</f>
        <v>10</v>
      </c>
      <c r="E1923">
        <f t="shared" si="30"/>
        <v>12.222222222222221</v>
      </c>
      <c r="F1923">
        <f>IF((E1923-'user input'!$C$2)&lt;0,0,E1923-'user input'!$C$2)</f>
        <v>2.2222222222222214</v>
      </c>
      <c r="G1923">
        <f>IF(B1923&lt;'user input'!$C$5,0,(F1923+G1922))</f>
        <v>0</v>
      </c>
      <c r="H1923">
        <f>G1923/'user input'!$C$4</f>
        <v>0</v>
      </c>
    </row>
    <row r="1924" spans="1:8" x14ac:dyDescent="0.2">
      <c r="A1924" s="1">
        <v>42100</v>
      </c>
      <c r="B1924">
        <v>97</v>
      </c>
      <c r="C1924" s="6">
        <f>IF('weather data'!C1924&gt;'user input'!$C$3,'user input'!$C$3,'weather data'!C1924)</f>
        <v>16.666666666666668</v>
      </c>
      <c r="D1924" s="6">
        <f>IF('weather data'!D1924&lt;'user input'!$C$2,'user input'!$C$2,'weather data'!D1924)</f>
        <v>10</v>
      </c>
      <c r="E1924">
        <f t="shared" si="30"/>
        <v>13.333333333333334</v>
      </c>
      <c r="F1924">
        <f>IF((E1924-'user input'!$C$2)&lt;0,0,E1924-'user input'!$C$2)</f>
        <v>3.3333333333333339</v>
      </c>
      <c r="G1924">
        <f>IF(B1924&lt;'user input'!$C$5,0,(F1924+G1923))</f>
        <v>0</v>
      </c>
      <c r="H1924">
        <f>G1924/'user input'!$C$4</f>
        <v>0</v>
      </c>
    </row>
    <row r="1925" spans="1:8" x14ac:dyDescent="0.2">
      <c r="A1925" s="1">
        <v>42101</v>
      </c>
      <c r="B1925">
        <v>98</v>
      </c>
      <c r="C1925" s="6">
        <f>IF('weather data'!C1925&gt;'user input'!$C$3,'user input'!$C$3,'weather data'!C1925)</f>
        <v>16.111111111111111</v>
      </c>
      <c r="D1925" s="6">
        <f>IF('weather data'!D1925&lt;'user input'!$C$2,'user input'!$C$2,'weather data'!D1925)</f>
        <v>10</v>
      </c>
      <c r="E1925">
        <f t="shared" si="30"/>
        <v>13.055555555555555</v>
      </c>
      <c r="F1925">
        <f>IF((E1925-'user input'!$C$2)&lt;0,0,E1925-'user input'!$C$2)</f>
        <v>3.0555555555555554</v>
      </c>
      <c r="G1925">
        <f>IF(B1925&lt;'user input'!$C$5,0,(F1925+G1924))</f>
        <v>0</v>
      </c>
      <c r="H1925">
        <f>G1925/'user input'!$C$4</f>
        <v>0</v>
      </c>
    </row>
    <row r="1926" spans="1:8" x14ac:dyDescent="0.2">
      <c r="A1926" s="1">
        <v>42102</v>
      </c>
      <c r="B1926">
        <v>99</v>
      </c>
      <c r="C1926" s="6">
        <f>IF('weather data'!C1926&gt;'user input'!$C$3,'user input'!$C$3,'weather data'!C1926)</f>
        <v>7.7777777777777777</v>
      </c>
      <c r="D1926" s="6">
        <f>IF('weather data'!D1926&lt;'user input'!$C$2,'user input'!$C$2,'weather data'!D1926)</f>
        <v>10</v>
      </c>
      <c r="E1926">
        <f t="shared" si="30"/>
        <v>8.8888888888888893</v>
      </c>
      <c r="F1926">
        <f>IF((E1926-'user input'!$C$2)&lt;0,0,E1926-'user input'!$C$2)</f>
        <v>0</v>
      </c>
      <c r="G1926">
        <f>IF(B1926&lt;'user input'!$C$5,0,(F1926+G1925))</f>
        <v>0</v>
      </c>
      <c r="H1926">
        <f>G1926/'user input'!$C$4</f>
        <v>0</v>
      </c>
    </row>
    <row r="1927" spans="1:8" x14ac:dyDescent="0.2">
      <c r="A1927" s="1">
        <v>42103</v>
      </c>
      <c r="B1927">
        <v>100</v>
      </c>
      <c r="C1927" s="6">
        <f>IF('weather data'!C1927&gt;'user input'!$C$3,'user input'!$C$3,'weather data'!C1927)</f>
        <v>6.6666666666666661</v>
      </c>
      <c r="D1927" s="6">
        <f>IF('weather data'!D1927&lt;'user input'!$C$2,'user input'!$C$2,'weather data'!D1927)</f>
        <v>10</v>
      </c>
      <c r="E1927">
        <f t="shared" si="30"/>
        <v>8.3333333333333321</v>
      </c>
      <c r="F1927">
        <f>IF((E1927-'user input'!$C$2)&lt;0,0,E1927-'user input'!$C$2)</f>
        <v>0</v>
      </c>
      <c r="G1927">
        <f>IF(B1927&lt;'user input'!$C$5,0,(F1927+G1926))</f>
        <v>0</v>
      </c>
      <c r="H1927">
        <f>G1927/'user input'!$C$4</f>
        <v>0</v>
      </c>
    </row>
    <row r="1928" spans="1:8" x14ac:dyDescent="0.2">
      <c r="A1928" s="1">
        <v>42104</v>
      </c>
      <c r="B1928">
        <v>101</v>
      </c>
      <c r="C1928" s="6">
        <f>IF('weather data'!C1928&gt;'user input'!$C$3,'user input'!$C$3,'weather data'!C1928)</f>
        <v>11.111111111111111</v>
      </c>
      <c r="D1928" s="6">
        <f>IF('weather data'!D1928&lt;'user input'!$C$2,'user input'!$C$2,'weather data'!D1928)</f>
        <v>10</v>
      </c>
      <c r="E1928">
        <f t="shared" si="30"/>
        <v>10.555555555555555</v>
      </c>
      <c r="F1928">
        <f>IF((E1928-'user input'!$C$2)&lt;0,0,E1928-'user input'!$C$2)</f>
        <v>0.55555555555555536</v>
      </c>
      <c r="G1928">
        <f>IF(B1928&lt;'user input'!$C$5,0,(F1928+G1927))</f>
        <v>0</v>
      </c>
      <c r="H1928">
        <f>G1928/'user input'!$C$4</f>
        <v>0</v>
      </c>
    </row>
    <row r="1929" spans="1:8" x14ac:dyDescent="0.2">
      <c r="A1929" s="1">
        <v>42105</v>
      </c>
      <c r="B1929">
        <v>102</v>
      </c>
      <c r="C1929" s="6">
        <f>IF('weather data'!C1929&gt;'user input'!$C$3,'user input'!$C$3,'weather data'!C1929)</f>
        <v>11.111111111111111</v>
      </c>
      <c r="D1929" s="6">
        <f>IF('weather data'!D1929&lt;'user input'!$C$2,'user input'!$C$2,'weather data'!D1929)</f>
        <v>10</v>
      </c>
      <c r="E1929">
        <f t="shared" si="30"/>
        <v>10.555555555555555</v>
      </c>
      <c r="F1929">
        <f>IF((E1929-'user input'!$C$2)&lt;0,0,E1929-'user input'!$C$2)</f>
        <v>0.55555555555555536</v>
      </c>
      <c r="G1929">
        <f>IF(B1929&lt;'user input'!$C$5,0,(F1929+G1928))</f>
        <v>0</v>
      </c>
      <c r="H1929">
        <f>G1929/'user input'!$C$4</f>
        <v>0</v>
      </c>
    </row>
    <row r="1930" spans="1:8" x14ac:dyDescent="0.2">
      <c r="A1930" s="1">
        <v>42106</v>
      </c>
      <c r="B1930">
        <v>103</v>
      </c>
      <c r="C1930" s="6">
        <f>IF('weather data'!C1930&gt;'user input'!$C$3,'user input'!$C$3,'weather data'!C1930)</f>
        <v>21.111111111111111</v>
      </c>
      <c r="D1930" s="6">
        <f>IF('weather data'!D1930&lt;'user input'!$C$2,'user input'!$C$2,'weather data'!D1930)</f>
        <v>10</v>
      </c>
      <c r="E1930">
        <f t="shared" si="30"/>
        <v>15.555555555555555</v>
      </c>
      <c r="F1930">
        <f>IF((E1930-'user input'!$C$2)&lt;0,0,E1930-'user input'!$C$2)</f>
        <v>5.5555555555555554</v>
      </c>
      <c r="G1930">
        <f>IF(B1930&lt;'user input'!$C$5,0,(F1930+G1929))</f>
        <v>0</v>
      </c>
      <c r="H1930">
        <f>G1930/'user input'!$C$4</f>
        <v>0</v>
      </c>
    </row>
    <row r="1931" spans="1:8" x14ac:dyDescent="0.2">
      <c r="A1931" s="1">
        <v>42107</v>
      </c>
      <c r="B1931">
        <v>104</v>
      </c>
      <c r="C1931" s="6">
        <f>IF('weather data'!C1931&gt;'user input'!$C$3,'user input'!$C$3,'weather data'!C1931)</f>
        <v>21.666666666666664</v>
      </c>
      <c r="D1931" s="6">
        <f>IF('weather data'!D1931&lt;'user input'!$C$2,'user input'!$C$2,'weather data'!D1931)</f>
        <v>10.555555555555555</v>
      </c>
      <c r="E1931">
        <f t="shared" si="30"/>
        <v>16.111111111111111</v>
      </c>
      <c r="F1931">
        <f>IF((E1931-'user input'!$C$2)&lt;0,0,E1931-'user input'!$C$2)</f>
        <v>6.1111111111111107</v>
      </c>
      <c r="G1931">
        <f>IF(B1931&lt;'user input'!$C$5,0,(F1931+G1930))</f>
        <v>0</v>
      </c>
      <c r="H1931">
        <f>G1931/'user input'!$C$4</f>
        <v>0</v>
      </c>
    </row>
    <row r="1932" spans="1:8" x14ac:dyDescent="0.2">
      <c r="A1932" s="1">
        <v>42108</v>
      </c>
      <c r="B1932">
        <v>105</v>
      </c>
      <c r="C1932" s="6">
        <f>IF('weather data'!C1932&gt;'user input'!$C$3,'user input'!$C$3,'weather data'!C1932)</f>
        <v>18.333333333333332</v>
      </c>
      <c r="D1932" s="6">
        <f>IF('weather data'!D1932&lt;'user input'!$C$2,'user input'!$C$2,'weather data'!D1932)</f>
        <v>10</v>
      </c>
      <c r="E1932">
        <f t="shared" si="30"/>
        <v>14.166666666666666</v>
      </c>
      <c r="F1932">
        <f>IF((E1932-'user input'!$C$2)&lt;0,0,E1932-'user input'!$C$2)</f>
        <v>4.1666666666666661</v>
      </c>
      <c r="G1932">
        <f>IF(B1932&lt;'user input'!$C$5,0,(F1932+G1931))</f>
        <v>0</v>
      </c>
      <c r="H1932">
        <f>G1932/'user input'!$C$4</f>
        <v>0</v>
      </c>
    </row>
    <row r="1933" spans="1:8" x14ac:dyDescent="0.2">
      <c r="A1933" s="1">
        <v>42109</v>
      </c>
      <c r="B1933">
        <v>106</v>
      </c>
      <c r="C1933" s="6">
        <f>IF('weather data'!C1933&gt;'user input'!$C$3,'user input'!$C$3,'weather data'!C1933)</f>
        <v>19.444444444444443</v>
      </c>
      <c r="D1933" s="6">
        <f>IF('weather data'!D1933&lt;'user input'!$C$2,'user input'!$C$2,'weather data'!D1933)</f>
        <v>10</v>
      </c>
      <c r="E1933">
        <f t="shared" si="30"/>
        <v>14.722222222222221</v>
      </c>
      <c r="F1933">
        <f>IF((E1933-'user input'!$C$2)&lt;0,0,E1933-'user input'!$C$2)</f>
        <v>4.7222222222222214</v>
      </c>
      <c r="G1933">
        <f>IF(B1933&lt;'user input'!$C$5,0,(F1933+G1932))</f>
        <v>0</v>
      </c>
      <c r="H1933">
        <f>G1933/'user input'!$C$4</f>
        <v>0</v>
      </c>
    </row>
    <row r="1934" spans="1:8" x14ac:dyDescent="0.2">
      <c r="A1934" s="1">
        <v>42110</v>
      </c>
      <c r="B1934">
        <v>107</v>
      </c>
      <c r="C1934" s="6">
        <f>IF('weather data'!C1934&gt;'user input'!$C$3,'user input'!$C$3,'weather data'!C1934)</f>
        <v>20.555555555555554</v>
      </c>
      <c r="D1934" s="6">
        <f>IF('weather data'!D1934&lt;'user input'!$C$2,'user input'!$C$2,'weather data'!D1934)</f>
        <v>10</v>
      </c>
      <c r="E1934">
        <f t="shared" si="30"/>
        <v>15.277777777777777</v>
      </c>
      <c r="F1934">
        <f>IF((E1934-'user input'!$C$2)&lt;0,0,E1934-'user input'!$C$2)</f>
        <v>5.2777777777777768</v>
      </c>
      <c r="G1934">
        <f>IF(B1934&lt;'user input'!$C$5,0,(F1934+G1933))</f>
        <v>0</v>
      </c>
      <c r="H1934">
        <f>G1934/'user input'!$C$4</f>
        <v>0</v>
      </c>
    </row>
    <row r="1935" spans="1:8" x14ac:dyDescent="0.2">
      <c r="A1935" s="1">
        <v>42111</v>
      </c>
      <c r="B1935">
        <v>108</v>
      </c>
      <c r="C1935" s="6">
        <f>IF('weather data'!C1935&gt;'user input'!$C$3,'user input'!$C$3,'weather data'!C1935)</f>
        <v>22.777777777777779</v>
      </c>
      <c r="D1935" s="6">
        <f>IF('weather data'!D1935&lt;'user input'!$C$2,'user input'!$C$2,'weather data'!D1935)</f>
        <v>10</v>
      </c>
      <c r="E1935">
        <f t="shared" si="30"/>
        <v>16.388888888888889</v>
      </c>
      <c r="F1935">
        <f>IF((E1935-'user input'!$C$2)&lt;0,0,E1935-'user input'!$C$2)</f>
        <v>6.3888888888888893</v>
      </c>
      <c r="G1935">
        <f>IF(B1935&lt;'user input'!$C$5,0,(F1935+G1934))</f>
        <v>0</v>
      </c>
      <c r="H1935">
        <f>G1935/'user input'!$C$4</f>
        <v>0</v>
      </c>
    </row>
    <row r="1936" spans="1:8" x14ac:dyDescent="0.2">
      <c r="A1936" s="1">
        <v>42112</v>
      </c>
      <c r="B1936">
        <v>109</v>
      </c>
      <c r="C1936" s="6">
        <f>IF('weather data'!C1936&gt;'user input'!$C$3,'user input'!$C$3,'weather data'!C1936)</f>
        <v>25.555555555555554</v>
      </c>
      <c r="D1936" s="6">
        <f>IF('weather data'!D1936&lt;'user input'!$C$2,'user input'!$C$2,'weather data'!D1936)</f>
        <v>10</v>
      </c>
      <c r="E1936">
        <f t="shared" si="30"/>
        <v>17.777777777777779</v>
      </c>
      <c r="F1936">
        <f>IF((E1936-'user input'!$C$2)&lt;0,0,E1936-'user input'!$C$2)</f>
        <v>7.7777777777777786</v>
      </c>
      <c r="G1936">
        <f>IF(B1936&lt;'user input'!$C$5,0,(F1936+G1935))</f>
        <v>0</v>
      </c>
      <c r="H1936">
        <f>G1936/'user input'!$C$4</f>
        <v>0</v>
      </c>
    </row>
    <row r="1937" spans="1:8" x14ac:dyDescent="0.2">
      <c r="A1937" s="1">
        <v>42113</v>
      </c>
      <c r="B1937">
        <v>110</v>
      </c>
      <c r="C1937" s="6">
        <f>IF('weather data'!C1937&gt;'user input'!$C$3,'user input'!$C$3,'weather data'!C1937)</f>
        <v>20.555555555555554</v>
      </c>
      <c r="D1937" s="6">
        <f>IF('weather data'!D1937&lt;'user input'!$C$2,'user input'!$C$2,'weather data'!D1937)</f>
        <v>10</v>
      </c>
      <c r="E1937">
        <f t="shared" si="30"/>
        <v>15.277777777777777</v>
      </c>
      <c r="F1937">
        <f>IF((E1937-'user input'!$C$2)&lt;0,0,E1937-'user input'!$C$2)</f>
        <v>5.2777777777777768</v>
      </c>
      <c r="G1937">
        <f>IF(B1937&lt;'user input'!$C$5,0,(F1937+G1936))</f>
        <v>0</v>
      </c>
      <c r="H1937">
        <f>G1937/'user input'!$C$4</f>
        <v>0</v>
      </c>
    </row>
    <row r="1938" spans="1:8" x14ac:dyDescent="0.2">
      <c r="A1938" s="1">
        <v>42114</v>
      </c>
      <c r="B1938">
        <v>111</v>
      </c>
      <c r="C1938" s="6">
        <f>IF('weather data'!C1938&gt;'user input'!$C$3,'user input'!$C$3,'weather data'!C1938)</f>
        <v>23.888888888888889</v>
      </c>
      <c r="D1938" s="6">
        <f>IF('weather data'!D1938&lt;'user input'!$C$2,'user input'!$C$2,'weather data'!D1938)</f>
        <v>10</v>
      </c>
      <c r="E1938">
        <f t="shared" ref="E1938:E2001" si="31">(C1938+D1938)/2</f>
        <v>16.944444444444443</v>
      </c>
      <c r="F1938">
        <f>IF((E1938-'user input'!$C$2)&lt;0,0,E1938-'user input'!$C$2)</f>
        <v>6.9444444444444429</v>
      </c>
      <c r="G1938">
        <f>IF(B1938&lt;'user input'!$C$5,0,(F1938+G1937))</f>
        <v>0</v>
      </c>
      <c r="H1938">
        <f>G1938/'user input'!$C$4</f>
        <v>0</v>
      </c>
    </row>
    <row r="1939" spans="1:8" x14ac:dyDescent="0.2">
      <c r="A1939" s="1">
        <v>42115</v>
      </c>
      <c r="B1939">
        <v>112</v>
      </c>
      <c r="C1939" s="6">
        <f>IF('weather data'!C1939&gt;'user input'!$C$3,'user input'!$C$3,'weather data'!C1939)</f>
        <v>8.3333333333333339</v>
      </c>
      <c r="D1939" s="6">
        <f>IF('weather data'!D1939&lt;'user input'!$C$2,'user input'!$C$2,'weather data'!D1939)</f>
        <v>10</v>
      </c>
      <c r="E1939">
        <f t="shared" si="31"/>
        <v>9.1666666666666679</v>
      </c>
      <c r="F1939">
        <f>IF((E1939-'user input'!$C$2)&lt;0,0,E1939-'user input'!$C$2)</f>
        <v>0</v>
      </c>
      <c r="G1939">
        <f>IF(B1939&lt;'user input'!$C$5,0,(F1939+G1938))</f>
        <v>0</v>
      </c>
      <c r="H1939">
        <f>G1939/'user input'!$C$4</f>
        <v>0</v>
      </c>
    </row>
    <row r="1940" spans="1:8" x14ac:dyDescent="0.2">
      <c r="A1940" s="1">
        <v>42116</v>
      </c>
      <c r="B1940">
        <v>113</v>
      </c>
      <c r="C1940" s="6">
        <f>IF('weather data'!C1940&gt;'user input'!$C$3,'user input'!$C$3,'weather data'!C1940)</f>
        <v>5</v>
      </c>
      <c r="D1940" s="6">
        <f>IF('weather data'!D1940&lt;'user input'!$C$2,'user input'!$C$2,'weather data'!D1940)</f>
        <v>10</v>
      </c>
      <c r="E1940">
        <f t="shared" si="31"/>
        <v>7.5</v>
      </c>
      <c r="F1940">
        <f>IF((E1940-'user input'!$C$2)&lt;0,0,E1940-'user input'!$C$2)</f>
        <v>0</v>
      </c>
      <c r="G1940">
        <f>IF(B1940&lt;'user input'!$C$5,0,(F1940+G1939))</f>
        <v>0</v>
      </c>
      <c r="H1940">
        <f>G1940/'user input'!$C$4</f>
        <v>0</v>
      </c>
    </row>
    <row r="1941" spans="1:8" x14ac:dyDescent="0.2">
      <c r="A1941" s="1">
        <v>42117</v>
      </c>
      <c r="B1941">
        <v>114</v>
      </c>
      <c r="C1941" s="6">
        <f>IF('weather data'!C1941&gt;'user input'!$C$3,'user input'!$C$3,'weather data'!C1941)</f>
        <v>8.8888888888888893</v>
      </c>
      <c r="D1941" s="6">
        <f>IF('weather data'!D1941&lt;'user input'!$C$2,'user input'!$C$2,'weather data'!D1941)</f>
        <v>10</v>
      </c>
      <c r="E1941">
        <f t="shared" si="31"/>
        <v>9.4444444444444446</v>
      </c>
      <c r="F1941">
        <f>IF((E1941-'user input'!$C$2)&lt;0,0,E1941-'user input'!$C$2)</f>
        <v>0</v>
      </c>
      <c r="G1941">
        <f>IF(B1941&lt;'user input'!$C$5,0,(F1941+G1940))</f>
        <v>0</v>
      </c>
      <c r="H1941">
        <f>G1941/'user input'!$C$4</f>
        <v>0</v>
      </c>
    </row>
    <row r="1942" spans="1:8" x14ac:dyDescent="0.2">
      <c r="A1942" s="1">
        <v>42118</v>
      </c>
      <c r="B1942">
        <v>115</v>
      </c>
      <c r="C1942" s="6">
        <f>IF('weather data'!C1942&gt;'user input'!$C$3,'user input'!$C$3,'weather data'!C1942)</f>
        <v>12.222222222222223</v>
      </c>
      <c r="D1942" s="6">
        <f>IF('weather data'!D1942&lt;'user input'!$C$2,'user input'!$C$2,'weather data'!D1942)</f>
        <v>10</v>
      </c>
      <c r="E1942">
        <f t="shared" si="31"/>
        <v>11.111111111111111</v>
      </c>
      <c r="F1942">
        <f>IF((E1942-'user input'!$C$2)&lt;0,0,E1942-'user input'!$C$2)</f>
        <v>1.1111111111111107</v>
      </c>
      <c r="G1942">
        <f>IF(B1942&lt;'user input'!$C$5,0,(F1942+G1941))</f>
        <v>0</v>
      </c>
      <c r="H1942">
        <f>G1942/'user input'!$C$4</f>
        <v>0</v>
      </c>
    </row>
    <row r="1943" spans="1:8" x14ac:dyDescent="0.2">
      <c r="A1943" s="1">
        <v>42119</v>
      </c>
      <c r="B1943">
        <v>116</v>
      </c>
      <c r="C1943" s="6">
        <f>IF('weather data'!C1943&gt;'user input'!$C$3,'user input'!$C$3,'weather data'!C1943)</f>
        <v>12.222222222222223</v>
      </c>
      <c r="D1943" s="6">
        <f>IF('weather data'!D1943&lt;'user input'!$C$2,'user input'!$C$2,'weather data'!D1943)</f>
        <v>10</v>
      </c>
      <c r="E1943">
        <f t="shared" si="31"/>
        <v>11.111111111111111</v>
      </c>
      <c r="F1943">
        <f>IF((E1943-'user input'!$C$2)&lt;0,0,E1943-'user input'!$C$2)</f>
        <v>1.1111111111111107</v>
      </c>
      <c r="G1943">
        <f>IF(B1943&lt;'user input'!$C$5,0,(F1943+G1942))</f>
        <v>0</v>
      </c>
      <c r="H1943">
        <f>G1943/'user input'!$C$4</f>
        <v>0</v>
      </c>
    </row>
    <row r="1944" spans="1:8" x14ac:dyDescent="0.2">
      <c r="A1944" s="1">
        <v>42120</v>
      </c>
      <c r="B1944">
        <v>117</v>
      </c>
      <c r="C1944" s="6">
        <f>IF('weather data'!C1944&gt;'user input'!$C$3,'user input'!$C$3,'weather data'!C1944)</f>
        <v>11.111111111111111</v>
      </c>
      <c r="D1944" s="6">
        <f>IF('weather data'!D1944&lt;'user input'!$C$2,'user input'!$C$2,'weather data'!D1944)</f>
        <v>10</v>
      </c>
      <c r="E1944">
        <f t="shared" si="31"/>
        <v>10.555555555555555</v>
      </c>
      <c r="F1944">
        <f>IF((E1944-'user input'!$C$2)&lt;0,0,E1944-'user input'!$C$2)</f>
        <v>0.55555555555555536</v>
      </c>
      <c r="G1944">
        <f>IF(B1944&lt;'user input'!$C$5,0,(F1944+G1943))</f>
        <v>0</v>
      </c>
      <c r="H1944">
        <f>G1944/'user input'!$C$4</f>
        <v>0</v>
      </c>
    </row>
    <row r="1945" spans="1:8" x14ac:dyDescent="0.2">
      <c r="A1945" s="1">
        <v>42121</v>
      </c>
      <c r="B1945">
        <v>118</v>
      </c>
      <c r="C1945" s="6">
        <f>IF('weather data'!C1945&gt;'user input'!$C$3,'user input'!$C$3,'weather data'!C1945)</f>
        <v>16.111111111111111</v>
      </c>
      <c r="D1945" s="6">
        <f>IF('weather data'!D1945&lt;'user input'!$C$2,'user input'!$C$2,'weather data'!D1945)</f>
        <v>10</v>
      </c>
      <c r="E1945">
        <f t="shared" si="31"/>
        <v>13.055555555555555</v>
      </c>
      <c r="F1945">
        <f>IF((E1945-'user input'!$C$2)&lt;0,0,E1945-'user input'!$C$2)</f>
        <v>3.0555555555555554</v>
      </c>
      <c r="G1945">
        <f>IF(B1945&lt;'user input'!$C$5,0,(F1945+G1944))</f>
        <v>0</v>
      </c>
      <c r="H1945">
        <f>G1945/'user input'!$C$4</f>
        <v>0</v>
      </c>
    </row>
    <row r="1946" spans="1:8" x14ac:dyDescent="0.2">
      <c r="A1946" s="1">
        <v>42122</v>
      </c>
      <c r="B1946">
        <v>119</v>
      </c>
      <c r="C1946" s="6">
        <f>IF('weather data'!C1946&gt;'user input'!$C$3,'user input'!$C$3,'weather data'!C1946)</f>
        <v>18.888888888888889</v>
      </c>
      <c r="D1946" s="6">
        <f>IF('weather data'!D1946&lt;'user input'!$C$2,'user input'!$C$2,'weather data'!D1946)</f>
        <v>10</v>
      </c>
      <c r="E1946">
        <f t="shared" si="31"/>
        <v>14.444444444444445</v>
      </c>
      <c r="F1946">
        <f>IF((E1946-'user input'!$C$2)&lt;0,0,E1946-'user input'!$C$2)</f>
        <v>4.4444444444444446</v>
      </c>
      <c r="G1946">
        <f>IF(B1946&lt;'user input'!$C$5,0,(F1946+G1945))</f>
        <v>0</v>
      </c>
      <c r="H1946">
        <f>G1946/'user input'!$C$4</f>
        <v>0</v>
      </c>
    </row>
    <row r="1947" spans="1:8" x14ac:dyDescent="0.2">
      <c r="A1947" s="1">
        <v>42123</v>
      </c>
      <c r="B1947">
        <v>120</v>
      </c>
      <c r="C1947" s="6">
        <f>IF('weather data'!C1947&gt;'user input'!$C$3,'user input'!$C$3,'weather data'!C1947)</f>
        <v>20</v>
      </c>
      <c r="D1947" s="6">
        <f>IF('weather data'!D1947&lt;'user input'!$C$2,'user input'!$C$2,'weather data'!D1947)</f>
        <v>10</v>
      </c>
      <c r="E1947">
        <f t="shared" si="31"/>
        <v>15</v>
      </c>
      <c r="F1947">
        <f>IF((E1947-'user input'!$C$2)&lt;0,0,E1947-'user input'!$C$2)</f>
        <v>5</v>
      </c>
      <c r="G1947">
        <f>IF(B1947&lt;'user input'!$C$5,0,(F1947+G1946))</f>
        <v>0</v>
      </c>
      <c r="H1947">
        <f>G1947/'user input'!$C$4</f>
        <v>0</v>
      </c>
    </row>
    <row r="1948" spans="1:8" x14ac:dyDescent="0.2">
      <c r="A1948" s="1">
        <v>42124</v>
      </c>
      <c r="B1948">
        <v>121</v>
      </c>
      <c r="C1948" s="6">
        <f>IF('weather data'!C1948&gt;'user input'!$C$3,'user input'!$C$3,'weather data'!C1948)</f>
        <v>20</v>
      </c>
      <c r="D1948" s="6">
        <f>IF('weather data'!D1948&lt;'user input'!$C$2,'user input'!$C$2,'weather data'!D1948)</f>
        <v>10</v>
      </c>
      <c r="E1948">
        <f t="shared" si="31"/>
        <v>15</v>
      </c>
      <c r="F1948">
        <f>IF((E1948-'user input'!$C$2)&lt;0,0,E1948-'user input'!$C$2)</f>
        <v>5</v>
      </c>
      <c r="G1948">
        <f>IF(B1948&lt;'user input'!$C$5,0,(F1948+G1947))</f>
        <v>5</v>
      </c>
      <c r="H1948">
        <f>G1948/'user input'!$C$4</f>
        <v>4.1666666666666666E-3</v>
      </c>
    </row>
    <row r="1949" spans="1:8" x14ac:dyDescent="0.2">
      <c r="A1949" s="1">
        <v>42125</v>
      </c>
      <c r="B1949">
        <v>122</v>
      </c>
      <c r="C1949" s="6">
        <f>IF('weather data'!C1949&gt;'user input'!$C$3,'user input'!$C$3,'weather data'!C1949)</f>
        <v>17.222222222222221</v>
      </c>
      <c r="D1949" s="6">
        <f>IF('weather data'!D1949&lt;'user input'!$C$2,'user input'!$C$2,'weather data'!D1949)</f>
        <v>10</v>
      </c>
      <c r="E1949">
        <f t="shared" si="31"/>
        <v>13.611111111111111</v>
      </c>
      <c r="F1949">
        <f>IF((E1949-'user input'!$C$2)&lt;0,0,E1949-'user input'!$C$2)</f>
        <v>3.6111111111111107</v>
      </c>
      <c r="G1949">
        <f>IF(B1949&lt;'user input'!$C$5,0,(F1949+G1948))</f>
        <v>8.6111111111111107</v>
      </c>
      <c r="H1949">
        <f>G1949/'user input'!$C$4</f>
        <v>7.1759259259259259E-3</v>
      </c>
    </row>
    <row r="1950" spans="1:8" x14ac:dyDescent="0.2">
      <c r="A1950" s="1">
        <v>42126</v>
      </c>
      <c r="B1950">
        <v>123</v>
      </c>
      <c r="C1950" s="6">
        <f>IF('weather data'!C1950&gt;'user input'!$C$3,'user input'!$C$3,'weather data'!C1950)</f>
        <v>19.444444444444443</v>
      </c>
      <c r="D1950" s="6">
        <f>IF('weather data'!D1950&lt;'user input'!$C$2,'user input'!$C$2,'weather data'!D1950)</f>
        <v>10</v>
      </c>
      <c r="E1950">
        <f t="shared" si="31"/>
        <v>14.722222222222221</v>
      </c>
      <c r="F1950">
        <f>IF((E1950-'user input'!$C$2)&lt;0,0,E1950-'user input'!$C$2)</f>
        <v>4.7222222222222214</v>
      </c>
      <c r="G1950">
        <f>IF(B1950&lt;'user input'!$C$5,0,(F1950+G1949))</f>
        <v>13.333333333333332</v>
      </c>
      <c r="H1950">
        <f>G1950/'user input'!$C$4</f>
        <v>1.111111111111111E-2</v>
      </c>
    </row>
    <row r="1951" spans="1:8" x14ac:dyDescent="0.2">
      <c r="A1951" s="1">
        <v>42127</v>
      </c>
      <c r="B1951">
        <v>124</v>
      </c>
      <c r="C1951" s="6">
        <f>IF('weather data'!C1951&gt;'user input'!$C$3,'user input'!$C$3,'weather data'!C1951)</f>
        <v>25</v>
      </c>
      <c r="D1951" s="6">
        <f>IF('weather data'!D1951&lt;'user input'!$C$2,'user input'!$C$2,'weather data'!D1951)</f>
        <v>10.555555555555555</v>
      </c>
      <c r="E1951">
        <f t="shared" si="31"/>
        <v>17.777777777777779</v>
      </c>
      <c r="F1951">
        <f>IF((E1951-'user input'!$C$2)&lt;0,0,E1951-'user input'!$C$2)</f>
        <v>7.7777777777777786</v>
      </c>
      <c r="G1951">
        <f>IF(B1951&lt;'user input'!$C$5,0,(F1951+G1950))</f>
        <v>21.111111111111111</v>
      </c>
      <c r="H1951">
        <f>G1951/'user input'!$C$4</f>
        <v>1.7592592592592594E-2</v>
      </c>
    </row>
    <row r="1952" spans="1:8" x14ac:dyDescent="0.2">
      <c r="A1952" s="1">
        <v>42128</v>
      </c>
      <c r="B1952">
        <v>125</v>
      </c>
      <c r="C1952" s="6">
        <f>IF('weather data'!C1952&gt;'user input'!$C$3,'user input'!$C$3,'weather data'!C1952)</f>
        <v>24.444444444444446</v>
      </c>
      <c r="D1952" s="6">
        <f>IF('weather data'!D1952&lt;'user input'!$C$2,'user input'!$C$2,'weather data'!D1952)</f>
        <v>12.777777777777777</v>
      </c>
      <c r="E1952">
        <f t="shared" si="31"/>
        <v>18.611111111111111</v>
      </c>
      <c r="F1952">
        <f>IF((E1952-'user input'!$C$2)&lt;0,0,E1952-'user input'!$C$2)</f>
        <v>8.6111111111111107</v>
      </c>
      <c r="G1952">
        <f>IF(B1952&lt;'user input'!$C$5,0,(F1952+G1951))</f>
        <v>29.722222222222221</v>
      </c>
      <c r="H1952">
        <f>G1952/'user input'!$C$4</f>
        <v>2.476851851851852E-2</v>
      </c>
    </row>
    <row r="1953" spans="1:8" x14ac:dyDescent="0.2">
      <c r="A1953" s="1">
        <v>42129</v>
      </c>
      <c r="B1953">
        <v>126</v>
      </c>
      <c r="C1953" s="6">
        <f>IF('weather data'!C1953&gt;'user input'!$C$3,'user input'!$C$3,'weather data'!C1953)</f>
        <v>23.333333333333336</v>
      </c>
      <c r="D1953" s="6">
        <f>IF('weather data'!D1953&lt;'user input'!$C$2,'user input'!$C$2,'weather data'!D1953)</f>
        <v>10</v>
      </c>
      <c r="E1953">
        <f t="shared" si="31"/>
        <v>16.666666666666668</v>
      </c>
      <c r="F1953">
        <f>IF((E1953-'user input'!$C$2)&lt;0,0,E1953-'user input'!$C$2)</f>
        <v>6.6666666666666679</v>
      </c>
      <c r="G1953">
        <f>IF(B1953&lt;'user input'!$C$5,0,(F1953+G1952))</f>
        <v>36.388888888888886</v>
      </c>
      <c r="H1953">
        <f>G1953/'user input'!$C$4</f>
        <v>3.0324074074074073E-2</v>
      </c>
    </row>
    <row r="1954" spans="1:8" x14ac:dyDescent="0.2">
      <c r="A1954" s="1">
        <v>42130</v>
      </c>
      <c r="B1954">
        <v>127</v>
      </c>
      <c r="C1954" s="6">
        <f>IF('weather data'!C1954&gt;'user input'!$C$3,'user input'!$C$3,'weather data'!C1954)</f>
        <v>13.333333333333332</v>
      </c>
      <c r="D1954" s="6">
        <f>IF('weather data'!D1954&lt;'user input'!$C$2,'user input'!$C$2,'weather data'!D1954)</f>
        <v>10</v>
      </c>
      <c r="E1954">
        <f t="shared" si="31"/>
        <v>11.666666666666666</v>
      </c>
      <c r="F1954">
        <f>IF((E1954-'user input'!$C$2)&lt;0,0,E1954-'user input'!$C$2)</f>
        <v>1.6666666666666661</v>
      </c>
      <c r="G1954">
        <f>IF(B1954&lt;'user input'!$C$5,0,(F1954+G1953))</f>
        <v>38.05555555555555</v>
      </c>
      <c r="H1954">
        <f>G1954/'user input'!$C$4</f>
        <v>3.1712962962962957E-2</v>
      </c>
    </row>
    <row r="1955" spans="1:8" x14ac:dyDescent="0.2">
      <c r="A1955" s="1">
        <v>42131</v>
      </c>
      <c r="B1955">
        <v>128</v>
      </c>
      <c r="C1955" s="6">
        <f>IF('weather data'!C1955&gt;'user input'!$C$3,'user input'!$C$3,'weather data'!C1955)</f>
        <v>25</v>
      </c>
      <c r="D1955" s="6">
        <f>IF('weather data'!D1955&lt;'user input'!$C$2,'user input'!$C$2,'weather data'!D1955)</f>
        <v>10</v>
      </c>
      <c r="E1955">
        <f t="shared" si="31"/>
        <v>17.5</v>
      </c>
      <c r="F1955">
        <f>IF((E1955-'user input'!$C$2)&lt;0,0,E1955-'user input'!$C$2)</f>
        <v>7.5</v>
      </c>
      <c r="G1955">
        <f>IF(B1955&lt;'user input'!$C$5,0,(F1955+G1954))</f>
        <v>45.55555555555555</v>
      </c>
      <c r="H1955">
        <f>G1955/'user input'!$C$4</f>
        <v>3.7962962962962955E-2</v>
      </c>
    </row>
    <row r="1956" spans="1:8" x14ac:dyDescent="0.2">
      <c r="A1956" s="1">
        <v>42132</v>
      </c>
      <c r="B1956">
        <v>129</v>
      </c>
      <c r="C1956" s="6">
        <f>IF('weather data'!C1956&gt;'user input'!$C$3,'user input'!$C$3,'weather data'!C1956)</f>
        <v>27.777777777777779</v>
      </c>
      <c r="D1956" s="6">
        <f>IF('weather data'!D1956&lt;'user input'!$C$2,'user input'!$C$2,'weather data'!D1956)</f>
        <v>16.111111111111111</v>
      </c>
      <c r="E1956">
        <f t="shared" si="31"/>
        <v>21.944444444444443</v>
      </c>
      <c r="F1956">
        <f>IF((E1956-'user input'!$C$2)&lt;0,0,E1956-'user input'!$C$2)</f>
        <v>11.944444444444443</v>
      </c>
      <c r="G1956">
        <f>IF(B1956&lt;'user input'!$C$5,0,(F1956+G1955))</f>
        <v>57.499999999999993</v>
      </c>
      <c r="H1956">
        <f>G1956/'user input'!$C$4</f>
        <v>4.7916666666666663E-2</v>
      </c>
    </row>
    <row r="1957" spans="1:8" x14ac:dyDescent="0.2">
      <c r="A1957" s="1">
        <v>42133</v>
      </c>
      <c r="B1957">
        <v>130</v>
      </c>
      <c r="C1957" s="6">
        <f>IF('weather data'!C1957&gt;'user input'!$C$3,'user input'!$C$3,'weather data'!C1957)</f>
        <v>23.333333333333336</v>
      </c>
      <c r="D1957" s="6">
        <f>IF('weather data'!D1957&lt;'user input'!$C$2,'user input'!$C$2,'weather data'!D1957)</f>
        <v>13.333333333333332</v>
      </c>
      <c r="E1957">
        <f t="shared" si="31"/>
        <v>18.333333333333336</v>
      </c>
      <c r="F1957">
        <f>IF((E1957-'user input'!$C$2)&lt;0,0,E1957-'user input'!$C$2)</f>
        <v>8.3333333333333357</v>
      </c>
      <c r="G1957">
        <f>IF(B1957&lt;'user input'!$C$5,0,(F1957+G1956))</f>
        <v>65.833333333333329</v>
      </c>
      <c r="H1957">
        <f>G1957/'user input'!$C$4</f>
        <v>5.486111111111111E-2</v>
      </c>
    </row>
    <row r="1958" spans="1:8" x14ac:dyDescent="0.2">
      <c r="A1958" s="1">
        <v>42134</v>
      </c>
      <c r="B1958">
        <v>131</v>
      </c>
      <c r="C1958" s="6">
        <f>IF('weather data'!C1958&gt;'user input'!$C$3,'user input'!$C$3,'weather data'!C1958)</f>
        <v>23.333333333333336</v>
      </c>
      <c r="D1958" s="6">
        <f>IF('weather data'!D1958&lt;'user input'!$C$2,'user input'!$C$2,'weather data'!D1958)</f>
        <v>10</v>
      </c>
      <c r="E1958">
        <f t="shared" si="31"/>
        <v>16.666666666666668</v>
      </c>
      <c r="F1958">
        <f>IF((E1958-'user input'!$C$2)&lt;0,0,E1958-'user input'!$C$2)</f>
        <v>6.6666666666666679</v>
      </c>
      <c r="G1958">
        <f>IF(B1958&lt;'user input'!$C$5,0,(F1958+G1957))</f>
        <v>72.5</v>
      </c>
      <c r="H1958">
        <f>G1958/'user input'!$C$4</f>
        <v>6.0416666666666667E-2</v>
      </c>
    </row>
    <row r="1959" spans="1:8" x14ac:dyDescent="0.2">
      <c r="A1959" s="1">
        <v>42135</v>
      </c>
      <c r="B1959">
        <v>132</v>
      </c>
      <c r="C1959" s="6">
        <f>IF('weather data'!C1959&gt;'user input'!$C$3,'user input'!$C$3,'weather data'!C1959)</f>
        <v>15</v>
      </c>
      <c r="D1959" s="6">
        <f>IF('weather data'!D1959&lt;'user input'!$C$2,'user input'!$C$2,'weather data'!D1959)</f>
        <v>10.555555555555555</v>
      </c>
      <c r="E1959">
        <f t="shared" si="31"/>
        <v>12.777777777777779</v>
      </c>
      <c r="F1959">
        <f>IF((E1959-'user input'!$C$2)&lt;0,0,E1959-'user input'!$C$2)</f>
        <v>2.7777777777777786</v>
      </c>
      <c r="G1959">
        <f>IF(B1959&lt;'user input'!$C$5,0,(F1959+G1958))</f>
        <v>75.277777777777771</v>
      </c>
      <c r="H1959">
        <f>G1959/'user input'!$C$4</f>
        <v>6.2731481481481471E-2</v>
      </c>
    </row>
    <row r="1960" spans="1:8" x14ac:dyDescent="0.2">
      <c r="A1960" s="1">
        <v>42136</v>
      </c>
      <c r="B1960">
        <v>133</v>
      </c>
      <c r="C1960" s="6">
        <f>IF('weather data'!C1960&gt;'user input'!$C$3,'user input'!$C$3,'weather data'!C1960)</f>
        <v>17.777777777777779</v>
      </c>
      <c r="D1960" s="6">
        <f>IF('weather data'!D1960&lt;'user input'!$C$2,'user input'!$C$2,'weather data'!D1960)</f>
        <v>10</v>
      </c>
      <c r="E1960">
        <f t="shared" si="31"/>
        <v>13.888888888888889</v>
      </c>
      <c r="F1960">
        <f>IF((E1960-'user input'!$C$2)&lt;0,0,E1960-'user input'!$C$2)</f>
        <v>3.8888888888888893</v>
      </c>
      <c r="G1960">
        <f>IF(B1960&lt;'user input'!$C$5,0,(F1960+G1959))</f>
        <v>79.166666666666657</v>
      </c>
      <c r="H1960">
        <f>G1960/'user input'!$C$4</f>
        <v>6.597222222222221E-2</v>
      </c>
    </row>
    <row r="1961" spans="1:8" x14ac:dyDescent="0.2">
      <c r="A1961" s="1">
        <v>42137</v>
      </c>
      <c r="B1961">
        <v>134</v>
      </c>
      <c r="C1961" s="6">
        <f>IF('weather data'!C1961&gt;'user input'!$C$3,'user input'!$C$3,'weather data'!C1961)</f>
        <v>11.666666666666668</v>
      </c>
      <c r="D1961" s="6">
        <f>IF('weather data'!D1961&lt;'user input'!$C$2,'user input'!$C$2,'weather data'!D1961)</f>
        <v>10</v>
      </c>
      <c r="E1961">
        <f t="shared" si="31"/>
        <v>10.833333333333334</v>
      </c>
      <c r="F1961">
        <f>IF((E1961-'user input'!$C$2)&lt;0,0,E1961-'user input'!$C$2)</f>
        <v>0.83333333333333393</v>
      </c>
      <c r="G1961">
        <f>IF(B1961&lt;'user input'!$C$5,0,(F1961+G1960))</f>
        <v>79.999999999999986</v>
      </c>
      <c r="H1961">
        <f>G1961/'user input'!$C$4</f>
        <v>6.6666666666666652E-2</v>
      </c>
    </row>
    <row r="1962" spans="1:8" x14ac:dyDescent="0.2">
      <c r="A1962" s="1">
        <v>42138</v>
      </c>
      <c r="B1962">
        <v>135</v>
      </c>
      <c r="C1962" s="6">
        <f>IF('weather data'!C1962&gt;'user input'!$C$3,'user input'!$C$3,'weather data'!C1962)</f>
        <v>17.222222222222221</v>
      </c>
      <c r="D1962" s="6">
        <f>IF('weather data'!D1962&lt;'user input'!$C$2,'user input'!$C$2,'weather data'!D1962)</f>
        <v>10</v>
      </c>
      <c r="E1962">
        <f t="shared" si="31"/>
        <v>13.611111111111111</v>
      </c>
      <c r="F1962">
        <f>IF((E1962-'user input'!$C$2)&lt;0,0,E1962-'user input'!$C$2)</f>
        <v>3.6111111111111107</v>
      </c>
      <c r="G1962">
        <f>IF(B1962&lt;'user input'!$C$5,0,(F1962+G1961))</f>
        <v>83.6111111111111</v>
      </c>
      <c r="H1962">
        <f>G1962/'user input'!$C$4</f>
        <v>6.9675925925925919E-2</v>
      </c>
    </row>
    <row r="1963" spans="1:8" x14ac:dyDescent="0.2">
      <c r="A1963" s="1">
        <v>42139</v>
      </c>
      <c r="B1963">
        <v>136</v>
      </c>
      <c r="C1963" s="6">
        <f>IF('weather data'!C1963&gt;'user input'!$C$3,'user input'!$C$3,'weather data'!C1963)</f>
        <v>18.333333333333332</v>
      </c>
      <c r="D1963" s="6">
        <f>IF('weather data'!D1963&lt;'user input'!$C$2,'user input'!$C$2,'weather data'!D1963)</f>
        <v>10</v>
      </c>
      <c r="E1963">
        <f t="shared" si="31"/>
        <v>14.166666666666666</v>
      </c>
      <c r="F1963">
        <f>IF((E1963-'user input'!$C$2)&lt;0,0,E1963-'user input'!$C$2)</f>
        <v>4.1666666666666661</v>
      </c>
      <c r="G1963">
        <f>IF(B1963&lt;'user input'!$C$5,0,(F1963+G1962))</f>
        <v>87.777777777777771</v>
      </c>
      <c r="H1963">
        <f>G1963/'user input'!$C$4</f>
        <v>7.3148148148148143E-2</v>
      </c>
    </row>
    <row r="1964" spans="1:8" x14ac:dyDescent="0.2">
      <c r="A1964" s="1">
        <v>42140</v>
      </c>
      <c r="B1964">
        <v>137</v>
      </c>
      <c r="C1964" s="6">
        <f>IF('weather data'!C1964&gt;'user input'!$C$3,'user input'!$C$3,'weather data'!C1964)</f>
        <v>23.888888888888889</v>
      </c>
      <c r="D1964" s="6">
        <f>IF('weather data'!D1964&lt;'user input'!$C$2,'user input'!$C$2,'weather data'!D1964)</f>
        <v>13.333333333333332</v>
      </c>
      <c r="E1964">
        <f t="shared" si="31"/>
        <v>18.611111111111111</v>
      </c>
      <c r="F1964">
        <f>IF((E1964-'user input'!$C$2)&lt;0,0,E1964-'user input'!$C$2)</f>
        <v>8.6111111111111107</v>
      </c>
      <c r="G1964">
        <f>IF(B1964&lt;'user input'!$C$5,0,(F1964+G1963))</f>
        <v>96.388888888888886</v>
      </c>
      <c r="H1964">
        <f>G1964/'user input'!$C$4</f>
        <v>8.0324074074074076E-2</v>
      </c>
    </row>
    <row r="1965" spans="1:8" x14ac:dyDescent="0.2">
      <c r="A1965" s="1">
        <v>42141</v>
      </c>
      <c r="B1965">
        <v>138</v>
      </c>
      <c r="C1965" s="6">
        <f>IF('weather data'!C1965&gt;'user input'!$C$3,'user input'!$C$3,'weather data'!C1965)</f>
        <v>26.666666666666664</v>
      </c>
      <c r="D1965" s="6">
        <f>IF('weather data'!D1965&lt;'user input'!$C$2,'user input'!$C$2,'weather data'!D1965)</f>
        <v>16.111111111111111</v>
      </c>
      <c r="E1965">
        <f t="shared" si="31"/>
        <v>21.388888888888886</v>
      </c>
      <c r="F1965">
        <f>IF((E1965-'user input'!$C$2)&lt;0,0,E1965-'user input'!$C$2)</f>
        <v>11.388888888888886</v>
      </c>
      <c r="G1965">
        <f>IF(B1965&lt;'user input'!$C$5,0,(F1965+G1964))</f>
        <v>107.77777777777777</v>
      </c>
      <c r="H1965">
        <f>G1965/'user input'!$C$4</f>
        <v>8.9814814814814806E-2</v>
      </c>
    </row>
    <row r="1966" spans="1:8" x14ac:dyDescent="0.2">
      <c r="A1966" s="1">
        <v>42142</v>
      </c>
      <c r="B1966">
        <v>139</v>
      </c>
      <c r="C1966" s="6">
        <f>IF('weather data'!C1966&gt;'user input'!$C$3,'user input'!$C$3,'weather data'!C1966)</f>
        <v>27.222222222222221</v>
      </c>
      <c r="D1966" s="6">
        <f>IF('weather data'!D1966&lt;'user input'!$C$2,'user input'!$C$2,'weather data'!D1966)</f>
        <v>14.444444444444445</v>
      </c>
      <c r="E1966">
        <f t="shared" si="31"/>
        <v>20.833333333333332</v>
      </c>
      <c r="F1966">
        <f>IF((E1966-'user input'!$C$2)&lt;0,0,E1966-'user input'!$C$2)</f>
        <v>10.833333333333332</v>
      </c>
      <c r="G1966">
        <f>IF(B1966&lt;'user input'!$C$5,0,(F1966+G1965))</f>
        <v>118.6111111111111</v>
      </c>
      <c r="H1966">
        <f>G1966/'user input'!$C$4</f>
        <v>9.8842592592592579E-2</v>
      </c>
    </row>
    <row r="1967" spans="1:8" x14ac:dyDescent="0.2">
      <c r="A1967" s="1">
        <v>42143</v>
      </c>
      <c r="B1967">
        <v>140</v>
      </c>
      <c r="C1967" s="6">
        <f>IF('weather data'!C1967&gt;'user input'!$C$3,'user input'!$C$3,'weather data'!C1967)</f>
        <v>15</v>
      </c>
      <c r="D1967" s="6">
        <f>IF('weather data'!D1967&lt;'user input'!$C$2,'user input'!$C$2,'weather data'!D1967)</f>
        <v>10</v>
      </c>
      <c r="E1967">
        <f t="shared" si="31"/>
        <v>12.5</v>
      </c>
      <c r="F1967">
        <f>IF((E1967-'user input'!$C$2)&lt;0,0,E1967-'user input'!$C$2)</f>
        <v>2.5</v>
      </c>
      <c r="G1967">
        <f>IF(B1967&lt;'user input'!$C$5,0,(F1967+G1966))</f>
        <v>121.1111111111111</v>
      </c>
      <c r="H1967">
        <f>G1967/'user input'!$C$4</f>
        <v>0.10092592592592592</v>
      </c>
    </row>
    <row r="1968" spans="1:8" x14ac:dyDescent="0.2">
      <c r="A1968" s="1">
        <v>42144</v>
      </c>
      <c r="B1968">
        <v>141</v>
      </c>
      <c r="C1968" s="6">
        <f>IF('weather data'!C1968&gt;'user input'!$C$3,'user input'!$C$3,'weather data'!C1968)</f>
        <v>15</v>
      </c>
      <c r="D1968" s="6">
        <f>IF('weather data'!D1968&lt;'user input'!$C$2,'user input'!$C$2,'weather data'!D1968)</f>
        <v>10</v>
      </c>
      <c r="E1968">
        <f t="shared" si="31"/>
        <v>12.5</v>
      </c>
      <c r="F1968">
        <f>IF((E1968-'user input'!$C$2)&lt;0,0,E1968-'user input'!$C$2)</f>
        <v>2.5</v>
      </c>
      <c r="G1968">
        <f>IF(B1968&lt;'user input'!$C$5,0,(F1968+G1967))</f>
        <v>123.6111111111111</v>
      </c>
      <c r="H1968">
        <f>G1968/'user input'!$C$4</f>
        <v>0.10300925925925924</v>
      </c>
    </row>
    <row r="1969" spans="1:8" x14ac:dyDescent="0.2">
      <c r="A1969" s="1">
        <v>42145</v>
      </c>
      <c r="B1969">
        <v>142</v>
      </c>
      <c r="C1969" s="6">
        <f>IF('weather data'!C1969&gt;'user input'!$C$3,'user input'!$C$3,'weather data'!C1969)</f>
        <v>11.111111111111111</v>
      </c>
      <c r="D1969" s="6">
        <f>IF('weather data'!D1969&lt;'user input'!$C$2,'user input'!$C$2,'weather data'!D1969)</f>
        <v>10</v>
      </c>
      <c r="E1969">
        <f t="shared" si="31"/>
        <v>10.555555555555555</v>
      </c>
      <c r="F1969">
        <f>IF((E1969-'user input'!$C$2)&lt;0,0,E1969-'user input'!$C$2)</f>
        <v>0.55555555555555536</v>
      </c>
      <c r="G1969">
        <f>IF(B1969&lt;'user input'!$C$5,0,(F1969+G1968))</f>
        <v>124.16666666666666</v>
      </c>
      <c r="H1969">
        <f>G1969/'user input'!$C$4</f>
        <v>0.10347222222222222</v>
      </c>
    </row>
    <row r="1970" spans="1:8" x14ac:dyDescent="0.2">
      <c r="A1970" s="1">
        <v>42146</v>
      </c>
      <c r="B1970">
        <v>143</v>
      </c>
      <c r="C1970" s="6">
        <f>IF('weather data'!C1970&gt;'user input'!$C$3,'user input'!$C$3,'weather data'!C1970)</f>
        <v>23.888888888888889</v>
      </c>
      <c r="D1970" s="6">
        <f>IF('weather data'!D1970&lt;'user input'!$C$2,'user input'!$C$2,'weather data'!D1970)</f>
        <v>10</v>
      </c>
      <c r="E1970">
        <f t="shared" si="31"/>
        <v>16.944444444444443</v>
      </c>
      <c r="F1970">
        <f>IF((E1970-'user input'!$C$2)&lt;0,0,E1970-'user input'!$C$2)</f>
        <v>6.9444444444444429</v>
      </c>
      <c r="G1970">
        <f>IF(B1970&lt;'user input'!$C$5,0,(F1970+G1969))</f>
        <v>131.11111111111109</v>
      </c>
      <c r="H1970">
        <f>G1970/'user input'!$C$4</f>
        <v>0.10925925925925924</v>
      </c>
    </row>
    <row r="1971" spans="1:8" x14ac:dyDescent="0.2">
      <c r="A1971" s="1">
        <v>42147</v>
      </c>
      <c r="B1971">
        <v>144</v>
      </c>
      <c r="C1971" s="6">
        <f>IF('weather data'!C1971&gt;'user input'!$C$3,'user input'!$C$3,'weather data'!C1971)</f>
        <v>23.333333333333336</v>
      </c>
      <c r="D1971" s="6">
        <f>IF('weather data'!D1971&lt;'user input'!$C$2,'user input'!$C$2,'weather data'!D1971)</f>
        <v>10</v>
      </c>
      <c r="E1971">
        <f t="shared" si="31"/>
        <v>16.666666666666668</v>
      </c>
      <c r="F1971">
        <f>IF((E1971-'user input'!$C$2)&lt;0,0,E1971-'user input'!$C$2)</f>
        <v>6.6666666666666679</v>
      </c>
      <c r="G1971">
        <f>IF(B1971&lt;'user input'!$C$5,0,(F1971+G1970))</f>
        <v>137.77777777777774</v>
      </c>
      <c r="H1971">
        <f>G1971/'user input'!$C$4</f>
        <v>0.11481481481481479</v>
      </c>
    </row>
    <row r="1972" spans="1:8" x14ac:dyDescent="0.2">
      <c r="A1972" s="1">
        <v>42148</v>
      </c>
      <c r="B1972">
        <v>145</v>
      </c>
      <c r="C1972" s="6">
        <f>IF('weather data'!C1972&gt;'user input'!$C$3,'user input'!$C$3,'weather data'!C1972)</f>
        <v>26.666666666666664</v>
      </c>
      <c r="D1972" s="6">
        <f>IF('weather data'!D1972&lt;'user input'!$C$2,'user input'!$C$2,'weather data'!D1972)</f>
        <v>10</v>
      </c>
      <c r="E1972">
        <f t="shared" si="31"/>
        <v>18.333333333333332</v>
      </c>
      <c r="F1972">
        <f>IF((E1972-'user input'!$C$2)&lt;0,0,E1972-'user input'!$C$2)</f>
        <v>8.3333333333333321</v>
      </c>
      <c r="G1972">
        <f>IF(B1972&lt;'user input'!$C$5,0,(F1972+G1971))</f>
        <v>146.11111111111109</v>
      </c>
      <c r="H1972">
        <f>G1972/'user input'!$C$4</f>
        <v>0.12175925925925923</v>
      </c>
    </row>
    <row r="1973" spans="1:8" x14ac:dyDescent="0.2">
      <c r="A1973" s="1">
        <v>42149</v>
      </c>
      <c r="B1973">
        <v>146</v>
      </c>
      <c r="C1973" s="6">
        <f>IF('weather data'!C1973&gt;'user input'!$C$3,'user input'!$C$3,'weather data'!C1973)</f>
        <v>19.444444444444443</v>
      </c>
      <c r="D1973" s="6">
        <f>IF('weather data'!D1973&lt;'user input'!$C$2,'user input'!$C$2,'weather data'!D1973)</f>
        <v>13.888888888888889</v>
      </c>
      <c r="E1973">
        <f t="shared" si="31"/>
        <v>16.666666666666664</v>
      </c>
      <c r="F1973">
        <f>IF((E1973-'user input'!$C$2)&lt;0,0,E1973-'user input'!$C$2)</f>
        <v>6.6666666666666643</v>
      </c>
      <c r="G1973">
        <f>IF(B1973&lt;'user input'!$C$5,0,(F1973+G1972))</f>
        <v>152.77777777777774</v>
      </c>
      <c r="H1973">
        <f>G1973/'user input'!$C$4</f>
        <v>0.1273148148148148</v>
      </c>
    </row>
    <row r="1974" spans="1:8" x14ac:dyDescent="0.2">
      <c r="A1974" s="1">
        <v>42150</v>
      </c>
      <c r="B1974">
        <v>147</v>
      </c>
      <c r="C1974" s="6">
        <f>IF('weather data'!C1974&gt;'user input'!$C$3,'user input'!$C$3,'weather data'!C1974)</f>
        <v>25.555555555555554</v>
      </c>
      <c r="D1974" s="6">
        <f>IF('weather data'!D1974&lt;'user input'!$C$2,'user input'!$C$2,'weather data'!D1974)</f>
        <v>16.666666666666668</v>
      </c>
      <c r="E1974">
        <f t="shared" si="31"/>
        <v>21.111111111111111</v>
      </c>
      <c r="F1974">
        <f>IF((E1974-'user input'!$C$2)&lt;0,0,E1974-'user input'!$C$2)</f>
        <v>11.111111111111111</v>
      </c>
      <c r="G1974">
        <f>IF(B1974&lt;'user input'!$C$5,0,(F1974+G1973))</f>
        <v>163.88888888888886</v>
      </c>
      <c r="H1974">
        <f>G1974/'user input'!$C$4</f>
        <v>0.13657407407407404</v>
      </c>
    </row>
    <row r="1975" spans="1:8" x14ac:dyDescent="0.2">
      <c r="A1975" s="1">
        <v>42151</v>
      </c>
      <c r="B1975">
        <v>148</v>
      </c>
      <c r="C1975" s="6">
        <f>IF('weather data'!C1975&gt;'user input'!$C$3,'user input'!$C$3,'weather data'!C1975)</f>
        <v>23.888888888888889</v>
      </c>
      <c r="D1975" s="6">
        <f>IF('weather data'!D1975&lt;'user input'!$C$2,'user input'!$C$2,'weather data'!D1975)</f>
        <v>14.444444444444445</v>
      </c>
      <c r="E1975">
        <f t="shared" si="31"/>
        <v>19.166666666666668</v>
      </c>
      <c r="F1975">
        <f>IF((E1975-'user input'!$C$2)&lt;0,0,E1975-'user input'!$C$2)</f>
        <v>9.1666666666666679</v>
      </c>
      <c r="G1975">
        <f>IF(B1975&lt;'user input'!$C$5,0,(F1975+G1974))</f>
        <v>173.05555555555551</v>
      </c>
      <c r="H1975">
        <f>G1975/'user input'!$C$4</f>
        <v>0.14421296296296293</v>
      </c>
    </row>
    <row r="1976" spans="1:8" x14ac:dyDescent="0.2">
      <c r="A1976" s="1">
        <v>42152</v>
      </c>
      <c r="B1976">
        <v>149</v>
      </c>
      <c r="C1976" s="6">
        <f>IF('weather data'!C1976&gt;'user input'!$C$3,'user input'!$C$3,'weather data'!C1976)</f>
        <v>25.555555555555554</v>
      </c>
      <c r="D1976" s="6">
        <f>IF('weather data'!D1976&lt;'user input'!$C$2,'user input'!$C$2,'weather data'!D1976)</f>
        <v>12.222222222222223</v>
      </c>
      <c r="E1976">
        <f t="shared" si="31"/>
        <v>18.888888888888889</v>
      </c>
      <c r="F1976">
        <f>IF((E1976-'user input'!$C$2)&lt;0,0,E1976-'user input'!$C$2)</f>
        <v>8.8888888888888893</v>
      </c>
      <c r="G1976">
        <f>IF(B1976&lt;'user input'!$C$5,0,(F1976+G1975))</f>
        <v>181.9444444444444</v>
      </c>
      <c r="H1976">
        <f>G1976/'user input'!$C$4</f>
        <v>0.15162037037037032</v>
      </c>
    </row>
    <row r="1977" spans="1:8" x14ac:dyDescent="0.2">
      <c r="A1977" s="1">
        <v>42153</v>
      </c>
      <c r="B1977">
        <v>150</v>
      </c>
      <c r="C1977" s="6">
        <f>IF('weather data'!C1977&gt;'user input'!$C$3,'user input'!$C$3,'weather data'!C1977)</f>
        <v>27.777777777777779</v>
      </c>
      <c r="D1977" s="6">
        <f>IF('weather data'!D1977&lt;'user input'!$C$2,'user input'!$C$2,'weather data'!D1977)</f>
        <v>12.777777777777777</v>
      </c>
      <c r="E1977">
        <f t="shared" si="31"/>
        <v>20.277777777777779</v>
      </c>
      <c r="F1977">
        <f>IF((E1977-'user input'!$C$2)&lt;0,0,E1977-'user input'!$C$2)</f>
        <v>10.277777777777779</v>
      </c>
      <c r="G1977">
        <f>IF(B1977&lt;'user input'!$C$5,0,(F1977+G1976))</f>
        <v>192.22222222222217</v>
      </c>
      <c r="H1977">
        <f>G1977/'user input'!$C$4</f>
        <v>0.16018518518518515</v>
      </c>
    </row>
    <row r="1978" spans="1:8" x14ac:dyDescent="0.2">
      <c r="A1978" s="1">
        <v>42154</v>
      </c>
      <c r="B1978">
        <v>151</v>
      </c>
      <c r="C1978" s="6">
        <f>IF('weather data'!C1978&gt;'user input'!$C$3,'user input'!$C$3,'weather data'!C1978)</f>
        <v>25.555555555555554</v>
      </c>
      <c r="D1978" s="6">
        <f>IF('weather data'!D1978&lt;'user input'!$C$2,'user input'!$C$2,'weather data'!D1978)</f>
        <v>16.666666666666668</v>
      </c>
      <c r="E1978">
        <f t="shared" si="31"/>
        <v>21.111111111111111</v>
      </c>
      <c r="F1978">
        <f>IF((E1978-'user input'!$C$2)&lt;0,0,E1978-'user input'!$C$2)</f>
        <v>11.111111111111111</v>
      </c>
      <c r="G1978">
        <f>IF(B1978&lt;'user input'!$C$5,0,(F1978+G1977))</f>
        <v>203.33333333333329</v>
      </c>
      <c r="H1978">
        <f>G1978/'user input'!$C$4</f>
        <v>0.1694444444444444</v>
      </c>
    </row>
    <row r="1979" spans="1:8" x14ac:dyDescent="0.2">
      <c r="A1979" s="1">
        <v>42155</v>
      </c>
      <c r="B1979">
        <v>152</v>
      </c>
      <c r="C1979" s="6">
        <f>IF('weather data'!C1979&gt;'user input'!$C$3,'user input'!$C$3,'weather data'!C1979)</f>
        <v>18.333333333333332</v>
      </c>
      <c r="D1979" s="6">
        <f>IF('weather data'!D1979&lt;'user input'!$C$2,'user input'!$C$2,'weather data'!D1979)</f>
        <v>10</v>
      </c>
      <c r="E1979">
        <f t="shared" si="31"/>
        <v>14.166666666666666</v>
      </c>
      <c r="F1979">
        <f>IF((E1979-'user input'!$C$2)&lt;0,0,E1979-'user input'!$C$2)</f>
        <v>4.1666666666666661</v>
      </c>
      <c r="G1979">
        <f>IF(B1979&lt;'user input'!$C$5,0,(F1979+G1978))</f>
        <v>207.49999999999994</v>
      </c>
      <c r="H1979">
        <f>G1979/'user input'!$C$4</f>
        <v>0.17291666666666661</v>
      </c>
    </row>
    <row r="1980" spans="1:8" x14ac:dyDescent="0.2">
      <c r="A1980" s="1">
        <v>42156</v>
      </c>
      <c r="B1980">
        <v>153</v>
      </c>
      <c r="C1980" s="6">
        <f>IF('weather data'!C1980&gt;'user input'!$C$3,'user input'!$C$3,'weather data'!C1980)</f>
        <v>17.222222222222221</v>
      </c>
      <c r="D1980" s="6">
        <f>IF('weather data'!D1980&lt;'user input'!$C$2,'user input'!$C$2,'weather data'!D1980)</f>
        <v>10</v>
      </c>
      <c r="E1980">
        <f t="shared" si="31"/>
        <v>13.611111111111111</v>
      </c>
      <c r="F1980">
        <f>IF((E1980-'user input'!$C$2)&lt;0,0,E1980-'user input'!$C$2)</f>
        <v>3.6111111111111107</v>
      </c>
      <c r="G1980">
        <f>IF(B1980&lt;'user input'!$C$5,0,(F1980+G1979))</f>
        <v>211.11111111111106</v>
      </c>
      <c r="H1980">
        <f>G1980/'user input'!$C$4</f>
        <v>0.17592592592592587</v>
      </c>
    </row>
    <row r="1981" spans="1:8" x14ac:dyDescent="0.2">
      <c r="A1981" s="1">
        <v>42157</v>
      </c>
      <c r="B1981">
        <v>154</v>
      </c>
      <c r="C1981" s="6">
        <f>IF('weather data'!C1981&gt;'user input'!$C$3,'user input'!$C$3,'weather data'!C1981)</f>
        <v>20</v>
      </c>
      <c r="D1981" s="6">
        <f>IF('weather data'!D1981&lt;'user input'!$C$2,'user input'!$C$2,'weather data'!D1981)</f>
        <v>10</v>
      </c>
      <c r="E1981">
        <f t="shared" si="31"/>
        <v>15</v>
      </c>
      <c r="F1981">
        <f>IF((E1981-'user input'!$C$2)&lt;0,0,E1981-'user input'!$C$2)</f>
        <v>5</v>
      </c>
      <c r="G1981">
        <f>IF(B1981&lt;'user input'!$C$5,0,(F1981+G1980))</f>
        <v>216.11111111111106</v>
      </c>
      <c r="H1981">
        <f>G1981/'user input'!$C$4</f>
        <v>0.18009259259259255</v>
      </c>
    </row>
    <row r="1982" spans="1:8" x14ac:dyDescent="0.2">
      <c r="A1982" s="1">
        <v>42158</v>
      </c>
      <c r="B1982">
        <v>155</v>
      </c>
      <c r="C1982" s="6">
        <f>IF('weather data'!C1982&gt;'user input'!$C$3,'user input'!$C$3,'weather data'!C1982)</f>
        <v>22.222222222222221</v>
      </c>
      <c r="D1982" s="6">
        <f>IF('weather data'!D1982&lt;'user input'!$C$2,'user input'!$C$2,'weather data'!D1982)</f>
        <v>10</v>
      </c>
      <c r="E1982">
        <f t="shared" si="31"/>
        <v>16.111111111111111</v>
      </c>
      <c r="F1982">
        <f>IF((E1982-'user input'!$C$2)&lt;0,0,E1982-'user input'!$C$2)</f>
        <v>6.1111111111111107</v>
      </c>
      <c r="G1982">
        <f>IF(B1982&lt;'user input'!$C$5,0,(F1982+G1981))</f>
        <v>222.22222222222217</v>
      </c>
      <c r="H1982">
        <f>G1982/'user input'!$C$4</f>
        <v>0.18518518518518515</v>
      </c>
    </row>
    <row r="1983" spans="1:8" x14ac:dyDescent="0.2">
      <c r="A1983" s="1">
        <v>42159</v>
      </c>
      <c r="B1983">
        <v>156</v>
      </c>
      <c r="C1983" s="6">
        <f>IF('weather data'!C1983&gt;'user input'!$C$3,'user input'!$C$3,'weather data'!C1983)</f>
        <v>25</v>
      </c>
      <c r="D1983" s="6">
        <f>IF('weather data'!D1983&lt;'user input'!$C$2,'user input'!$C$2,'weather data'!D1983)</f>
        <v>13.333333333333332</v>
      </c>
      <c r="E1983">
        <f t="shared" si="31"/>
        <v>19.166666666666664</v>
      </c>
      <c r="F1983">
        <f>IF((E1983-'user input'!$C$2)&lt;0,0,E1983-'user input'!$C$2)</f>
        <v>9.1666666666666643</v>
      </c>
      <c r="G1983">
        <f>IF(B1983&lt;'user input'!$C$5,0,(F1983+G1982))</f>
        <v>231.38888888888883</v>
      </c>
      <c r="H1983">
        <f>G1983/'user input'!$C$4</f>
        <v>0.19282407407407404</v>
      </c>
    </row>
    <row r="1984" spans="1:8" x14ac:dyDescent="0.2">
      <c r="A1984" s="1">
        <v>42160</v>
      </c>
      <c r="B1984">
        <v>157</v>
      </c>
      <c r="C1984" s="6">
        <f>IF('weather data'!C1984&gt;'user input'!$C$3,'user input'!$C$3,'weather data'!C1984)</f>
        <v>26.666666666666664</v>
      </c>
      <c r="D1984" s="6">
        <f>IF('weather data'!D1984&lt;'user input'!$C$2,'user input'!$C$2,'weather data'!D1984)</f>
        <v>14.444444444444445</v>
      </c>
      <c r="E1984">
        <f t="shared" si="31"/>
        <v>20.555555555555554</v>
      </c>
      <c r="F1984">
        <f>IF((E1984-'user input'!$C$2)&lt;0,0,E1984-'user input'!$C$2)</f>
        <v>10.555555555555554</v>
      </c>
      <c r="G1984">
        <f>IF(B1984&lt;'user input'!$C$5,0,(F1984+G1983))</f>
        <v>241.94444444444437</v>
      </c>
      <c r="H1984">
        <f>G1984/'user input'!$C$4</f>
        <v>0.20162037037037031</v>
      </c>
    </row>
    <row r="1985" spans="1:8" x14ac:dyDescent="0.2">
      <c r="A1985" s="1">
        <v>42161</v>
      </c>
      <c r="B1985">
        <v>158</v>
      </c>
      <c r="C1985" s="6">
        <f>IF('weather data'!C1985&gt;'user input'!$C$3,'user input'!$C$3,'weather data'!C1985)</f>
        <v>22.222222222222221</v>
      </c>
      <c r="D1985" s="6">
        <f>IF('weather data'!D1985&lt;'user input'!$C$2,'user input'!$C$2,'weather data'!D1985)</f>
        <v>10</v>
      </c>
      <c r="E1985">
        <f t="shared" si="31"/>
        <v>16.111111111111111</v>
      </c>
      <c r="F1985">
        <f>IF((E1985-'user input'!$C$2)&lt;0,0,E1985-'user input'!$C$2)</f>
        <v>6.1111111111111107</v>
      </c>
      <c r="G1985">
        <f>IF(B1985&lt;'user input'!$C$5,0,(F1985+G1984))</f>
        <v>248.05555555555549</v>
      </c>
      <c r="H1985">
        <f>G1985/'user input'!$C$4</f>
        <v>0.2067129629629629</v>
      </c>
    </row>
    <row r="1986" spans="1:8" x14ac:dyDescent="0.2">
      <c r="A1986" s="1">
        <v>42162</v>
      </c>
      <c r="B1986">
        <v>159</v>
      </c>
      <c r="C1986" s="6">
        <f>IF('weather data'!C1986&gt;'user input'!$C$3,'user input'!$C$3,'weather data'!C1986)</f>
        <v>24.444444444444446</v>
      </c>
      <c r="D1986" s="6">
        <f>IF('weather data'!D1986&lt;'user input'!$C$2,'user input'!$C$2,'weather data'!D1986)</f>
        <v>11.666666666666668</v>
      </c>
      <c r="E1986">
        <f t="shared" si="31"/>
        <v>18.055555555555557</v>
      </c>
      <c r="F1986">
        <f>IF((E1986-'user input'!$C$2)&lt;0,0,E1986-'user input'!$C$2)</f>
        <v>8.0555555555555571</v>
      </c>
      <c r="G1986">
        <f>IF(B1986&lt;'user input'!$C$5,0,(F1986+G1985))</f>
        <v>256.11111111111103</v>
      </c>
      <c r="H1986">
        <f>G1986/'user input'!$C$4</f>
        <v>0.21342592592592585</v>
      </c>
    </row>
    <row r="1987" spans="1:8" x14ac:dyDescent="0.2">
      <c r="A1987" s="1">
        <v>42163</v>
      </c>
      <c r="B1987">
        <v>160</v>
      </c>
      <c r="C1987" s="6">
        <f>IF('weather data'!C1987&gt;'user input'!$C$3,'user input'!$C$3,'weather data'!C1987)</f>
        <v>28.333333333333336</v>
      </c>
      <c r="D1987" s="6">
        <f>IF('weather data'!D1987&lt;'user input'!$C$2,'user input'!$C$2,'weather data'!D1987)</f>
        <v>16.111111111111111</v>
      </c>
      <c r="E1987">
        <f t="shared" si="31"/>
        <v>22.222222222222221</v>
      </c>
      <c r="F1987">
        <f>IF((E1987-'user input'!$C$2)&lt;0,0,E1987-'user input'!$C$2)</f>
        <v>12.222222222222221</v>
      </c>
      <c r="G1987">
        <f>IF(B1987&lt;'user input'!$C$5,0,(F1987+G1986))</f>
        <v>268.33333333333326</v>
      </c>
      <c r="H1987">
        <f>G1987/'user input'!$C$4</f>
        <v>0.22361111111111104</v>
      </c>
    </row>
    <row r="1988" spans="1:8" x14ac:dyDescent="0.2">
      <c r="A1988" s="1">
        <v>42164</v>
      </c>
      <c r="B1988">
        <v>161</v>
      </c>
      <c r="C1988" s="6">
        <f>IF('weather data'!C1988&gt;'user input'!$C$3,'user input'!$C$3,'weather data'!C1988)</f>
        <v>26.111111111111111</v>
      </c>
      <c r="D1988" s="6">
        <f>IF('weather data'!D1988&lt;'user input'!$C$2,'user input'!$C$2,'weather data'!D1988)</f>
        <v>11.666666666666668</v>
      </c>
      <c r="E1988">
        <f t="shared" si="31"/>
        <v>18.888888888888889</v>
      </c>
      <c r="F1988">
        <f>IF((E1988-'user input'!$C$2)&lt;0,0,E1988-'user input'!$C$2)</f>
        <v>8.8888888888888893</v>
      </c>
      <c r="G1988">
        <f>IF(B1988&lt;'user input'!$C$5,0,(F1988+G1987))</f>
        <v>277.22222222222217</v>
      </c>
      <c r="H1988">
        <f>G1988/'user input'!$C$4</f>
        <v>0.23101851851851848</v>
      </c>
    </row>
    <row r="1989" spans="1:8" x14ac:dyDescent="0.2">
      <c r="A1989" s="1">
        <v>42165</v>
      </c>
      <c r="B1989">
        <v>162</v>
      </c>
      <c r="C1989" s="6">
        <f>IF('weather data'!C1989&gt;'user input'!$C$3,'user input'!$C$3,'weather data'!C1989)</f>
        <v>30</v>
      </c>
      <c r="D1989" s="6">
        <f>IF('weather data'!D1989&lt;'user input'!$C$2,'user input'!$C$2,'weather data'!D1989)</f>
        <v>12.222222222222223</v>
      </c>
      <c r="E1989">
        <f t="shared" si="31"/>
        <v>21.111111111111111</v>
      </c>
      <c r="F1989">
        <f>IF((E1989-'user input'!$C$2)&lt;0,0,E1989-'user input'!$C$2)</f>
        <v>11.111111111111111</v>
      </c>
      <c r="G1989">
        <f>IF(B1989&lt;'user input'!$C$5,0,(F1989+G1988))</f>
        <v>288.33333333333326</v>
      </c>
      <c r="H1989">
        <f>G1989/'user input'!$C$4</f>
        <v>0.2402777777777777</v>
      </c>
    </row>
    <row r="1990" spans="1:8" x14ac:dyDescent="0.2">
      <c r="A1990" s="1">
        <v>42166</v>
      </c>
      <c r="B1990">
        <v>163</v>
      </c>
      <c r="C1990" s="6">
        <f>IF('weather data'!C1990&gt;'user input'!$C$3,'user input'!$C$3,'weather data'!C1990)</f>
        <v>28.333333333333336</v>
      </c>
      <c r="D1990" s="6">
        <f>IF('weather data'!D1990&lt;'user input'!$C$2,'user input'!$C$2,'weather data'!D1990)</f>
        <v>13.888888888888889</v>
      </c>
      <c r="E1990">
        <f t="shared" si="31"/>
        <v>21.111111111111114</v>
      </c>
      <c r="F1990">
        <f>IF((E1990-'user input'!$C$2)&lt;0,0,E1990-'user input'!$C$2)</f>
        <v>11.111111111111114</v>
      </c>
      <c r="G1990">
        <f>IF(B1990&lt;'user input'!$C$5,0,(F1990+G1989))</f>
        <v>299.44444444444434</v>
      </c>
      <c r="H1990">
        <f>G1990/'user input'!$C$4</f>
        <v>0.24953703703703695</v>
      </c>
    </row>
    <row r="1991" spans="1:8" x14ac:dyDescent="0.2">
      <c r="A1991" s="1">
        <v>42167</v>
      </c>
      <c r="B1991">
        <v>164</v>
      </c>
      <c r="C1991" s="6">
        <f>IF('weather data'!C1991&gt;'user input'!$C$3,'user input'!$C$3,'weather data'!C1991)</f>
        <v>18.333333333333332</v>
      </c>
      <c r="D1991" s="6">
        <f>IF('weather data'!D1991&lt;'user input'!$C$2,'user input'!$C$2,'weather data'!D1991)</f>
        <v>13.888888888888889</v>
      </c>
      <c r="E1991">
        <f t="shared" si="31"/>
        <v>16.111111111111111</v>
      </c>
      <c r="F1991">
        <f>IF((E1991-'user input'!$C$2)&lt;0,0,E1991-'user input'!$C$2)</f>
        <v>6.1111111111111107</v>
      </c>
      <c r="G1991">
        <f>IF(B1991&lt;'user input'!$C$5,0,(F1991+G1990))</f>
        <v>305.55555555555543</v>
      </c>
      <c r="H1991">
        <f>G1991/'user input'!$C$4</f>
        <v>0.25462962962962954</v>
      </c>
    </row>
    <row r="1992" spans="1:8" x14ac:dyDescent="0.2">
      <c r="A1992" s="1">
        <v>42168</v>
      </c>
      <c r="B1992">
        <v>165</v>
      </c>
      <c r="C1992" s="6">
        <f>IF('weather data'!C1992&gt;'user input'!$C$3,'user input'!$C$3,'weather data'!C1992)</f>
        <v>20</v>
      </c>
      <c r="D1992" s="6">
        <f>IF('weather data'!D1992&lt;'user input'!$C$2,'user input'!$C$2,'weather data'!D1992)</f>
        <v>13.888888888888889</v>
      </c>
      <c r="E1992">
        <f t="shared" si="31"/>
        <v>16.944444444444443</v>
      </c>
      <c r="F1992">
        <f>IF((E1992-'user input'!$C$2)&lt;0,0,E1992-'user input'!$C$2)</f>
        <v>6.9444444444444429</v>
      </c>
      <c r="G1992">
        <f>IF(B1992&lt;'user input'!$C$5,0,(F1992+G1991))</f>
        <v>312.49999999999989</v>
      </c>
      <c r="H1992">
        <f>G1992/'user input'!$C$4</f>
        <v>0.26041666666666657</v>
      </c>
    </row>
    <row r="1993" spans="1:8" x14ac:dyDescent="0.2">
      <c r="A1993" s="1">
        <v>42169</v>
      </c>
      <c r="B1993">
        <v>166</v>
      </c>
      <c r="C1993" s="6">
        <f>IF('weather data'!C1993&gt;'user input'!$C$3,'user input'!$C$3,'weather data'!C1993)</f>
        <v>22.222222222222221</v>
      </c>
      <c r="D1993" s="6">
        <f>IF('weather data'!D1993&lt;'user input'!$C$2,'user input'!$C$2,'weather data'!D1993)</f>
        <v>15.555555555555555</v>
      </c>
      <c r="E1993">
        <f t="shared" si="31"/>
        <v>18.888888888888889</v>
      </c>
      <c r="F1993">
        <f>IF((E1993-'user input'!$C$2)&lt;0,0,E1993-'user input'!$C$2)</f>
        <v>8.8888888888888893</v>
      </c>
      <c r="G1993">
        <f>IF(B1993&lt;'user input'!$C$5,0,(F1993+G1992))</f>
        <v>321.3888888888888</v>
      </c>
      <c r="H1993">
        <f>G1993/'user input'!$C$4</f>
        <v>0.26782407407407399</v>
      </c>
    </row>
    <row r="1994" spans="1:8" x14ac:dyDescent="0.2">
      <c r="A1994" s="1">
        <v>42170</v>
      </c>
      <c r="B1994">
        <v>167</v>
      </c>
      <c r="C1994" s="6">
        <f>IF('weather data'!C1994&gt;'user input'!$C$3,'user input'!$C$3,'weather data'!C1994)</f>
        <v>28.333333333333336</v>
      </c>
      <c r="D1994" s="6">
        <f>IF('weather data'!D1994&lt;'user input'!$C$2,'user input'!$C$2,'weather data'!D1994)</f>
        <v>17.777777777777779</v>
      </c>
      <c r="E1994">
        <f t="shared" si="31"/>
        <v>23.055555555555557</v>
      </c>
      <c r="F1994">
        <f>IF((E1994-'user input'!$C$2)&lt;0,0,E1994-'user input'!$C$2)</f>
        <v>13.055555555555557</v>
      </c>
      <c r="G1994">
        <f>IF(B1994&lt;'user input'!$C$5,0,(F1994+G1993))</f>
        <v>334.44444444444434</v>
      </c>
      <c r="H1994">
        <f>G1994/'user input'!$C$4</f>
        <v>0.27870370370370362</v>
      </c>
    </row>
    <row r="1995" spans="1:8" x14ac:dyDescent="0.2">
      <c r="A1995" s="1">
        <v>42171</v>
      </c>
      <c r="B1995">
        <v>168</v>
      </c>
      <c r="C1995" s="6">
        <f>IF('weather data'!C1995&gt;'user input'!$C$3,'user input'!$C$3,'weather data'!C1995)</f>
        <v>26.111111111111111</v>
      </c>
      <c r="D1995" s="6">
        <f>IF('weather data'!D1995&lt;'user input'!$C$2,'user input'!$C$2,'weather data'!D1995)</f>
        <v>12.222222222222223</v>
      </c>
      <c r="E1995">
        <f t="shared" si="31"/>
        <v>19.166666666666668</v>
      </c>
      <c r="F1995">
        <f>IF((E1995-'user input'!$C$2)&lt;0,0,E1995-'user input'!$C$2)</f>
        <v>9.1666666666666679</v>
      </c>
      <c r="G1995">
        <f>IF(B1995&lt;'user input'!$C$5,0,(F1995+G1994))</f>
        <v>343.61111111111103</v>
      </c>
      <c r="H1995">
        <f>G1995/'user input'!$C$4</f>
        <v>0.28634259259259254</v>
      </c>
    </row>
    <row r="1996" spans="1:8" x14ac:dyDescent="0.2">
      <c r="A1996" s="1">
        <v>42172</v>
      </c>
      <c r="B1996">
        <v>169</v>
      </c>
      <c r="C1996" s="6">
        <f>IF('weather data'!C1996&gt;'user input'!$C$3,'user input'!$C$3,'weather data'!C1996)</f>
        <v>25.555555555555554</v>
      </c>
      <c r="D1996" s="6">
        <f>IF('weather data'!D1996&lt;'user input'!$C$2,'user input'!$C$2,'weather data'!D1996)</f>
        <v>12.222222222222223</v>
      </c>
      <c r="E1996">
        <f t="shared" si="31"/>
        <v>18.888888888888889</v>
      </c>
      <c r="F1996">
        <f>IF((E1996-'user input'!$C$2)&lt;0,0,E1996-'user input'!$C$2)</f>
        <v>8.8888888888888893</v>
      </c>
      <c r="G1996">
        <f>IF(B1996&lt;'user input'!$C$5,0,(F1996+G1995))</f>
        <v>352.49999999999994</v>
      </c>
      <c r="H1996">
        <f>G1996/'user input'!$C$4</f>
        <v>0.29374999999999996</v>
      </c>
    </row>
    <row r="1997" spans="1:8" x14ac:dyDescent="0.2">
      <c r="A1997" s="1">
        <v>42173</v>
      </c>
      <c r="B1997">
        <v>170</v>
      </c>
      <c r="C1997" s="6">
        <f>IF('weather data'!C1997&gt;'user input'!$C$3,'user input'!$C$3,'weather data'!C1997)</f>
        <v>26.111111111111111</v>
      </c>
      <c r="D1997" s="6">
        <f>IF('weather data'!D1997&lt;'user input'!$C$2,'user input'!$C$2,'weather data'!D1997)</f>
        <v>12.777777777777777</v>
      </c>
      <c r="E1997">
        <f t="shared" si="31"/>
        <v>19.444444444444443</v>
      </c>
      <c r="F1997">
        <f>IF((E1997-'user input'!$C$2)&lt;0,0,E1997-'user input'!$C$2)</f>
        <v>9.4444444444444429</v>
      </c>
      <c r="G1997">
        <f>IF(B1997&lt;'user input'!$C$5,0,(F1997+G1996))</f>
        <v>361.9444444444444</v>
      </c>
      <c r="H1997">
        <f>G1997/'user input'!$C$4</f>
        <v>0.30162037037037032</v>
      </c>
    </row>
    <row r="1998" spans="1:8" x14ac:dyDescent="0.2">
      <c r="A1998" s="1">
        <v>42174</v>
      </c>
      <c r="B1998">
        <v>171</v>
      </c>
      <c r="C1998" s="6">
        <f>IF('weather data'!C1998&gt;'user input'!$C$3,'user input'!$C$3,'weather data'!C1998)</f>
        <v>25.555555555555554</v>
      </c>
      <c r="D1998" s="6">
        <f>IF('weather data'!D1998&lt;'user input'!$C$2,'user input'!$C$2,'weather data'!D1998)</f>
        <v>11.666666666666668</v>
      </c>
      <c r="E1998">
        <f t="shared" si="31"/>
        <v>18.611111111111111</v>
      </c>
      <c r="F1998">
        <f>IF((E1998-'user input'!$C$2)&lt;0,0,E1998-'user input'!$C$2)</f>
        <v>8.6111111111111107</v>
      </c>
      <c r="G1998">
        <f>IF(B1998&lt;'user input'!$C$5,0,(F1998+G1997))</f>
        <v>370.55555555555549</v>
      </c>
      <c r="H1998">
        <f>G1998/'user input'!$C$4</f>
        <v>0.30879629629629624</v>
      </c>
    </row>
    <row r="1999" spans="1:8" x14ac:dyDescent="0.2">
      <c r="A1999" s="1">
        <v>42175</v>
      </c>
      <c r="B1999">
        <v>172</v>
      </c>
      <c r="C1999" s="6">
        <f>IF('weather data'!C1999&gt;'user input'!$C$3,'user input'!$C$3,'weather data'!C1999)</f>
        <v>25.555555555555554</v>
      </c>
      <c r="D1999" s="6">
        <f>IF('weather data'!D1999&lt;'user input'!$C$2,'user input'!$C$2,'weather data'!D1999)</f>
        <v>10.555555555555555</v>
      </c>
      <c r="E1999">
        <f t="shared" si="31"/>
        <v>18.055555555555554</v>
      </c>
      <c r="F1999">
        <f>IF((E1999-'user input'!$C$2)&lt;0,0,E1999-'user input'!$C$2)</f>
        <v>8.0555555555555536</v>
      </c>
      <c r="G1999">
        <f>IF(B1999&lt;'user input'!$C$5,0,(F1999+G1998))</f>
        <v>378.61111111111103</v>
      </c>
      <c r="H1999">
        <f>G1999/'user input'!$C$4</f>
        <v>0.31550925925925921</v>
      </c>
    </row>
    <row r="2000" spans="1:8" x14ac:dyDescent="0.2">
      <c r="A2000" s="1">
        <v>42176</v>
      </c>
      <c r="B2000">
        <v>173</v>
      </c>
      <c r="C2000" s="6">
        <f>IF('weather data'!C2000&gt;'user input'!$C$3,'user input'!$C$3,'weather data'!C2000)</f>
        <v>25.555555555555554</v>
      </c>
      <c r="D2000" s="6">
        <f>IF('weather data'!D2000&lt;'user input'!$C$2,'user input'!$C$2,'weather data'!D2000)</f>
        <v>10.555555555555555</v>
      </c>
      <c r="E2000">
        <f t="shared" si="31"/>
        <v>18.055555555555554</v>
      </c>
      <c r="F2000">
        <f>IF((E2000-'user input'!$C$2)&lt;0,0,E2000-'user input'!$C$2)</f>
        <v>8.0555555555555536</v>
      </c>
      <c r="G2000">
        <f>IF(B2000&lt;'user input'!$C$5,0,(F2000+G1999))</f>
        <v>386.66666666666657</v>
      </c>
      <c r="H2000">
        <f>G2000/'user input'!$C$4</f>
        <v>0.32222222222222213</v>
      </c>
    </row>
    <row r="2001" spans="1:8" x14ac:dyDescent="0.2">
      <c r="A2001" s="1">
        <v>42177</v>
      </c>
      <c r="B2001">
        <v>174</v>
      </c>
      <c r="C2001" s="6">
        <f>IF('weather data'!C2001&gt;'user input'!$C$3,'user input'!$C$3,'weather data'!C2001)</f>
        <v>28.888888888888889</v>
      </c>
      <c r="D2001" s="6">
        <f>IF('weather data'!D2001&lt;'user input'!$C$2,'user input'!$C$2,'weather data'!D2001)</f>
        <v>15.555555555555555</v>
      </c>
      <c r="E2001">
        <f t="shared" si="31"/>
        <v>22.222222222222221</v>
      </c>
      <c r="F2001">
        <f>IF((E2001-'user input'!$C$2)&lt;0,0,E2001-'user input'!$C$2)</f>
        <v>12.222222222222221</v>
      </c>
      <c r="G2001">
        <f>IF(B2001&lt;'user input'!$C$5,0,(F2001+G2000))</f>
        <v>398.8888888888888</v>
      </c>
      <c r="H2001">
        <f>G2001/'user input'!$C$4</f>
        <v>0.33240740740740732</v>
      </c>
    </row>
    <row r="2002" spans="1:8" x14ac:dyDescent="0.2">
      <c r="A2002" s="1">
        <v>42178</v>
      </c>
      <c r="B2002">
        <v>175</v>
      </c>
      <c r="C2002" s="6">
        <f>IF('weather data'!C2002&gt;'user input'!$C$3,'user input'!$C$3,'weather data'!C2002)</f>
        <v>27.222222222222221</v>
      </c>
      <c r="D2002" s="6">
        <f>IF('weather data'!D2002&lt;'user input'!$C$2,'user input'!$C$2,'weather data'!D2002)</f>
        <v>12.777777777777777</v>
      </c>
      <c r="E2002">
        <f t="shared" ref="E2002:E2065" si="32">(C2002+D2002)/2</f>
        <v>20</v>
      </c>
      <c r="F2002">
        <f>IF((E2002-'user input'!$C$2)&lt;0,0,E2002-'user input'!$C$2)</f>
        <v>10</v>
      </c>
      <c r="G2002">
        <f>IF(B2002&lt;'user input'!$C$5,0,(F2002+G2001))</f>
        <v>408.8888888888888</v>
      </c>
      <c r="H2002">
        <f>G2002/'user input'!$C$4</f>
        <v>0.34074074074074068</v>
      </c>
    </row>
    <row r="2003" spans="1:8" x14ac:dyDescent="0.2">
      <c r="A2003" s="1">
        <v>42179</v>
      </c>
      <c r="B2003">
        <v>176</v>
      </c>
      <c r="C2003" s="6">
        <f>IF('weather data'!C2003&gt;'user input'!$C$3,'user input'!$C$3,'weather data'!C2003)</f>
        <v>26.111111111111111</v>
      </c>
      <c r="D2003" s="6">
        <f>IF('weather data'!D2003&lt;'user input'!$C$2,'user input'!$C$2,'weather data'!D2003)</f>
        <v>11.666666666666668</v>
      </c>
      <c r="E2003">
        <f t="shared" si="32"/>
        <v>18.888888888888889</v>
      </c>
      <c r="F2003">
        <f>IF((E2003-'user input'!$C$2)&lt;0,0,E2003-'user input'!$C$2)</f>
        <v>8.8888888888888893</v>
      </c>
      <c r="G2003">
        <f>IF(B2003&lt;'user input'!$C$5,0,(F2003+G2002))</f>
        <v>417.77777777777771</v>
      </c>
      <c r="H2003">
        <f>G2003/'user input'!$C$4</f>
        <v>0.3481481481481481</v>
      </c>
    </row>
    <row r="2004" spans="1:8" x14ac:dyDescent="0.2">
      <c r="A2004" s="1">
        <v>42180</v>
      </c>
      <c r="B2004">
        <v>177</v>
      </c>
      <c r="C2004" s="6">
        <f>IF('weather data'!C2004&gt;'user input'!$C$3,'user input'!$C$3,'weather data'!C2004)</f>
        <v>26.666666666666664</v>
      </c>
      <c r="D2004" s="6">
        <f>IF('weather data'!D2004&lt;'user input'!$C$2,'user input'!$C$2,'weather data'!D2004)</f>
        <v>13.333333333333332</v>
      </c>
      <c r="E2004">
        <f t="shared" si="32"/>
        <v>20</v>
      </c>
      <c r="F2004">
        <f>IF((E2004-'user input'!$C$2)&lt;0,0,E2004-'user input'!$C$2)</f>
        <v>10</v>
      </c>
      <c r="G2004">
        <f>IF(B2004&lt;'user input'!$C$5,0,(F2004+G2003))</f>
        <v>427.77777777777771</v>
      </c>
      <c r="H2004">
        <f>G2004/'user input'!$C$4</f>
        <v>0.35648148148148145</v>
      </c>
    </row>
    <row r="2005" spans="1:8" x14ac:dyDescent="0.2">
      <c r="A2005" s="1">
        <v>42181</v>
      </c>
      <c r="B2005">
        <v>178</v>
      </c>
      <c r="C2005" s="6">
        <f>IF('weather data'!C2005&gt;'user input'!$C$3,'user input'!$C$3,'weather data'!C2005)</f>
        <v>26.111111111111111</v>
      </c>
      <c r="D2005" s="6">
        <f>IF('weather data'!D2005&lt;'user input'!$C$2,'user input'!$C$2,'weather data'!D2005)</f>
        <v>15</v>
      </c>
      <c r="E2005">
        <f t="shared" si="32"/>
        <v>20.555555555555557</v>
      </c>
      <c r="F2005">
        <f>IF((E2005-'user input'!$C$2)&lt;0,0,E2005-'user input'!$C$2)</f>
        <v>10.555555555555557</v>
      </c>
      <c r="G2005">
        <f>IF(B2005&lt;'user input'!$C$5,0,(F2005+G2004))</f>
        <v>438.33333333333326</v>
      </c>
      <c r="H2005">
        <f>G2005/'user input'!$C$4</f>
        <v>0.3652777777777777</v>
      </c>
    </row>
    <row r="2006" spans="1:8" x14ac:dyDescent="0.2">
      <c r="A2006" s="1">
        <v>42182</v>
      </c>
      <c r="B2006">
        <v>179</v>
      </c>
      <c r="C2006" s="6">
        <f>IF('weather data'!C2006&gt;'user input'!$C$3,'user input'!$C$3,'weather data'!C2006)</f>
        <v>23.333333333333336</v>
      </c>
      <c r="D2006" s="6">
        <f>IF('weather data'!D2006&lt;'user input'!$C$2,'user input'!$C$2,'weather data'!D2006)</f>
        <v>13.333333333333332</v>
      </c>
      <c r="E2006">
        <f t="shared" si="32"/>
        <v>18.333333333333336</v>
      </c>
      <c r="F2006">
        <f>IF((E2006-'user input'!$C$2)&lt;0,0,E2006-'user input'!$C$2)</f>
        <v>8.3333333333333357</v>
      </c>
      <c r="G2006">
        <f>IF(B2006&lt;'user input'!$C$5,0,(F2006+G2005))</f>
        <v>446.66666666666657</v>
      </c>
      <c r="H2006">
        <f>G2006/'user input'!$C$4</f>
        <v>0.37222222222222212</v>
      </c>
    </row>
    <row r="2007" spans="1:8" x14ac:dyDescent="0.2">
      <c r="A2007" s="1">
        <v>42183</v>
      </c>
      <c r="B2007">
        <v>180</v>
      </c>
      <c r="C2007" s="6">
        <f>IF('weather data'!C2007&gt;'user input'!$C$3,'user input'!$C$3,'weather data'!C2007)</f>
        <v>25.555555555555554</v>
      </c>
      <c r="D2007" s="6">
        <f>IF('weather data'!D2007&lt;'user input'!$C$2,'user input'!$C$2,'weather data'!D2007)</f>
        <v>12.777777777777777</v>
      </c>
      <c r="E2007">
        <f t="shared" si="32"/>
        <v>19.166666666666664</v>
      </c>
      <c r="F2007">
        <f>IF((E2007-'user input'!$C$2)&lt;0,0,E2007-'user input'!$C$2)</f>
        <v>9.1666666666666643</v>
      </c>
      <c r="G2007">
        <f>IF(B2007&lt;'user input'!$C$5,0,(F2007+G2006))</f>
        <v>455.83333333333326</v>
      </c>
      <c r="H2007">
        <f>G2007/'user input'!$C$4</f>
        <v>0.37986111111111104</v>
      </c>
    </row>
    <row r="2008" spans="1:8" x14ac:dyDescent="0.2">
      <c r="A2008" s="1">
        <v>42184</v>
      </c>
      <c r="B2008">
        <v>181</v>
      </c>
      <c r="C2008" s="6">
        <f>IF('weather data'!C2008&gt;'user input'!$C$3,'user input'!$C$3,'weather data'!C2008)</f>
        <v>22.222222222222221</v>
      </c>
      <c r="D2008" s="6">
        <f>IF('weather data'!D2008&lt;'user input'!$C$2,'user input'!$C$2,'weather data'!D2008)</f>
        <v>14.444444444444445</v>
      </c>
      <c r="E2008">
        <f t="shared" si="32"/>
        <v>18.333333333333332</v>
      </c>
      <c r="F2008">
        <f>IF((E2008-'user input'!$C$2)&lt;0,0,E2008-'user input'!$C$2)</f>
        <v>8.3333333333333321</v>
      </c>
      <c r="G2008">
        <f>IF(B2008&lt;'user input'!$C$5,0,(F2008+G2007))</f>
        <v>464.16666666666657</v>
      </c>
      <c r="H2008">
        <f>G2008/'user input'!$C$4</f>
        <v>0.38680555555555546</v>
      </c>
    </row>
    <row r="2009" spans="1:8" x14ac:dyDescent="0.2">
      <c r="A2009" s="1">
        <v>42185</v>
      </c>
      <c r="B2009">
        <v>182</v>
      </c>
      <c r="C2009" s="6">
        <f>IF('weather data'!C2009&gt;'user input'!$C$3,'user input'!$C$3,'weather data'!C2009)</f>
        <v>26.111111111111111</v>
      </c>
      <c r="D2009" s="6">
        <f>IF('weather data'!D2009&lt;'user input'!$C$2,'user input'!$C$2,'weather data'!D2009)</f>
        <v>12.777777777777777</v>
      </c>
      <c r="E2009">
        <f t="shared" si="32"/>
        <v>19.444444444444443</v>
      </c>
      <c r="F2009">
        <f>IF((E2009-'user input'!$C$2)&lt;0,0,E2009-'user input'!$C$2)</f>
        <v>9.4444444444444429</v>
      </c>
      <c r="G2009">
        <f>IF(B2009&lt;'user input'!$C$5,0,(F2009+G2008))</f>
        <v>473.61111111111103</v>
      </c>
      <c r="H2009">
        <f>G2009/'user input'!$C$4</f>
        <v>0.39467592592592587</v>
      </c>
    </row>
    <row r="2010" spans="1:8" x14ac:dyDescent="0.2">
      <c r="A2010" s="1">
        <v>42186</v>
      </c>
      <c r="B2010">
        <v>183</v>
      </c>
      <c r="C2010" s="6">
        <f>IF('weather data'!C2010&gt;'user input'!$C$3,'user input'!$C$3,'weather data'!C2010)</f>
        <v>24.444444444444446</v>
      </c>
      <c r="D2010" s="6">
        <f>IF('weather data'!D2010&lt;'user input'!$C$2,'user input'!$C$2,'weather data'!D2010)</f>
        <v>12.777777777777777</v>
      </c>
      <c r="E2010">
        <f t="shared" si="32"/>
        <v>18.611111111111111</v>
      </c>
      <c r="F2010">
        <f>IF((E2010-'user input'!$C$2)&lt;0,0,E2010-'user input'!$C$2)</f>
        <v>8.6111111111111107</v>
      </c>
      <c r="G2010">
        <f>IF(B2010&lt;'user input'!$C$5,0,(F2010+G2009))</f>
        <v>482.22222222222211</v>
      </c>
      <c r="H2010">
        <f>G2010/'user input'!$C$4</f>
        <v>0.40185185185185174</v>
      </c>
    </row>
    <row r="2011" spans="1:8" x14ac:dyDescent="0.2">
      <c r="A2011" s="1">
        <v>42187</v>
      </c>
      <c r="B2011">
        <v>184</v>
      </c>
      <c r="C2011" s="6">
        <f>IF('weather data'!C2011&gt;'user input'!$C$3,'user input'!$C$3,'weather data'!C2011)</f>
        <v>21.666666666666664</v>
      </c>
      <c r="D2011" s="6">
        <f>IF('weather data'!D2011&lt;'user input'!$C$2,'user input'!$C$2,'weather data'!D2011)</f>
        <v>10</v>
      </c>
      <c r="E2011">
        <f t="shared" si="32"/>
        <v>15.833333333333332</v>
      </c>
      <c r="F2011">
        <f>IF((E2011-'user input'!$C$2)&lt;0,0,E2011-'user input'!$C$2)</f>
        <v>5.8333333333333321</v>
      </c>
      <c r="G2011">
        <f>IF(B2011&lt;'user input'!$C$5,0,(F2011+G2010))</f>
        <v>488.05555555555543</v>
      </c>
      <c r="H2011">
        <f>G2011/'user input'!$C$4</f>
        <v>0.40671296296296283</v>
      </c>
    </row>
    <row r="2012" spans="1:8" x14ac:dyDescent="0.2">
      <c r="A2012" s="1">
        <v>42188</v>
      </c>
      <c r="B2012">
        <v>185</v>
      </c>
      <c r="C2012" s="6">
        <f>IF('weather data'!C2012&gt;'user input'!$C$3,'user input'!$C$3,'weather data'!C2012)</f>
        <v>22.777777777777779</v>
      </c>
      <c r="D2012" s="6">
        <f>IF('weather data'!D2012&lt;'user input'!$C$2,'user input'!$C$2,'weather data'!D2012)</f>
        <v>10</v>
      </c>
      <c r="E2012">
        <f t="shared" si="32"/>
        <v>16.388888888888889</v>
      </c>
      <c r="F2012">
        <f>IF((E2012-'user input'!$C$2)&lt;0,0,E2012-'user input'!$C$2)</f>
        <v>6.3888888888888893</v>
      </c>
      <c r="G2012">
        <f>IF(B2012&lt;'user input'!$C$5,0,(F2012+G2011))</f>
        <v>494.44444444444434</v>
      </c>
      <c r="H2012">
        <f>G2012/'user input'!$C$4</f>
        <v>0.41203703703703698</v>
      </c>
    </row>
    <row r="2013" spans="1:8" x14ac:dyDescent="0.2">
      <c r="A2013" s="1">
        <v>42189</v>
      </c>
      <c r="B2013">
        <v>186</v>
      </c>
      <c r="C2013" s="6">
        <f>IF('weather data'!C2013&gt;'user input'!$C$3,'user input'!$C$3,'weather data'!C2013)</f>
        <v>24.444444444444446</v>
      </c>
      <c r="D2013" s="6">
        <f>IF('weather data'!D2013&lt;'user input'!$C$2,'user input'!$C$2,'weather data'!D2013)</f>
        <v>10</v>
      </c>
      <c r="E2013">
        <f t="shared" si="32"/>
        <v>17.222222222222221</v>
      </c>
      <c r="F2013">
        <f>IF((E2013-'user input'!$C$2)&lt;0,0,E2013-'user input'!$C$2)</f>
        <v>7.2222222222222214</v>
      </c>
      <c r="G2013">
        <f>IF(B2013&lt;'user input'!$C$5,0,(F2013+G2012))</f>
        <v>501.66666666666657</v>
      </c>
      <c r="H2013">
        <f>G2013/'user input'!$C$4</f>
        <v>0.41805555555555546</v>
      </c>
    </row>
    <row r="2014" spans="1:8" x14ac:dyDescent="0.2">
      <c r="A2014" s="1">
        <v>42190</v>
      </c>
      <c r="B2014">
        <v>187</v>
      </c>
      <c r="C2014" s="6">
        <f>IF('weather data'!C2014&gt;'user input'!$C$3,'user input'!$C$3,'weather data'!C2014)</f>
        <v>28.333333333333336</v>
      </c>
      <c r="D2014" s="6">
        <f>IF('weather data'!D2014&lt;'user input'!$C$2,'user input'!$C$2,'weather data'!D2014)</f>
        <v>12.777777777777777</v>
      </c>
      <c r="E2014">
        <f t="shared" si="32"/>
        <v>20.555555555555557</v>
      </c>
      <c r="F2014">
        <f>IF((E2014-'user input'!$C$2)&lt;0,0,E2014-'user input'!$C$2)</f>
        <v>10.555555555555557</v>
      </c>
      <c r="G2014">
        <f>IF(B2014&lt;'user input'!$C$5,0,(F2014+G2013))</f>
        <v>512.22222222222217</v>
      </c>
      <c r="H2014">
        <f>G2014/'user input'!$C$4</f>
        <v>0.42685185185185182</v>
      </c>
    </row>
    <row r="2015" spans="1:8" x14ac:dyDescent="0.2">
      <c r="A2015" s="1">
        <v>42191</v>
      </c>
      <c r="B2015">
        <v>188</v>
      </c>
      <c r="C2015" s="6">
        <f>IF('weather data'!C2015&gt;'user input'!$C$3,'user input'!$C$3,'weather data'!C2015)</f>
        <v>28.333333333333336</v>
      </c>
      <c r="D2015" s="6">
        <f>IF('weather data'!D2015&lt;'user input'!$C$2,'user input'!$C$2,'weather data'!D2015)</f>
        <v>13.888888888888889</v>
      </c>
      <c r="E2015">
        <f t="shared" si="32"/>
        <v>21.111111111111114</v>
      </c>
      <c r="F2015">
        <f>IF((E2015-'user input'!$C$2)&lt;0,0,E2015-'user input'!$C$2)</f>
        <v>11.111111111111114</v>
      </c>
      <c r="G2015">
        <f>IF(B2015&lt;'user input'!$C$5,0,(F2015+G2014))</f>
        <v>523.33333333333326</v>
      </c>
      <c r="H2015">
        <f>G2015/'user input'!$C$4</f>
        <v>0.43611111111111106</v>
      </c>
    </row>
    <row r="2016" spans="1:8" x14ac:dyDescent="0.2">
      <c r="A2016" s="1">
        <v>42192</v>
      </c>
      <c r="B2016">
        <v>189</v>
      </c>
      <c r="C2016" s="6">
        <f>IF('weather data'!C2016&gt;'user input'!$C$3,'user input'!$C$3,'weather data'!C2016)</f>
        <v>27.222222222222221</v>
      </c>
      <c r="D2016" s="6">
        <f>IF('weather data'!D2016&lt;'user input'!$C$2,'user input'!$C$2,'weather data'!D2016)</f>
        <v>14.444444444444445</v>
      </c>
      <c r="E2016">
        <f t="shared" si="32"/>
        <v>20.833333333333332</v>
      </c>
      <c r="F2016">
        <f>IF((E2016-'user input'!$C$2)&lt;0,0,E2016-'user input'!$C$2)</f>
        <v>10.833333333333332</v>
      </c>
      <c r="G2016">
        <f>IF(B2016&lt;'user input'!$C$5,0,(F2016+G2015))</f>
        <v>534.16666666666663</v>
      </c>
      <c r="H2016">
        <f>G2016/'user input'!$C$4</f>
        <v>0.44513888888888886</v>
      </c>
    </row>
    <row r="2017" spans="1:8" x14ac:dyDescent="0.2">
      <c r="A2017" s="1">
        <v>42193</v>
      </c>
      <c r="B2017">
        <v>190</v>
      </c>
      <c r="C2017" s="6">
        <f>IF('weather data'!C2017&gt;'user input'!$C$3,'user input'!$C$3,'weather data'!C2017)</f>
        <v>20.555555555555554</v>
      </c>
      <c r="D2017" s="6">
        <f>IF('weather data'!D2017&lt;'user input'!$C$2,'user input'!$C$2,'weather data'!D2017)</f>
        <v>11.111111111111111</v>
      </c>
      <c r="E2017">
        <f t="shared" si="32"/>
        <v>15.833333333333332</v>
      </c>
      <c r="F2017">
        <f>IF((E2017-'user input'!$C$2)&lt;0,0,E2017-'user input'!$C$2)</f>
        <v>5.8333333333333321</v>
      </c>
      <c r="G2017">
        <f>IF(B2017&lt;'user input'!$C$5,0,(F2017+G2016))</f>
        <v>540</v>
      </c>
      <c r="H2017">
        <f>G2017/'user input'!$C$4</f>
        <v>0.45</v>
      </c>
    </row>
    <row r="2018" spans="1:8" x14ac:dyDescent="0.2">
      <c r="A2018" s="1">
        <v>42194</v>
      </c>
      <c r="B2018">
        <v>191</v>
      </c>
      <c r="C2018" s="6">
        <f>IF('weather data'!C2018&gt;'user input'!$C$3,'user input'!$C$3,'weather data'!C2018)</f>
        <v>21.666666666666664</v>
      </c>
      <c r="D2018" s="6">
        <f>IF('weather data'!D2018&lt;'user input'!$C$2,'user input'!$C$2,'weather data'!D2018)</f>
        <v>10.555555555555555</v>
      </c>
      <c r="E2018">
        <f t="shared" si="32"/>
        <v>16.111111111111111</v>
      </c>
      <c r="F2018">
        <f>IF((E2018-'user input'!$C$2)&lt;0,0,E2018-'user input'!$C$2)</f>
        <v>6.1111111111111107</v>
      </c>
      <c r="G2018">
        <f>IF(B2018&lt;'user input'!$C$5,0,(F2018+G2017))</f>
        <v>546.11111111111109</v>
      </c>
      <c r="H2018">
        <f>G2018/'user input'!$C$4</f>
        <v>0.45509259259259255</v>
      </c>
    </row>
    <row r="2019" spans="1:8" x14ac:dyDescent="0.2">
      <c r="A2019" s="1">
        <v>42195</v>
      </c>
      <c r="B2019">
        <v>192</v>
      </c>
      <c r="C2019" s="6">
        <f>IF('weather data'!C2019&gt;'user input'!$C$3,'user input'!$C$3,'weather data'!C2019)</f>
        <v>25.555555555555554</v>
      </c>
      <c r="D2019" s="6">
        <f>IF('weather data'!D2019&lt;'user input'!$C$2,'user input'!$C$2,'weather data'!D2019)</f>
        <v>11.666666666666668</v>
      </c>
      <c r="E2019">
        <f t="shared" si="32"/>
        <v>18.611111111111111</v>
      </c>
      <c r="F2019">
        <f>IF((E2019-'user input'!$C$2)&lt;0,0,E2019-'user input'!$C$2)</f>
        <v>8.6111111111111107</v>
      </c>
      <c r="G2019">
        <f>IF(B2019&lt;'user input'!$C$5,0,(F2019+G2018))</f>
        <v>554.72222222222217</v>
      </c>
      <c r="H2019">
        <f>G2019/'user input'!$C$4</f>
        <v>0.46226851851851847</v>
      </c>
    </row>
    <row r="2020" spans="1:8" x14ac:dyDescent="0.2">
      <c r="A2020" s="1">
        <v>42196</v>
      </c>
      <c r="B2020">
        <v>193</v>
      </c>
      <c r="C2020" s="6">
        <f>IF('weather data'!C2020&gt;'user input'!$C$3,'user input'!$C$3,'weather data'!C2020)</f>
        <v>26.666666666666664</v>
      </c>
      <c r="D2020" s="6">
        <f>IF('weather data'!D2020&lt;'user input'!$C$2,'user input'!$C$2,'weather data'!D2020)</f>
        <v>13.333333333333332</v>
      </c>
      <c r="E2020">
        <f t="shared" si="32"/>
        <v>20</v>
      </c>
      <c r="F2020">
        <f>IF((E2020-'user input'!$C$2)&lt;0,0,E2020-'user input'!$C$2)</f>
        <v>10</v>
      </c>
      <c r="G2020">
        <f>IF(B2020&lt;'user input'!$C$5,0,(F2020+G2019))</f>
        <v>564.72222222222217</v>
      </c>
      <c r="H2020">
        <f>G2020/'user input'!$C$4</f>
        <v>0.47060185185185183</v>
      </c>
    </row>
    <row r="2021" spans="1:8" x14ac:dyDescent="0.2">
      <c r="A2021" s="1">
        <v>42197</v>
      </c>
      <c r="B2021">
        <v>194</v>
      </c>
      <c r="C2021" s="6">
        <f>IF('weather data'!C2021&gt;'user input'!$C$3,'user input'!$C$3,'weather data'!C2021)</f>
        <v>26.111111111111111</v>
      </c>
      <c r="D2021" s="6">
        <f>IF('weather data'!D2021&lt;'user input'!$C$2,'user input'!$C$2,'weather data'!D2021)</f>
        <v>13.888888888888889</v>
      </c>
      <c r="E2021">
        <f t="shared" si="32"/>
        <v>20</v>
      </c>
      <c r="F2021">
        <f>IF((E2021-'user input'!$C$2)&lt;0,0,E2021-'user input'!$C$2)</f>
        <v>10</v>
      </c>
      <c r="G2021">
        <f>IF(B2021&lt;'user input'!$C$5,0,(F2021+G2020))</f>
        <v>574.72222222222217</v>
      </c>
      <c r="H2021">
        <f>G2021/'user input'!$C$4</f>
        <v>0.47893518518518513</v>
      </c>
    </row>
    <row r="2022" spans="1:8" x14ac:dyDescent="0.2">
      <c r="A2022" s="1">
        <v>42198</v>
      </c>
      <c r="B2022">
        <v>195</v>
      </c>
      <c r="C2022" s="6">
        <f>IF('weather data'!C2022&gt;'user input'!$C$3,'user input'!$C$3,'weather data'!C2022)</f>
        <v>28.333333333333336</v>
      </c>
      <c r="D2022" s="6">
        <f>IF('weather data'!D2022&lt;'user input'!$C$2,'user input'!$C$2,'weather data'!D2022)</f>
        <v>18.333333333333332</v>
      </c>
      <c r="E2022">
        <f t="shared" si="32"/>
        <v>23.333333333333336</v>
      </c>
      <c r="F2022">
        <f>IF((E2022-'user input'!$C$2)&lt;0,0,E2022-'user input'!$C$2)</f>
        <v>13.333333333333336</v>
      </c>
      <c r="G2022">
        <f>IF(B2022&lt;'user input'!$C$5,0,(F2022+G2021))</f>
        <v>588.05555555555554</v>
      </c>
      <c r="H2022">
        <f>G2022/'user input'!$C$4</f>
        <v>0.49004629629629631</v>
      </c>
    </row>
    <row r="2023" spans="1:8" x14ac:dyDescent="0.2">
      <c r="A2023" s="1">
        <v>42199</v>
      </c>
      <c r="B2023">
        <v>196</v>
      </c>
      <c r="C2023" s="6">
        <f>IF('weather data'!C2023&gt;'user input'!$C$3,'user input'!$C$3,'weather data'!C2023)</f>
        <v>30</v>
      </c>
      <c r="D2023" s="6">
        <f>IF('weather data'!D2023&lt;'user input'!$C$2,'user input'!$C$2,'weather data'!D2023)</f>
        <v>18.333333333333332</v>
      </c>
      <c r="E2023">
        <f t="shared" si="32"/>
        <v>24.166666666666664</v>
      </c>
      <c r="F2023">
        <f>IF((E2023-'user input'!$C$2)&lt;0,0,E2023-'user input'!$C$2)</f>
        <v>14.166666666666664</v>
      </c>
      <c r="G2023">
        <f>IF(B2023&lt;'user input'!$C$5,0,(F2023+G2022))</f>
        <v>602.22222222222217</v>
      </c>
      <c r="H2023">
        <f>G2023/'user input'!$C$4</f>
        <v>0.50185185185185177</v>
      </c>
    </row>
    <row r="2024" spans="1:8" x14ac:dyDescent="0.2">
      <c r="A2024" s="1">
        <v>42200</v>
      </c>
      <c r="B2024">
        <v>197</v>
      </c>
      <c r="C2024" s="6">
        <f>IF('weather data'!C2024&gt;'user input'!$C$3,'user input'!$C$3,'weather data'!C2024)</f>
        <v>27.222222222222221</v>
      </c>
      <c r="D2024" s="6">
        <f>IF('weather data'!D2024&lt;'user input'!$C$2,'user input'!$C$2,'weather data'!D2024)</f>
        <v>11.111111111111111</v>
      </c>
      <c r="E2024">
        <f t="shared" si="32"/>
        <v>19.166666666666664</v>
      </c>
      <c r="F2024">
        <f>IF((E2024-'user input'!$C$2)&lt;0,0,E2024-'user input'!$C$2)</f>
        <v>9.1666666666666643</v>
      </c>
      <c r="G2024">
        <f>IF(B2024&lt;'user input'!$C$5,0,(F2024+G2023))</f>
        <v>611.3888888888888</v>
      </c>
      <c r="H2024">
        <f>G2024/'user input'!$C$4</f>
        <v>0.50949074074074063</v>
      </c>
    </row>
    <row r="2025" spans="1:8" x14ac:dyDescent="0.2">
      <c r="A2025" s="1">
        <v>42201</v>
      </c>
      <c r="B2025">
        <v>198</v>
      </c>
      <c r="C2025" s="6">
        <f>IF('weather data'!C2025&gt;'user input'!$C$3,'user input'!$C$3,'weather data'!C2025)</f>
        <v>25</v>
      </c>
      <c r="D2025" s="6">
        <f>IF('weather data'!D2025&lt;'user input'!$C$2,'user input'!$C$2,'weather data'!D2025)</f>
        <v>11.666666666666668</v>
      </c>
      <c r="E2025">
        <f t="shared" si="32"/>
        <v>18.333333333333336</v>
      </c>
      <c r="F2025">
        <f>IF((E2025-'user input'!$C$2)&lt;0,0,E2025-'user input'!$C$2)</f>
        <v>8.3333333333333357</v>
      </c>
      <c r="G2025">
        <f>IF(B2025&lt;'user input'!$C$5,0,(F2025+G2024))</f>
        <v>619.72222222222217</v>
      </c>
      <c r="H2025">
        <f>G2025/'user input'!$C$4</f>
        <v>0.51643518518518516</v>
      </c>
    </row>
    <row r="2026" spans="1:8" x14ac:dyDescent="0.2">
      <c r="A2026" s="1">
        <v>42202</v>
      </c>
      <c r="B2026">
        <v>199</v>
      </c>
      <c r="C2026" s="6">
        <f>IF('weather data'!C2026&gt;'user input'!$C$3,'user input'!$C$3,'weather data'!C2026)</f>
        <v>21.666666666666664</v>
      </c>
      <c r="D2026" s="6">
        <f>IF('weather data'!D2026&lt;'user input'!$C$2,'user input'!$C$2,'weather data'!D2026)</f>
        <v>15.555555555555555</v>
      </c>
      <c r="E2026">
        <f t="shared" si="32"/>
        <v>18.611111111111111</v>
      </c>
      <c r="F2026">
        <f>IF((E2026-'user input'!$C$2)&lt;0,0,E2026-'user input'!$C$2)</f>
        <v>8.6111111111111107</v>
      </c>
      <c r="G2026">
        <f>IF(B2026&lt;'user input'!$C$5,0,(F2026+G2025))</f>
        <v>628.33333333333326</v>
      </c>
      <c r="H2026">
        <f>G2026/'user input'!$C$4</f>
        <v>0.52361111111111103</v>
      </c>
    </row>
    <row r="2027" spans="1:8" x14ac:dyDescent="0.2">
      <c r="A2027" s="1">
        <v>42203</v>
      </c>
      <c r="B2027">
        <v>200</v>
      </c>
      <c r="C2027" s="6">
        <f>IF('weather data'!C2027&gt;'user input'!$C$3,'user input'!$C$3,'weather data'!C2027)</f>
        <v>30</v>
      </c>
      <c r="D2027" s="6">
        <f>IF('weather data'!D2027&lt;'user input'!$C$2,'user input'!$C$2,'weather data'!D2027)</f>
        <v>20</v>
      </c>
      <c r="E2027">
        <f t="shared" si="32"/>
        <v>25</v>
      </c>
      <c r="F2027">
        <f>IF((E2027-'user input'!$C$2)&lt;0,0,E2027-'user input'!$C$2)</f>
        <v>15</v>
      </c>
      <c r="G2027">
        <f>IF(B2027&lt;'user input'!$C$5,0,(F2027+G2026))</f>
        <v>643.33333333333326</v>
      </c>
      <c r="H2027">
        <f>G2027/'user input'!$C$4</f>
        <v>0.53611111111111109</v>
      </c>
    </row>
    <row r="2028" spans="1:8" x14ac:dyDescent="0.2">
      <c r="A2028" s="1">
        <v>42204</v>
      </c>
      <c r="B2028">
        <v>201</v>
      </c>
      <c r="C2028" s="6">
        <f>IF('weather data'!C2028&gt;'user input'!$C$3,'user input'!$C$3,'weather data'!C2028)</f>
        <v>30</v>
      </c>
      <c r="D2028" s="6">
        <f>IF('weather data'!D2028&lt;'user input'!$C$2,'user input'!$C$2,'weather data'!D2028)</f>
        <v>19.444444444444443</v>
      </c>
      <c r="E2028">
        <f t="shared" si="32"/>
        <v>24.722222222222221</v>
      </c>
      <c r="F2028">
        <f>IF((E2028-'user input'!$C$2)&lt;0,0,E2028-'user input'!$C$2)</f>
        <v>14.722222222222221</v>
      </c>
      <c r="G2028">
        <f>IF(B2028&lt;'user input'!$C$5,0,(F2028+G2027))</f>
        <v>658.05555555555543</v>
      </c>
      <c r="H2028">
        <f>G2028/'user input'!$C$4</f>
        <v>0.54837962962962949</v>
      </c>
    </row>
    <row r="2029" spans="1:8" x14ac:dyDescent="0.2">
      <c r="A2029" s="1">
        <v>42205</v>
      </c>
      <c r="B2029">
        <v>202</v>
      </c>
      <c r="C2029" s="6">
        <f>IF('weather data'!C2029&gt;'user input'!$C$3,'user input'!$C$3,'weather data'!C2029)</f>
        <v>27.222222222222221</v>
      </c>
      <c r="D2029" s="6">
        <f>IF('weather data'!D2029&lt;'user input'!$C$2,'user input'!$C$2,'weather data'!D2029)</f>
        <v>14.444444444444445</v>
      </c>
      <c r="E2029">
        <f t="shared" si="32"/>
        <v>20.833333333333332</v>
      </c>
      <c r="F2029">
        <f>IF((E2029-'user input'!$C$2)&lt;0,0,E2029-'user input'!$C$2)</f>
        <v>10.833333333333332</v>
      </c>
      <c r="G2029">
        <f>IF(B2029&lt;'user input'!$C$5,0,(F2029+G2028))</f>
        <v>668.8888888888888</v>
      </c>
      <c r="H2029">
        <f>G2029/'user input'!$C$4</f>
        <v>0.55740740740740735</v>
      </c>
    </row>
    <row r="2030" spans="1:8" x14ac:dyDescent="0.2">
      <c r="A2030" s="1">
        <v>42206</v>
      </c>
      <c r="B2030">
        <v>203</v>
      </c>
      <c r="C2030" s="6">
        <f>IF('weather data'!C2030&gt;'user input'!$C$3,'user input'!$C$3,'weather data'!C2030)</f>
        <v>27.222222222222221</v>
      </c>
      <c r="D2030" s="6">
        <f>IF('weather data'!D2030&lt;'user input'!$C$2,'user input'!$C$2,'weather data'!D2030)</f>
        <v>12.222222222222223</v>
      </c>
      <c r="E2030">
        <f t="shared" si="32"/>
        <v>19.722222222222221</v>
      </c>
      <c r="F2030">
        <f>IF((E2030-'user input'!$C$2)&lt;0,0,E2030-'user input'!$C$2)</f>
        <v>9.7222222222222214</v>
      </c>
      <c r="G2030">
        <f>IF(B2030&lt;'user input'!$C$5,0,(F2030+G2029))</f>
        <v>678.61111111111097</v>
      </c>
      <c r="H2030">
        <f>G2030/'user input'!$C$4</f>
        <v>0.5655092592592591</v>
      </c>
    </row>
    <row r="2031" spans="1:8" x14ac:dyDescent="0.2">
      <c r="A2031" s="1">
        <v>42207</v>
      </c>
      <c r="B2031">
        <v>204</v>
      </c>
      <c r="C2031" s="6">
        <f>IF('weather data'!C2031&gt;'user input'!$C$3,'user input'!$C$3,'weather data'!C2031)</f>
        <v>26.666666666666664</v>
      </c>
      <c r="D2031" s="6">
        <f>IF('weather data'!D2031&lt;'user input'!$C$2,'user input'!$C$2,'weather data'!D2031)</f>
        <v>12.222222222222223</v>
      </c>
      <c r="E2031">
        <f t="shared" si="32"/>
        <v>19.444444444444443</v>
      </c>
      <c r="F2031">
        <f>IF((E2031-'user input'!$C$2)&lt;0,0,E2031-'user input'!$C$2)</f>
        <v>9.4444444444444429</v>
      </c>
      <c r="G2031">
        <f>IF(B2031&lt;'user input'!$C$5,0,(F2031+G2030))</f>
        <v>688.05555555555543</v>
      </c>
      <c r="H2031">
        <f>G2031/'user input'!$C$4</f>
        <v>0.57337962962962952</v>
      </c>
    </row>
    <row r="2032" spans="1:8" x14ac:dyDescent="0.2">
      <c r="A2032" s="1">
        <v>42208</v>
      </c>
      <c r="B2032">
        <v>205</v>
      </c>
      <c r="C2032" s="6">
        <f>IF('weather data'!C2032&gt;'user input'!$C$3,'user input'!$C$3,'weather data'!C2032)</f>
        <v>27.777777777777779</v>
      </c>
      <c r="D2032" s="6">
        <f>IF('weather data'!D2032&lt;'user input'!$C$2,'user input'!$C$2,'weather data'!D2032)</f>
        <v>12.777777777777777</v>
      </c>
      <c r="E2032">
        <f t="shared" si="32"/>
        <v>20.277777777777779</v>
      </c>
      <c r="F2032">
        <f>IF((E2032-'user input'!$C$2)&lt;0,0,E2032-'user input'!$C$2)</f>
        <v>10.277777777777779</v>
      </c>
      <c r="G2032">
        <f>IF(B2032&lt;'user input'!$C$5,0,(F2032+G2031))</f>
        <v>698.33333333333326</v>
      </c>
      <c r="H2032">
        <f>G2032/'user input'!$C$4</f>
        <v>0.58194444444444438</v>
      </c>
    </row>
    <row r="2033" spans="1:8" x14ac:dyDescent="0.2">
      <c r="A2033" s="1">
        <v>42209</v>
      </c>
      <c r="B2033">
        <v>206</v>
      </c>
      <c r="C2033" s="6">
        <f>IF('weather data'!C2033&gt;'user input'!$C$3,'user input'!$C$3,'weather data'!C2033)</f>
        <v>29.444444444444446</v>
      </c>
      <c r="D2033" s="6">
        <f>IF('weather data'!D2033&lt;'user input'!$C$2,'user input'!$C$2,'weather data'!D2033)</f>
        <v>13.333333333333332</v>
      </c>
      <c r="E2033">
        <f t="shared" si="32"/>
        <v>21.388888888888889</v>
      </c>
      <c r="F2033">
        <f>IF((E2033-'user input'!$C$2)&lt;0,0,E2033-'user input'!$C$2)</f>
        <v>11.388888888888889</v>
      </c>
      <c r="G2033">
        <f>IF(B2033&lt;'user input'!$C$5,0,(F2033+G2032))</f>
        <v>709.72222222222217</v>
      </c>
      <c r="H2033">
        <f>G2033/'user input'!$C$4</f>
        <v>0.59143518518518512</v>
      </c>
    </row>
    <row r="2034" spans="1:8" x14ac:dyDescent="0.2">
      <c r="A2034" s="1">
        <v>42210</v>
      </c>
      <c r="B2034">
        <v>207</v>
      </c>
      <c r="C2034" s="6">
        <f>IF('weather data'!C2034&gt;'user input'!$C$3,'user input'!$C$3,'weather data'!C2034)</f>
        <v>27.222222222222221</v>
      </c>
      <c r="D2034" s="6">
        <f>IF('weather data'!D2034&lt;'user input'!$C$2,'user input'!$C$2,'weather data'!D2034)</f>
        <v>13.333333333333332</v>
      </c>
      <c r="E2034">
        <f t="shared" si="32"/>
        <v>20.277777777777779</v>
      </c>
      <c r="F2034">
        <f>IF((E2034-'user input'!$C$2)&lt;0,0,E2034-'user input'!$C$2)</f>
        <v>10.277777777777779</v>
      </c>
      <c r="G2034">
        <f>IF(B2034&lt;'user input'!$C$5,0,(F2034+G2033))</f>
        <v>720</v>
      </c>
      <c r="H2034">
        <f>G2034/'user input'!$C$4</f>
        <v>0.6</v>
      </c>
    </row>
    <row r="2035" spans="1:8" x14ac:dyDescent="0.2">
      <c r="A2035" s="1">
        <v>42211</v>
      </c>
      <c r="B2035">
        <v>208</v>
      </c>
      <c r="C2035" s="6">
        <f>IF('weather data'!C2035&gt;'user input'!$C$3,'user input'!$C$3,'weather data'!C2035)</f>
        <v>30</v>
      </c>
      <c r="D2035" s="6">
        <f>IF('weather data'!D2035&lt;'user input'!$C$2,'user input'!$C$2,'weather data'!D2035)</f>
        <v>15.555555555555555</v>
      </c>
      <c r="E2035">
        <f t="shared" si="32"/>
        <v>22.777777777777779</v>
      </c>
      <c r="F2035">
        <f>IF((E2035-'user input'!$C$2)&lt;0,0,E2035-'user input'!$C$2)</f>
        <v>12.777777777777779</v>
      </c>
      <c r="G2035">
        <f>IF(B2035&lt;'user input'!$C$5,0,(F2035+G2034))</f>
        <v>732.77777777777783</v>
      </c>
      <c r="H2035">
        <f>G2035/'user input'!$C$4</f>
        <v>0.61064814814814816</v>
      </c>
    </row>
    <row r="2036" spans="1:8" x14ac:dyDescent="0.2">
      <c r="A2036" s="1">
        <v>42212</v>
      </c>
      <c r="B2036">
        <v>209</v>
      </c>
      <c r="C2036" s="6">
        <f>IF('weather data'!C2036&gt;'user input'!$C$3,'user input'!$C$3,'weather data'!C2036)</f>
        <v>27.222222222222221</v>
      </c>
      <c r="D2036" s="6">
        <f>IF('weather data'!D2036&lt;'user input'!$C$2,'user input'!$C$2,'weather data'!D2036)</f>
        <v>14.444444444444445</v>
      </c>
      <c r="E2036">
        <f t="shared" si="32"/>
        <v>20.833333333333332</v>
      </c>
      <c r="F2036">
        <f>IF((E2036-'user input'!$C$2)&lt;0,0,E2036-'user input'!$C$2)</f>
        <v>10.833333333333332</v>
      </c>
      <c r="G2036">
        <f>IF(B2036&lt;'user input'!$C$5,0,(F2036+G2035))</f>
        <v>743.6111111111112</v>
      </c>
      <c r="H2036">
        <f>G2036/'user input'!$C$4</f>
        <v>0.61967592592592602</v>
      </c>
    </row>
    <row r="2037" spans="1:8" x14ac:dyDescent="0.2">
      <c r="A2037" s="1">
        <v>42213</v>
      </c>
      <c r="B2037">
        <v>210</v>
      </c>
      <c r="C2037" s="6">
        <f>IF('weather data'!C2037&gt;'user input'!$C$3,'user input'!$C$3,'weather data'!C2037)</f>
        <v>30</v>
      </c>
      <c r="D2037" s="6">
        <f>IF('weather data'!D2037&lt;'user input'!$C$2,'user input'!$C$2,'weather data'!D2037)</f>
        <v>15</v>
      </c>
      <c r="E2037">
        <f t="shared" si="32"/>
        <v>22.5</v>
      </c>
      <c r="F2037">
        <f>IF((E2037-'user input'!$C$2)&lt;0,0,E2037-'user input'!$C$2)</f>
        <v>12.5</v>
      </c>
      <c r="G2037">
        <f>IF(B2037&lt;'user input'!$C$5,0,(F2037+G2036))</f>
        <v>756.1111111111112</v>
      </c>
      <c r="H2037">
        <f>G2037/'user input'!$C$4</f>
        <v>0.63009259259259265</v>
      </c>
    </row>
    <row r="2038" spans="1:8" x14ac:dyDescent="0.2">
      <c r="A2038" s="1">
        <v>42214</v>
      </c>
      <c r="B2038">
        <v>211</v>
      </c>
      <c r="C2038" s="6">
        <f>IF('weather data'!C2038&gt;'user input'!$C$3,'user input'!$C$3,'weather data'!C2038)</f>
        <v>29.444444444444446</v>
      </c>
      <c r="D2038" s="6">
        <f>IF('weather data'!D2038&lt;'user input'!$C$2,'user input'!$C$2,'weather data'!D2038)</f>
        <v>18.333333333333332</v>
      </c>
      <c r="E2038">
        <f t="shared" si="32"/>
        <v>23.888888888888889</v>
      </c>
      <c r="F2038">
        <f>IF((E2038-'user input'!$C$2)&lt;0,0,E2038-'user input'!$C$2)</f>
        <v>13.888888888888889</v>
      </c>
      <c r="G2038">
        <f>IF(B2038&lt;'user input'!$C$5,0,(F2038+G2037))</f>
        <v>770.00000000000011</v>
      </c>
      <c r="H2038">
        <f>G2038/'user input'!$C$4</f>
        <v>0.64166666666666672</v>
      </c>
    </row>
    <row r="2039" spans="1:8" x14ac:dyDescent="0.2">
      <c r="A2039" s="1">
        <v>42215</v>
      </c>
      <c r="B2039">
        <v>212</v>
      </c>
      <c r="C2039" s="6">
        <f>IF('weather data'!C2039&gt;'user input'!$C$3,'user input'!$C$3,'weather data'!C2039)</f>
        <v>28.888888888888889</v>
      </c>
      <c r="D2039" s="6">
        <f>IF('weather data'!D2039&lt;'user input'!$C$2,'user input'!$C$2,'weather data'!D2039)</f>
        <v>13.888888888888889</v>
      </c>
      <c r="E2039">
        <f t="shared" si="32"/>
        <v>21.388888888888889</v>
      </c>
      <c r="F2039">
        <f>IF((E2039-'user input'!$C$2)&lt;0,0,E2039-'user input'!$C$2)</f>
        <v>11.388888888888889</v>
      </c>
      <c r="G2039">
        <f>IF(B2039&lt;'user input'!$C$5,0,(F2039+G2038))</f>
        <v>781.38888888888903</v>
      </c>
      <c r="H2039">
        <f>G2039/'user input'!$C$4</f>
        <v>0.65115740740740757</v>
      </c>
    </row>
    <row r="2040" spans="1:8" x14ac:dyDescent="0.2">
      <c r="A2040" s="1">
        <v>42216</v>
      </c>
      <c r="B2040">
        <v>213</v>
      </c>
      <c r="C2040" s="6">
        <f>IF('weather data'!C2040&gt;'user input'!$C$3,'user input'!$C$3,'weather data'!C2040)</f>
        <v>30</v>
      </c>
      <c r="D2040" s="6">
        <f>IF('weather data'!D2040&lt;'user input'!$C$2,'user input'!$C$2,'weather data'!D2040)</f>
        <v>14.444444444444445</v>
      </c>
      <c r="E2040">
        <f t="shared" si="32"/>
        <v>22.222222222222221</v>
      </c>
      <c r="F2040">
        <f>IF((E2040-'user input'!$C$2)&lt;0,0,E2040-'user input'!$C$2)</f>
        <v>12.222222222222221</v>
      </c>
      <c r="G2040">
        <f>IF(B2040&lt;'user input'!$C$5,0,(F2040+G2039))</f>
        <v>793.6111111111112</v>
      </c>
      <c r="H2040">
        <f>G2040/'user input'!$C$4</f>
        <v>0.66134259259259265</v>
      </c>
    </row>
    <row r="2041" spans="1:8" x14ac:dyDescent="0.2">
      <c r="A2041" s="1">
        <v>42217</v>
      </c>
      <c r="B2041">
        <v>214</v>
      </c>
      <c r="C2041" s="6">
        <f>IF('weather data'!C2041&gt;'user input'!$C$3,'user input'!$C$3,'weather data'!C2041)</f>
        <v>27.777777777777779</v>
      </c>
      <c r="D2041" s="6">
        <f>IF('weather data'!D2041&lt;'user input'!$C$2,'user input'!$C$2,'weather data'!D2041)</f>
        <v>12.777777777777777</v>
      </c>
      <c r="E2041">
        <f t="shared" si="32"/>
        <v>20.277777777777779</v>
      </c>
      <c r="F2041">
        <f>IF((E2041-'user input'!$C$2)&lt;0,0,E2041-'user input'!$C$2)</f>
        <v>10.277777777777779</v>
      </c>
      <c r="G2041">
        <f>IF(B2041&lt;'user input'!$C$5,0,(F2041+G2040))</f>
        <v>803.88888888888903</v>
      </c>
      <c r="H2041">
        <f>G2041/'user input'!$C$4</f>
        <v>0.66990740740740751</v>
      </c>
    </row>
    <row r="2042" spans="1:8" x14ac:dyDescent="0.2">
      <c r="A2042" s="1">
        <v>42218</v>
      </c>
      <c r="B2042">
        <v>215</v>
      </c>
      <c r="C2042" s="6">
        <f>IF('weather data'!C2042&gt;'user input'!$C$3,'user input'!$C$3,'weather data'!C2042)</f>
        <v>30</v>
      </c>
      <c r="D2042" s="6">
        <f>IF('weather data'!D2042&lt;'user input'!$C$2,'user input'!$C$2,'weather data'!D2042)</f>
        <v>17.777777777777779</v>
      </c>
      <c r="E2042">
        <f t="shared" si="32"/>
        <v>23.888888888888889</v>
      </c>
      <c r="F2042">
        <f>IF((E2042-'user input'!$C$2)&lt;0,0,E2042-'user input'!$C$2)</f>
        <v>13.888888888888889</v>
      </c>
      <c r="G2042">
        <f>IF(B2042&lt;'user input'!$C$5,0,(F2042+G2041))</f>
        <v>817.77777777777794</v>
      </c>
      <c r="H2042">
        <f>G2042/'user input'!$C$4</f>
        <v>0.68148148148148158</v>
      </c>
    </row>
    <row r="2043" spans="1:8" x14ac:dyDescent="0.2">
      <c r="A2043" s="1">
        <v>42219</v>
      </c>
      <c r="B2043">
        <v>216</v>
      </c>
      <c r="C2043" s="6">
        <f>IF('weather data'!C2043&gt;'user input'!$C$3,'user input'!$C$3,'weather data'!C2043)</f>
        <v>30</v>
      </c>
      <c r="D2043" s="6">
        <f>IF('weather data'!D2043&lt;'user input'!$C$2,'user input'!$C$2,'weather data'!D2043)</f>
        <v>13.888888888888889</v>
      </c>
      <c r="E2043">
        <f t="shared" si="32"/>
        <v>21.944444444444443</v>
      </c>
      <c r="F2043">
        <f>IF((E2043-'user input'!$C$2)&lt;0,0,E2043-'user input'!$C$2)</f>
        <v>11.944444444444443</v>
      </c>
      <c r="G2043">
        <f>IF(B2043&lt;'user input'!$C$5,0,(F2043+G2042))</f>
        <v>829.7222222222224</v>
      </c>
      <c r="H2043">
        <f>G2043/'user input'!$C$4</f>
        <v>0.69143518518518532</v>
      </c>
    </row>
    <row r="2044" spans="1:8" x14ac:dyDescent="0.2">
      <c r="A2044" s="1">
        <v>42220</v>
      </c>
      <c r="B2044">
        <v>217</v>
      </c>
      <c r="C2044" s="6">
        <f>IF('weather data'!C2044&gt;'user input'!$C$3,'user input'!$C$3,'weather data'!C2044)</f>
        <v>26.666666666666664</v>
      </c>
      <c r="D2044" s="6">
        <f>IF('weather data'!D2044&lt;'user input'!$C$2,'user input'!$C$2,'weather data'!D2044)</f>
        <v>10.555555555555555</v>
      </c>
      <c r="E2044">
        <f t="shared" si="32"/>
        <v>18.611111111111111</v>
      </c>
      <c r="F2044">
        <f>IF((E2044-'user input'!$C$2)&lt;0,0,E2044-'user input'!$C$2)</f>
        <v>8.6111111111111107</v>
      </c>
      <c r="G2044">
        <f>IF(B2044&lt;'user input'!$C$5,0,(F2044+G2043))</f>
        <v>838.33333333333348</v>
      </c>
      <c r="H2044">
        <f>G2044/'user input'!$C$4</f>
        <v>0.69861111111111118</v>
      </c>
    </row>
    <row r="2045" spans="1:8" x14ac:dyDescent="0.2">
      <c r="A2045" s="1">
        <v>42221</v>
      </c>
      <c r="B2045">
        <v>218</v>
      </c>
      <c r="C2045" s="6">
        <f>IF('weather data'!C2045&gt;'user input'!$C$3,'user input'!$C$3,'weather data'!C2045)</f>
        <v>26.111111111111111</v>
      </c>
      <c r="D2045" s="6">
        <f>IF('weather data'!D2045&lt;'user input'!$C$2,'user input'!$C$2,'weather data'!D2045)</f>
        <v>10.555555555555555</v>
      </c>
      <c r="E2045">
        <f t="shared" si="32"/>
        <v>18.333333333333332</v>
      </c>
      <c r="F2045">
        <f>IF((E2045-'user input'!$C$2)&lt;0,0,E2045-'user input'!$C$2)</f>
        <v>8.3333333333333321</v>
      </c>
      <c r="G2045">
        <f>IF(B2045&lt;'user input'!$C$5,0,(F2045+G2044))</f>
        <v>846.66666666666686</v>
      </c>
      <c r="H2045">
        <f>G2045/'user input'!$C$4</f>
        <v>0.70555555555555571</v>
      </c>
    </row>
    <row r="2046" spans="1:8" x14ac:dyDescent="0.2">
      <c r="A2046" s="1">
        <v>42222</v>
      </c>
      <c r="B2046">
        <v>219</v>
      </c>
      <c r="C2046" s="6">
        <f>IF('weather data'!C2046&gt;'user input'!$C$3,'user input'!$C$3,'weather data'!C2046)</f>
        <v>28.333333333333336</v>
      </c>
      <c r="D2046" s="6">
        <f>IF('weather data'!D2046&lt;'user input'!$C$2,'user input'!$C$2,'weather data'!D2046)</f>
        <v>11.111111111111111</v>
      </c>
      <c r="E2046">
        <f t="shared" si="32"/>
        <v>19.722222222222221</v>
      </c>
      <c r="F2046">
        <f>IF((E2046-'user input'!$C$2)&lt;0,0,E2046-'user input'!$C$2)</f>
        <v>9.7222222222222214</v>
      </c>
      <c r="G2046">
        <f>IF(B2046&lt;'user input'!$C$5,0,(F2046+G2045))</f>
        <v>856.38888888888903</v>
      </c>
      <c r="H2046">
        <f>G2046/'user input'!$C$4</f>
        <v>0.71365740740740757</v>
      </c>
    </row>
    <row r="2047" spans="1:8" x14ac:dyDescent="0.2">
      <c r="A2047" s="1">
        <v>42223</v>
      </c>
      <c r="B2047">
        <v>220</v>
      </c>
      <c r="C2047" s="6">
        <f>IF('weather data'!C2047&gt;'user input'!$C$3,'user input'!$C$3,'weather data'!C2047)</f>
        <v>28.333333333333336</v>
      </c>
      <c r="D2047" s="6">
        <f>IF('weather data'!D2047&lt;'user input'!$C$2,'user input'!$C$2,'weather data'!D2047)</f>
        <v>13.333333333333332</v>
      </c>
      <c r="E2047">
        <f t="shared" si="32"/>
        <v>20.833333333333336</v>
      </c>
      <c r="F2047">
        <f>IF((E2047-'user input'!$C$2)&lt;0,0,E2047-'user input'!$C$2)</f>
        <v>10.833333333333336</v>
      </c>
      <c r="G2047">
        <f>IF(B2047&lt;'user input'!$C$5,0,(F2047+G2046))</f>
        <v>867.2222222222224</v>
      </c>
      <c r="H2047">
        <f>G2047/'user input'!$C$4</f>
        <v>0.72268518518518532</v>
      </c>
    </row>
    <row r="2048" spans="1:8" x14ac:dyDescent="0.2">
      <c r="A2048" s="1">
        <v>42224</v>
      </c>
      <c r="B2048">
        <v>221</v>
      </c>
      <c r="C2048" s="6">
        <f>IF('weather data'!C2048&gt;'user input'!$C$3,'user input'!$C$3,'weather data'!C2048)</f>
        <v>26.666666666666664</v>
      </c>
      <c r="D2048" s="6">
        <f>IF('weather data'!D2048&lt;'user input'!$C$2,'user input'!$C$2,'weather data'!D2048)</f>
        <v>15.555555555555555</v>
      </c>
      <c r="E2048">
        <f t="shared" si="32"/>
        <v>21.111111111111111</v>
      </c>
      <c r="F2048">
        <f>IF((E2048-'user input'!$C$2)&lt;0,0,E2048-'user input'!$C$2)</f>
        <v>11.111111111111111</v>
      </c>
      <c r="G2048">
        <f>IF(B2048&lt;'user input'!$C$5,0,(F2048+G2047))</f>
        <v>878.33333333333348</v>
      </c>
      <c r="H2048">
        <f>G2048/'user input'!$C$4</f>
        <v>0.73194444444444462</v>
      </c>
    </row>
    <row r="2049" spans="1:8" x14ac:dyDescent="0.2">
      <c r="A2049" s="1">
        <v>42225</v>
      </c>
      <c r="B2049">
        <v>222</v>
      </c>
      <c r="C2049" s="6">
        <f>IF('weather data'!C2049&gt;'user input'!$C$3,'user input'!$C$3,'weather data'!C2049)</f>
        <v>22.222222222222221</v>
      </c>
      <c r="D2049" s="6">
        <f>IF('weather data'!D2049&lt;'user input'!$C$2,'user input'!$C$2,'weather data'!D2049)</f>
        <v>17.222222222222221</v>
      </c>
      <c r="E2049">
        <f t="shared" si="32"/>
        <v>19.722222222222221</v>
      </c>
      <c r="F2049">
        <f>IF((E2049-'user input'!$C$2)&lt;0,0,E2049-'user input'!$C$2)</f>
        <v>9.7222222222222214</v>
      </c>
      <c r="G2049">
        <f>IF(B2049&lt;'user input'!$C$5,0,(F2049+G2048))</f>
        <v>888.05555555555566</v>
      </c>
      <c r="H2049">
        <f>G2049/'user input'!$C$4</f>
        <v>0.74004629629629637</v>
      </c>
    </row>
    <row r="2050" spans="1:8" x14ac:dyDescent="0.2">
      <c r="A2050" s="1">
        <v>42226</v>
      </c>
      <c r="B2050">
        <v>223</v>
      </c>
      <c r="C2050" s="6">
        <f>IF('weather data'!C2050&gt;'user input'!$C$3,'user input'!$C$3,'weather data'!C2050)</f>
        <v>28.333333333333336</v>
      </c>
      <c r="D2050" s="6">
        <f>IF('weather data'!D2050&lt;'user input'!$C$2,'user input'!$C$2,'weather data'!D2050)</f>
        <v>17.777777777777779</v>
      </c>
      <c r="E2050">
        <f t="shared" si="32"/>
        <v>23.055555555555557</v>
      </c>
      <c r="F2050">
        <f>IF((E2050-'user input'!$C$2)&lt;0,0,E2050-'user input'!$C$2)</f>
        <v>13.055555555555557</v>
      </c>
      <c r="G2050">
        <f>IF(B2050&lt;'user input'!$C$5,0,(F2050+G2049))</f>
        <v>901.1111111111112</v>
      </c>
      <c r="H2050">
        <f>G2050/'user input'!$C$4</f>
        <v>0.750925925925926</v>
      </c>
    </row>
    <row r="2051" spans="1:8" x14ac:dyDescent="0.2">
      <c r="A2051" s="1">
        <v>42227</v>
      </c>
      <c r="B2051">
        <v>224</v>
      </c>
      <c r="C2051" s="6">
        <f>IF('weather data'!C2051&gt;'user input'!$C$3,'user input'!$C$3,'weather data'!C2051)</f>
        <v>28.333333333333336</v>
      </c>
      <c r="D2051" s="6">
        <f>IF('weather data'!D2051&lt;'user input'!$C$2,'user input'!$C$2,'weather data'!D2051)</f>
        <v>12.777777777777777</v>
      </c>
      <c r="E2051">
        <f t="shared" si="32"/>
        <v>20.555555555555557</v>
      </c>
      <c r="F2051">
        <f>IF((E2051-'user input'!$C$2)&lt;0,0,E2051-'user input'!$C$2)</f>
        <v>10.555555555555557</v>
      </c>
      <c r="G2051">
        <f>IF(B2051&lt;'user input'!$C$5,0,(F2051+G2050))</f>
        <v>911.66666666666674</v>
      </c>
      <c r="H2051">
        <f>G2051/'user input'!$C$4</f>
        <v>0.7597222222222223</v>
      </c>
    </row>
    <row r="2052" spans="1:8" x14ac:dyDescent="0.2">
      <c r="A2052" s="1">
        <v>42228</v>
      </c>
      <c r="B2052">
        <v>225</v>
      </c>
      <c r="C2052" s="6">
        <f>IF('weather data'!C2052&gt;'user input'!$C$3,'user input'!$C$3,'weather data'!C2052)</f>
        <v>27.777777777777779</v>
      </c>
      <c r="D2052" s="6">
        <f>IF('weather data'!D2052&lt;'user input'!$C$2,'user input'!$C$2,'weather data'!D2052)</f>
        <v>11.666666666666668</v>
      </c>
      <c r="E2052">
        <f t="shared" si="32"/>
        <v>19.722222222222221</v>
      </c>
      <c r="F2052">
        <f>IF((E2052-'user input'!$C$2)&lt;0,0,E2052-'user input'!$C$2)</f>
        <v>9.7222222222222214</v>
      </c>
      <c r="G2052">
        <f>IF(B2052&lt;'user input'!$C$5,0,(F2052+G2051))</f>
        <v>921.38888888888891</v>
      </c>
      <c r="H2052">
        <f>G2052/'user input'!$C$4</f>
        <v>0.76782407407407405</v>
      </c>
    </row>
    <row r="2053" spans="1:8" x14ac:dyDescent="0.2">
      <c r="A2053" s="1">
        <v>42229</v>
      </c>
      <c r="B2053">
        <v>226</v>
      </c>
      <c r="C2053" s="6">
        <f>IF('weather data'!C2053&gt;'user input'!$C$3,'user input'!$C$3,'weather data'!C2053)</f>
        <v>28.888888888888889</v>
      </c>
      <c r="D2053" s="6">
        <f>IF('weather data'!D2053&lt;'user input'!$C$2,'user input'!$C$2,'weather data'!D2053)</f>
        <v>12.222222222222223</v>
      </c>
      <c r="E2053">
        <f t="shared" si="32"/>
        <v>20.555555555555557</v>
      </c>
      <c r="F2053">
        <f>IF((E2053-'user input'!$C$2)&lt;0,0,E2053-'user input'!$C$2)</f>
        <v>10.555555555555557</v>
      </c>
      <c r="G2053">
        <f>IF(B2053&lt;'user input'!$C$5,0,(F2053+G2052))</f>
        <v>931.94444444444446</v>
      </c>
      <c r="H2053">
        <f>G2053/'user input'!$C$4</f>
        <v>0.77662037037037035</v>
      </c>
    </row>
    <row r="2054" spans="1:8" x14ac:dyDescent="0.2">
      <c r="A2054" s="1">
        <v>42230</v>
      </c>
      <c r="B2054">
        <v>227</v>
      </c>
      <c r="C2054" s="6">
        <f>IF('weather data'!C2054&gt;'user input'!$C$3,'user input'!$C$3,'weather data'!C2054)</f>
        <v>30</v>
      </c>
      <c r="D2054" s="6">
        <f>IF('weather data'!D2054&lt;'user input'!$C$2,'user input'!$C$2,'weather data'!D2054)</f>
        <v>17.777777777777779</v>
      </c>
      <c r="E2054">
        <f t="shared" si="32"/>
        <v>23.888888888888889</v>
      </c>
      <c r="F2054">
        <f>IF((E2054-'user input'!$C$2)&lt;0,0,E2054-'user input'!$C$2)</f>
        <v>13.888888888888889</v>
      </c>
      <c r="G2054">
        <f>IF(B2054&lt;'user input'!$C$5,0,(F2054+G2053))</f>
        <v>945.83333333333337</v>
      </c>
      <c r="H2054">
        <f>G2054/'user input'!$C$4</f>
        <v>0.78819444444444453</v>
      </c>
    </row>
    <row r="2055" spans="1:8" x14ac:dyDescent="0.2">
      <c r="A2055" s="1">
        <v>42231</v>
      </c>
      <c r="B2055">
        <v>228</v>
      </c>
      <c r="C2055" s="6">
        <f>IF('weather data'!C2055&gt;'user input'!$C$3,'user input'!$C$3,'weather data'!C2055)</f>
        <v>30</v>
      </c>
      <c r="D2055" s="6">
        <f>IF('weather data'!D2055&lt;'user input'!$C$2,'user input'!$C$2,'weather data'!D2055)</f>
        <v>19.444444444444443</v>
      </c>
      <c r="E2055">
        <f t="shared" si="32"/>
        <v>24.722222222222221</v>
      </c>
      <c r="F2055">
        <f>IF((E2055-'user input'!$C$2)&lt;0,0,E2055-'user input'!$C$2)</f>
        <v>14.722222222222221</v>
      </c>
      <c r="G2055">
        <f>IF(B2055&lt;'user input'!$C$5,0,(F2055+G2054))</f>
        <v>960.55555555555554</v>
      </c>
      <c r="H2055">
        <f>G2055/'user input'!$C$4</f>
        <v>0.80046296296296293</v>
      </c>
    </row>
    <row r="2056" spans="1:8" x14ac:dyDescent="0.2">
      <c r="A2056" s="1">
        <v>42232</v>
      </c>
      <c r="B2056">
        <v>229</v>
      </c>
      <c r="C2056" s="6">
        <f>IF('weather data'!C2056&gt;'user input'!$C$3,'user input'!$C$3,'weather data'!C2056)</f>
        <v>30</v>
      </c>
      <c r="D2056" s="6">
        <f>IF('weather data'!D2056&lt;'user input'!$C$2,'user input'!$C$2,'weather data'!D2056)</f>
        <v>18.888888888888889</v>
      </c>
      <c r="E2056">
        <f t="shared" si="32"/>
        <v>24.444444444444443</v>
      </c>
      <c r="F2056">
        <f>IF((E2056-'user input'!$C$2)&lt;0,0,E2056-'user input'!$C$2)</f>
        <v>14.444444444444443</v>
      </c>
      <c r="G2056">
        <f>IF(B2056&lt;'user input'!$C$5,0,(F2056+G2055))</f>
        <v>975</v>
      </c>
      <c r="H2056">
        <f>G2056/'user input'!$C$4</f>
        <v>0.8125</v>
      </c>
    </row>
    <row r="2057" spans="1:8" x14ac:dyDescent="0.2">
      <c r="A2057" s="1">
        <v>42233</v>
      </c>
      <c r="B2057">
        <v>230</v>
      </c>
      <c r="C2057" s="6">
        <f>IF('weather data'!C2057&gt;'user input'!$C$3,'user input'!$C$3,'weather data'!C2057)</f>
        <v>30</v>
      </c>
      <c r="D2057" s="6">
        <f>IF('weather data'!D2057&lt;'user input'!$C$2,'user input'!$C$2,'weather data'!D2057)</f>
        <v>21.111111111111111</v>
      </c>
      <c r="E2057">
        <f t="shared" si="32"/>
        <v>25.555555555555557</v>
      </c>
      <c r="F2057">
        <f>IF((E2057-'user input'!$C$2)&lt;0,0,E2057-'user input'!$C$2)</f>
        <v>15.555555555555557</v>
      </c>
      <c r="G2057">
        <f>IF(B2057&lt;'user input'!$C$5,0,(F2057+G2056))</f>
        <v>990.55555555555554</v>
      </c>
      <c r="H2057">
        <f>G2057/'user input'!$C$4</f>
        <v>0.82546296296296295</v>
      </c>
    </row>
    <row r="2058" spans="1:8" x14ac:dyDescent="0.2">
      <c r="A2058" s="1">
        <v>42234</v>
      </c>
      <c r="B2058">
        <v>231</v>
      </c>
      <c r="C2058" s="6">
        <f>IF('weather data'!C2058&gt;'user input'!$C$3,'user input'!$C$3,'weather data'!C2058)</f>
        <v>28.888888888888889</v>
      </c>
      <c r="D2058" s="6">
        <f>IF('weather data'!D2058&lt;'user input'!$C$2,'user input'!$C$2,'weather data'!D2058)</f>
        <v>19.444444444444443</v>
      </c>
      <c r="E2058">
        <f t="shared" si="32"/>
        <v>24.166666666666664</v>
      </c>
      <c r="F2058">
        <f>IF((E2058-'user input'!$C$2)&lt;0,0,E2058-'user input'!$C$2)</f>
        <v>14.166666666666664</v>
      </c>
      <c r="G2058">
        <f>IF(B2058&lt;'user input'!$C$5,0,(F2058+G2057))</f>
        <v>1004.7222222222222</v>
      </c>
      <c r="H2058">
        <f>G2058/'user input'!$C$4</f>
        <v>0.83726851851851847</v>
      </c>
    </row>
    <row r="2059" spans="1:8" x14ac:dyDescent="0.2">
      <c r="A2059" s="1">
        <v>42235</v>
      </c>
      <c r="B2059">
        <v>232</v>
      </c>
      <c r="C2059" s="6">
        <f>IF('weather data'!C2059&gt;'user input'!$C$3,'user input'!$C$3,'weather data'!C2059)</f>
        <v>26.111111111111111</v>
      </c>
      <c r="D2059" s="6">
        <f>IF('weather data'!D2059&lt;'user input'!$C$2,'user input'!$C$2,'weather data'!D2059)</f>
        <v>18.333333333333332</v>
      </c>
      <c r="E2059">
        <f t="shared" si="32"/>
        <v>22.222222222222221</v>
      </c>
      <c r="F2059">
        <f>IF((E2059-'user input'!$C$2)&lt;0,0,E2059-'user input'!$C$2)</f>
        <v>12.222222222222221</v>
      </c>
      <c r="G2059">
        <f>IF(B2059&lt;'user input'!$C$5,0,(F2059+G2058))</f>
        <v>1016.9444444444443</v>
      </c>
      <c r="H2059">
        <f>G2059/'user input'!$C$4</f>
        <v>0.84745370370370365</v>
      </c>
    </row>
    <row r="2060" spans="1:8" x14ac:dyDescent="0.2">
      <c r="A2060" s="1">
        <v>42236</v>
      </c>
      <c r="B2060">
        <v>233</v>
      </c>
      <c r="C2060" s="6">
        <f>IF('weather data'!C2060&gt;'user input'!$C$3,'user input'!$C$3,'weather data'!C2060)</f>
        <v>20</v>
      </c>
      <c r="D2060" s="6">
        <f>IF('weather data'!D2060&lt;'user input'!$C$2,'user input'!$C$2,'weather data'!D2060)</f>
        <v>13.333333333333332</v>
      </c>
      <c r="E2060">
        <f t="shared" si="32"/>
        <v>16.666666666666664</v>
      </c>
      <c r="F2060">
        <f>IF((E2060-'user input'!$C$2)&lt;0,0,E2060-'user input'!$C$2)</f>
        <v>6.6666666666666643</v>
      </c>
      <c r="G2060">
        <f>IF(B2060&lt;'user input'!$C$5,0,(F2060+G2059))</f>
        <v>1023.611111111111</v>
      </c>
      <c r="H2060">
        <f>G2060/'user input'!$C$4</f>
        <v>0.85300925925925919</v>
      </c>
    </row>
    <row r="2061" spans="1:8" x14ac:dyDescent="0.2">
      <c r="A2061" s="1">
        <v>42237</v>
      </c>
      <c r="B2061">
        <v>234</v>
      </c>
      <c r="C2061" s="6">
        <f>IF('weather data'!C2061&gt;'user input'!$C$3,'user input'!$C$3,'weather data'!C2061)</f>
        <v>22.222222222222221</v>
      </c>
      <c r="D2061" s="6">
        <f>IF('weather data'!D2061&lt;'user input'!$C$2,'user input'!$C$2,'weather data'!D2061)</f>
        <v>10</v>
      </c>
      <c r="E2061">
        <f t="shared" si="32"/>
        <v>16.111111111111111</v>
      </c>
      <c r="F2061">
        <f>IF((E2061-'user input'!$C$2)&lt;0,0,E2061-'user input'!$C$2)</f>
        <v>6.1111111111111107</v>
      </c>
      <c r="G2061">
        <f>IF(B2061&lt;'user input'!$C$5,0,(F2061+G2060))</f>
        <v>1029.7222222222222</v>
      </c>
      <c r="H2061">
        <f>G2061/'user input'!$C$4</f>
        <v>0.85810185185185184</v>
      </c>
    </row>
    <row r="2062" spans="1:8" x14ac:dyDescent="0.2">
      <c r="A2062" s="1">
        <v>42238</v>
      </c>
      <c r="B2062">
        <v>235</v>
      </c>
      <c r="C2062" s="6">
        <f>IF('weather data'!C2062&gt;'user input'!$C$3,'user input'!$C$3,'weather data'!C2062)</f>
        <v>27.777777777777779</v>
      </c>
      <c r="D2062" s="6">
        <f>IF('weather data'!D2062&lt;'user input'!$C$2,'user input'!$C$2,'weather data'!D2062)</f>
        <v>10.555555555555555</v>
      </c>
      <c r="E2062">
        <f t="shared" si="32"/>
        <v>19.166666666666668</v>
      </c>
      <c r="F2062">
        <f>IF((E2062-'user input'!$C$2)&lt;0,0,E2062-'user input'!$C$2)</f>
        <v>9.1666666666666679</v>
      </c>
      <c r="G2062">
        <f>IF(B2062&lt;'user input'!$C$5,0,(F2062+G2061))</f>
        <v>1038.8888888888889</v>
      </c>
      <c r="H2062">
        <f>G2062/'user input'!$C$4</f>
        <v>0.86574074074074081</v>
      </c>
    </row>
    <row r="2063" spans="1:8" x14ac:dyDescent="0.2">
      <c r="A2063" s="1">
        <v>42239</v>
      </c>
      <c r="B2063">
        <v>236</v>
      </c>
      <c r="C2063" s="6">
        <f>IF('weather data'!C2063&gt;'user input'!$C$3,'user input'!$C$3,'weather data'!C2063)</f>
        <v>26.666666666666664</v>
      </c>
      <c r="D2063" s="6">
        <f>IF('weather data'!D2063&lt;'user input'!$C$2,'user input'!$C$2,'weather data'!D2063)</f>
        <v>17.777777777777779</v>
      </c>
      <c r="E2063">
        <f t="shared" si="32"/>
        <v>22.222222222222221</v>
      </c>
      <c r="F2063">
        <f>IF((E2063-'user input'!$C$2)&lt;0,0,E2063-'user input'!$C$2)</f>
        <v>12.222222222222221</v>
      </c>
      <c r="G2063">
        <f>IF(B2063&lt;'user input'!$C$5,0,(F2063+G2062))</f>
        <v>1051.1111111111111</v>
      </c>
      <c r="H2063">
        <f>G2063/'user input'!$C$4</f>
        <v>0.87592592592592589</v>
      </c>
    </row>
    <row r="2064" spans="1:8" x14ac:dyDescent="0.2">
      <c r="A2064" s="1">
        <v>42240</v>
      </c>
      <c r="B2064">
        <v>237</v>
      </c>
      <c r="C2064" s="6">
        <f>IF('weather data'!C2064&gt;'user input'!$C$3,'user input'!$C$3,'weather data'!C2064)</f>
        <v>21.666666666666664</v>
      </c>
      <c r="D2064" s="6">
        <f>IF('weather data'!D2064&lt;'user input'!$C$2,'user input'!$C$2,'weather data'!D2064)</f>
        <v>10.555555555555555</v>
      </c>
      <c r="E2064">
        <f t="shared" si="32"/>
        <v>16.111111111111111</v>
      </c>
      <c r="F2064">
        <f>IF((E2064-'user input'!$C$2)&lt;0,0,E2064-'user input'!$C$2)</f>
        <v>6.1111111111111107</v>
      </c>
      <c r="G2064">
        <f>IF(B2064&lt;'user input'!$C$5,0,(F2064+G2063))</f>
        <v>1057.2222222222222</v>
      </c>
      <c r="H2064">
        <f>G2064/'user input'!$C$4</f>
        <v>0.88101851851851842</v>
      </c>
    </row>
    <row r="2065" spans="1:8" x14ac:dyDescent="0.2">
      <c r="A2065" s="1">
        <v>42241</v>
      </c>
      <c r="B2065">
        <v>238</v>
      </c>
      <c r="C2065" s="6">
        <f>IF('weather data'!C2065&gt;'user input'!$C$3,'user input'!$C$3,'weather data'!C2065)</f>
        <v>18.333333333333332</v>
      </c>
      <c r="D2065" s="6">
        <f>IF('weather data'!D2065&lt;'user input'!$C$2,'user input'!$C$2,'weather data'!D2065)</f>
        <v>11.111111111111111</v>
      </c>
      <c r="E2065">
        <f t="shared" si="32"/>
        <v>14.722222222222221</v>
      </c>
      <c r="F2065">
        <f>IF((E2065-'user input'!$C$2)&lt;0,0,E2065-'user input'!$C$2)</f>
        <v>4.7222222222222214</v>
      </c>
      <c r="G2065">
        <f>IF(B2065&lt;'user input'!$C$5,0,(F2065+G2064))</f>
        <v>1061.9444444444443</v>
      </c>
      <c r="H2065">
        <f>G2065/'user input'!$C$4</f>
        <v>0.88495370370370363</v>
      </c>
    </row>
    <row r="2066" spans="1:8" x14ac:dyDescent="0.2">
      <c r="A2066" s="1">
        <v>42242</v>
      </c>
      <c r="B2066">
        <v>239</v>
      </c>
      <c r="C2066" s="6">
        <f>IF('weather data'!C2066&gt;'user input'!$C$3,'user input'!$C$3,'weather data'!C2066)</f>
        <v>19.444444444444443</v>
      </c>
      <c r="D2066" s="6">
        <f>IF('weather data'!D2066&lt;'user input'!$C$2,'user input'!$C$2,'weather data'!D2066)</f>
        <v>12.777777777777777</v>
      </c>
      <c r="E2066">
        <f t="shared" ref="E2066:E2129" si="33">(C2066+D2066)/2</f>
        <v>16.111111111111111</v>
      </c>
      <c r="F2066">
        <f>IF((E2066-'user input'!$C$2)&lt;0,0,E2066-'user input'!$C$2)</f>
        <v>6.1111111111111107</v>
      </c>
      <c r="G2066">
        <f>IF(B2066&lt;'user input'!$C$5,0,(F2066+G2065))</f>
        <v>1068.0555555555554</v>
      </c>
      <c r="H2066">
        <f>G2066/'user input'!$C$4</f>
        <v>0.89004629629629617</v>
      </c>
    </row>
    <row r="2067" spans="1:8" x14ac:dyDescent="0.2">
      <c r="A2067" s="1">
        <v>42243</v>
      </c>
      <c r="B2067">
        <v>240</v>
      </c>
      <c r="C2067" s="6">
        <f>IF('weather data'!C2067&gt;'user input'!$C$3,'user input'!$C$3,'weather data'!C2067)</f>
        <v>23.333333333333336</v>
      </c>
      <c r="D2067" s="6">
        <f>IF('weather data'!D2067&lt;'user input'!$C$2,'user input'!$C$2,'weather data'!D2067)</f>
        <v>10</v>
      </c>
      <c r="E2067">
        <f t="shared" si="33"/>
        <v>16.666666666666668</v>
      </c>
      <c r="F2067">
        <f>IF((E2067-'user input'!$C$2)&lt;0,0,E2067-'user input'!$C$2)</f>
        <v>6.6666666666666679</v>
      </c>
      <c r="G2067">
        <f>IF(B2067&lt;'user input'!$C$5,0,(F2067+G2066))</f>
        <v>1074.7222222222222</v>
      </c>
      <c r="H2067">
        <f>G2067/'user input'!$C$4</f>
        <v>0.89560185185185182</v>
      </c>
    </row>
    <row r="2068" spans="1:8" x14ac:dyDescent="0.2">
      <c r="A2068" s="1">
        <v>42244</v>
      </c>
      <c r="B2068">
        <v>241</v>
      </c>
      <c r="C2068" s="6">
        <f>IF('weather data'!C2068&gt;'user input'!$C$3,'user input'!$C$3,'weather data'!C2068)</f>
        <v>25</v>
      </c>
      <c r="D2068" s="6">
        <f>IF('weather data'!D2068&lt;'user input'!$C$2,'user input'!$C$2,'weather data'!D2068)</f>
        <v>10</v>
      </c>
      <c r="E2068">
        <f t="shared" si="33"/>
        <v>17.5</v>
      </c>
      <c r="F2068">
        <f>IF((E2068-'user input'!$C$2)&lt;0,0,E2068-'user input'!$C$2)</f>
        <v>7.5</v>
      </c>
      <c r="G2068">
        <f>IF(B2068&lt;'user input'!$C$5,0,(F2068+G2067))</f>
        <v>1082.2222222222222</v>
      </c>
      <c r="H2068">
        <f>G2068/'user input'!$C$4</f>
        <v>0.90185185185185179</v>
      </c>
    </row>
    <row r="2069" spans="1:8" x14ac:dyDescent="0.2">
      <c r="A2069" s="1">
        <v>42245</v>
      </c>
      <c r="B2069">
        <v>242</v>
      </c>
      <c r="C2069" s="6">
        <f>IF('weather data'!C2069&gt;'user input'!$C$3,'user input'!$C$3,'weather data'!C2069)</f>
        <v>18.888888888888889</v>
      </c>
      <c r="D2069" s="6">
        <f>IF('weather data'!D2069&lt;'user input'!$C$2,'user input'!$C$2,'weather data'!D2069)</f>
        <v>13.333333333333332</v>
      </c>
      <c r="E2069">
        <f t="shared" si="33"/>
        <v>16.111111111111111</v>
      </c>
      <c r="F2069">
        <f>IF((E2069-'user input'!$C$2)&lt;0,0,E2069-'user input'!$C$2)</f>
        <v>6.1111111111111107</v>
      </c>
      <c r="G2069">
        <f>IF(B2069&lt;'user input'!$C$5,0,(F2069+G2068))</f>
        <v>1088.3333333333333</v>
      </c>
      <c r="H2069">
        <f>G2069/'user input'!$C$4</f>
        <v>0.90694444444444433</v>
      </c>
    </row>
    <row r="2070" spans="1:8" x14ac:dyDescent="0.2">
      <c r="A2070" s="1">
        <v>42246</v>
      </c>
      <c r="B2070">
        <v>243</v>
      </c>
      <c r="C2070" s="6">
        <f>IF('weather data'!C2070&gt;'user input'!$C$3,'user input'!$C$3,'weather data'!C2070)</f>
        <v>21.666666666666664</v>
      </c>
      <c r="D2070" s="6">
        <f>IF('weather data'!D2070&lt;'user input'!$C$2,'user input'!$C$2,'weather data'!D2070)</f>
        <v>16.111111111111111</v>
      </c>
      <c r="E2070">
        <f t="shared" si="33"/>
        <v>18.888888888888886</v>
      </c>
      <c r="F2070">
        <f>IF((E2070-'user input'!$C$2)&lt;0,0,E2070-'user input'!$C$2)</f>
        <v>8.8888888888888857</v>
      </c>
      <c r="G2070">
        <f>IF(B2070&lt;'user input'!$C$5,0,(F2070+G2069))</f>
        <v>1097.2222222222222</v>
      </c>
      <c r="H2070">
        <f>G2070/'user input'!$C$4</f>
        <v>0.91435185185185186</v>
      </c>
    </row>
    <row r="2071" spans="1:8" x14ac:dyDescent="0.2">
      <c r="A2071" s="1">
        <v>42247</v>
      </c>
      <c r="B2071">
        <v>244</v>
      </c>
      <c r="C2071" s="6">
        <f>IF('weather data'!C2071&gt;'user input'!$C$3,'user input'!$C$3,'weather data'!C2071)</f>
        <v>24.444444444444446</v>
      </c>
      <c r="D2071" s="6">
        <f>IF('weather data'!D2071&lt;'user input'!$C$2,'user input'!$C$2,'weather data'!D2071)</f>
        <v>14.444444444444445</v>
      </c>
      <c r="E2071">
        <f t="shared" si="33"/>
        <v>19.444444444444446</v>
      </c>
      <c r="F2071">
        <f>IF((E2071-'user input'!$C$2)&lt;0,0,E2071-'user input'!$C$2)</f>
        <v>9.4444444444444464</v>
      </c>
      <c r="G2071">
        <f>IF(B2071&lt;'user input'!$C$5,0,(F2071+G2070))</f>
        <v>1106.6666666666665</v>
      </c>
      <c r="H2071">
        <f>G2071/'user input'!$C$4</f>
        <v>0.92222222222222205</v>
      </c>
    </row>
    <row r="2072" spans="1:8" x14ac:dyDescent="0.2">
      <c r="A2072" s="1">
        <v>42248</v>
      </c>
      <c r="B2072">
        <v>245</v>
      </c>
      <c r="C2072" s="6">
        <f>IF('weather data'!C2072&gt;'user input'!$C$3,'user input'!$C$3,'weather data'!C2072)</f>
        <v>28.333333333333336</v>
      </c>
      <c r="D2072" s="6">
        <f>IF('weather data'!D2072&lt;'user input'!$C$2,'user input'!$C$2,'weather data'!D2072)</f>
        <v>15</v>
      </c>
      <c r="E2072">
        <f t="shared" si="33"/>
        <v>21.666666666666668</v>
      </c>
      <c r="F2072">
        <f>IF((E2072-'user input'!$C$2)&lt;0,0,E2072-'user input'!$C$2)</f>
        <v>11.666666666666668</v>
      </c>
      <c r="G2072">
        <f>IF(B2072&lt;'user input'!$C$5,0,(F2072+G2071))</f>
        <v>1118.3333333333333</v>
      </c>
      <c r="H2072">
        <f>G2072/'user input'!$C$4</f>
        <v>0.93194444444444435</v>
      </c>
    </row>
    <row r="2073" spans="1:8" x14ac:dyDescent="0.2">
      <c r="A2073" s="1">
        <v>42249</v>
      </c>
      <c r="B2073">
        <v>246</v>
      </c>
      <c r="C2073" s="6">
        <f>IF('weather data'!C2073&gt;'user input'!$C$3,'user input'!$C$3,'weather data'!C2073)</f>
        <v>30</v>
      </c>
      <c r="D2073" s="6">
        <f>IF('weather data'!D2073&lt;'user input'!$C$2,'user input'!$C$2,'weather data'!D2073)</f>
        <v>17.777777777777779</v>
      </c>
      <c r="E2073">
        <f t="shared" si="33"/>
        <v>23.888888888888889</v>
      </c>
      <c r="F2073">
        <f>IF((E2073-'user input'!$C$2)&lt;0,0,E2073-'user input'!$C$2)</f>
        <v>13.888888888888889</v>
      </c>
      <c r="G2073">
        <f>IF(B2073&lt;'user input'!$C$5,0,(F2073+G2072))</f>
        <v>1132.2222222222222</v>
      </c>
      <c r="H2073">
        <f>G2073/'user input'!$C$4</f>
        <v>0.94351851851851842</v>
      </c>
    </row>
    <row r="2074" spans="1:8" x14ac:dyDescent="0.2">
      <c r="A2074" s="1">
        <v>42250</v>
      </c>
      <c r="B2074">
        <v>247</v>
      </c>
      <c r="C2074" s="6">
        <f>IF('weather data'!C2074&gt;'user input'!$C$3,'user input'!$C$3,'weather data'!C2074)</f>
        <v>30</v>
      </c>
      <c r="D2074" s="6">
        <f>IF('weather data'!D2074&lt;'user input'!$C$2,'user input'!$C$2,'weather data'!D2074)</f>
        <v>18.888888888888889</v>
      </c>
      <c r="E2074">
        <f t="shared" si="33"/>
        <v>24.444444444444443</v>
      </c>
      <c r="F2074">
        <f>IF((E2074-'user input'!$C$2)&lt;0,0,E2074-'user input'!$C$2)</f>
        <v>14.444444444444443</v>
      </c>
      <c r="G2074">
        <f>IF(B2074&lt;'user input'!$C$5,0,(F2074+G2073))</f>
        <v>1146.6666666666665</v>
      </c>
      <c r="H2074">
        <f>G2074/'user input'!$C$4</f>
        <v>0.95555555555555538</v>
      </c>
    </row>
    <row r="2075" spans="1:8" x14ac:dyDescent="0.2">
      <c r="A2075" s="1">
        <v>42251</v>
      </c>
      <c r="B2075">
        <v>248</v>
      </c>
      <c r="C2075" s="6">
        <f>IF('weather data'!C2075&gt;'user input'!$C$3,'user input'!$C$3,'weather data'!C2075)</f>
        <v>30</v>
      </c>
      <c r="D2075" s="6">
        <f>IF('weather data'!D2075&lt;'user input'!$C$2,'user input'!$C$2,'weather data'!D2075)</f>
        <v>18.888888888888889</v>
      </c>
      <c r="E2075">
        <f t="shared" si="33"/>
        <v>24.444444444444443</v>
      </c>
      <c r="F2075">
        <f>IF((E2075-'user input'!$C$2)&lt;0,0,E2075-'user input'!$C$2)</f>
        <v>14.444444444444443</v>
      </c>
      <c r="G2075">
        <f>IF(B2075&lt;'user input'!$C$5,0,(F2075+G2074))</f>
        <v>1161.1111111111109</v>
      </c>
      <c r="H2075">
        <f>G2075/'user input'!$C$4</f>
        <v>0.96759259259259234</v>
      </c>
    </row>
    <row r="2076" spans="1:8" x14ac:dyDescent="0.2">
      <c r="A2076" s="1">
        <v>42252</v>
      </c>
      <c r="B2076">
        <v>249</v>
      </c>
      <c r="C2076" s="6">
        <f>IF('weather data'!C2076&gt;'user input'!$C$3,'user input'!$C$3,'weather data'!C2076)</f>
        <v>30</v>
      </c>
      <c r="D2076" s="6">
        <f>IF('weather data'!D2076&lt;'user input'!$C$2,'user input'!$C$2,'weather data'!D2076)</f>
        <v>18.888888888888889</v>
      </c>
      <c r="E2076">
        <f t="shared" si="33"/>
        <v>24.444444444444443</v>
      </c>
      <c r="F2076">
        <f>IF((E2076-'user input'!$C$2)&lt;0,0,E2076-'user input'!$C$2)</f>
        <v>14.444444444444443</v>
      </c>
      <c r="G2076">
        <f>IF(B2076&lt;'user input'!$C$5,0,(F2076+G2075))</f>
        <v>1175.5555555555552</v>
      </c>
      <c r="H2076">
        <f>G2076/'user input'!$C$4</f>
        <v>0.97962962962962929</v>
      </c>
    </row>
    <row r="2077" spans="1:8" x14ac:dyDescent="0.2">
      <c r="A2077" s="1">
        <v>42253</v>
      </c>
      <c r="B2077">
        <v>250</v>
      </c>
      <c r="C2077" s="6">
        <f>IF('weather data'!C2077&gt;'user input'!$C$3,'user input'!$C$3,'weather data'!C2077)</f>
        <v>28.888888888888889</v>
      </c>
      <c r="D2077" s="6">
        <f>IF('weather data'!D2077&lt;'user input'!$C$2,'user input'!$C$2,'weather data'!D2077)</f>
        <v>19.444444444444443</v>
      </c>
      <c r="E2077">
        <f t="shared" si="33"/>
        <v>24.166666666666664</v>
      </c>
      <c r="F2077">
        <f>IF((E2077-'user input'!$C$2)&lt;0,0,E2077-'user input'!$C$2)</f>
        <v>14.166666666666664</v>
      </c>
      <c r="G2077">
        <f>IF(B2077&lt;'user input'!$C$5,0,(F2077+G2076))</f>
        <v>1189.7222222222219</v>
      </c>
      <c r="H2077">
        <f>G2077/'user input'!$C$4</f>
        <v>0.99143518518518492</v>
      </c>
    </row>
    <row r="2078" spans="1:8" x14ac:dyDescent="0.2">
      <c r="A2078" s="1">
        <v>42254</v>
      </c>
      <c r="B2078">
        <v>251</v>
      </c>
      <c r="C2078" s="6">
        <f>IF('weather data'!C2078&gt;'user input'!$C$3,'user input'!$C$3,'weather data'!C2078)</f>
        <v>30</v>
      </c>
      <c r="D2078" s="6">
        <f>IF('weather data'!D2078&lt;'user input'!$C$2,'user input'!$C$2,'weather data'!D2078)</f>
        <v>21.666666666666664</v>
      </c>
      <c r="E2078">
        <f t="shared" si="33"/>
        <v>25.833333333333332</v>
      </c>
      <c r="F2078">
        <f>IF((E2078-'user input'!$C$2)&lt;0,0,E2078-'user input'!$C$2)</f>
        <v>15.833333333333332</v>
      </c>
      <c r="G2078">
        <f>IF(B2078&lt;'user input'!$C$5,0,(F2078+G2077))</f>
        <v>1205.5555555555552</v>
      </c>
      <c r="H2078">
        <f>G2078/'user input'!$C$4</f>
        <v>1.0046296296296293</v>
      </c>
    </row>
    <row r="2079" spans="1:8" x14ac:dyDescent="0.2">
      <c r="A2079" s="1">
        <v>42255</v>
      </c>
      <c r="B2079">
        <v>252</v>
      </c>
      <c r="C2079" s="6">
        <f>IF('weather data'!C2079&gt;'user input'!$C$3,'user input'!$C$3,'weather data'!C2079)</f>
        <v>27.777777777777779</v>
      </c>
      <c r="D2079" s="6">
        <f>IF('weather data'!D2079&lt;'user input'!$C$2,'user input'!$C$2,'weather data'!D2079)</f>
        <v>20.555555555555554</v>
      </c>
      <c r="E2079">
        <f t="shared" si="33"/>
        <v>24.166666666666664</v>
      </c>
      <c r="F2079">
        <f>IF((E2079-'user input'!$C$2)&lt;0,0,E2079-'user input'!$C$2)</f>
        <v>14.166666666666664</v>
      </c>
      <c r="G2079">
        <f>IF(B2079&lt;'user input'!$C$5,0,(F2079+G2078))</f>
        <v>1219.7222222222219</v>
      </c>
      <c r="H2079">
        <f>G2079/'user input'!$C$4</f>
        <v>1.0164351851851849</v>
      </c>
    </row>
    <row r="2080" spans="1:8" x14ac:dyDescent="0.2">
      <c r="A2080" s="1">
        <v>42256</v>
      </c>
      <c r="B2080">
        <v>253</v>
      </c>
      <c r="C2080" s="6">
        <f>IF('weather data'!C2080&gt;'user input'!$C$3,'user input'!$C$3,'weather data'!C2080)</f>
        <v>25</v>
      </c>
      <c r="D2080" s="6">
        <f>IF('weather data'!D2080&lt;'user input'!$C$2,'user input'!$C$2,'weather data'!D2080)</f>
        <v>12.222222222222223</v>
      </c>
      <c r="E2080">
        <f t="shared" si="33"/>
        <v>18.611111111111111</v>
      </c>
      <c r="F2080">
        <f>IF((E2080-'user input'!$C$2)&lt;0,0,E2080-'user input'!$C$2)</f>
        <v>8.6111111111111107</v>
      </c>
      <c r="G2080">
        <f>IF(B2080&lt;'user input'!$C$5,0,(F2080+G2079))</f>
        <v>1228.333333333333</v>
      </c>
      <c r="H2080">
        <f>G2080/'user input'!$C$4</f>
        <v>1.0236111111111108</v>
      </c>
    </row>
    <row r="2081" spans="1:8" x14ac:dyDescent="0.2">
      <c r="A2081" s="1">
        <v>42257</v>
      </c>
      <c r="B2081">
        <v>254</v>
      </c>
      <c r="C2081" s="6">
        <f>IF('weather data'!C2081&gt;'user input'!$C$3,'user input'!$C$3,'weather data'!C2081)</f>
        <v>26.111111111111111</v>
      </c>
      <c r="D2081" s="6">
        <f>IF('weather data'!D2081&lt;'user input'!$C$2,'user input'!$C$2,'weather data'!D2081)</f>
        <v>11.666666666666668</v>
      </c>
      <c r="E2081">
        <f t="shared" si="33"/>
        <v>18.888888888888889</v>
      </c>
      <c r="F2081">
        <f>IF((E2081-'user input'!$C$2)&lt;0,0,E2081-'user input'!$C$2)</f>
        <v>8.8888888888888893</v>
      </c>
      <c r="G2081">
        <f>IF(B2081&lt;'user input'!$C$5,0,(F2081+G2080))</f>
        <v>1237.2222222222219</v>
      </c>
      <c r="H2081">
        <f>G2081/'user input'!$C$4</f>
        <v>1.0310185185185183</v>
      </c>
    </row>
    <row r="2082" spans="1:8" x14ac:dyDescent="0.2">
      <c r="A2082" s="1">
        <v>42258</v>
      </c>
      <c r="B2082">
        <v>255</v>
      </c>
      <c r="C2082" s="6">
        <f>IF('weather data'!C2082&gt;'user input'!$C$3,'user input'!$C$3,'weather data'!C2082)</f>
        <v>24.444444444444446</v>
      </c>
      <c r="D2082" s="6">
        <f>IF('weather data'!D2082&lt;'user input'!$C$2,'user input'!$C$2,'weather data'!D2082)</f>
        <v>11.666666666666668</v>
      </c>
      <c r="E2082">
        <f t="shared" si="33"/>
        <v>18.055555555555557</v>
      </c>
      <c r="F2082">
        <f>IF((E2082-'user input'!$C$2)&lt;0,0,E2082-'user input'!$C$2)</f>
        <v>8.0555555555555571</v>
      </c>
      <c r="G2082">
        <f>IF(B2082&lt;'user input'!$C$5,0,(F2082+G2081))</f>
        <v>1245.2777777777776</v>
      </c>
      <c r="H2082">
        <f>G2082/'user input'!$C$4</f>
        <v>1.0377314814814813</v>
      </c>
    </row>
    <row r="2083" spans="1:8" x14ac:dyDescent="0.2">
      <c r="A2083" s="1">
        <v>42259</v>
      </c>
      <c r="B2083">
        <v>256</v>
      </c>
      <c r="C2083" s="6">
        <f>IF('weather data'!C2083&gt;'user input'!$C$3,'user input'!$C$3,'weather data'!C2083)</f>
        <v>18.333333333333332</v>
      </c>
      <c r="D2083" s="6">
        <f>IF('weather data'!D2083&lt;'user input'!$C$2,'user input'!$C$2,'weather data'!D2083)</f>
        <v>10</v>
      </c>
      <c r="E2083">
        <f t="shared" si="33"/>
        <v>14.166666666666666</v>
      </c>
      <c r="F2083">
        <f>IF((E2083-'user input'!$C$2)&lt;0,0,E2083-'user input'!$C$2)</f>
        <v>4.1666666666666661</v>
      </c>
      <c r="G2083">
        <f>IF(B2083&lt;'user input'!$C$5,0,(F2083+G2082))</f>
        <v>1249.4444444444443</v>
      </c>
      <c r="H2083">
        <f>G2083/'user input'!$C$4</f>
        <v>1.0412037037037036</v>
      </c>
    </row>
    <row r="2084" spans="1:8" x14ac:dyDescent="0.2">
      <c r="A2084" s="1">
        <v>42260</v>
      </c>
      <c r="B2084">
        <v>257</v>
      </c>
      <c r="C2084" s="6">
        <f>IF('weather data'!C2084&gt;'user input'!$C$3,'user input'!$C$3,'weather data'!C2084)</f>
        <v>18.888888888888889</v>
      </c>
      <c r="D2084" s="6">
        <f>IF('weather data'!D2084&lt;'user input'!$C$2,'user input'!$C$2,'weather data'!D2084)</f>
        <v>10</v>
      </c>
      <c r="E2084">
        <f t="shared" si="33"/>
        <v>14.444444444444445</v>
      </c>
      <c r="F2084">
        <f>IF((E2084-'user input'!$C$2)&lt;0,0,E2084-'user input'!$C$2)</f>
        <v>4.4444444444444446</v>
      </c>
      <c r="G2084">
        <f>IF(B2084&lt;'user input'!$C$5,0,(F2084+G2083))</f>
        <v>1253.8888888888887</v>
      </c>
      <c r="H2084">
        <f>G2084/'user input'!$C$4</f>
        <v>1.0449074074074072</v>
      </c>
    </row>
    <row r="2085" spans="1:8" x14ac:dyDescent="0.2">
      <c r="A2085" s="1">
        <v>42261</v>
      </c>
      <c r="B2085">
        <v>258</v>
      </c>
      <c r="C2085" s="6">
        <f>IF('weather data'!C2085&gt;'user input'!$C$3,'user input'!$C$3,'weather data'!C2085)</f>
        <v>21.666666666666664</v>
      </c>
      <c r="D2085" s="6">
        <f>IF('weather data'!D2085&lt;'user input'!$C$2,'user input'!$C$2,'weather data'!D2085)</f>
        <v>10</v>
      </c>
      <c r="E2085">
        <f t="shared" si="33"/>
        <v>15.833333333333332</v>
      </c>
      <c r="F2085">
        <f>IF((E2085-'user input'!$C$2)&lt;0,0,E2085-'user input'!$C$2)</f>
        <v>5.8333333333333321</v>
      </c>
      <c r="G2085">
        <f>IF(B2085&lt;'user input'!$C$5,0,(F2085+G2084))</f>
        <v>1259.7222222222219</v>
      </c>
      <c r="H2085">
        <f>G2085/'user input'!$C$4</f>
        <v>1.0497685185185184</v>
      </c>
    </row>
    <row r="2086" spans="1:8" x14ac:dyDescent="0.2">
      <c r="A2086" s="1">
        <v>42262</v>
      </c>
      <c r="B2086">
        <v>259</v>
      </c>
      <c r="C2086" s="6">
        <f>IF('weather data'!C2086&gt;'user input'!$C$3,'user input'!$C$3,'weather data'!C2086)</f>
        <v>26.666666666666664</v>
      </c>
      <c r="D2086" s="6">
        <f>IF('weather data'!D2086&lt;'user input'!$C$2,'user input'!$C$2,'weather data'!D2086)</f>
        <v>10</v>
      </c>
      <c r="E2086">
        <f t="shared" si="33"/>
        <v>18.333333333333332</v>
      </c>
      <c r="F2086">
        <f>IF((E2086-'user input'!$C$2)&lt;0,0,E2086-'user input'!$C$2)</f>
        <v>8.3333333333333321</v>
      </c>
      <c r="G2086">
        <f>IF(B2086&lt;'user input'!$C$5,0,(F2086+G2085))</f>
        <v>1268.0555555555552</v>
      </c>
      <c r="H2086">
        <f>G2086/'user input'!$C$4</f>
        <v>1.0567129629629626</v>
      </c>
    </row>
    <row r="2087" spans="1:8" x14ac:dyDescent="0.2">
      <c r="A2087" s="1">
        <v>42263</v>
      </c>
      <c r="B2087">
        <v>260</v>
      </c>
      <c r="C2087" s="6">
        <f>IF('weather data'!C2087&gt;'user input'!$C$3,'user input'!$C$3,'weather data'!C2087)</f>
        <v>28.888888888888889</v>
      </c>
      <c r="D2087" s="6">
        <f>IF('weather data'!D2087&lt;'user input'!$C$2,'user input'!$C$2,'weather data'!D2087)</f>
        <v>17.222222222222221</v>
      </c>
      <c r="E2087">
        <f t="shared" si="33"/>
        <v>23.055555555555557</v>
      </c>
      <c r="F2087">
        <f>IF((E2087-'user input'!$C$2)&lt;0,0,E2087-'user input'!$C$2)</f>
        <v>13.055555555555557</v>
      </c>
      <c r="G2087">
        <f>IF(B2087&lt;'user input'!$C$5,0,(F2087+G2086))</f>
        <v>1281.1111111111109</v>
      </c>
      <c r="H2087">
        <f>G2087/'user input'!$C$4</f>
        <v>1.0675925925925924</v>
      </c>
    </row>
    <row r="2088" spans="1:8" x14ac:dyDescent="0.2">
      <c r="A2088" s="1">
        <v>42264</v>
      </c>
      <c r="B2088">
        <v>261</v>
      </c>
      <c r="C2088" s="6">
        <f>IF('weather data'!C2088&gt;'user input'!$C$3,'user input'!$C$3,'weather data'!C2088)</f>
        <v>28.888888888888889</v>
      </c>
      <c r="D2088" s="6">
        <f>IF('weather data'!D2088&lt;'user input'!$C$2,'user input'!$C$2,'weather data'!D2088)</f>
        <v>17.222222222222221</v>
      </c>
      <c r="E2088">
        <f t="shared" si="33"/>
        <v>23.055555555555557</v>
      </c>
      <c r="F2088">
        <f>IF((E2088-'user input'!$C$2)&lt;0,0,E2088-'user input'!$C$2)</f>
        <v>13.055555555555557</v>
      </c>
      <c r="G2088">
        <f>IF(B2088&lt;'user input'!$C$5,0,(F2088+G2087))</f>
        <v>1294.1666666666665</v>
      </c>
      <c r="H2088">
        <f>G2088/'user input'!$C$4</f>
        <v>1.0784722222222221</v>
      </c>
    </row>
    <row r="2089" spans="1:8" x14ac:dyDescent="0.2">
      <c r="A2089" s="1">
        <v>42265</v>
      </c>
      <c r="B2089">
        <v>262</v>
      </c>
      <c r="C2089" s="6">
        <f>IF('weather data'!C2089&gt;'user input'!$C$3,'user input'!$C$3,'weather data'!C2089)</f>
        <v>27.222222222222221</v>
      </c>
      <c r="D2089" s="6">
        <f>IF('weather data'!D2089&lt;'user input'!$C$2,'user input'!$C$2,'weather data'!D2089)</f>
        <v>18.888888888888889</v>
      </c>
      <c r="E2089">
        <f t="shared" si="33"/>
        <v>23.055555555555557</v>
      </c>
      <c r="F2089">
        <f>IF((E2089-'user input'!$C$2)&lt;0,0,E2089-'user input'!$C$2)</f>
        <v>13.055555555555557</v>
      </c>
      <c r="G2089">
        <f>IF(B2089&lt;'user input'!$C$5,0,(F2089+G2088))</f>
        <v>1307.2222222222222</v>
      </c>
      <c r="H2089">
        <f>G2089/'user input'!$C$4</f>
        <v>1.0893518518518519</v>
      </c>
    </row>
    <row r="2090" spans="1:8" x14ac:dyDescent="0.2">
      <c r="A2090" s="1">
        <v>42266</v>
      </c>
      <c r="B2090">
        <v>263</v>
      </c>
      <c r="C2090" s="6">
        <f>IF('weather data'!C2090&gt;'user input'!$C$3,'user input'!$C$3,'weather data'!C2090)</f>
        <v>22.222222222222221</v>
      </c>
      <c r="D2090" s="6">
        <f>IF('weather data'!D2090&lt;'user input'!$C$2,'user input'!$C$2,'weather data'!D2090)</f>
        <v>12.222222222222223</v>
      </c>
      <c r="E2090">
        <f t="shared" si="33"/>
        <v>17.222222222222221</v>
      </c>
      <c r="F2090">
        <f>IF((E2090-'user input'!$C$2)&lt;0,0,E2090-'user input'!$C$2)</f>
        <v>7.2222222222222214</v>
      </c>
      <c r="G2090">
        <f>IF(B2090&lt;'user input'!$C$5,0,(F2090+G2089))</f>
        <v>1314.4444444444443</v>
      </c>
      <c r="H2090">
        <f>G2090/'user input'!$C$4</f>
        <v>1.0953703703703703</v>
      </c>
    </row>
    <row r="2091" spans="1:8" x14ac:dyDescent="0.2">
      <c r="A2091" s="1">
        <v>42267</v>
      </c>
      <c r="B2091">
        <v>264</v>
      </c>
      <c r="C2091" s="6">
        <f>IF('weather data'!C2091&gt;'user input'!$C$3,'user input'!$C$3,'weather data'!C2091)</f>
        <v>19.444444444444443</v>
      </c>
      <c r="D2091" s="6">
        <f>IF('weather data'!D2091&lt;'user input'!$C$2,'user input'!$C$2,'weather data'!D2091)</f>
        <v>10</v>
      </c>
      <c r="E2091">
        <f t="shared" si="33"/>
        <v>14.722222222222221</v>
      </c>
      <c r="F2091">
        <f>IF((E2091-'user input'!$C$2)&lt;0,0,E2091-'user input'!$C$2)</f>
        <v>4.7222222222222214</v>
      </c>
      <c r="G2091">
        <f>IF(B2091&lt;'user input'!$C$5,0,(F2091+G2090))</f>
        <v>1319.1666666666665</v>
      </c>
      <c r="H2091">
        <f>G2091/'user input'!$C$4</f>
        <v>1.0993055555555555</v>
      </c>
    </row>
    <row r="2092" spans="1:8" x14ac:dyDescent="0.2">
      <c r="A2092" s="1">
        <v>42268</v>
      </c>
      <c r="B2092">
        <v>265</v>
      </c>
      <c r="C2092" s="6">
        <f>IF('weather data'!C2092&gt;'user input'!$C$3,'user input'!$C$3,'weather data'!C2092)</f>
        <v>22.222222222222221</v>
      </c>
      <c r="D2092" s="6">
        <f>IF('weather data'!D2092&lt;'user input'!$C$2,'user input'!$C$2,'weather data'!D2092)</f>
        <v>10</v>
      </c>
      <c r="E2092">
        <f t="shared" si="33"/>
        <v>16.111111111111111</v>
      </c>
      <c r="F2092">
        <f>IF((E2092-'user input'!$C$2)&lt;0,0,E2092-'user input'!$C$2)</f>
        <v>6.1111111111111107</v>
      </c>
      <c r="G2092">
        <f>IF(B2092&lt;'user input'!$C$5,0,(F2092+G2091))</f>
        <v>1325.2777777777776</v>
      </c>
      <c r="H2092">
        <f>G2092/'user input'!$C$4</f>
        <v>1.104398148148148</v>
      </c>
    </row>
    <row r="2093" spans="1:8" x14ac:dyDescent="0.2">
      <c r="A2093" s="1">
        <v>42269</v>
      </c>
      <c r="B2093">
        <v>266</v>
      </c>
      <c r="C2093" s="6">
        <f>IF('weather data'!C2093&gt;'user input'!$C$3,'user input'!$C$3,'weather data'!C2093)</f>
        <v>23.888888888888889</v>
      </c>
      <c r="D2093" s="6">
        <f>IF('weather data'!D2093&lt;'user input'!$C$2,'user input'!$C$2,'weather data'!D2093)</f>
        <v>10</v>
      </c>
      <c r="E2093">
        <f t="shared" si="33"/>
        <v>16.944444444444443</v>
      </c>
      <c r="F2093">
        <f>IF((E2093-'user input'!$C$2)&lt;0,0,E2093-'user input'!$C$2)</f>
        <v>6.9444444444444429</v>
      </c>
      <c r="G2093">
        <f>IF(B2093&lt;'user input'!$C$5,0,(F2093+G2092))</f>
        <v>1332.2222222222219</v>
      </c>
      <c r="H2093">
        <f>G2093/'user input'!$C$4</f>
        <v>1.1101851851851849</v>
      </c>
    </row>
    <row r="2094" spans="1:8" x14ac:dyDescent="0.2">
      <c r="A2094" s="1">
        <v>42270</v>
      </c>
      <c r="B2094">
        <v>267</v>
      </c>
      <c r="C2094" s="6">
        <f>IF('weather data'!C2094&gt;'user input'!$C$3,'user input'!$C$3,'weather data'!C2094)</f>
        <v>26.111111111111111</v>
      </c>
      <c r="D2094" s="6">
        <f>IF('weather data'!D2094&lt;'user input'!$C$2,'user input'!$C$2,'weather data'!D2094)</f>
        <v>10</v>
      </c>
      <c r="E2094">
        <f t="shared" si="33"/>
        <v>18.055555555555557</v>
      </c>
      <c r="F2094">
        <f>IF((E2094-'user input'!$C$2)&lt;0,0,E2094-'user input'!$C$2)</f>
        <v>8.0555555555555571</v>
      </c>
      <c r="G2094">
        <f>IF(B2094&lt;'user input'!$C$5,0,(F2094+G2093))</f>
        <v>1340.2777777777776</v>
      </c>
      <c r="H2094">
        <f>G2094/'user input'!$C$4</f>
        <v>1.1168981481481479</v>
      </c>
    </row>
    <row r="2095" spans="1:8" x14ac:dyDescent="0.2">
      <c r="A2095" s="1">
        <v>42271</v>
      </c>
      <c r="B2095">
        <v>268</v>
      </c>
      <c r="C2095" s="6">
        <f>IF('weather data'!C2095&gt;'user input'!$C$3,'user input'!$C$3,'weather data'!C2095)</f>
        <v>27.222222222222221</v>
      </c>
      <c r="D2095" s="6">
        <f>IF('weather data'!D2095&lt;'user input'!$C$2,'user input'!$C$2,'weather data'!D2095)</f>
        <v>11.111111111111111</v>
      </c>
      <c r="E2095">
        <f t="shared" si="33"/>
        <v>19.166666666666664</v>
      </c>
      <c r="F2095">
        <f>IF((E2095-'user input'!$C$2)&lt;0,0,E2095-'user input'!$C$2)</f>
        <v>9.1666666666666643</v>
      </c>
      <c r="G2095">
        <f>IF(B2095&lt;'user input'!$C$5,0,(F2095+G2094))</f>
        <v>1349.4444444444443</v>
      </c>
      <c r="H2095">
        <f>G2095/'user input'!$C$4</f>
        <v>1.1245370370370369</v>
      </c>
    </row>
    <row r="2096" spans="1:8" x14ac:dyDescent="0.2">
      <c r="A2096" s="1">
        <v>42272</v>
      </c>
      <c r="B2096">
        <v>269</v>
      </c>
      <c r="C2096" s="6">
        <f>IF('weather data'!C2096&gt;'user input'!$C$3,'user input'!$C$3,'weather data'!C2096)</f>
        <v>26.111111111111111</v>
      </c>
      <c r="D2096" s="6">
        <f>IF('weather data'!D2096&lt;'user input'!$C$2,'user input'!$C$2,'weather data'!D2096)</f>
        <v>11.666666666666668</v>
      </c>
      <c r="E2096">
        <f t="shared" si="33"/>
        <v>18.888888888888889</v>
      </c>
      <c r="F2096">
        <f>IF((E2096-'user input'!$C$2)&lt;0,0,E2096-'user input'!$C$2)</f>
        <v>8.8888888888888893</v>
      </c>
      <c r="G2096">
        <f>IF(B2096&lt;'user input'!$C$5,0,(F2096+G2095))</f>
        <v>1358.3333333333333</v>
      </c>
      <c r="H2096">
        <f>G2096/'user input'!$C$4</f>
        <v>1.1319444444444444</v>
      </c>
    </row>
    <row r="2097" spans="1:8" x14ac:dyDescent="0.2">
      <c r="A2097" s="1">
        <v>42273</v>
      </c>
      <c r="B2097">
        <v>270</v>
      </c>
      <c r="C2097" s="6">
        <f>IF('weather data'!C2097&gt;'user input'!$C$3,'user input'!$C$3,'weather data'!C2097)</f>
        <v>25.555555555555554</v>
      </c>
      <c r="D2097" s="6">
        <f>IF('weather data'!D2097&lt;'user input'!$C$2,'user input'!$C$2,'weather data'!D2097)</f>
        <v>10</v>
      </c>
      <c r="E2097">
        <f t="shared" si="33"/>
        <v>17.777777777777779</v>
      </c>
      <c r="F2097">
        <f>IF((E2097-'user input'!$C$2)&lt;0,0,E2097-'user input'!$C$2)</f>
        <v>7.7777777777777786</v>
      </c>
      <c r="G2097">
        <f>IF(B2097&lt;'user input'!$C$5,0,(F2097+G2096))</f>
        <v>1366.1111111111111</v>
      </c>
      <c r="H2097">
        <f>G2097/'user input'!$C$4</f>
        <v>1.138425925925926</v>
      </c>
    </row>
    <row r="2098" spans="1:8" x14ac:dyDescent="0.2">
      <c r="A2098" s="1">
        <v>42274</v>
      </c>
      <c r="B2098">
        <v>271</v>
      </c>
      <c r="C2098" s="6">
        <f>IF('weather data'!C2098&gt;'user input'!$C$3,'user input'!$C$3,'weather data'!C2098)</f>
        <v>26.111111111111111</v>
      </c>
      <c r="D2098" s="6">
        <f>IF('weather data'!D2098&lt;'user input'!$C$2,'user input'!$C$2,'weather data'!D2098)</f>
        <v>10</v>
      </c>
      <c r="E2098">
        <f t="shared" si="33"/>
        <v>18.055555555555557</v>
      </c>
      <c r="F2098">
        <f>IF((E2098-'user input'!$C$2)&lt;0,0,E2098-'user input'!$C$2)</f>
        <v>8.0555555555555571</v>
      </c>
      <c r="G2098">
        <f>IF(B2098&lt;'user input'!$C$5,0,(F2098+G2097))</f>
        <v>1374.1666666666667</v>
      </c>
      <c r="H2098">
        <f>G2098/'user input'!$C$4</f>
        <v>1.1451388888888889</v>
      </c>
    </row>
    <row r="2099" spans="1:8" x14ac:dyDescent="0.2">
      <c r="A2099" s="1">
        <v>42275</v>
      </c>
      <c r="B2099">
        <v>272</v>
      </c>
      <c r="C2099" s="6">
        <f>IF('weather data'!C2099&gt;'user input'!$C$3,'user input'!$C$3,'weather data'!C2099)</f>
        <v>25.555555555555554</v>
      </c>
      <c r="D2099" s="6">
        <f>IF('weather data'!D2099&lt;'user input'!$C$2,'user input'!$C$2,'weather data'!D2099)</f>
        <v>11.111111111111111</v>
      </c>
      <c r="E2099">
        <f t="shared" si="33"/>
        <v>18.333333333333332</v>
      </c>
      <c r="F2099">
        <f>IF((E2099-'user input'!$C$2)&lt;0,0,E2099-'user input'!$C$2)</f>
        <v>8.3333333333333321</v>
      </c>
      <c r="G2099">
        <f>IF(B2099&lt;'user input'!$C$5,0,(F2099+G2098))</f>
        <v>1382.5</v>
      </c>
      <c r="H2099">
        <f>G2099/'user input'!$C$4</f>
        <v>1.1520833333333333</v>
      </c>
    </row>
    <row r="2100" spans="1:8" x14ac:dyDescent="0.2">
      <c r="A2100" s="1">
        <v>42276</v>
      </c>
      <c r="B2100">
        <v>273</v>
      </c>
      <c r="C2100" s="6">
        <f>IF('weather data'!C2100&gt;'user input'!$C$3,'user input'!$C$3,'weather data'!C2100)</f>
        <v>26.666666666666664</v>
      </c>
      <c r="D2100" s="6">
        <f>IF('weather data'!D2100&lt;'user input'!$C$2,'user input'!$C$2,'weather data'!D2100)</f>
        <v>11.666666666666668</v>
      </c>
      <c r="E2100">
        <f t="shared" si="33"/>
        <v>19.166666666666664</v>
      </c>
      <c r="F2100">
        <f>IF((E2100-'user input'!$C$2)&lt;0,0,E2100-'user input'!$C$2)</f>
        <v>9.1666666666666643</v>
      </c>
      <c r="G2100">
        <f>IF(B2100&lt;'user input'!$C$5,0,(F2100+G2099))</f>
        <v>1391.6666666666667</v>
      </c>
      <c r="H2100">
        <f>G2100/'user input'!$C$4</f>
        <v>1.1597222222222223</v>
      </c>
    </row>
    <row r="2101" spans="1:8" x14ac:dyDescent="0.2">
      <c r="A2101" s="1">
        <v>42277</v>
      </c>
      <c r="B2101">
        <v>274</v>
      </c>
      <c r="C2101" s="6">
        <f>IF('weather data'!C2101&gt;'user input'!$C$3,'user input'!$C$3,'weather data'!C2101)</f>
        <v>17.222222222222221</v>
      </c>
      <c r="D2101" s="6">
        <f>IF('weather data'!D2101&lt;'user input'!$C$2,'user input'!$C$2,'weather data'!D2101)</f>
        <v>10</v>
      </c>
      <c r="E2101">
        <f t="shared" si="33"/>
        <v>13.611111111111111</v>
      </c>
      <c r="F2101">
        <f>IF((E2101-'user input'!$C$2)&lt;0,0,E2101-'user input'!$C$2)</f>
        <v>3.6111111111111107</v>
      </c>
      <c r="G2101">
        <f>IF(B2101&lt;'user input'!$C$5,0,(F2101+G2100))</f>
        <v>1395.2777777777778</v>
      </c>
      <c r="H2101">
        <f>G2101/'user input'!$C$4</f>
        <v>1.1627314814814815</v>
      </c>
    </row>
    <row r="2102" spans="1:8" x14ac:dyDescent="0.2">
      <c r="A2102" s="1">
        <v>42278</v>
      </c>
      <c r="B2102">
        <v>275</v>
      </c>
      <c r="C2102" s="6">
        <f>IF('weather data'!C2102&gt;'user input'!$C$3,'user input'!$C$3,'weather data'!C2102)</f>
        <v>16.666666666666668</v>
      </c>
      <c r="D2102" s="6">
        <f>IF('weather data'!D2102&lt;'user input'!$C$2,'user input'!$C$2,'weather data'!D2102)</f>
        <v>10</v>
      </c>
      <c r="E2102">
        <f t="shared" si="33"/>
        <v>13.333333333333334</v>
      </c>
      <c r="F2102">
        <f>IF((E2102-'user input'!$C$2)&lt;0,0,E2102-'user input'!$C$2)</f>
        <v>3.3333333333333339</v>
      </c>
      <c r="G2102">
        <f>IF(B2102&lt;'user input'!$C$5,0,(F2102+G2101))</f>
        <v>1398.6111111111111</v>
      </c>
      <c r="H2102">
        <f>G2102/'user input'!$C$4</f>
        <v>1.1655092592592593</v>
      </c>
    </row>
    <row r="2103" spans="1:8" x14ac:dyDescent="0.2">
      <c r="A2103" s="1">
        <v>42279</v>
      </c>
      <c r="B2103">
        <v>276</v>
      </c>
      <c r="C2103" s="6">
        <f>IF('weather data'!C2103&gt;'user input'!$C$3,'user input'!$C$3,'weather data'!C2103)</f>
        <v>16.111111111111111</v>
      </c>
      <c r="D2103" s="6">
        <f>IF('weather data'!D2103&lt;'user input'!$C$2,'user input'!$C$2,'weather data'!D2103)</f>
        <v>10</v>
      </c>
      <c r="E2103">
        <f t="shared" si="33"/>
        <v>13.055555555555555</v>
      </c>
      <c r="F2103">
        <f>IF((E2103-'user input'!$C$2)&lt;0,0,E2103-'user input'!$C$2)</f>
        <v>3.0555555555555554</v>
      </c>
      <c r="G2103">
        <f>IF(B2103&lt;'user input'!$C$5,0,(F2103+G2102))</f>
        <v>1401.6666666666667</v>
      </c>
      <c r="H2103">
        <f>G2103/'user input'!$C$4</f>
        <v>1.1680555555555556</v>
      </c>
    </row>
    <row r="2104" spans="1:8" x14ac:dyDescent="0.2">
      <c r="A2104" s="1">
        <v>42280</v>
      </c>
      <c r="B2104">
        <v>277</v>
      </c>
      <c r="C2104" s="6">
        <f>IF('weather data'!C2104&gt;'user input'!$C$3,'user input'!$C$3,'weather data'!C2104)</f>
        <v>16.666666666666668</v>
      </c>
      <c r="D2104" s="6">
        <f>IF('weather data'!D2104&lt;'user input'!$C$2,'user input'!$C$2,'weather data'!D2104)</f>
        <v>10</v>
      </c>
      <c r="E2104">
        <f t="shared" si="33"/>
        <v>13.333333333333334</v>
      </c>
      <c r="F2104">
        <f>IF((E2104-'user input'!$C$2)&lt;0,0,E2104-'user input'!$C$2)</f>
        <v>3.3333333333333339</v>
      </c>
      <c r="G2104">
        <f>IF(B2104&lt;'user input'!$C$5,0,(F2104+G2103))</f>
        <v>1405</v>
      </c>
      <c r="H2104">
        <f>G2104/'user input'!$C$4</f>
        <v>1.1708333333333334</v>
      </c>
    </row>
    <row r="2105" spans="1:8" x14ac:dyDescent="0.2">
      <c r="A2105" s="1">
        <v>42281</v>
      </c>
      <c r="B2105">
        <v>278</v>
      </c>
      <c r="C2105" s="6">
        <f>IF('weather data'!C2105&gt;'user input'!$C$3,'user input'!$C$3,'weather data'!C2105)</f>
        <v>13.888888888888889</v>
      </c>
      <c r="D2105" s="6">
        <f>IF('weather data'!D2105&lt;'user input'!$C$2,'user input'!$C$2,'weather data'!D2105)</f>
        <v>10</v>
      </c>
      <c r="E2105">
        <f t="shared" si="33"/>
        <v>11.944444444444445</v>
      </c>
      <c r="F2105">
        <f>IF((E2105-'user input'!$C$2)&lt;0,0,E2105-'user input'!$C$2)</f>
        <v>1.9444444444444446</v>
      </c>
      <c r="G2105">
        <f>IF(B2105&lt;'user input'!$C$5,0,(F2105+G2104))</f>
        <v>1406.9444444444443</v>
      </c>
      <c r="H2105">
        <f>G2105/'user input'!$C$4</f>
        <v>1.1724537037037037</v>
      </c>
    </row>
    <row r="2106" spans="1:8" x14ac:dyDescent="0.2">
      <c r="A2106" s="1">
        <v>42282</v>
      </c>
      <c r="B2106">
        <v>279</v>
      </c>
      <c r="C2106" s="6">
        <f>IF('weather data'!C2106&gt;'user input'!$C$3,'user input'!$C$3,'weather data'!C2106)</f>
        <v>13.333333333333332</v>
      </c>
      <c r="D2106" s="6">
        <f>IF('weather data'!D2106&lt;'user input'!$C$2,'user input'!$C$2,'weather data'!D2106)</f>
        <v>10</v>
      </c>
      <c r="E2106">
        <f t="shared" si="33"/>
        <v>11.666666666666666</v>
      </c>
      <c r="F2106">
        <f>IF((E2106-'user input'!$C$2)&lt;0,0,E2106-'user input'!$C$2)</f>
        <v>1.6666666666666661</v>
      </c>
      <c r="G2106">
        <f>IF(B2106&lt;'user input'!$C$5,0,(F2106+G2105))</f>
        <v>1408.6111111111111</v>
      </c>
      <c r="H2106">
        <f>G2106/'user input'!$C$4</f>
        <v>1.1738425925925926</v>
      </c>
    </row>
    <row r="2107" spans="1:8" x14ac:dyDescent="0.2">
      <c r="A2107" s="1">
        <v>42283</v>
      </c>
      <c r="B2107">
        <v>280</v>
      </c>
      <c r="C2107" s="6">
        <f>IF('weather data'!C2107&gt;'user input'!$C$3,'user input'!$C$3,'weather data'!C2107)</f>
        <v>15.555555555555555</v>
      </c>
      <c r="D2107" s="6">
        <f>IF('weather data'!D2107&lt;'user input'!$C$2,'user input'!$C$2,'weather data'!D2107)</f>
        <v>10</v>
      </c>
      <c r="E2107">
        <f t="shared" si="33"/>
        <v>12.777777777777779</v>
      </c>
      <c r="F2107">
        <f>IF((E2107-'user input'!$C$2)&lt;0,0,E2107-'user input'!$C$2)</f>
        <v>2.7777777777777786</v>
      </c>
      <c r="G2107">
        <f>IF(B2107&lt;'user input'!$C$5,0,(F2107+G2106))</f>
        <v>1411.3888888888889</v>
      </c>
      <c r="H2107">
        <f>G2107/'user input'!$C$4</f>
        <v>1.1761574074074075</v>
      </c>
    </row>
    <row r="2108" spans="1:8" x14ac:dyDescent="0.2">
      <c r="A2108" s="1">
        <v>42284</v>
      </c>
      <c r="B2108">
        <v>281</v>
      </c>
      <c r="C2108" s="6">
        <f>IF('weather data'!C2108&gt;'user input'!$C$3,'user input'!$C$3,'weather data'!C2108)</f>
        <v>20.555555555555554</v>
      </c>
      <c r="D2108" s="6">
        <f>IF('weather data'!D2108&lt;'user input'!$C$2,'user input'!$C$2,'weather data'!D2108)</f>
        <v>10</v>
      </c>
      <c r="E2108">
        <f t="shared" si="33"/>
        <v>15.277777777777777</v>
      </c>
      <c r="F2108">
        <f>IF((E2108-'user input'!$C$2)&lt;0,0,E2108-'user input'!$C$2)</f>
        <v>5.2777777777777768</v>
      </c>
      <c r="G2108">
        <f>IF(B2108&lt;'user input'!$C$5,0,(F2108+G2107))</f>
        <v>1416.6666666666667</v>
      </c>
      <c r="H2108">
        <f>G2108/'user input'!$C$4</f>
        <v>1.1805555555555556</v>
      </c>
    </row>
    <row r="2109" spans="1:8" x14ac:dyDescent="0.2">
      <c r="A2109" s="1">
        <v>42285</v>
      </c>
      <c r="B2109">
        <v>282</v>
      </c>
      <c r="C2109" s="6">
        <f>IF('weather data'!C2109&gt;'user input'!$C$3,'user input'!$C$3,'weather data'!C2109)</f>
        <v>18.888888888888889</v>
      </c>
      <c r="D2109" s="6">
        <f>IF('weather data'!D2109&lt;'user input'!$C$2,'user input'!$C$2,'weather data'!D2109)</f>
        <v>10</v>
      </c>
      <c r="E2109">
        <f t="shared" si="33"/>
        <v>14.444444444444445</v>
      </c>
      <c r="F2109">
        <f>IF((E2109-'user input'!$C$2)&lt;0,0,E2109-'user input'!$C$2)</f>
        <v>4.4444444444444446</v>
      </c>
      <c r="G2109">
        <f>IF(B2109&lt;'user input'!$C$5,0,(F2109+G2108))</f>
        <v>1421.1111111111111</v>
      </c>
      <c r="H2109">
        <f>G2109/'user input'!$C$4</f>
        <v>1.1842592592592593</v>
      </c>
    </row>
    <row r="2110" spans="1:8" x14ac:dyDescent="0.2">
      <c r="A2110" s="1">
        <v>42286</v>
      </c>
      <c r="B2110">
        <v>283</v>
      </c>
      <c r="C2110" s="6">
        <f>IF('weather data'!C2110&gt;'user input'!$C$3,'user input'!$C$3,'weather data'!C2110)</f>
        <v>22.222222222222221</v>
      </c>
      <c r="D2110" s="6">
        <f>IF('weather data'!D2110&lt;'user input'!$C$2,'user input'!$C$2,'weather data'!D2110)</f>
        <v>10.555555555555555</v>
      </c>
      <c r="E2110">
        <f t="shared" si="33"/>
        <v>16.388888888888889</v>
      </c>
      <c r="F2110">
        <f>IF((E2110-'user input'!$C$2)&lt;0,0,E2110-'user input'!$C$2)</f>
        <v>6.3888888888888893</v>
      </c>
      <c r="G2110">
        <f>IF(B2110&lt;'user input'!$C$5,0,(F2110+G2109))</f>
        <v>1427.5</v>
      </c>
      <c r="H2110">
        <f>G2110/'user input'!$C$4</f>
        <v>1.1895833333333334</v>
      </c>
    </row>
    <row r="2111" spans="1:8" x14ac:dyDescent="0.2">
      <c r="A2111" s="1">
        <v>42287</v>
      </c>
      <c r="B2111">
        <v>284</v>
      </c>
      <c r="C2111" s="6">
        <f>IF('weather data'!C2111&gt;'user input'!$C$3,'user input'!$C$3,'weather data'!C2111)</f>
        <v>15.555555555555555</v>
      </c>
      <c r="D2111" s="6">
        <f>IF('weather data'!D2111&lt;'user input'!$C$2,'user input'!$C$2,'weather data'!D2111)</f>
        <v>10</v>
      </c>
      <c r="E2111">
        <f t="shared" si="33"/>
        <v>12.777777777777779</v>
      </c>
      <c r="F2111">
        <f>IF((E2111-'user input'!$C$2)&lt;0,0,E2111-'user input'!$C$2)</f>
        <v>2.7777777777777786</v>
      </c>
      <c r="G2111">
        <f>IF(B2111&lt;'user input'!$C$5,0,(F2111+G2110))</f>
        <v>1430.2777777777778</v>
      </c>
      <c r="H2111">
        <f>G2111/'user input'!$C$4</f>
        <v>1.1918981481481481</v>
      </c>
    </row>
    <row r="2112" spans="1:8" x14ac:dyDescent="0.2">
      <c r="A2112" s="1">
        <v>42288</v>
      </c>
      <c r="B2112">
        <v>285</v>
      </c>
      <c r="C2112" s="6">
        <f>IF('weather data'!C2112&gt;'user input'!$C$3,'user input'!$C$3,'weather data'!C2112)</f>
        <v>17.777777777777779</v>
      </c>
      <c r="D2112" s="6">
        <f>IF('weather data'!D2112&lt;'user input'!$C$2,'user input'!$C$2,'weather data'!D2112)</f>
        <v>10</v>
      </c>
      <c r="E2112">
        <f t="shared" si="33"/>
        <v>13.888888888888889</v>
      </c>
      <c r="F2112">
        <f>IF((E2112-'user input'!$C$2)&lt;0,0,E2112-'user input'!$C$2)</f>
        <v>3.8888888888888893</v>
      </c>
      <c r="G2112">
        <f>IF(B2112&lt;'user input'!$C$5,0,(F2112+G2111))</f>
        <v>1434.1666666666667</v>
      </c>
      <c r="H2112">
        <f>G2112/'user input'!$C$4</f>
        <v>1.195138888888889</v>
      </c>
    </row>
    <row r="2113" spans="1:8" x14ac:dyDescent="0.2">
      <c r="A2113" s="1">
        <v>42289</v>
      </c>
      <c r="B2113">
        <v>286</v>
      </c>
      <c r="C2113" s="6">
        <f>IF('weather data'!C2113&gt;'user input'!$C$3,'user input'!$C$3,'weather data'!C2113)</f>
        <v>26.111111111111111</v>
      </c>
      <c r="D2113" s="6">
        <f>IF('weather data'!D2113&lt;'user input'!$C$2,'user input'!$C$2,'weather data'!D2113)</f>
        <v>12.222222222222223</v>
      </c>
      <c r="E2113">
        <f t="shared" si="33"/>
        <v>19.166666666666668</v>
      </c>
      <c r="F2113">
        <f>IF((E2113-'user input'!$C$2)&lt;0,0,E2113-'user input'!$C$2)</f>
        <v>9.1666666666666679</v>
      </c>
      <c r="G2113">
        <f>IF(B2113&lt;'user input'!$C$5,0,(F2113+G2112))</f>
        <v>1443.3333333333335</v>
      </c>
      <c r="H2113">
        <f>G2113/'user input'!$C$4</f>
        <v>1.2027777777777779</v>
      </c>
    </row>
    <row r="2114" spans="1:8" x14ac:dyDescent="0.2">
      <c r="A2114" s="1">
        <v>42290</v>
      </c>
      <c r="B2114">
        <v>287</v>
      </c>
      <c r="C2114" s="6">
        <f>IF('weather data'!C2114&gt;'user input'!$C$3,'user input'!$C$3,'weather data'!C2114)</f>
        <v>21.111111111111111</v>
      </c>
      <c r="D2114" s="6">
        <f>IF('weather data'!D2114&lt;'user input'!$C$2,'user input'!$C$2,'weather data'!D2114)</f>
        <v>10</v>
      </c>
      <c r="E2114">
        <f t="shared" si="33"/>
        <v>15.555555555555555</v>
      </c>
      <c r="F2114">
        <f>IF((E2114-'user input'!$C$2)&lt;0,0,E2114-'user input'!$C$2)</f>
        <v>5.5555555555555554</v>
      </c>
      <c r="G2114">
        <f>IF(B2114&lt;'user input'!$C$5,0,(F2114+G2113))</f>
        <v>1448.8888888888891</v>
      </c>
      <c r="H2114">
        <f>G2114/'user input'!$C$4</f>
        <v>1.2074074074074077</v>
      </c>
    </row>
    <row r="2115" spans="1:8" x14ac:dyDescent="0.2">
      <c r="A2115" s="1">
        <v>42291</v>
      </c>
      <c r="B2115">
        <v>288</v>
      </c>
      <c r="C2115" s="6">
        <f>IF('weather data'!C2115&gt;'user input'!$C$3,'user input'!$C$3,'weather data'!C2115)</f>
        <v>14.444444444444445</v>
      </c>
      <c r="D2115" s="6">
        <f>IF('weather data'!D2115&lt;'user input'!$C$2,'user input'!$C$2,'weather data'!D2115)</f>
        <v>10</v>
      </c>
      <c r="E2115">
        <f t="shared" si="33"/>
        <v>12.222222222222221</v>
      </c>
      <c r="F2115">
        <f>IF((E2115-'user input'!$C$2)&lt;0,0,E2115-'user input'!$C$2)</f>
        <v>2.2222222222222214</v>
      </c>
      <c r="G2115">
        <f>IF(B2115&lt;'user input'!$C$5,0,(F2115+G2114))</f>
        <v>1451.1111111111113</v>
      </c>
      <c r="H2115">
        <f>G2115/'user input'!$C$4</f>
        <v>1.2092592592592595</v>
      </c>
    </row>
    <row r="2116" spans="1:8" x14ac:dyDescent="0.2">
      <c r="A2116" s="1">
        <v>42292</v>
      </c>
      <c r="B2116">
        <v>289</v>
      </c>
      <c r="C2116" s="6">
        <f>IF('weather data'!C2116&gt;'user input'!$C$3,'user input'!$C$3,'weather data'!C2116)</f>
        <v>17.777777777777779</v>
      </c>
      <c r="D2116" s="6">
        <f>IF('weather data'!D2116&lt;'user input'!$C$2,'user input'!$C$2,'weather data'!D2116)</f>
        <v>10</v>
      </c>
      <c r="E2116">
        <f t="shared" si="33"/>
        <v>13.888888888888889</v>
      </c>
      <c r="F2116">
        <f>IF((E2116-'user input'!$C$2)&lt;0,0,E2116-'user input'!$C$2)</f>
        <v>3.8888888888888893</v>
      </c>
      <c r="G2116">
        <f>IF(B2116&lt;'user input'!$C$5,0,(F2116+G2115))</f>
        <v>1455.0000000000002</v>
      </c>
      <c r="H2116">
        <f>G2116/'user input'!$C$4</f>
        <v>1.2125000000000001</v>
      </c>
    </row>
    <row r="2117" spans="1:8" x14ac:dyDescent="0.2">
      <c r="A2117" s="1">
        <v>42293</v>
      </c>
      <c r="B2117">
        <v>290</v>
      </c>
      <c r="C2117" s="6">
        <f>IF('weather data'!C2117&gt;'user input'!$C$3,'user input'!$C$3,'weather data'!C2117)</f>
        <v>18.333333333333332</v>
      </c>
      <c r="D2117" s="6">
        <f>IF('weather data'!D2117&lt;'user input'!$C$2,'user input'!$C$2,'weather data'!D2117)</f>
        <v>10</v>
      </c>
      <c r="E2117">
        <f t="shared" si="33"/>
        <v>14.166666666666666</v>
      </c>
      <c r="F2117">
        <f>IF((E2117-'user input'!$C$2)&lt;0,0,E2117-'user input'!$C$2)</f>
        <v>4.1666666666666661</v>
      </c>
      <c r="G2117">
        <f>IF(B2117&lt;'user input'!$C$5,0,(F2117+G2116))</f>
        <v>1459.166666666667</v>
      </c>
      <c r="H2117">
        <f>G2117/'user input'!$C$4</f>
        <v>1.2159722222222225</v>
      </c>
    </row>
    <row r="2118" spans="1:8" x14ac:dyDescent="0.2">
      <c r="A2118" s="1">
        <v>42294</v>
      </c>
      <c r="B2118">
        <v>291</v>
      </c>
      <c r="C2118" s="6">
        <f>IF('weather data'!C2118&gt;'user input'!$C$3,'user input'!$C$3,'weather data'!C2118)</f>
        <v>9.4444444444444446</v>
      </c>
      <c r="D2118" s="6">
        <f>IF('weather data'!D2118&lt;'user input'!$C$2,'user input'!$C$2,'weather data'!D2118)</f>
        <v>10</v>
      </c>
      <c r="E2118">
        <f t="shared" si="33"/>
        <v>9.7222222222222214</v>
      </c>
      <c r="F2118">
        <f>IF((E2118-'user input'!$C$2)&lt;0,0,E2118-'user input'!$C$2)</f>
        <v>0</v>
      </c>
      <c r="G2118">
        <f>IF(B2118&lt;'user input'!$C$5,0,(F2118+G2117))</f>
        <v>1459.166666666667</v>
      </c>
      <c r="H2118">
        <f>G2118/'user input'!$C$4</f>
        <v>1.2159722222222225</v>
      </c>
    </row>
    <row r="2119" spans="1:8" x14ac:dyDescent="0.2">
      <c r="A2119" s="1">
        <v>42295</v>
      </c>
      <c r="B2119">
        <v>292</v>
      </c>
      <c r="C2119" s="6">
        <f>IF('weather data'!C2119&gt;'user input'!$C$3,'user input'!$C$3,'weather data'!C2119)</f>
        <v>11.111111111111111</v>
      </c>
      <c r="D2119" s="6">
        <f>IF('weather data'!D2119&lt;'user input'!$C$2,'user input'!$C$2,'weather data'!D2119)</f>
        <v>10</v>
      </c>
      <c r="E2119">
        <f t="shared" si="33"/>
        <v>10.555555555555555</v>
      </c>
      <c r="F2119">
        <f>IF((E2119-'user input'!$C$2)&lt;0,0,E2119-'user input'!$C$2)</f>
        <v>0.55555555555555536</v>
      </c>
      <c r="G2119">
        <f>IF(B2119&lt;'user input'!$C$5,0,(F2119+G2118))</f>
        <v>1459.7222222222226</v>
      </c>
      <c r="H2119">
        <f>G2119/'user input'!$C$4</f>
        <v>1.2164351851851856</v>
      </c>
    </row>
    <row r="2120" spans="1:8" x14ac:dyDescent="0.2">
      <c r="A2120" s="1">
        <v>42296</v>
      </c>
      <c r="B2120">
        <v>293</v>
      </c>
      <c r="C2120" s="6">
        <f>IF('weather data'!C2120&gt;'user input'!$C$3,'user input'!$C$3,'weather data'!C2120)</f>
        <v>15.555555555555555</v>
      </c>
      <c r="D2120" s="6">
        <f>IF('weather data'!D2120&lt;'user input'!$C$2,'user input'!$C$2,'weather data'!D2120)</f>
        <v>10</v>
      </c>
      <c r="E2120">
        <f t="shared" si="33"/>
        <v>12.777777777777779</v>
      </c>
      <c r="F2120">
        <f>IF((E2120-'user input'!$C$2)&lt;0,0,E2120-'user input'!$C$2)</f>
        <v>2.7777777777777786</v>
      </c>
      <c r="G2120">
        <f>IF(B2120&lt;'user input'!$C$5,0,(F2120+G2119))</f>
        <v>1462.5000000000005</v>
      </c>
      <c r="H2120">
        <f>G2120/'user input'!$C$4</f>
        <v>1.2187500000000004</v>
      </c>
    </row>
    <row r="2121" spans="1:8" x14ac:dyDescent="0.2">
      <c r="A2121" s="1">
        <v>42297</v>
      </c>
      <c r="B2121">
        <v>294</v>
      </c>
      <c r="C2121" s="6">
        <f>IF('weather data'!C2121&gt;'user input'!$C$3,'user input'!$C$3,'weather data'!C2121)</f>
        <v>23.888888888888889</v>
      </c>
      <c r="D2121" s="6">
        <f>IF('weather data'!D2121&lt;'user input'!$C$2,'user input'!$C$2,'weather data'!D2121)</f>
        <v>10</v>
      </c>
      <c r="E2121">
        <f t="shared" si="33"/>
        <v>16.944444444444443</v>
      </c>
      <c r="F2121">
        <f>IF((E2121-'user input'!$C$2)&lt;0,0,E2121-'user input'!$C$2)</f>
        <v>6.9444444444444429</v>
      </c>
      <c r="G2121">
        <f>IF(B2121&lt;'user input'!$C$5,0,(F2121+G2120))</f>
        <v>1469.4444444444448</v>
      </c>
      <c r="H2121">
        <f>G2121/'user input'!$C$4</f>
        <v>1.2245370370370374</v>
      </c>
    </row>
    <row r="2122" spans="1:8" x14ac:dyDescent="0.2">
      <c r="A2122" s="1">
        <v>42298</v>
      </c>
      <c r="B2122">
        <v>295</v>
      </c>
      <c r="C2122" s="6">
        <f>IF('weather data'!C2122&gt;'user input'!$C$3,'user input'!$C$3,'weather data'!C2122)</f>
        <v>23.333333333333336</v>
      </c>
      <c r="D2122" s="6">
        <f>IF('weather data'!D2122&lt;'user input'!$C$2,'user input'!$C$2,'weather data'!D2122)</f>
        <v>10</v>
      </c>
      <c r="E2122">
        <f t="shared" si="33"/>
        <v>16.666666666666668</v>
      </c>
      <c r="F2122">
        <f>IF((E2122-'user input'!$C$2)&lt;0,0,E2122-'user input'!$C$2)</f>
        <v>6.6666666666666679</v>
      </c>
      <c r="G2122">
        <f>IF(B2122&lt;'user input'!$C$5,0,(F2122+G2121))</f>
        <v>1476.1111111111115</v>
      </c>
      <c r="H2122">
        <f>G2122/'user input'!$C$4</f>
        <v>1.230092592592593</v>
      </c>
    </row>
    <row r="2123" spans="1:8" x14ac:dyDescent="0.2">
      <c r="A2123" s="1">
        <v>42299</v>
      </c>
      <c r="B2123">
        <v>296</v>
      </c>
      <c r="C2123" s="6">
        <f>IF('weather data'!C2123&gt;'user input'!$C$3,'user input'!$C$3,'weather data'!C2123)</f>
        <v>21.111111111111111</v>
      </c>
      <c r="D2123" s="6">
        <f>IF('weather data'!D2123&lt;'user input'!$C$2,'user input'!$C$2,'weather data'!D2123)</f>
        <v>10</v>
      </c>
      <c r="E2123">
        <f t="shared" si="33"/>
        <v>15.555555555555555</v>
      </c>
      <c r="F2123">
        <f>IF((E2123-'user input'!$C$2)&lt;0,0,E2123-'user input'!$C$2)</f>
        <v>5.5555555555555554</v>
      </c>
      <c r="G2123">
        <f>IF(B2123&lt;'user input'!$C$5,0,(F2123+G2122))</f>
        <v>1481.6666666666672</v>
      </c>
      <c r="H2123">
        <f>G2123/'user input'!$C$4</f>
        <v>1.2347222222222227</v>
      </c>
    </row>
    <row r="2124" spans="1:8" x14ac:dyDescent="0.2">
      <c r="A2124" s="1">
        <v>42300</v>
      </c>
      <c r="B2124">
        <v>297</v>
      </c>
      <c r="C2124" s="6">
        <f>IF('weather data'!C2124&gt;'user input'!$C$3,'user input'!$C$3,'weather data'!C2124)</f>
        <v>18.333333333333332</v>
      </c>
      <c r="D2124" s="6">
        <f>IF('weather data'!D2124&lt;'user input'!$C$2,'user input'!$C$2,'weather data'!D2124)</f>
        <v>10</v>
      </c>
      <c r="E2124">
        <f t="shared" si="33"/>
        <v>14.166666666666666</v>
      </c>
      <c r="F2124">
        <f>IF((E2124-'user input'!$C$2)&lt;0,0,E2124-'user input'!$C$2)</f>
        <v>4.1666666666666661</v>
      </c>
      <c r="G2124">
        <f>IF(B2124&lt;'user input'!$C$5,0,(F2124+G2123))</f>
        <v>1485.8333333333339</v>
      </c>
      <c r="H2124">
        <f>G2124/'user input'!$C$4</f>
        <v>1.238194444444445</v>
      </c>
    </row>
    <row r="2125" spans="1:8" x14ac:dyDescent="0.2">
      <c r="A2125" s="1">
        <v>42301</v>
      </c>
      <c r="B2125">
        <v>298</v>
      </c>
      <c r="C2125" s="6">
        <f>IF('weather data'!C2125&gt;'user input'!$C$3,'user input'!$C$3,'weather data'!C2125)</f>
        <v>17.777777777777779</v>
      </c>
      <c r="D2125" s="6">
        <f>IF('weather data'!D2125&lt;'user input'!$C$2,'user input'!$C$2,'weather data'!D2125)</f>
        <v>10</v>
      </c>
      <c r="E2125">
        <f t="shared" si="33"/>
        <v>13.888888888888889</v>
      </c>
      <c r="F2125">
        <f>IF((E2125-'user input'!$C$2)&lt;0,0,E2125-'user input'!$C$2)</f>
        <v>3.8888888888888893</v>
      </c>
      <c r="G2125">
        <f>IF(B2125&lt;'user input'!$C$5,0,(F2125+G2124))</f>
        <v>1489.7222222222229</v>
      </c>
      <c r="H2125">
        <f>G2125/'user input'!$C$4</f>
        <v>1.2414351851851857</v>
      </c>
    </row>
    <row r="2126" spans="1:8" x14ac:dyDescent="0.2">
      <c r="A2126" s="1">
        <v>42302</v>
      </c>
      <c r="B2126">
        <v>299</v>
      </c>
      <c r="C2126" s="6">
        <f>IF('weather data'!C2126&gt;'user input'!$C$3,'user input'!$C$3,'weather data'!C2126)</f>
        <v>13.888888888888889</v>
      </c>
      <c r="D2126" s="6">
        <f>IF('weather data'!D2126&lt;'user input'!$C$2,'user input'!$C$2,'weather data'!D2126)</f>
        <v>10</v>
      </c>
      <c r="E2126">
        <f t="shared" si="33"/>
        <v>11.944444444444445</v>
      </c>
      <c r="F2126">
        <f>IF((E2126-'user input'!$C$2)&lt;0,0,E2126-'user input'!$C$2)</f>
        <v>1.9444444444444446</v>
      </c>
      <c r="G2126">
        <f>IF(B2126&lt;'user input'!$C$5,0,(F2126+G2125))</f>
        <v>1491.6666666666672</v>
      </c>
      <c r="H2126">
        <f>G2126/'user input'!$C$4</f>
        <v>1.243055555555556</v>
      </c>
    </row>
    <row r="2127" spans="1:8" x14ac:dyDescent="0.2">
      <c r="A2127" s="1">
        <v>42303</v>
      </c>
      <c r="B2127">
        <v>300</v>
      </c>
      <c r="C2127" s="6">
        <f>IF('weather data'!C2127&gt;'user input'!$C$3,'user input'!$C$3,'weather data'!C2127)</f>
        <v>15</v>
      </c>
      <c r="D2127" s="6">
        <f>IF('weather data'!D2127&lt;'user input'!$C$2,'user input'!$C$2,'weather data'!D2127)</f>
        <v>10</v>
      </c>
      <c r="E2127">
        <f t="shared" si="33"/>
        <v>12.5</v>
      </c>
      <c r="F2127">
        <f>IF((E2127-'user input'!$C$2)&lt;0,0,E2127-'user input'!$C$2)</f>
        <v>2.5</v>
      </c>
      <c r="G2127">
        <f>IF(B2127&lt;'user input'!$C$5,0,(F2127+G2126))</f>
        <v>1494.1666666666672</v>
      </c>
      <c r="H2127">
        <f>G2127/'user input'!$C$4</f>
        <v>1.2451388888888892</v>
      </c>
    </row>
    <row r="2128" spans="1:8" x14ac:dyDescent="0.2">
      <c r="A2128" s="1">
        <v>42304</v>
      </c>
      <c r="B2128">
        <v>301</v>
      </c>
      <c r="C2128" s="6">
        <f>IF('weather data'!C2128&gt;'user input'!$C$3,'user input'!$C$3,'weather data'!C2128)</f>
        <v>16.666666666666668</v>
      </c>
      <c r="D2128" s="6">
        <f>IF('weather data'!D2128&lt;'user input'!$C$2,'user input'!$C$2,'weather data'!D2128)</f>
        <v>10</v>
      </c>
      <c r="E2128">
        <f t="shared" si="33"/>
        <v>13.333333333333334</v>
      </c>
      <c r="F2128">
        <f>IF((E2128-'user input'!$C$2)&lt;0,0,E2128-'user input'!$C$2)</f>
        <v>3.3333333333333339</v>
      </c>
      <c r="G2128">
        <f>IF(B2128&lt;'user input'!$C$5,0,(F2128+G2127))</f>
        <v>1497.5000000000005</v>
      </c>
      <c r="H2128">
        <f>G2128/'user input'!$C$4</f>
        <v>1.247916666666667</v>
      </c>
    </row>
    <row r="2129" spans="1:8" x14ac:dyDescent="0.2">
      <c r="A2129" s="1">
        <v>42305</v>
      </c>
      <c r="B2129">
        <v>302</v>
      </c>
      <c r="C2129" s="6">
        <f>IF('weather data'!C2129&gt;'user input'!$C$3,'user input'!$C$3,'weather data'!C2129)</f>
        <v>15.555555555555555</v>
      </c>
      <c r="D2129" s="6">
        <f>IF('weather data'!D2129&lt;'user input'!$C$2,'user input'!$C$2,'weather data'!D2129)</f>
        <v>10</v>
      </c>
      <c r="E2129">
        <f t="shared" si="33"/>
        <v>12.777777777777779</v>
      </c>
      <c r="F2129">
        <f>IF((E2129-'user input'!$C$2)&lt;0,0,E2129-'user input'!$C$2)</f>
        <v>2.7777777777777786</v>
      </c>
      <c r="G2129">
        <f>IF(B2129&lt;'user input'!$C$5,0,(F2129+G2128))</f>
        <v>1500.2777777777783</v>
      </c>
      <c r="H2129">
        <f>G2129/'user input'!$C$4</f>
        <v>1.2502314814814819</v>
      </c>
    </row>
    <row r="2130" spans="1:8" x14ac:dyDescent="0.2">
      <c r="A2130" s="1">
        <v>42306</v>
      </c>
      <c r="B2130">
        <v>303</v>
      </c>
      <c r="C2130" s="6">
        <f>IF('weather data'!C2130&gt;'user input'!$C$3,'user input'!$C$3,'weather data'!C2130)</f>
        <v>10.555555555555555</v>
      </c>
      <c r="D2130" s="6">
        <f>IF('weather data'!D2130&lt;'user input'!$C$2,'user input'!$C$2,'weather data'!D2130)</f>
        <v>10</v>
      </c>
      <c r="E2130">
        <f t="shared" ref="E2130:E2193" si="34">(C2130+D2130)/2</f>
        <v>10.277777777777779</v>
      </c>
      <c r="F2130">
        <f>IF((E2130-'user input'!$C$2)&lt;0,0,E2130-'user input'!$C$2)</f>
        <v>0.27777777777777857</v>
      </c>
      <c r="G2130">
        <f>IF(B2130&lt;'user input'!$C$5,0,(F2130+G2129))</f>
        <v>1500.5555555555561</v>
      </c>
      <c r="H2130">
        <f>G2130/'user input'!$C$4</f>
        <v>1.2504629629629633</v>
      </c>
    </row>
    <row r="2131" spans="1:8" x14ac:dyDescent="0.2">
      <c r="A2131" s="1">
        <v>42307</v>
      </c>
      <c r="B2131">
        <v>304</v>
      </c>
      <c r="C2131" s="6">
        <f>IF('weather data'!C2131&gt;'user input'!$C$3,'user input'!$C$3,'weather data'!C2131)</f>
        <v>7.7777777777777777</v>
      </c>
      <c r="D2131" s="6">
        <f>IF('weather data'!D2131&lt;'user input'!$C$2,'user input'!$C$2,'weather data'!D2131)</f>
        <v>10</v>
      </c>
      <c r="E2131">
        <f t="shared" si="34"/>
        <v>8.8888888888888893</v>
      </c>
      <c r="F2131">
        <f>IF((E2131-'user input'!$C$2)&lt;0,0,E2131-'user input'!$C$2)</f>
        <v>0</v>
      </c>
      <c r="G2131">
        <f>IF(B2131&lt;'user input'!$C$5,0,(F2131+G2130))</f>
        <v>1500.5555555555561</v>
      </c>
      <c r="H2131">
        <f>G2131/'user input'!$C$4</f>
        <v>1.2504629629629633</v>
      </c>
    </row>
    <row r="2132" spans="1:8" x14ac:dyDescent="0.2">
      <c r="A2132" s="1">
        <v>42308</v>
      </c>
      <c r="B2132">
        <v>305</v>
      </c>
      <c r="C2132" s="6">
        <f>IF('weather data'!C2132&gt;'user input'!$C$3,'user input'!$C$3,'weather data'!C2132)</f>
        <v>9.4444444444444446</v>
      </c>
      <c r="D2132" s="6">
        <f>IF('weather data'!D2132&lt;'user input'!$C$2,'user input'!$C$2,'weather data'!D2132)</f>
        <v>10</v>
      </c>
      <c r="E2132">
        <f t="shared" si="34"/>
        <v>9.7222222222222214</v>
      </c>
      <c r="F2132">
        <f>IF((E2132-'user input'!$C$2)&lt;0,0,E2132-'user input'!$C$2)</f>
        <v>0</v>
      </c>
      <c r="G2132">
        <f>IF(B2132&lt;'user input'!$C$5,0,(F2132+G2131))</f>
        <v>1500.5555555555561</v>
      </c>
      <c r="H2132">
        <f>G2132/'user input'!$C$4</f>
        <v>1.2504629629629633</v>
      </c>
    </row>
    <row r="2133" spans="1:8" x14ac:dyDescent="0.2">
      <c r="A2133" s="1">
        <v>42309</v>
      </c>
      <c r="B2133">
        <v>306</v>
      </c>
      <c r="C2133" s="6">
        <f>IF('weather data'!C2133&gt;'user input'!$C$3,'user input'!$C$3,'weather data'!C2133)</f>
        <v>9.4444444444444446</v>
      </c>
      <c r="D2133" s="6">
        <f>IF('weather data'!D2133&lt;'user input'!$C$2,'user input'!$C$2,'weather data'!D2133)</f>
        <v>10</v>
      </c>
      <c r="E2133">
        <f t="shared" si="34"/>
        <v>9.7222222222222214</v>
      </c>
      <c r="F2133">
        <f>IF((E2133-'user input'!$C$2)&lt;0,0,E2133-'user input'!$C$2)</f>
        <v>0</v>
      </c>
      <c r="G2133">
        <f>IF(B2133&lt;'user input'!$C$5,0,(F2133+G2132))</f>
        <v>1500.5555555555561</v>
      </c>
      <c r="H2133">
        <f>G2133/'user input'!$C$4</f>
        <v>1.2504629629629633</v>
      </c>
    </row>
    <row r="2134" spans="1:8" x14ac:dyDescent="0.2">
      <c r="A2134" s="1">
        <v>42310</v>
      </c>
      <c r="B2134">
        <v>307</v>
      </c>
      <c r="C2134" s="6">
        <f>IF('weather data'!C2134&gt;'user input'!$C$3,'user input'!$C$3,'weather data'!C2134)</f>
        <v>17.222222222222221</v>
      </c>
      <c r="D2134" s="6">
        <f>IF('weather data'!D2134&lt;'user input'!$C$2,'user input'!$C$2,'weather data'!D2134)</f>
        <v>10</v>
      </c>
      <c r="E2134">
        <f t="shared" si="34"/>
        <v>13.611111111111111</v>
      </c>
      <c r="F2134">
        <f>IF((E2134-'user input'!$C$2)&lt;0,0,E2134-'user input'!$C$2)</f>
        <v>3.6111111111111107</v>
      </c>
      <c r="G2134">
        <f>IF(B2134&lt;'user input'!$C$5,0,(F2134+G2133))</f>
        <v>1504.1666666666672</v>
      </c>
      <c r="H2134">
        <f>G2134/'user input'!$C$4</f>
        <v>1.2534722222222228</v>
      </c>
    </row>
    <row r="2135" spans="1:8" x14ac:dyDescent="0.2">
      <c r="A2135" s="1">
        <v>42311</v>
      </c>
      <c r="B2135">
        <v>308</v>
      </c>
      <c r="C2135" s="6">
        <f>IF('weather data'!C2135&gt;'user input'!$C$3,'user input'!$C$3,'weather data'!C2135)</f>
        <v>22.222222222222221</v>
      </c>
      <c r="D2135" s="6">
        <f>IF('weather data'!D2135&lt;'user input'!$C$2,'user input'!$C$2,'weather data'!D2135)</f>
        <v>10</v>
      </c>
      <c r="E2135">
        <f t="shared" si="34"/>
        <v>16.111111111111111</v>
      </c>
      <c r="F2135">
        <f>IF((E2135-'user input'!$C$2)&lt;0,0,E2135-'user input'!$C$2)</f>
        <v>6.1111111111111107</v>
      </c>
      <c r="G2135">
        <f>IF(B2135&lt;'user input'!$C$5,0,(F2135+G2134))</f>
        <v>1510.2777777777783</v>
      </c>
      <c r="H2135">
        <f>G2135/'user input'!$C$4</f>
        <v>1.2585648148148152</v>
      </c>
    </row>
    <row r="2136" spans="1:8" x14ac:dyDescent="0.2">
      <c r="A2136" s="1">
        <v>42312</v>
      </c>
      <c r="B2136">
        <v>309</v>
      </c>
      <c r="C2136" s="6">
        <f>IF('weather data'!C2136&gt;'user input'!$C$3,'user input'!$C$3,'weather data'!C2136)</f>
        <v>23.888888888888889</v>
      </c>
      <c r="D2136" s="6">
        <f>IF('weather data'!D2136&lt;'user input'!$C$2,'user input'!$C$2,'weather data'!D2136)</f>
        <v>10</v>
      </c>
      <c r="E2136">
        <f t="shared" si="34"/>
        <v>16.944444444444443</v>
      </c>
      <c r="F2136">
        <f>IF((E2136-'user input'!$C$2)&lt;0,0,E2136-'user input'!$C$2)</f>
        <v>6.9444444444444429</v>
      </c>
      <c r="G2136">
        <f>IF(B2136&lt;'user input'!$C$5,0,(F2136+G2135))</f>
        <v>1517.2222222222226</v>
      </c>
      <c r="H2136">
        <f>G2136/'user input'!$C$4</f>
        <v>1.2643518518518522</v>
      </c>
    </row>
    <row r="2137" spans="1:8" x14ac:dyDescent="0.2">
      <c r="A2137" s="1">
        <v>42313</v>
      </c>
      <c r="B2137">
        <v>310</v>
      </c>
      <c r="C2137" s="6">
        <f>IF('weather data'!C2137&gt;'user input'!$C$3,'user input'!$C$3,'weather data'!C2137)</f>
        <v>21.666666666666664</v>
      </c>
      <c r="D2137" s="6">
        <f>IF('weather data'!D2137&lt;'user input'!$C$2,'user input'!$C$2,'weather data'!D2137)</f>
        <v>11.666666666666668</v>
      </c>
      <c r="E2137">
        <f t="shared" si="34"/>
        <v>16.666666666666664</v>
      </c>
      <c r="F2137">
        <f>IF((E2137-'user input'!$C$2)&lt;0,0,E2137-'user input'!$C$2)</f>
        <v>6.6666666666666643</v>
      </c>
      <c r="G2137">
        <f>IF(B2137&lt;'user input'!$C$5,0,(F2137+G2136))</f>
        <v>1523.8888888888894</v>
      </c>
      <c r="H2137">
        <f>G2137/'user input'!$C$4</f>
        <v>1.2699074074074077</v>
      </c>
    </row>
    <row r="2138" spans="1:8" x14ac:dyDescent="0.2">
      <c r="A2138" s="1">
        <v>42314</v>
      </c>
      <c r="B2138">
        <v>311</v>
      </c>
      <c r="C2138" s="6">
        <f>IF('weather data'!C2138&gt;'user input'!$C$3,'user input'!$C$3,'weather data'!C2138)</f>
        <v>20.555555555555554</v>
      </c>
      <c r="D2138" s="6">
        <f>IF('weather data'!D2138&lt;'user input'!$C$2,'user input'!$C$2,'weather data'!D2138)</f>
        <v>10</v>
      </c>
      <c r="E2138">
        <f t="shared" si="34"/>
        <v>15.277777777777777</v>
      </c>
      <c r="F2138">
        <f>IF((E2138-'user input'!$C$2)&lt;0,0,E2138-'user input'!$C$2)</f>
        <v>5.2777777777777768</v>
      </c>
      <c r="G2138">
        <f>IF(B2138&lt;'user input'!$C$5,0,(F2138+G2137))</f>
        <v>1529.1666666666672</v>
      </c>
      <c r="H2138">
        <f>G2138/'user input'!$C$4</f>
        <v>1.274305555555556</v>
      </c>
    </row>
    <row r="2139" spans="1:8" x14ac:dyDescent="0.2">
      <c r="A2139" s="1">
        <v>42315</v>
      </c>
      <c r="B2139">
        <v>312</v>
      </c>
      <c r="C2139" s="6">
        <f>IF('weather data'!C2139&gt;'user input'!$C$3,'user input'!$C$3,'weather data'!C2139)</f>
        <v>20.555555555555554</v>
      </c>
      <c r="D2139" s="6">
        <f>IF('weather data'!D2139&lt;'user input'!$C$2,'user input'!$C$2,'weather data'!D2139)</f>
        <v>10</v>
      </c>
      <c r="E2139">
        <f t="shared" si="34"/>
        <v>15.277777777777777</v>
      </c>
      <c r="F2139">
        <f>IF((E2139-'user input'!$C$2)&lt;0,0,E2139-'user input'!$C$2)</f>
        <v>5.2777777777777768</v>
      </c>
      <c r="G2139">
        <f>IF(B2139&lt;'user input'!$C$5,0,(F2139+G2138))</f>
        <v>1534.444444444445</v>
      </c>
      <c r="H2139">
        <f>G2139/'user input'!$C$4</f>
        <v>1.2787037037037041</v>
      </c>
    </row>
    <row r="2140" spans="1:8" x14ac:dyDescent="0.2">
      <c r="A2140" s="1">
        <v>42316</v>
      </c>
      <c r="B2140">
        <v>313</v>
      </c>
      <c r="C2140" s="6">
        <f>IF('weather data'!C2140&gt;'user input'!$C$3,'user input'!$C$3,'weather data'!C2140)</f>
        <v>8.8888888888888893</v>
      </c>
      <c r="D2140" s="6">
        <f>IF('weather data'!D2140&lt;'user input'!$C$2,'user input'!$C$2,'weather data'!D2140)</f>
        <v>10</v>
      </c>
      <c r="E2140">
        <f t="shared" si="34"/>
        <v>9.4444444444444446</v>
      </c>
      <c r="F2140">
        <f>IF((E2140-'user input'!$C$2)&lt;0,0,E2140-'user input'!$C$2)</f>
        <v>0</v>
      </c>
      <c r="G2140">
        <f>IF(B2140&lt;'user input'!$C$5,0,(F2140+G2139))</f>
        <v>1534.444444444445</v>
      </c>
      <c r="H2140">
        <f>G2140/'user input'!$C$4</f>
        <v>1.2787037037037041</v>
      </c>
    </row>
    <row r="2141" spans="1:8" x14ac:dyDescent="0.2">
      <c r="A2141" s="1">
        <v>42317</v>
      </c>
      <c r="B2141">
        <v>314</v>
      </c>
      <c r="C2141" s="6">
        <f>IF('weather data'!C2141&gt;'user input'!$C$3,'user input'!$C$3,'weather data'!C2141)</f>
        <v>12.222222222222223</v>
      </c>
      <c r="D2141" s="6">
        <f>IF('weather data'!D2141&lt;'user input'!$C$2,'user input'!$C$2,'weather data'!D2141)</f>
        <v>10</v>
      </c>
      <c r="E2141">
        <f t="shared" si="34"/>
        <v>11.111111111111111</v>
      </c>
      <c r="F2141">
        <f>IF((E2141-'user input'!$C$2)&lt;0,0,E2141-'user input'!$C$2)</f>
        <v>1.1111111111111107</v>
      </c>
      <c r="G2141">
        <f>IF(B2141&lt;'user input'!$C$5,0,(F2141+G2140))</f>
        <v>1535.5555555555561</v>
      </c>
      <c r="H2141">
        <f>G2141/'user input'!$C$4</f>
        <v>1.2796296296296301</v>
      </c>
    </row>
    <row r="2142" spans="1:8" x14ac:dyDescent="0.2">
      <c r="A2142" s="1">
        <v>42318</v>
      </c>
      <c r="B2142">
        <v>315</v>
      </c>
      <c r="C2142" s="6">
        <f>IF('weather data'!C2142&gt;'user input'!$C$3,'user input'!$C$3,'weather data'!C2142)</f>
        <v>12.777777777777777</v>
      </c>
      <c r="D2142" s="6">
        <f>IF('weather data'!D2142&lt;'user input'!$C$2,'user input'!$C$2,'weather data'!D2142)</f>
        <v>10</v>
      </c>
      <c r="E2142">
        <f t="shared" si="34"/>
        <v>11.388888888888889</v>
      </c>
      <c r="F2142">
        <f>IF((E2142-'user input'!$C$2)&lt;0,0,E2142-'user input'!$C$2)</f>
        <v>1.3888888888888893</v>
      </c>
      <c r="G2142">
        <f>IF(B2142&lt;'user input'!$C$5,0,(F2142+G2141))</f>
        <v>1536.944444444445</v>
      </c>
      <c r="H2142">
        <f>G2142/'user input'!$C$4</f>
        <v>1.2807870370370376</v>
      </c>
    </row>
    <row r="2143" spans="1:8" x14ac:dyDescent="0.2">
      <c r="A2143" s="1">
        <v>42319</v>
      </c>
      <c r="B2143">
        <v>316</v>
      </c>
      <c r="C2143" s="6">
        <f>IF('weather data'!C2143&gt;'user input'!$C$3,'user input'!$C$3,'weather data'!C2143)</f>
        <v>12.222222222222223</v>
      </c>
      <c r="D2143" s="6">
        <f>IF('weather data'!D2143&lt;'user input'!$C$2,'user input'!$C$2,'weather data'!D2143)</f>
        <v>10</v>
      </c>
      <c r="E2143">
        <f t="shared" si="34"/>
        <v>11.111111111111111</v>
      </c>
      <c r="F2143">
        <f>IF((E2143-'user input'!$C$2)&lt;0,0,E2143-'user input'!$C$2)</f>
        <v>1.1111111111111107</v>
      </c>
      <c r="G2143">
        <f>IF(B2143&lt;'user input'!$C$5,0,(F2143+G2142))</f>
        <v>1538.0555555555561</v>
      </c>
      <c r="H2143">
        <f>G2143/'user input'!$C$4</f>
        <v>1.2817129629629633</v>
      </c>
    </row>
    <row r="2144" spans="1:8" x14ac:dyDescent="0.2">
      <c r="A2144" s="1">
        <v>42320</v>
      </c>
      <c r="B2144">
        <v>317</v>
      </c>
      <c r="C2144" s="6">
        <f>IF('weather data'!C2144&gt;'user input'!$C$3,'user input'!$C$3,'weather data'!C2144)</f>
        <v>15</v>
      </c>
      <c r="D2144" s="6">
        <f>IF('weather data'!D2144&lt;'user input'!$C$2,'user input'!$C$2,'weather data'!D2144)</f>
        <v>10</v>
      </c>
      <c r="E2144">
        <f t="shared" si="34"/>
        <v>12.5</v>
      </c>
      <c r="F2144">
        <f>IF((E2144-'user input'!$C$2)&lt;0,0,E2144-'user input'!$C$2)</f>
        <v>2.5</v>
      </c>
      <c r="G2144">
        <f>IF(B2144&lt;'user input'!$C$5,0,(F2144+G2143))</f>
        <v>1540.5555555555561</v>
      </c>
      <c r="H2144">
        <f>G2144/'user input'!$C$4</f>
        <v>1.2837962962962968</v>
      </c>
    </row>
    <row r="2145" spans="1:8" x14ac:dyDescent="0.2">
      <c r="A2145" s="1">
        <v>42321</v>
      </c>
      <c r="B2145">
        <v>318</v>
      </c>
      <c r="C2145" s="6">
        <f>IF('weather data'!C2145&gt;'user input'!$C$3,'user input'!$C$3,'weather data'!C2145)</f>
        <v>8.8888888888888893</v>
      </c>
      <c r="D2145" s="6">
        <f>IF('weather data'!D2145&lt;'user input'!$C$2,'user input'!$C$2,'weather data'!D2145)</f>
        <v>10</v>
      </c>
      <c r="E2145">
        <f t="shared" si="34"/>
        <v>9.4444444444444446</v>
      </c>
      <c r="F2145">
        <f>IF((E2145-'user input'!$C$2)&lt;0,0,E2145-'user input'!$C$2)</f>
        <v>0</v>
      </c>
      <c r="G2145">
        <f>IF(B2145&lt;'user input'!$C$5,0,(F2145+G2144))</f>
        <v>1540.5555555555561</v>
      </c>
      <c r="H2145">
        <f>G2145/'user input'!$C$4</f>
        <v>1.2837962962962968</v>
      </c>
    </row>
    <row r="2146" spans="1:8" x14ac:dyDescent="0.2">
      <c r="A2146" s="1">
        <v>42322</v>
      </c>
      <c r="B2146">
        <v>319</v>
      </c>
      <c r="C2146" s="6">
        <f>IF('weather data'!C2146&gt;'user input'!$C$3,'user input'!$C$3,'weather data'!C2146)</f>
        <v>6.6666666666666661</v>
      </c>
      <c r="D2146" s="6">
        <f>IF('weather data'!D2146&lt;'user input'!$C$2,'user input'!$C$2,'weather data'!D2146)</f>
        <v>10</v>
      </c>
      <c r="E2146">
        <f t="shared" si="34"/>
        <v>8.3333333333333321</v>
      </c>
      <c r="F2146">
        <f>IF((E2146-'user input'!$C$2)&lt;0,0,E2146-'user input'!$C$2)</f>
        <v>0</v>
      </c>
      <c r="G2146">
        <f>IF(B2146&lt;'user input'!$C$5,0,(F2146+G2145))</f>
        <v>1540.5555555555561</v>
      </c>
      <c r="H2146">
        <f>G2146/'user input'!$C$4</f>
        <v>1.2837962962962968</v>
      </c>
    </row>
    <row r="2147" spans="1:8" x14ac:dyDescent="0.2">
      <c r="A2147" s="1">
        <v>42323</v>
      </c>
      <c r="B2147">
        <v>320</v>
      </c>
      <c r="C2147" s="6">
        <f>IF('weather data'!C2147&gt;'user input'!$C$3,'user input'!$C$3,'weather data'!C2147)</f>
        <v>12.222222222222223</v>
      </c>
      <c r="D2147" s="6">
        <f>IF('weather data'!D2147&lt;'user input'!$C$2,'user input'!$C$2,'weather data'!D2147)</f>
        <v>10</v>
      </c>
      <c r="E2147">
        <f t="shared" si="34"/>
        <v>11.111111111111111</v>
      </c>
      <c r="F2147">
        <f>IF((E2147-'user input'!$C$2)&lt;0,0,E2147-'user input'!$C$2)</f>
        <v>1.1111111111111107</v>
      </c>
      <c r="G2147">
        <f>IF(B2147&lt;'user input'!$C$5,0,(F2147+G2146))</f>
        <v>1541.6666666666672</v>
      </c>
      <c r="H2147">
        <f>G2147/'user input'!$C$4</f>
        <v>1.2847222222222228</v>
      </c>
    </row>
    <row r="2148" spans="1:8" x14ac:dyDescent="0.2">
      <c r="A2148" s="1">
        <v>42324</v>
      </c>
      <c r="B2148">
        <v>321</v>
      </c>
      <c r="C2148" s="6">
        <f>IF('weather data'!C2148&gt;'user input'!$C$3,'user input'!$C$3,'weather data'!C2148)</f>
        <v>16.666666666666668</v>
      </c>
      <c r="D2148" s="6">
        <f>IF('weather data'!D2148&lt;'user input'!$C$2,'user input'!$C$2,'weather data'!D2148)</f>
        <v>10</v>
      </c>
      <c r="E2148">
        <f t="shared" si="34"/>
        <v>13.333333333333334</v>
      </c>
      <c r="F2148">
        <f>IF((E2148-'user input'!$C$2)&lt;0,0,E2148-'user input'!$C$2)</f>
        <v>3.3333333333333339</v>
      </c>
      <c r="G2148">
        <f>IF(B2148&lt;'user input'!$C$5,0,(F2148+G2147))</f>
        <v>1545.0000000000005</v>
      </c>
      <c r="H2148">
        <f>G2148/'user input'!$C$4</f>
        <v>1.2875000000000003</v>
      </c>
    </row>
    <row r="2149" spans="1:8" x14ac:dyDescent="0.2">
      <c r="A2149" s="1">
        <v>42325</v>
      </c>
      <c r="B2149">
        <v>322</v>
      </c>
      <c r="C2149" s="6">
        <f>IF('weather data'!C2149&gt;'user input'!$C$3,'user input'!$C$3,'weather data'!C2149)</f>
        <v>13.333333333333332</v>
      </c>
      <c r="D2149" s="6">
        <f>IF('weather data'!D2149&lt;'user input'!$C$2,'user input'!$C$2,'weather data'!D2149)</f>
        <v>10</v>
      </c>
      <c r="E2149">
        <f t="shared" si="34"/>
        <v>11.666666666666666</v>
      </c>
      <c r="F2149">
        <f>IF((E2149-'user input'!$C$2)&lt;0,0,E2149-'user input'!$C$2)</f>
        <v>1.6666666666666661</v>
      </c>
      <c r="G2149">
        <f>IF(B2149&lt;'user input'!$C$5,0,(F2149+G2148))</f>
        <v>1546.6666666666672</v>
      </c>
      <c r="H2149">
        <f>G2149/'user input'!$C$4</f>
        <v>1.2888888888888894</v>
      </c>
    </row>
    <row r="2150" spans="1:8" x14ac:dyDescent="0.2">
      <c r="A2150" s="1">
        <v>42326</v>
      </c>
      <c r="B2150">
        <v>323</v>
      </c>
      <c r="C2150" s="6">
        <f>IF('weather data'!C2150&gt;'user input'!$C$3,'user input'!$C$3,'weather data'!C2150)</f>
        <v>16.111111111111111</v>
      </c>
      <c r="D2150" s="6">
        <f>IF('weather data'!D2150&lt;'user input'!$C$2,'user input'!$C$2,'weather data'!D2150)</f>
        <v>10</v>
      </c>
      <c r="E2150">
        <f t="shared" si="34"/>
        <v>13.055555555555555</v>
      </c>
      <c r="F2150">
        <f>IF((E2150-'user input'!$C$2)&lt;0,0,E2150-'user input'!$C$2)</f>
        <v>3.0555555555555554</v>
      </c>
      <c r="G2150">
        <f>IF(B2150&lt;'user input'!$C$5,0,(F2150+G2149))</f>
        <v>1549.7222222222229</v>
      </c>
      <c r="H2150">
        <f>G2150/'user input'!$C$4</f>
        <v>1.2914351851851857</v>
      </c>
    </row>
    <row r="2151" spans="1:8" x14ac:dyDescent="0.2">
      <c r="A2151" s="1">
        <v>42327</v>
      </c>
      <c r="B2151">
        <v>324</v>
      </c>
      <c r="C2151" s="6">
        <f>IF('weather data'!C2151&gt;'user input'!$C$3,'user input'!$C$3,'weather data'!C2151)</f>
        <v>16.111111111111111</v>
      </c>
      <c r="D2151" s="6">
        <f>IF('weather data'!D2151&lt;'user input'!$C$2,'user input'!$C$2,'weather data'!D2151)</f>
        <v>10</v>
      </c>
      <c r="E2151">
        <f t="shared" si="34"/>
        <v>13.055555555555555</v>
      </c>
      <c r="F2151">
        <f>IF((E2151-'user input'!$C$2)&lt;0,0,E2151-'user input'!$C$2)</f>
        <v>3.0555555555555554</v>
      </c>
      <c r="G2151">
        <f>IF(B2151&lt;'user input'!$C$5,0,(F2151+G2150))</f>
        <v>1552.7777777777785</v>
      </c>
      <c r="H2151">
        <f>G2151/'user input'!$C$4</f>
        <v>1.2939814814814821</v>
      </c>
    </row>
    <row r="2152" spans="1:8" x14ac:dyDescent="0.2">
      <c r="A2152" s="1">
        <v>42328</v>
      </c>
      <c r="B2152">
        <v>325</v>
      </c>
      <c r="C2152" s="6">
        <f>IF('weather data'!C2152&gt;'user input'!$C$3,'user input'!$C$3,'weather data'!C2152)</f>
        <v>4.4444444444444446</v>
      </c>
      <c r="D2152" s="6">
        <f>IF('weather data'!D2152&lt;'user input'!$C$2,'user input'!$C$2,'weather data'!D2152)</f>
        <v>10</v>
      </c>
      <c r="E2152">
        <f t="shared" si="34"/>
        <v>7.2222222222222223</v>
      </c>
      <c r="F2152">
        <f>IF((E2152-'user input'!$C$2)&lt;0,0,E2152-'user input'!$C$2)</f>
        <v>0</v>
      </c>
      <c r="G2152">
        <f>IF(B2152&lt;'user input'!$C$5,0,(F2152+G2151))</f>
        <v>1552.7777777777785</v>
      </c>
      <c r="H2152">
        <f>G2152/'user input'!$C$4</f>
        <v>1.2939814814814821</v>
      </c>
    </row>
    <row r="2153" spans="1:8" x14ac:dyDescent="0.2">
      <c r="A2153" s="1">
        <v>42329</v>
      </c>
      <c r="B2153">
        <v>326</v>
      </c>
      <c r="C2153" s="6">
        <f>IF('weather data'!C2153&gt;'user input'!$C$3,'user input'!$C$3,'weather data'!C2153)</f>
        <v>3.333333333333333</v>
      </c>
      <c r="D2153" s="6">
        <f>IF('weather data'!D2153&lt;'user input'!$C$2,'user input'!$C$2,'weather data'!D2153)</f>
        <v>10</v>
      </c>
      <c r="E2153">
        <f t="shared" si="34"/>
        <v>6.6666666666666661</v>
      </c>
      <c r="F2153">
        <f>IF((E2153-'user input'!$C$2)&lt;0,0,E2153-'user input'!$C$2)</f>
        <v>0</v>
      </c>
      <c r="G2153">
        <f>IF(B2153&lt;'user input'!$C$5,0,(F2153+G2152))</f>
        <v>1552.7777777777785</v>
      </c>
      <c r="H2153">
        <f>G2153/'user input'!$C$4</f>
        <v>1.2939814814814821</v>
      </c>
    </row>
    <row r="2154" spans="1:8" x14ac:dyDescent="0.2">
      <c r="A2154" s="1">
        <v>42330</v>
      </c>
      <c r="B2154">
        <v>327</v>
      </c>
      <c r="C2154" s="6">
        <f>IF('weather data'!C2154&gt;'user input'!$C$3,'user input'!$C$3,'weather data'!C2154)</f>
        <v>-2.2222222222222223</v>
      </c>
      <c r="D2154" s="6">
        <f>IF('weather data'!D2154&lt;'user input'!$C$2,'user input'!$C$2,'weather data'!D2154)</f>
        <v>10</v>
      </c>
      <c r="E2154">
        <f t="shared" si="34"/>
        <v>3.8888888888888888</v>
      </c>
      <c r="F2154">
        <f>IF((E2154-'user input'!$C$2)&lt;0,0,E2154-'user input'!$C$2)</f>
        <v>0</v>
      </c>
      <c r="G2154">
        <f>IF(B2154&lt;'user input'!$C$5,0,(F2154+G2153))</f>
        <v>1552.7777777777785</v>
      </c>
      <c r="H2154">
        <f>G2154/'user input'!$C$4</f>
        <v>1.2939814814814821</v>
      </c>
    </row>
    <row r="2155" spans="1:8" x14ac:dyDescent="0.2">
      <c r="A2155" s="1">
        <v>42331</v>
      </c>
      <c r="B2155">
        <v>328</v>
      </c>
      <c r="C2155" s="6">
        <f>IF('weather data'!C2155&gt;'user input'!$C$3,'user input'!$C$3,'weather data'!C2155)</f>
        <v>-2.2222222222222223</v>
      </c>
      <c r="D2155" s="6">
        <f>IF('weather data'!D2155&lt;'user input'!$C$2,'user input'!$C$2,'weather data'!D2155)</f>
        <v>10</v>
      </c>
      <c r="E2155">
        <f t="shared" si="34"/>
        <v>3.8888888888888888</v>
      </c>
      <c r="F2155">
        <f>IF((E2155-'user input'!$C$2)&lt;0,0,E2155-'user input'!$C$2)</f>
        <v>0</v>
      </c>
      <c r="G2155">
        <f>IF(B2155&lt;'user input'!$C$5,0,(F2155+G2154))</f>
        <v>1552.7777777777785</v>
      </c>
      <c r="H2155">
        <f>G2155/'user input'!$C$4</f>
        <v>1.2939814814814821</v>
      </c>
    </row>
    <row r="2156" spans="1:8" x14ac:dyDescent="0.2">
      <c r="A2156" s="1">
        <v>42332</v>
      </c>
      <c r="B2156">
        <v>329</v>
      </c>
      <c r="C2156" s="6">
        <f>IF('weather data'!C2156&gt;'user input'!$C$3,'user input'!$C$3,'weather data'!C2156)</f>
        <v>4.4444444444444446</v>
      </c>
      <c r="D2156" s="6">
        <f>IF('weather data'!D2156&lt;'user input'!$C$2,'user input'!$C$2,'weather data'!D2156)</f>
        <v>10</v>
      </c>
      <c r="E2156">
        <f t="shared" si="34"/>
        <v>7.2222222222222223</v>
      </c>
      <c r="F2156">
        <f>IF((E2156-'user input'!$C$2)&lt;0,0,E2156-'user input'!$C$2)</f>
        <v>0</v>
      </c>
      <c r="G2156">
        <f>IF(B2156&lt;'user input'!$C$5,0,(F2156+G2155))</f>
        <v>1552.7777777777785</v>
      </c>
      <c r="H2156">
        <f>G2156/'user input'!$C$4</f>
        <v>1.2939814814814821</v>
      </c>
    </row>
    <row r="2157" spans="1:8" x14ac:dyDescent="0.2">
      <c r="A2157" s="1">
        <v>42333</v>
      </c>
      <c r="B2157">
        <v>330</v>
      </c>
      <c r="C2157" s="6">
        <f>IF('weather data'!C2157&gt;'user input'!$C$3,'user input'!$C$3,'weather data'!C2157)</f>
        <v>6.6666666666666661</v>
      </c>
      <c r="D2157" s="6">
        <f>IF('weather data'!D2157&lt;'user input'!$C$2,'user input'!$C$2,'weather data'!D2157)</f>
        <v>10</v>
      </c>
      <c r="E2157">
        <f t="shared" si="34"/>
        <v>8.3333333333333321</v>
      </c>
      <c r="F2157">
        <f>IF((E2157-'user input'!$C$2)&lt;0,0,E2157-'user input'!$C$2)</f>
        <v>0</v>
      </c>
      <c r="G2157">
        <f>IF(B2157&lt;'user input'!$C$5,0,(F2157+G2156))</f>
        <v>1552.7777777777785</v>
      </c>
      <c r="H2157">
        <f>G2157/'user input'!$C$4</f>
        <v>1.2939814814814821</v>
      </c>
    </row>
    <row r="2158" spans="1:8" x14ac:dyDescent="0.2">
      <c r="A2158" s="1">
        <v>42334</v>
      </c>
      <c r="B2158">
        <v>331</v>
      </c>
      <c r="C2158" s="6">
        <f>IF('weather data'!C2158&gt;'user input'!$C$3,'user input'!$C$3,'weather data'!C2158)</f>
        <v>8.8888888888888893</v>
      </c>
      <c r="D2158" s="6">
        <f>IF('weather data'!D2158&lt;'user input'!$C$2,'user input'!$C$2,'weather data'!D2158)</f>
        <v>10</v>
      </c>
      <c r="E2158">
        <f t="shared" si="34"/>
        <v>9.4444444444444446</v>
      </c>
      <c r="F2158">
        <f>IF((E2158-'user input'!$C$2)&lt;0,0,E2158-'user input'!$C$2)</f>
        <v>0</v>
      </c>
      <c r="G2158">
        <f>IF(B2158&lt;'user input'!$C$5,0,(F2158+G2157))</f>
        <v>1552.7777777777785</v>
      </c>
      <c r="H2158">
        <f>G2158/'user input'!$C$4</f>
        <v>1.2939814814814821</v>
      </c>
    </row>
    <row r="2159" spans="1:8" x14ac:dyDescent="0.2">
      <c r="A2159" s="1">
        <v>42335</v>
      </c>
      <c r="B2159">
        <v>332</v>
      </c>
      <c r="C2159" s="6">
        <f>IF('weather data'!C2159&gt;'user input'!$C$3,'user input'!$C$3,'weather data'!C2159)</f>
        <v>11.666666666666668</v>
      </c>
      <c r="D2159" s="6">
        <f>IF('weather data'!D2159&lt;'user input'!$C$2,'user input'!$C$2,'weather data'!D2159)</f>
        <v>10</v>
      </c>
      <c r="E2159">
        <f t="shared" si="34"/>
        <v>10.833333333333334</v>
      </c>
      <c r="F2159">
        <f>IF((E2159-'user input'!$C$2)&lt;0,0,E2159-'user input'!$C$2)</f>
        <v>0.83333333333333393</v>
      </c>
      <c r="G2159">
        <f>IF(B2159&lt;'user input'!$C$5,0,(F2159+G2158))</f>
        <v>1553.6111111111118</v>
      </c>
      <c r="H2159">
        <f>G2159/'user input'!$C$4</f>
        <v>1.2946759259259264</v>
      </c>
    </row>
    <row r="2160" spans="1:8" x14ac:dyDescent="0.2">
      <c r="A2160" s="1">
        <v>42336</v>
      </c>
      <c r="B2160">
        <v>333</v>
      </c>
      <c r="C2160" s="6">
        <f>IF('weather data'!C2160&gt;'user input'!$C$3,'user input'!$C$3,'weather data'!C2160)</f>
        <v>0</v>
      </c>
      <c r="D2160" s="6">
        <f>IF('weather data'!D2160&lt;'user input'!$C$2,'user input'!$C$2,'weather data'!D2160)</f>
        <v>10</v>
      </c>
      <c r="E2160">
        <f t="shared" si="34"/>
        <v>5</v>
      </c>
      <c r="F2160">
        <f>IF((E2160-'user input'!$C$2)&lt;0,0,E2160-'user input'!$C$2)</f>
        <v>0</v>
      </c>
      <c r="G2160">
        <f>IF(B2160&lt;'user input'!$C$5,0,(F2160+G2159))</f>
        <v>1553.6111111111118</v>
      </c>
      <c r="H2160">
        <f>G2160/'user input'!$C$4</f>
        <v>1.2946759259259264</v>
      </c>
    </row>
    <row r="2161" spans="1:8" x14ac:dyDescent="0.2">
      <c r="A2161" s="1">
        <v>42337</v>
      </c>
      <c r="B2161">
        <v>334</v>
      </c>
      <c r="C2161" s="6">
        <f>IF('weather data'!C2161&gt;'user input'!$C$3,'user input'!$C$3,'weather data'!C2161)</f>
        <v>1.1111111111111112</v>
      </c>
      <c r="D2161" s="6">
        <f>IF('weather data'!D2161&lt;'user input'!$C$2,'user input'!$C$2,'weather data'!D2161)</f>
        <v>10</v>
      </c>
      <c r="E2161">
        <f t="shared" si="34"/>
        <v>5.5555555555555554</v>
      </c>
      <c r="F2161">
        <f>IF((E2161-'user input'!$C$2)&lt;0,0,E2161-'user input'!$C$2)</f>
        <v>0</v>
      </c>
      <c r="G2161">
        <f>IF(B2161&lt;'user input'!$C$5,0,(F2161+G2160))</f>
        <v>1553.6111111111118</v>
      </c>
      <c r="H2161">
        <f>G2161/'user input'!$C$4</f>
        <v>1.2946759259259264</v>
      </c>
    </row>
    <row r="2162" spans="1:8" x14ac:dyDescent="0.2">
      <c r="A2162" s="1">
        <v>42338</v>
      </c>
      <c r="B2162">
        <v>335</v>
      </c>
      <c r="C2162" s="6">
        <f>IF('weather data'!C2162&gt;'user input'!$C$3,'user input'!$C$3,'weather data'!C2162)</f>
        <v>1.6666666666666665</v>
      </c>
      <c r="D2162" s="6">
        <f>IF('weather data'!D2162&lt;'user input'!$C$2,'user input'!$C$2,'weather data'!D2162)</f>
        <v>10</v>
      </c>
      <c r="E2162">
        <f t="shared" si="34"/>
        <v>5.833333333333333</v>
      </c>
      <c r="F2162">
        <f>IF((E2162-'user input'!$C$2)&lt;0,0,E2162-'user input'!$C$2)</f>
        <v>0</v>
      </c>
      <c r="G2162">
        <f>IF(B2162&lt;'user input'!$C$5,0,(F2162+G2161))</f>
        <v>1553.6111111111118</v>
      </c>
      <c r="H2162">
        <f>G2162/'user input'!$C$4</f>
        <v>1.2946759259259264</v>
      </c>
    </row>
    <row r="2163" spans="1:8" x14ac:dyDescent="0.2">
      <c r="A2163" s="1">
        <v>42339</v>
      </c>
      <c r="B2163">
        <v>336</v>
      </c>
      <c r="C2163" s="6">
        <f>IF('weather data'!C2163&gt;'user input'!$C$3,'user input'!$C$3,'weather data'!C2163)</f>
        <v>3.8888888888888888</v>
      </c>
      <c r="D2163" s="6">
        <f>IF('weather data'!D2163&lt;'user input'!$C$2,'user input'!$C$2,'weather data'!D2163)</f>
        <v>10</v>
      </c>
      <c r="E2163">
        <f t="shared" si="34"/>
        <v>6.9444444444444446</v>
      </c>
      <c r="F2163">
        <f>IF((E2163-'user input'!$C$2)&lt;0,0,E2163-'user input'!$C$2)</f>
        <v>0</v>
      </c>
      <c r="G2163">
        <f>IF(B2163&lt;'user input'!$C$5,0,(F2163+G2162))</f>
        <v>1553.6111111111118</v>
      </c>
      <c r="H2163">
        <f>G2163/'user input'!$C$4</f>
        <v>1.2946759259259264</v>
      </c>
    </row>
    <row r="2164" spans="1:8" x14ac:dyDescent="0.2">
      <c r="A2164" s="1">
        <v>42340</v>
      </c>
      <c r="B2164">
        <v>337</v>
      </c>
      <c r="C2164" s="6">
        <f>IF('weather data'!C2164&gt;'user input'!$C$3,'user input'!$C$3,'weather data'!C2164)</f>
        <v>3.333333333333333</v>
      </c>
      <c r="D2164" s="6">
        <f>IF('weather data'!D2164&lt;'user input'!$C$2,'user input'!$C$2,'weather data'!D2164)</f>
        <v>10</v>
      </c>
      <c r="E2164">
        <f t="shared" si="34"/>
        <v>6.6666666666666661</v>
      </c>
      <c r="F2164">
        <f>IF((E2164-'user input'!$C$2)&lt;0,0,E2164-'user input'!$C$2)</f>
        <v>0</v>
      </c>
      <c r="G2164">
        <f>IF(B2164&lt;'user input'!$C$5,0,(F2164+G2163))</f>
        <v>1553.6111111111118</v>
      </c>
      <c r="H2164">
        <f>G2164/'user input'!$C$4</f>
        <v>1.2946759259259264</v>
      </c>
    </row>
    <row r="2165" spans="1:8" x14ac:dyDescent="0.2">
      <c r="A2165" s="1">
        <v>42341</v>
      </c>
      <c r="B2165">
        <v>338</v>
      </c>
      <c r="C2165" s="6">
        <f>IF('weather data'!C2165&gt;'user input'!$C$3,'user input'!$C$3,'weather data'!C2165)</f>
        <v>0.55555555555555558</v>
      </c>
      <c r="D2165" s="6">
        <f>IF('weather data'!D2165&lt;'user input'!$C$2,'user input'!$C$2,'weather data'!D2165)</f>
        <v>10</v>
      </c>
      <c r="E2165">
        <f t="shared" si="34"/>
        <v>5.2777777777777777</v>
      </c>
      <c r="F2165">
        <f>IF((E2165-'user input'!$C$2)&lt;0,0,E2165-'user input'!$C$2)</f>
        <v>0</v>
      </c>
      <c r="G2165">
        <f>IF(B2165&lt;'user input'!$C$5,0,(F2165+G2164))</f>
        <v>1553.6111111111118</v>
      </c>
      <c r="H2165">
        <f>G2165/'user input'!$C$4</f>
        <v>1.2946759259259264</v>
      </c>
    </row>
    <row r="2166" spans="1:8" x14ac:dyDescent="0.2">
      <c r="A2166" s="1">
        <v>42342</v>
      </c>
      <c r="B2166">
        <v>339</v>
      </c>
      <c r="C2166" s="6">
        <f>IF('weather data'!C2166&gt;'user input'!$C$3,'user input'!$C$3,'weather data'!C2166)</f>
        <v>3.8888888888888888</v>
      </c>
      <c r="D2166" s="6">
        <f>IF('weather data'!D2166&lt;'user input'!$C$2,'user input'!$C$2,'weather data'!D2166)</f>
        <v>10</v>
      </c>
      <c r="E2166">
        <f t="shared" si="34"/>
        <v>6.9444444444444446</v>
      </c>
      <c r="F2166">
        <f>IF((E2166-'user input'!$C$2)&lt;0,0,E2166-'user input'!$C$2)</f>
        <v>0</v>
      </c>
      <c r="G2166">
        <f>IF(B2166&lt;'user input'!$C$5,0,(F2166+G2165))</f>
        <v>1553.6111111111118</v>
      </c>
      <c r="H2166">
        <f>G2166/'user input'!$C$4</f>
        <v>1.2946759259259264</v>
      </c>
    </row>
    <row r="2167" spans="1:8" x14ac:dyDescent="0.2">
      <c r="A2167" s="1">
        <v>42343</v>
      </c>
      <c r="B2167">
        <v>340</v>
      </c>
      <c r="C2167" s="6">
        <f>IF('weather data'!C2167&gt;'user input'!$C$3,'user input'!$C$3,'weather data'!C2167)</f>
        <v>10</v>
      </c>
      <c r="D2167" s="6">
        <f>IF('weather data'!D2167&lt;'user input'!$C$2,'user input'!$C$2,'weather data'!D2167)</f>
        <v>10</v>
      </c>
      <c r="E2167">
        <f t="shared" si="34"/>
        <v>10</v>
      </c>
      <c r="F2167">
        <f>IF((E2167-'user input'!$C$2)&lt;0,0,E2167-'user input'!$C$2)</f>
        <v>0</v>
      </c>
      <c r="G2167">
        <f>IF(B2167&lt;'user input'!$C$5,0,(F2167+G2166))</f>
        <v>1553.6111111111118</v>
      </c>
      <c r="H2167">
        <f>G2167/'user input'!$C$4</f>
        <v>1.2946759259259264</v>
      </c>
    </row>
    <row r="2168" spans="1:8" x14ac:dyDescent="0.2">
      <c r="A2168" s="1">
        <v>42344</v>
      </c>
      <c r="B2168">
        <v>341</v>
      </c>
      <c r="C2168" s="6">
        <f>IF('weather data'!C2168&gt;'user input'!$C$3,'user input'!$C$3,'weather data'!C2168)</f>
        <v>9.4444444444444446</v>
      </c>
      <c r="D2168" s="6">
        <f>IF('weather data'!D2168&lt;'user input'!$C$2,'user input'!$C$2,'weather data'!D2168)</f>
        <v>10</v>
      </c>
      <c r="E2168">
        <f t="shared" si="34"/>
        <v>9.7222222222222214</v>
      </c>
      <c r="F2168">
        <f>IF((E2168-'user input'!$C$2)&lt;0,0,E2168-'user input'!$C$2)</f>
        <v>0</v>
      </c>
      <c r="G2168">
        <f>IF(B2168&lt;'user input'!$C$5,0,(F2168+G2167))</f>
        <v>1553.6111111111118</v>
      </c>
      <c r="H2168">
        <f>G2168/'user input'!$C$4</f>
        <v>1.2946759259259264</v>
      </c>
    </row>
    <row r="2169" spans="1:8" x14ac:dyDescent="0.2">
      <c r="A2169" s="1">
        <v>42345</v>
      </c>
      <c r="B2169">
        <v>342</v>
      </c>
      <c r="C2169" s="6">
        <f>IF('weather data'!C2169&gt;'user input'!$C$3,'user input'!$C$3,'weather data'!C2169)</f>
        <v>1.6666666666666665</v>
      </c>
      <c r="D2169" s="6">
        <f>IF('weather data'!D2169&lt;'user input'!$C$2,'user input'!$C$2,'weather data'!D2169)</f>
        <v>10</v>
      </c>
      <c r="E2169">
        <f t="shared" si="34"/>
        <v>5.833333333333333</v>
      </c>
      <c r="F2169">
        <f>IF((E2169-'user input'!$C$2)&lt;0,0,E2169-'user input'!$C$2)</f>
        <v>0</v>
      </c>
      <c r="G2169">
        <f>IF(B2169&lt;'user input'!$C$5,0,(F2169+G2168))</f>
        <v>1553.6111111111118</v>
      </c>
      <c r="H2169">
        <f>G2169/'user input'!$C$4</f>
        <v>1.2946759259259264</v>
      </c>
    </row>
    <row r="2170" spans="1:8" x14ac:dyDescent="0.2">
      <c r="A2170" s="1">
        <v>42346</v>
      </c>
      <c r="B2170">
        <v>343</v>
      </c>
      <c r="C2170" s="6">
        <f>IF('weather data'!C2170&gt;'user input'!$C$3,'user input'!$C$3,'weather data'!C2170)</f>
        <v>5</v>
      </c>
      <c r="D2170" s="6">
        <f>IF('weather data'!D2170&lt;'user input'!$C$2,'user input'!$C$2,'weather data'!D2170)</f>
        <v>10</v>
      </c>
      <c r="E2170">
        <f t="shared" si="34"/>
        <v>7.5</v>
      </c>
      <c r="F2170">
        <f>IF((E2170-'user input'!$C$2)&lt;0,0,E2170-'user input'!$C$2)</f>
        <v>0</v>
      </c>
      <c r="G2170">
        <f>IF(B2170&lt;'user input'!$C$5,0,(F2170+G2169))</f>
        <v>1553.6111111111118</v>
      </c>
      <c r="H2170">
        <f>G2170/'user input'!$C$4</f>
        <v>1.2946759259259264</v>
      </c>
    </row>
    <row r="2171" spans="1:8" x14ac:dyDescent="0.2">
      <c r="A2171" s="1">
        <v>42347</v>
      </c>
      <c r="B2171">
        <v>344</v>
      </c>
      <c r="C2171" s="6">
        <f>IF('weather data'!C2171&gt;'user input'!$C$3,'user input'!$C$3,'weather data'!C2171)</f>
        <v>6.6666666666666661</v>
      </c>
      <c r="D2171" s="6">
        <f>IF('weather data'!D2171&lt;'user input'!$C$2,'user input'!$C$2,'weather data'!D2171)</f>
        <v>10</v>
      </c>
      <c r="E2171">
        <f t="shared" si="34"/>
        <v>8.3333333333333321</v>
      </c>
      <c r="F2171">
        <f>IF((E2171-'user input'!$C$2)&lt;0,0,E2171-'user input'!$C$2)</f>
        <v>0</v>
      </c>
      <c r="G2171">
        <f>IF(B2171&lt;'user input'!$C$5,0,(F2171+G2170))</f>
        <v>1553.6111111111118</v>
      </c>
      <c r="H2171">
        <f>G2171/'user input'!$C$4</f>
        <v>1.2946759259259264</v>
      </c>
    </row>
    <row r="2172" spans="1:8" x14ac:dyDescent="0.2">
      <c r="A2172" s="1">
        <v>42348</v>
      </c>
      <c r="B2172">
        <v>345</v>
      </c>
      <c r="C2172" s="6">
        <f>IF('weather data'!C2172&gt;'user input'!$C$3,'user input'!$C$3,'weather data'!C2172)</f>
        <v>9.4444444444444446</v>
      </c>
      <c r="D2172" s="6">
        <f>IF('weather data'!D2172&lt;'user input'!$C$2,'user input'!$C$2,'weather data'!D2172)</f>
        <v>10</v>
      </c>
      <c r="E2172">
        <f t="shared" si="34"/>
        <v>9.7222222222222214</v>
      </c>
      <c r="F2172">
        <f>IF((E2172-'user input'!$C$2)&lt;0,0,E2172-'user input'!$C$2)</f>
        <v>0</v>
      </c>
      <c r="G2172">
        <f>IF(B2172&lt;'user input'!$C$5,0,(F2172+G2171))</f>
        <v>1553.6111111111118</v>
      </c>
      <c r="H2172">
        <f>G2172/'user input'!$C$4</f>
        <v>1.2946759259259264</v>
      </c>
    </row>
    <row r="2173" spans="1:8" x14ac:dyDescent="0.2">
      <c r="A2173" s="1">
        <v>42349</v>
      </c>
      <c r="B2173">
        <v>346</v>
      </c>
      <c r="C2173" s="6">
        <f>IF('weather data'!C2173&gt;'user input'!$C$3,'user input'!$C$3,'weather data'!C2173)</f>
        <v>13.888888888888889</v>
      </c>
      <c r="D2173" s="6">
        <f>IF('weather data'!D2173&lt;'user input'!$C$2,'user input'!$C$2,'weather data'!D2173)</f>
        <v>10</v>
      </c>
      <c r="E2173">
        <f t="shared" si="34"/>
        <v>11.944444444444445</v>
      </c>
      <c r="F2173">
        <f>IF((E2173-'user input'!$C$2)&lt;0,0,E2173-'user input'!$C$2)</f>
        <v>1.9444444444444446</v>
      </c>
      <c r="G2173">
        <f>IF(B2173&lt;'user input'!$C$5,0,(F2173+G2172))</f>
        <v>1555.5555555555561</v>
      </c>
      <c r="H2173">
        <f>G2173/'user input'!$C$4</f>
        <v>1.2962962962962967</v>
      </c>
    </row>
    <row r="2174" spans="1:8" x14ac:dyDescent="0.2">
      <c r="A2174" s="1">
        <v>42350</v>
      </c>
      <c r="B2174">
        <v>347</v>
      </c>
      <c r="C2174" s="6">
        <f>IF('weather data'!C2174&gt;'user input'!$C$3,'user input'!$C$3,'weather data'!C2174)</f>
        <v>6.1111111111111116</v>
      </c>
      <c r="D2174" s="6">
        <f>IF('weather data'!D2174&lt;'user input'!$C$2,'user input'!$C$2,'weather data'!D2174)</f>
        <v>10</v>
      </c>
      <c r="E2174">
        <f t="shared" si="34"/>
        <v>8.0555555555555554</v>
      </c>
      <c r="F2174">
        <f>IF((E2174-'user input'!$C$2)&lt;0,0,E2174-'user input'!$C$2)</f>
        <v>0</v>
      </c>
      <c r="G2174">
        <f>IF(B2174&lt;'user input'!$C$5,0,(F2174+G2173))</f>
        <v>1555.5555555555561</v>
      </c>
      <c r="H2174">
        <f>G2174/'user input'!$C$4</f>
        <v>1.2962962962962967</v>
      </c>
    </row>
    <row r="2175" spans="1:8" x14ac:dyDescent="0.2">
      <c r="A2175" s="1">
        <v>42351</v>
      </c>
      <c r="B2175">
        <v>348</v>
      </c>
      <c r="C2175" s="6">
        <f>IF('weather data'!C2175&gt;'user input'!$C$3,'user input'!$C$3,'weather data'!C2175)</f>
        <v>7.2222222222222223</v>
      </c>
      <c r="D2175" s="6">
        <f>IF('weather data'!D2175&lt;'user input'!$C$2,'user input'!$C$2,'weather data'!D2175)</f>
        <v>10</v>
      </c>
      <c r="E2175">
        <f t="shared" si="34"/>
        <v>8.6111111111111107</v>
      </c>
      <c r="F2175">
        <f>IF((E2175-'user input'!$C$2)&lt;0,0,E2175-'user input'!$C$2)</f>
        <v>0</v>
      </c>
      <c r="G2175">
        <f>IF(B2175&lt;'user input'!$C$5,0,(F2175+G2174))</f>
        <v>1555.5555555555561</v>
      </c>
      <c r="H2175">
        <f>G2175/'user input'!$C$4</f>
        <v>1.2962962962962967</v>
      </c>
    </row>
    <row r="2176" spans="1:8" x14ac:dyDescent="0.2">
      <c r="A2176" s="1">
        <v>42352</v>
      </c>
      <c r="B2176">
        <v>349</v>
      </c>
      <c r="C2176" s="6">
        <f>IF('weather data'!C2176&gt;'user input'!$C$3,'user input'!$C$3,'weather data'!C2176)</f>
        <v>15.555555555555555</v>
      </c>
      <c r="D2176" s="6">
        <f>IF('weather data'!D2176&lt;'user input'!$C$2,'user input'!$C$2,'weather data'!D2176)</f>
        <v>10</v>
      </c>
      <c r="E2176">
        <f t="shared" si="34"/>
        <v>12.777777777777779</v>
      </c>
      <c r="F2176">
        <f>IF((E2176-'user input'!$C$2)&lt;0,0,E2176-'user input'!$C$2)</f>
        <v>2.7777777777777786</v>
      </c>
      <c r="G2176">
        <f>IF(B2176&lt;'user input'!$C$5,0,(F2176+G2175))</f>
        <v>1558.3333333333339</v>
      </c>
      <c r="H2176">
        <f>G2176/'user input'!$C$4</f>
        <v>1.2986111111111116</v>
      </c>
    </row>
    <row r="2177" spans="1:8" x14ac:dyDescent="0.2">
      <c r="A2177" s="1">
        <v>42353</v>
      </c>
      <c r="B2177">
        <v>350</v>
      </c>
      <c r="C2177" s="6">
        <f>IF('weather data'!C2177&gt;'user input'!$C$3,'user input'!$C$3,'weather data'!C2177)</f>
        <v>14.444444444444445</v>
      </c>
      <c r="D2177" s="6">
        <f>IF('weather data'!D2177&lt;'user input'!$C$2,'user input'!$C$2,'weather data'!D2177)</f>
        <v>10</v>
      </c>
      <c r="E2177">
        <f t="shared" si="34"/>
        <v>12.222222222222221</v>
      </c>
      <c r="F2177">
        <f>IF((E2177-'user input'!$C$2)&lt;0,0,E2177-'user input'!$C$2)</f>
        <v>2.2222222222222214</v>
      </c>
      <c r="G2177">
        <f>IF(B2177&lt;'user input'!$C$5,0,(F2177+G2176))</f>
        <v>1560.5555555555561</v>
      </c>
      <c r="H2177">
        <f>G2177/'user input'!$C$4</f>
        <v>1.3004629629629634</v>
      </c>
    </row>
    <row r="2178" spans="1:8" x14ac:dyDescent="0.2">
      <c r="A2178" s="1">
        <v>42354</v>
      </c>
      <c r="B2178">
        <v>351</v>
      </c>
      <c r="C2178" s="6">
        <f>IF('weather data'!C2178&gt;'user input'!$C$3,'user input'!$C$3,'weather data'!C2178)</f>
        <v>5</v>
      </c>
      <c r="D2178" s="6">
        <f>IF('weather data'!D2178&lt;'user input'!$C$2,'user input'!$C$2,'weather data'!D2178)</f>
        <v>10</v>
      </c>
      <c r="E2178">
        <f t="shared" si="34"/>
        <v>7.5</v>
      </c>
      <c r="F2178">
        <f>IF((E2178-'user input'!$C$2)&lt;0,0,E2178-'user input'!$C$2)</f>
        <v>0</v>
      </c>
      <c r="G2178">
        <f>IF(B2178&lt;'user input'!$C$5,0,(F2178+G2177))</f>
        <v>1560.5555555555561</v>
      </c>
      <c r="H2178">
        <f>G2178/'user input'!$C$4</f>
        <v>1.3004629629629634</v>
      </c>
    </row>
    <row r="2179" spans="1:8" x14ac:dyDescent="0.2">
      <c r="A2179" s="1">
        <v>42355</v>
      </c>
      <c r="B2179">
        <v>352</v>
      </c>
      <c r="C2179" s="6">
        <f>IF('weather data'!C2179&gt;'user input'!$C$3,'user input'!$C$3,'weather data'!C2179)</f>
        <v>10</v>
      </c>
      <c r="D2179" s="6">
        <f>IF('weather data'!D2179&lt;'user input'!$C$2,'user input'!$C$2,'weather data'!D2179)</f>
        <v>10</v>
      </c>
      <c r="E2179">
        <f t="shared" si="34"/>
        <v>10</v>
      </c>
      <c r="F2179">
        <f>IF((E2179-'user input'!$C$2)&lt;0,0,E2179-'user input'!$C$2)</f>
        <v>0</v>
      </c>
      <c r="G2179">
        <f>IF(B2179&lt;'user input'!$C$5,0,(F2179+G2178))</f>
        <v>1560.5555555555561</v>
      </c>
      <c r="H2179">
        <f>G2179/'user input'!$C$4</f>
        <v>1.3004629629629634</v>
      </c>
    </row>
    <row r="2180" spans="1:8" x14ac:dyDescent="0.2">
      <c r="A2180" s="1">
        <v>42356</v>
      </c>
      <c r="B2180">
        <v>353</v>
      </c>
      <c r="C2180" s="6">
        <f>IF('weather data'!C2180&gt;'user input'!$C$3,'user input'!$C$3,'weather data'!C2180)</f>
        <v>-0.55555555555555558</v>
      </c>
      <c r="D2180" s="6">
        <f>IF('weather data'!D2180&lt;'user input'!$C$2,'user input'!$C$2,'weather data'!D2180)</f>
        <v>10</v>
      </c>
      <c r="E2180">
        <f t="shared" si="34"/>
        <v>4.7222222222222223</v>
      </c>
      <c r="F2180">
        <f>IF((E2180-'user input'!$C$2)&lt;0,0,E2180-'user input'!$C$2)</f>
        <v>0</v>
      </c>
      <c r="G2180">
        <f>IF(B2180&lt;'user input'!$C$5,0,(F2180+G2179))</f>
        <v>1560.5555555555561</v>
      </c>
      <c r="H2180">
        <f>G2180/'user input'!$C$4</f>
        <v>1.3004629629629634</v>
      </c>
    </row>
    <row r="2181" spans="1:8" x14ac:dyDescent="0.2">
      <c r="A2181" s="1">
        <v>42357</v>
      </c>
      <c r="B2181">
        <v>354</v>
      </c>
      <c r="C2181" s="6">
        <f>IF('weather data'!C2181&gt;'user input'!$C$3,'user input'!$C$3,'weather data'!C2181)</f>
        <v>-0.55555555555555558</v>
      </c>
      <c r="D2181" s="6">
        <f>IF('weather data'!D2181&lt;'user input'!$C$2,'user input'!$C$2,'weather data'!D2181)</f>
        <v>10</v>
      </c>
      <c r="E2181">
        <f t="shared" si="34"/>
        <v>4.7222222222222223</v>
      </c>
      <c r="F2181">
        <f>IF((E2181-'user input'!$C$2)&lt;0,0,E2181-'user input'!$C$2)</f>
        <v>0</v>
      </c>
      <c r="G2181">
        <f>IF(B2181&lt;'user input'!$C$5,0,(F2181+G2180))</f>
        <v>1560.5555555555561</v>
      </c>
      <c r="H2181">
        <f>G2181/'user input'!$C$4</f>
        <v>1.3004629629629634</v>
      </c>
    </row>
    <row r="2182" spans="1:8" x14ac:dyDescent="0.2">
      <c r="A2182" s="1">
        <v>42358</v>
      </c>
      <c r="B2182">
        <v>355</v>
      </c>
      <c r="C2182" s="6">
        <f>IF('weather data'!C2182&gt;'user input'!$C$3,'user input'!$C$3,'weather data'!C2182)</f>
        <v>2.2222222222222223</v>
      </c>
      <c r="D2182" s="6">
        <f>IF('weather data'!D2182&lt;'user input'!$C$2,'user input'!$C$2,'weather data'!D2182)</f>
        <v>10</v>
      </c>
      <c r="E2182">
        <f t="shared" si="34"/>
        <v>6.1111111111111107</v>
      </c>
      <c r="F2182">
        <f>IF((E2182-'user input'!$C$2)&lt;0,0,E2182-'user input'!$C$2)</f>
        <v>0</v>
      </c>
      <c r="G2182">
        <f>IF(B2182&lt;'user input'!$C$5,0,(F2182+G2181))</f>
        <v>1560.5555555555561</v>
      </c>
      <c r="H2182">
        <f>G2182/'user input'!$C$4</f>
        <v>1.3004629629629634</v>
      </c>
    </row>
    <row r="2183" spans="1:8" x14ac:dyDescent="0.2">
      <c r="A2183" s="1">
        <v>42359</v>
      </c>
      <c r="B2183">
        <v>356</v>
      </c>
      <c r="C2183" s="6">
        <f>IF('weather data'!C2183&gt;'user input'!$C$3,'user input'!$C$3,'weather data'!C2183)</f>
        <v>7.7777777777777777</v>
      </c>
      <c r="D2183" s="6">
        <f>IF('weather data'!D2183&lt;'user input'!$C$2,'user input'!$C$2,'weather data'!D2183)</f>
        <v>10</v>
      </c>
      <c r="E2183">
        <f t="shared" si="34"/>
        <v>8.8888888888888893</v>
      </c>
      <c r="F2183">
        <f>IF((E2183-'user input'!$C$2)&lt;0,0,E2183-'user input'!$C$2)</f>
        <v>0</v>
      </c>
      <c r="G2183">
        <f>IF(B2183&lt;'user input'!$C$5,0,(F2183+G2182))</f>
        <v>1560.5555555555561</v>
      </c>
      <c r="H2183">
        <f>G2183/'user input'!$C$4</f>
        <v>1.3004629629629634</v>
      </c>
    </row>
    <row r="2184" spans="1:8" x14ac:dyDescent="0.2">
      <c r="A2184" s="1">
        <v>42360</v>
      </c>
      <c r="B2184">
        <v>357</v>
      </c>
      <c r="C2184" s="6">
        <f>IF('weather data'!C2184&gt;'user input'!$C$3,'user input'!$C$3,'weather data'!C2184)</f>
        <v>5</v>
      </c>
      <c r="D2184" s="6">
        <f>IF('weather data'!D2184&lt;'user input'!$C$2,'user input'!$C$2,'weather data'!D2184)</f>
        <v>10</v>
      </c>
      <c r="E2184">
        <f t="shared" si="34"/>
        <v>7.5</v>
      </c>
      <c r="F2184">
        <f>IF((E2184-'user input'!$C$2)&lt;0,0,E2184-'user input'!$C$2)</f>
        <v>0</v>
      </c>
      <c r="G2184">
        <f>IF(B2184&lt;'user input'!$C$5,0,(F2184+G2183))</f>
        <v>1560.5555555555561</v>
      </c>
      <c r="H2184">
        <f>G2184/'user input'!$C$4</f>
        <v>1.3004629629629634</v>
      </c>
    </row>
    <row r="2185" spans="1:8" x14ac:dyDescent="0.2">
      <c r="A2185" s="1">
        <v>42361</v>
      </c>
      <c r="B2185">
        <v>358</v>
      </c>
      <c r="C2185" s="6">
        <f>IF('weather data'!C2185&gt;'user input'!$C$3,'user input'!$C$3,'weather data'!C2185)</f>
        <v>5</v>
      </c>
      <c r="D2185" s="6">
        <f>IF('weather data'!D2185&lt;'user input'!$C$2,'user input'!$C$2,'weather data'!D2185)</f>
        <v>10</v>
      </c>
      <c r="E2185">
        <f t="shared" si="34"/>
        <v>7.5</v>
      </c>
      <c r="F2185">
        <f>IF((E2185-'user input'!$C$2)&lt;0,0,E2185-'user input'!$C$2)</f>
        <v>0</v>
      </c>
      <c r="G2185">
        <f>IF(B2185&lt;'user input'!$C$5,0,(F2185+G2184))</f>
        <v>1560.5555555555561</v>
      </c>
      <c r="H2185">
        <f>G2185/'user input'!$C$4</f>
        <v>1.3004629629629634</v>
      </c>
    </row>
    <row r="2186" spans="1:8" x14ac:dyDescent="0.2">
      <c r="A2186" s="1">
        <v>42362</v>
      </c>
      <c r="B2186">
        <v>359</v>
      </c>
      <c r="C2186" s="6">
        <f>IF('weather data'!C2186&gt;'user input'!$C$3,'user input'!$C$3,'weather data'!C2186)</f>
        <v>13.333333333333332</v>
      </c>
      <c r="D2186" s="6">
        <f>IF('weather data'!D2186&lt;'user input'!$C$2,'user input'!$C$2,'weather data'!D2186)</f>
        <v>10</v>
      </c>
      <c r="E2186">
        <f t="shared" si="34"/>
        <v>11.666666666666666</v>
      </c>
      <c r="F2186">
        <f>IF((E2186-'user input'!$C$2)&lt;0,0,E2186-'user input'!$C$2)</f>
        <v>1.6666666666666661</v>
      </c>
      <c r="G2186">
        <f>IF(B2186&lt;'user input'!$C$5,0,(F2186+G2185))</f>
        <v>1562.2222222222229</v>
      </c>
      <c r="H2186">
        <f>G2186/'user input'!$C$4</f>
        <v>1.3018518518518525</v>
      </c>
    </row>
    <row r="2187" spans="1:8" x14ac:dyDescent="0.2">
      <c r="A2187" s="1">
        <v>42363</v>
      </c>
      <c r="B2187">
        <v>360</v>
      </c>
      <c r="C2187" s="6">
        <f>IF('weather data'!C2187&gt;'user input'!$C$3,'user input'!$C$3,'weather data'!C2187)</f>
        <v>1.6666666666666665</v>
      </c>
      <c r="D2187" s="6">
        <f>IF('weather data'!D2187&lt;'user input'!$C$2,'user input'!$C$2,'weather data'!D2187)</f>
        <v>10</v>
      </c>
      <c r="E2187">
        <f t="shared" si="34"/>
        <v>5.833333333333333</v>
      </c>
      <c r="F2187">
        <f>IF((E2187-'user input'!$C$2)&lt;0,0,E2187-'user input'!$C$2)</f>
        <v>0</v>
      </c>
      <c r="G2187">
        <f>IF(B2187&lt;'user input'!$C$5,0,(F2187+G2186))</f>
        <v>1562.2222222222229</v>
      </c>
      <c r="H2187">
        <f>G2187/'user input'!$C$4</f>
        <v>1.3018518518518525</v>
      </c>
    </row>
    <row r="2188" spans="1:8" x14ac:dyDescent="0.2">
      <c r="A2188" s="1">
        <v>42364</v>
      </c>
      <c r="B2188">
        <v>361</v>
      </c>
      <c r="C2188" s="6">
        <f>IF('weather data'!C2188&gt;'user input'!$C$3,'user input'!$C$3,'weather data'!C2188)</f>
        <v>0.55555555555555558</v>
      </c>
      <c r="D2188" s="6">
        <f>IF('weather data'!D2188&lt;'user input'!$C$2,'user input'!$C$2,'weather data'!D2188)</f>
        <v>10</v>
      </c>
      <c r="E2188">
        <f t="shared" si="34"/>
        <v>5.2777777777777777</v>
      </c>
      <c r="F2188">
        <f>IF((E2188-'user input'!$C$2)&lt;0,0,E2188-'user input'!$C$2)</f>
        <v>0</v>
      </c>
      <c r="G2188">
        <f>IF(B2188&lt;'user input'!$C$5,0,(F2188+G2187))</f>
        <v>1562.2222222222229</v>
      </c>
      <c r="H2188">
        <f>G2188/'user input'!$C$4</f>
        <v>1.3018518518518525</v>
      </c>
    </row>
    <row r="2189" spans="1:8" x14ac:dyDescent="0.2">
      <c r="A2189" s="1">
        <v>42365</v>
      </c>
      <c r="B2189">
        <v>362</v>
      </c>
      <c r="C2189" s="6">
        <f>IF('weather data'!C2189&gt;'user input'!$C$3,'user input'!$C$3,'weather data'!C2189)</f>
        <v>2.2222222222222223</v>
      </c>
      <c r="D2189" s="6">
        <f>IF('weather data'!D2189&lt;'user input'!$C$2,'user input'!$C$2,'weather data'!D2189)</f>
        <v>10</v>
      </c>
      <c r="E2189">
        <f t="shared" si="34"/>
        <v>6.1111111111111107</v>
      </c>
      <c r="F2189">
        <f>IF((E2189-'user input'!$C$2)&lt;0,0,E2189-'user input'!$C$2)</f>
        <v>0</v>
      </c>
      <c r="G2189">
        <f>IF(B2189&lt;'user input'!$C$5,0,(F2189+G2188))</f>
        <v>1562.2222222222229</v>
      </c>
      <c r="H2189">
        <f>G2189/'user input'!$C$4</f>
        <v>1.3018518518518525</v>
      </c>
    </row>
    <row r="2190" spans="1:8" x14ac:dyDescent="0.2">
      <c r="A2190" s="1">
        <v>42366</v>
      </c>
      <c r="B2190">
        <v>363</v>
      </c>
      <c r="C2190" s="6">
        <f>IF('weather data'!C2190&gt;'user input'!$C$3,'user input'!$C$3,'weather data'!C2190)</f>
        <v>1.6666666666666665</v>
      </c>
      <c r="D2190" s="6">
        <f>IF('weather data'!D2190&lt;'user input'!$C$2,'user input'!$C$2,'weather data'!D2190)</f>
        <v>10</v>
      </c>
      <c r="E2190">
        <f t="shared" si="34"/>
        <v>5.833333333333333</v>
      </c>
      <c r="F2190">
        <f>IF((E2190-'user input'!$C$2)&lt;0,0,E2190-'user input'!$C$2)</f>
        <v>0</v>
      </c>
      <c r="G2190">
        <f>IF(B2190&lt;'user input'!$C$5,0,(F2190+G2189))</f>
        <v>1562.2222222222229</v>
      </c>
      <c r="H2190">
        <f>G2190/'user input'!$C$4</f>
        <v>1.3018518518518525</v>
      </c>
    </row>
    <row r="2191" spans="1:8" x14ac:dyDescent="0.2">
      <c r="A2191" s="1">
        <v>42367</v>
      </c>
      <c r="B2191">
        <v>364</v>
      </c>
      <c r="C2191" s="6">
        <f>IF('weather data'!C2191&gt;'user input'!$C$3,'user input'!$C$3,'weather data'!C2191)</f>
        <v>-2.7777777777777777</v>
      </c>
      <c r="D2191" s="6">
        <f>IF('weather data'!D2191&lt;'user input'!$C$2,'user input'!$C$2,'weather data'!D2191)</f>
        <v>10</v>
      </c>
      <c r="E2191">
        <f t="shared" si="34"/>
        <v>3.6111111111111112</v>
      </c>
      <c r="F2191">
        <f>IF((E2191-'user input'!$C$2)&lt;0,0,E2191-'user input'!$C$2)</f>
        <v>0</v>
      </c>
      <c r="G2191">
        <f>IF(B2191&lt;'user input'!$C$5,0,(F2191+G2190))</f>
        <v>1562.2222222222229</v>
      </c>
      <c r="H2191">
        <f>G2191/'user input'!$C$4</f>
        <v>1.3018518518518525</v>
      </c>
    </row>
    <row r="2192" spans="1:8" x14ac:dyDescent="0.2">
      <c r="A2192" s="1">
        <v>42368</v>
      </c>
      <c r="B2192">
        <v>365</v>
      </c>
      <c r="C2192" s="6">
        <f>IF('weather data'!C2192&gt;'user input'!$C$3,'user input'!$C$3,'weather data'!C2192)</f>
        <v>-3.333333333333333</v>
      </c>
      <c r="D2192" s="6">
        <f>IF('weather data'!D2192&lt;'user input'!$C$2,'user input'!$C$2,'weather data'!D2192)</f>
        <v>10</v>
      </c>
      <c r="E2192">
        <f t="shared" si="34"/>
        <v>3.3333333333333335</v>
      </c>
      <c r="F2192">
        <f>IF((E2192-'user input'!$C$2)&lt;0,0,E2192-'user input'!$C$2)</f>
        <v>0</v>
      </c>
      <c r="G2192">
        <f>IF(B2192&lt;'user input'!$C$5,0,(F2192+G2191))</f>
        <v>1562.2222222222229</v>
      </c>
      <c r="H2192">
        <f>G2192/'user input'!$C$4</f>
        <v>1.3018518518518525</v>
      </c>
    </row>
    <row r="2193" spans="1:8" x14ac:dyDescent="0.2">
      <c r="A2193" s="1">
        <v>42369</v>
      </c>
      <c r="B2193">
        <v>1</v>
      </c>
      <c r="C2193" s="6">
        <f>IF('weather data'!C2193&gt;'user input'!$C$3,'user input'!$C$3,'weather data'!C2193)</f>
        <v>-2.2222222222222223</v>
      </c>
      <c r="D2193" s="6">
        <f>IF('weather data'!D2193&lt;'user input'!$C$2,'user input'!$C$2,'weather data'!D2193)</f>
        <v>10</v>
      </c>
      <c r="E2193">
        <f t="shared" si="34"/>
        <v>3.8888888888888888</v>
      </c>
      <c r="F2193">
        <f>IF((E2193-'user input'!$C$2)&lt;0,0,E2193-'user input'!$C$2)</f>
        <v>0</v>
      </c>
      <c r="G2193">
        <f>IF(B2193&lt;'user input'!$C$5,0,(F2193+G2192))</f>
        <v>0</v>
      </c>
      <c r="H2193">
        <f>G2193/'user input'!$C$4</f>
        <v>0</v>
      </c>
    </row>
    <row r="2194" spans="1:8" x14ac:dyDescent="0.2">
      <c r="A2194" s="1">
        <v>42370</v>
      </c>
      <c r="B2194">
        <v>2</v>
      </c>
      <c r="C2194" s="6">
        <f>IF('weather data'!C2194&gt;'user input'!$C$3,'user input'!$C$3,'weather data'!C2194)</f>
        <v>-4.4444444444444446</v>
      </c>
      <c r="D2194" s="6">
        <f>IF('weather data'!D2194&lt;'user input'!$C$2,'user input'!$C$2,'weather data'!D2194)</f>
        <v>10</v>
      </c>
      <c r="E2194">
        <f t="shared" ref="E2194:E2257" si="35">(C2194+D2194)/2</f>
        <v>2.7777777777777777</v>
      </c>
      <c r="F2194">
        <f>IF((E2194-'user input'!$C$2)&lt;0,0,E2194-'user input'!$C$2)</f>
        <v>0</v>
      </c>
      <c r="G2194">
        <f>IF(B2194&lt;'user input'!$C$5,0,(F2194+G2193))</f>
        <v>0</v>
      </c>
      <c r="H2194">
        <f>G2194/'user input'!$C$4</f>
        <v>0</v>
      </c>
    </row>
    <row r="2195" spans="1:8" x14ac:dyDescent="0.2">
      <c r="A2195" s="1">
        <v>42371</v>
      </c>
      <c r="B2195">
        <v>3</v>
      </c>
      <c r="C2195" s="6">
        <f>IF('weather data'!C2195&gt;'user input'!$C$3,'user input'!$C$3,'weather data'!C2195)</f>
        <v>-2.7777777777777777</v>
      </c>
      <c r="D2195" s="6">
        <f>IF('weather data'!D2195&lt;'user input'!$C$2,'user input'!$C$2,'weather data'!D2195)</f>
        <v>10</v>
      </c>
      <c r="E2195">
        <f t="shared" si="35"/>
        <v>3.6111111111111112</v>
      </c>
      <c r="F2195">
        <f>IF((E2195-'user input'!$C$2)&lt;0,0,E2195-'user input'!$C$2)</f>
        <v>0</v>
      </c>
      <c r="G2195">
        <f>IF(B2195&lt;'user input'!$C$5,0,(F2195+G2194))</f>
        <v>0</v>
      </c>
      <c r="H2195">
        <f>G2195/'user input'!$C$4</f>
        <v>0</v>
      </c>
    </row>
    <row r="2196" spans="1:8" x14ac:dyDescent="0.2">
      <c r="A2196" s="1">
        <v>42372</v>
      </c>
      <c r="B2196">
        <v>4</v>
      </c>
      <c r="C2196" s="6">
        <f>IF('weather data'!C2196&gt;'user input'!$C$3,'user input'!$C$3,'weather data'!C2196)</f>
        <v>0</v>
      </c>
      <c r="D2196" s="6">
        <f>IF('weather data'!D2196&lt;'user input'!$C$2,'user input'!$C$2,'weather data'!D2196)</f>
        <v>10</v>
      </c>
      <c r="E2196">
        <f t="shared" si="35"/>
        <v>5</v>
      </c>
      <c r="F2196">
        <f>IF((E2196-'user input'!$C$2)&lt;0,0,E2196-'user input'!$C$2)</f>
        <v>0</v>
      </c>
      <c r="G2196">
        <f>IF(B2196&lt;'user input'!$C$5,0,(F2196+G2195))</f>
        <v>0</v>
      </c>
      <c r="H2196">
        <f>G2196/'user input'!$C$4</f>
        <v>0</v>
      </c>
    </row>
    <row r="2197" spans="1:8" x14ac:dyDescent="0.2">
      <c r="A2197" s="1">
        <v>42373</v>
      </c>
      <c r="B2197">
        <v>5</v>
      </c>
      <c r="C2197" s="6">
        <f>IF('weather data'!C2197&gt;'user input'!$C$3,'user input'!$C$3,'weather data'!C2197)</f>
        <v>-2.7777777777777777</v>
      </c>
      <c r="D2197" s="6">
        <f>IF('weather data'!D2197&lt;'user input'!$C$2,'user input'!$C$2,'weather data'!D2197)</f>
        <v>10</v>
      </c>
      <c r="E2197">
        <f t="shared" si="35"/>
        <v>3.6111111111111112</v>
      </c>
      <c r="F2197">
        <f>IF((E2197-'user input'!$C$2)&lt;0,0,E2197-'user input'!$C$2)</f>
        <v>0</v>
      </c>
      <c r="G2197">
        <f>IF(B2197&lt;'user input'!$C$5,0,(F2197+G2196))</f>
        <v>0</v>
      </c>
      <c r="H2197">
        <f>G2197/'user input'!$C$4</f>
        <v>0</v>
      </c>
    </row>
    <row r="2198" spans="1:8" x14ac:dyDescent="0.2">
      <c r="A2198" s="1">
        <v>42374</v>
      </c>
      <c r="B2198">
        <v>6</v>
      </c>
      <c r="C2198" s="6">
        <f>IF('weather data'!C2198&gt;'user input'!$C$3,'user input'!$C$3,'weather data'!C2198)</f>
        <v>-2.7777777777777777</v>
      </c>
      <c r="D2198" s="6">
        <f>IF('weather data'!D2198&lt;'user input'!$C$2,'user input'!$C$2,'weather data'!D2198)</f>
        <v>10</v>
      </c>
      <c r="E2198">
        <f t="shared" si="35"/>
        <v>3.6111111111111112</v>
      </c>
      <c r="F2198">
        <f>IF((E2198-'user input'!$C$2)&lt;0,0,E2198-'user input'!$C$2)</f>
        <v>0</v>
      </c>
      <c r="G2198">
        <f>IF(B2198&lt;'user input'!$C$5,0,(F2198+G2197))</f>
        <v>0</v>
      </c>
      <c r="H2198">
        <f>G2198/'user input'!$C$4</f>
        <v>0</v>
      </c>
    </row>
    <row r="2199" spans="1:8" x14ac:dyDescent="0.2">
      <c r="A2199" s="1">
        <v>42375</v>
      </c>
      <c r="B2199">
        <v>7</v>
      </c>
      <c r="C2199" s="6">
        <f>IF('weather data'!C2199&gt;'user input'!$C$3,'user input'!$C$3,'weather data'!C2199)</f>
        <v>-1.1111111111111112</v>
      </c>
      <c r="D2199" s="6">
        <f>IF('weather data'!D2199&lt;'user input'!$C$2,'user input'!$C$2,'weather data'!D2199)</f>
        <v>10</v>
      </c>
      <c r="E2199">
        <f t="shared" si="35"/>
        <v>4.4444444444444446</v>
      </c>
      <c r="F2199">
        <f>IF((E2199-'user input'!$C$2)&lt;0,0,E2199-'user input'!$C$2)</f>
        <v>0</v>
      </c>
      <c r="G2199">
        <f>IF(B2199&lt;'user input'!$C$5,0,(F2199+G2198))</f>
        <v>0</v>
      </c>
      <c r="H2199">
        <f>G2199/'user input'!$C$4</f>
        <v>0</v>
      </c>
    </row>
    <row r="2200" spans="1:8" x14ac:dyDescent="0.2">
      <c r="A2200" s="1">
        <v>42376</v>
      </c>
      <c r="B2200">
        <v>8</v>
      </c>
      <c r="C2200" s="6">
        <f>IF('weather data'!C2200&gt;'user input'!$C$3,'user input'!$C$3,'weather data'!C2200)</f>
        <v>0.55555555555555558</v>
      </c>
      <c r="D2200" s="6">
        <f>IF('weather data'!D2200&lt;'user input'!$C$2,'user input'!$C$2,'weather data'!D2200)</f>
        <v>10</v>
      </c>
      <c r="E2200">
        <f t="shared" si="35"/>
        <v>5.2777777777777777</v>
      </c>
      <c r="F2200">
        <f>IF((E2200-'user input'!$C$2)&lt;0,0,E2200-'user input'!$C$2)</f>
        <v>0</v>
      </c>
      <c r="G2200">
        <f>IF(B2200&lt;'user input'!$C$5,0,(F2200+G2199))</f>
        <v>0</v>
      </c>
      <c r="H2200">
        <f>G2200/'user input'!$C$4</f>
        <v>0</v>
      </c>
    </row>
    <row r="2201" spans="1:8" x14ac:dyDescent="0.2">
      <c r="A2201" s="1">
        <v>42377</v>
      </c>
      <c r="B2201">
        <v>9</v>
      </c>
      <c r="C2201" s="6">
        <f>IF('weather data'!C2201&gt;'user input'!$C$3,'user input'!$C$3,'weather data'!C2201)</f>
        <v>2.2222222222222223</v>
      </c>
      <c r="D2201" s="6">
        <f>IF('weather data'!D2201&lt;'user input'!$C$2,'user input'!$C$2,'weather data'!D2201)</f>
        <v>10</v>
      </c>
      <c r="E2201">
        <f t="shared" si="35"/>
        <v>6.1111111111111107</v>
      </c>
      <c r="F2201">
        <f>IF((E2201-'user input'!$C$2)&lt;0,0,E2201-'user input'!$C$2)</f>
        <v>0</v>
      </c>
      <c r="G2201">
        <f>IF(B2201&lt;'user input'!$C$5,0,(F2201+G2200))</f>
        <v>0</v>
      </c>
      <c r="H2201">
        <f>G2201/'user input'!$C$4</f>
        <v>0</v>
      </c>
    </row>
    <row r="2202" spans="1:8" x14ac:dyDescent="0.2">
      <c r="A2202" s="1">
        <v>42378</v>
      </c>
      <c r="B2202">
        <v>10</v>
      </c>
      <c r="C2202" s="6">
        <f>IF('weather data'!C2202&gt;'user input'!$C$3,'user input'!$C$3,'weather data'!C2202)</f>
        <v>2.7777777777777777</v>
      </c>
      <c r="D2202" s="6">
        <f>IF('weather data'!D2202&lt;'user input'!$C$2,'user input'!$C$2,'weather data'!D2202)</f>
        <v>10</v>
      </c>
      <c r="E2202">
        <f t="shared" si="35"/>
        <v>6.3888888888888893</v>
      </c>
      <c r="F2202">
        <f>IF((E2202-'user input'!$C$2)&lt;0,0,E2202-'user input'!$C$2)</f>
        <v>0</v>
      </c>
      <c r="G2202">
        <f>IF(B2202&lt;'user input'!$C$5,0,(F2202+G2201))</f>
        <v>0</v>
      </c>
      <c r="H2202">
        <f>G2202/'user input'!$C$4</f>
        <v>0</v>
      </c>
    </row>
    <row r="2203" spans="1:8" x14ac:dyDescent="0.2">
      <c r="A2203" s="1">
        <v>42379</v>
      </c>
      <c r="B2203">
        <v>11</v>
      </c>
      <c r="C2203" s="6">
        <f>IF('weather data'!C2203&gt;'user input'!$C$3,'user input'!$C$3,'weather data'!C2203)</f>
        <v>-0.55555555555555558</v>
      </c>
      <c r="D2203" s="6">
        <f>IF('weather data'!D2203&lt;'user input'!$C$2,'user input'!$C$2,'weather data'!D2203)</f>
        <v>10</v>
      </c>
      <c r="E2203">
        <f t="shared" si="35"/>
        <v>4.7222222222222223</v>
      </c>
      <c r="F2203">
        <f>IF((E2203-'user input'!$C$2)&lt;0,0,E2203-'user input'!$C$2)</f>
        <v>0</v>
      </c>
      <c r="G2203">
        <f>IF(B2203&lt;'user input'!$C$5,0,(F2203+G2202))</f>
        <v>0</v>
      </c>
      <c r="H2203">
        <f>G2203/'user input'!$C$4</f>
        <v>0</v>
      </c>
    </row>
    <row r="2204" spans="1:8" x14ac:dyDescent="0.2">
      <c r="A2204" s="1">
        <v>42380</v>
      </c>
      <c r="B2204">
        <v>12</v>
      </c>
      <c r="C2204" s="6">
        <f>IF('weather data'!C2204&gt;'user input'!$C$3,'user input'!$C$3,'weather data'!C2204)</f>
        <v>-15</v>
      </c>
      <c r="D2204" s="6">
        <f>IF('weather data'!D2204&lt;'user input'!$C$2,'user input'!$C$2,'weather data'!D2204)</f>
        <v>10</v>
      </c>
      <c r="E2204">
        <f t="shared" si="35"/>
        <v>-2.5</v>
      </c>
      <c r="F2204">
        <f>IF((E2204-'user input'!$C$2)&lt;0,0,E2204-'user input'!$C$2)</f>
        <v>0</v>
      </c>
      <c r="G2204">
        <f>IF(B2204&lt;'user input'!$C$5,0,(F2204+G2203))</f>
        <v>0</v>
      </c>
      <c r="H2204">
        <f>G2204/'user input'!$C$4</f>
        <v>0</v>
      </c>
    </row>
    <row r="2205" spans="1:8" x14ac:dyDescent="0.2">
      <c r="A2205" s="1">
        <v>42381</v>
      </c>
      <c r="B2205">
        <v>13</v>
      </c>
      <c r="C2205" s="6">
        <f>IF('weather data'!C2205&gt;'user input'!$C$3,'user input'!$C$3,'weather data'!C2205)</f>
        <v>-12.222222222222223</v>
      </c>
      <c r="D2205" s="6">
        <f>IF('weather data'!D2205&lt;'user input'!$C$2,'user input'!$C$2,'weather data'!D2205)</f>
        <v>10</v>
      </c>
      <c r="E2205">
        <f t="shared" si="35"/>
        <v>-1.1111111111111116</v>
      </c>
      <c r="F2205">
        <f>IF((E2205-'user input'!$C$2)&lt;0,0,E2205-'user input'!$C$2)</f>
        <v>0</v>
      </c>
      <c r="G2205">
        <f>IF(B2205&lt;'user input'!$C$5,0,(F2205+G2204))</f>
        <v>0</v>
      </c>
      <c r="H2205">
        <f>G2205/'user input'!$C$4</f>
        <v>0</v>
      </c>
    </row>
    <row r="2206" spans="1:8" x14ac:dyDescent="0.2">
      <c r="A2206" s="1">
        <v>42382</v>
      </c>
      <c r="B2206">
        <v>14</v>
      </c>
      <c r="C2206" s="6">
        <f>IF('weather data'!C2206&gt;'user input'!$C$3,'user input'!$C$3,'weather data'!C2206)</f>
        <v>-13.888888888888889</v>
      </c>
      <c r="D2206" s="6">
        <f>IF('weather data'!D2206&lt;'user input'!$C$2,'user input'!$C$2,'weather data'!D2206)</f>
        <v>10</v>
      </c>
      <c r="E2206">
        <f t="shared" si="35"/>
        <v>-1.9444444444444446</v>
      </c>
      <c r="F2206">
        <f>IF((E2206-'user input'!$C$2)&lt;0,0,E2206-'user input'!$C$2)</f>
        <v>0</v>
      </c>
      <c r="G2206">
        <f>IF(B2206&lt;'user input'!$C$5,0,(F2206+G2205))</f>
        <v>0</v>
      </c>
      <c r="H2206">
        <f>G2206/'user input'!$C$4</f>
        <v>0</v>
      </c>
    </row>
    <row r="2207" spans="1:8" x14ac:dyDescent="0.2">
      <c r="A2207" s="1">
        <v>42383</v>
      </c>
      <c r="B2207">
        <v>15</v>
      </c>
      <c r="C2207" s="6">
        <f>IF('weather data'!C2207&gt;'user input'!$C$3,'user input'!$C$3,'weather data'!C2207)</f>
        <v>-5.5555555555555554</v>
      </c>
      <c r="D2207" s="6">
        <f>IF('weather data'!D2207&lt;'user input'!$C$2,'user input'!$C$2,'weather data'!D2207)</f>
        <v>10</v>
      </c>
      <c r="E2207">
        <f t="shared" si="35"/>
        <v>2.2222222222222223</v>
      </c>
      <c r="F2207">
        <f>IF((E2207-'user input'!$C$2)&lt;0,0,E2207-'user input'!$C$2)</f>
        <v>0</v>
      </c>
      <c r="G2207">
        <f>IF(B2207&lt;'user input'!$C$5,0,(F2207+G2206))</f>
        <v>0</v>
      </c>
      <c r="H2207">
        <f>G2207/'user input'!$C$4</f>
        <v>0</v>
      </c>
    </row>
    <row r="2208" spans="1:8" x14ac:dyDescent="0.2">
      <c r="A2208" s="1">
        <v>42384</v>
      </c>
      <c r="B2208">
        <v>16</v>
      </c>
      <c r="C2208" s="6">
        <f>IF('weather data'!C2208&gt;'user input'!$C$3,'user input'!$C$3,'weather data'!C2208)</f>
        <v>1.6666666666666665</v>
      </c>
      <c r="D2208" s="6">
        <f>IF('weather data'!D2208&lt;'user input'!$C$2,'user input'!$C$2,'weather data'!D2208)</f>
        <v>10</v>
      </c>
      <c r="E2208">
        <f t="shared" si="35"/>
        <v>5.833333333333333</v>
      </c>
      <c r="F2208">
        <f>IF((E2208-'user input'!$C$2)&lt;0,0,E2208-'user input'!$C$2)</f>
        <v>0</v>
      </c>
      <c r="G2208">
        <f>IF(B2208&lt;'user input'!$C$5,0,(F2208+G2207))</f>
        <v>0</v>
      </c>
      <c r="H2208">
        <f>G2208/'user input'!$C$4</f>
        <v>0</v>
      </c>
    </row>
    <row r="2209" spans="1:8" x14ac:dyDescent="0.2">
      <c r="A2209" s="1">
        <v>42385</v>
      </c>
      <c r="B2209">
        <v>17</v>
      </c>
      <c r="C2209" s="6">
        <f>IF('weather data'!C2209&gt;'user input'!$C$3,'user input'!$C$3,'weather data'!C2209)</f>
        <v>-1.6666666666666665</v>
      </c>
      <c r="D2209" s="6">
        <f>IF('weather data'!D2209&lt;'user input'!$C$2,'user input'!$C$2,'weather data'!D2209)</f>
        <v>10</v>
      </c>
      <c r="E2209">
        <f t="shared" si="35"/>
        <v>4.166666666666667</v>
      </c>
      <c r="F2209">
        <f>IF((E2209-'user input'!$C$2)&lt;0,0,E2209-'user input'!$C$2)</f>
        <v>0</v>
      </c>
      <c r="G2209">
        <f>IF(B2209&lt;'user input'!$C$5,0,(F2209+G2208))</f>
        <v>0</v>
      </c>
      <c r="H2209">
        <f>G2209/'user input'!$C$4</f>
        <v>0</v>
      </c>
    </row>
    <row r="2210" spans="1:8" x14ac:dyDescent="0.2">
      <c r="A2210" s="1">
        <v>42386</v>
      </c>
      <c r="B2210">
        <v>18</v>
      </c>
      <c r="C2210" s="6">
        <f>IF('weather data'!C2210&gt;'user input'!$C$3,'user input'!$C$3,'weather data'!C2210)</f>
        <v>-7.2222222222222223</v>
      </c>
      <c r="D2210" s="6">
        <f>IF('weather data'!D2210&lt;'user input'!$C$2,'user input'!$C$2,'weather data'!D2210)</f>
        <v>10</v>
      </c>
      <c r="E2210">
        <f t="shared" si="35"/>
        <v>1.3888888888888888</v>
      </c>
      <c r="F2210">
        <f>IF((E2210-'user input'!$C$2)&lt;0,0,E2210-'user input'!$C$2)</f>
        <v>0</v>
      </c>
      <c r="G2210">
        <f>IF(B2210&lt;'user input'!$C$5,0,(F2210+G2209))</f>
        <v>0</v>
      </c>
      <c r="H2210">
        <f>G2210/'user input'!$C$4</f>
        <v>0</v>
      </c>
    </row>
    <row r="2211" spans="1:8" x14ac:dyDescent="0.2">
      <c r="A2211" s="1">
        <v>42387</v>
      </c>
      <c r="B2211">
        <v>19</v>
      </c>
      <c r="C2211" s="6">
        <f>IF('weather data'!C2211&gt;'user input'!$C$3,'user input'!$C$3,'weather data'!C2211)</f>
        <v>-17.222222222222221</v>
      </c>
      <c r="D2211" s="6">
        <f>IF('weather data'!D2211&lt;'user input'!$C$2,'user input'!$C$2,'weather data'!D2211)</f>
        <v>10</v>
      </c>
      <c r="E2211">
        <f t="shared" si="35"/>
        <v>-3.6111111111111107</v>
      </c>
      <c r="F2211">
        <f>IF((E2211-'user input'!$C$2)&lt;0,0,E2211-'user input'!$C$2)</f>
        <v>0</v>
      </c>
      <c r="G2211">
        <f>IF(B2211&lt;'user input'!$C$5,0,(F2211+G2210))</f>
        <v>0</v>
      </c>
      <c r="H2211">
        <f>G2211/'user input'!$C$4</f>
        <v>0</v>
      </c>
    </row>
    <row r="2212" spans="1:8" x14ac:dyDescent="0.2">
      <c r="A2212" s="1">
        <v>42388</v>
      </c>
      <c r="B2212">
        <v>20</v>
      </c>
      <c r="C2212" s="6">
        <f>IF('weather data'!C2212&gt;'user input'!$C$3,'user input'!$C$3,'weather data'!C2212)</f>
        <v>-16.111111111111111</v>
      </c>
      <c r="D2212" s="6">
        <f>IF('weather data'!D2212&lt;'user input'!$C$2,'user input'!$C$2,'weather data'!D2212)</f>
        <v>10</v>
      </c>
      <c r="E2212">
        <f t="shared" si="35"/>
        <v>-3.0555555555555554</v>
      </c>
      <c r="F2212">
        <f>IF((E2212-'user input'!$C$2)&lt;0,0,E2212-'user input'!$C$2)</f>
        <v>0</v>
      </c>
      <c r="G2212">
        <f>IF(B2212&lt;'user input'!$C$5,0,(F2212+G2211))</f>
        <v>0</v>
      </c>
      <c r="H2212">
        <f>G2212/'user input'!$C$4</f>
        <v>0</v>
      </c>
    </row>
    <row r="2213" spans="1:8" x14ac:dyDescent="0.2">
      <c r="A2213" s="1">
        <v>42389</v>
      </c>
      <c r="B2213">
        <v>21</v>
      </c>
      <c r="C2213" s="6">
        <f>IF('weather data'!C2213&gt;'user input'!$C$3,'user input'!$C$3,'weather data'!C2213)</f>
        <v>-11.111111111111111</v>
      </c>
      <c r="D2213" s="6">
        <f>IF('weather data'!D2213&lt;'user input'!$C$2,'user input'!$C$2,'weather data'!D2213)</f>
        <v>10</v>
      </c>
      <c r="E2213">
        <f t="shared" si="35"/>
        <v>-0.55555555555555536</v>
      </c>
      <c r="F2213">
        <f>IF((E2213-'user input'!$C$2)&lt;0,0,E2213-'user input'!$C$2)</f>
        <v>0</v>
      </c>
      <c r="G2213">
        <f>IF(B2213&lt;'user input'!$C$5,0,(F2213+G2212))</f>
        <v>0</v>
      </c>
      <c r="H2213">
        <f>G2213/'user input'!$C$4</f>
        <v>0</v>
      </c>
    </row>
    <row r="2214" spans="1:8" x14ac:dyDescent="0.2">
      <c r="A2214" s="1">
        <v>42390</v>
      </c>
      <c r="B2214">
        <v>22</v>
      </c>
      <c r="C2214" s="6">
        <f>IF('weather data'!C2214&gt;'user input'!$C$3,'user input'!$C$3,'weather data'!C2214)</f>
        <v>-6.1111111111111116</v>
      </c>
      <c r="D2214" s="6">
        <f>IF('weather data'!D2214&lt;'user input'!$C$2,'user input'!$C$2,'weather data'!D2214)</f>
        <v>10</v>
      </c>
      <c r="E2214">
        <f t="shared" si="35"/>
        <v>1.9444444444444442</v>
      </c>
      <c r="F2214">
        <f>IF((E2214-'user input'!$C$2)&lt;0,0,E2214-'user input'!$C$2)</f>
        <v>0</v>
      </c>
      <c r="G2214">
        <f>IF(B2214&lt;'user input'!$C$5,0,(F2214+G2213))</f>
        <v>0</v>
      </c>
      <c r="H2214">
        <f>G2214/'user input'!$C$4</f>
        <v>0</v>
      </c>
    </row>
    <row r="2215" spans="1:8" x14ac:dyDescent="0.2">
      <c r="A2215" s="1">
        <v>42391</v>
      </c>
      <c r="B2215">
        <v>23</v>
      </c>
      <c r="C2215" s="6">
        <f>IF('weather data'!C2215&gt;'user input'!$C$3,'user input'!$C$3,'weather data'!C2215)</f>
        <v>-5</v>
      </c>
      <c r="D2215" s="6">
        <f>IF('weather data'!D2215&lt;'user input'!$C$2,'user input'!$C$2,'weather data'!D2215)</f>
        <v>10</v>
      </c>
      <c r="E2215">
        <f t="shared" si="35"/>
        <v>2.5</v>
      </c>
      <c r="F2215">
        <f>IF((E2215-'user input'!$C$2)&lt;0,0,E2215-'user input'!$C$2)</f>
        <v>0</v>
      </c>
      <c r="G2215">
        <f>IF(B2215&lt;'user input'!$C$5,0,(F2215+G2214))</f>
        <v>0</v>
      </c>
      <c r="H2215">
        <f>G2215/'user input'!$C$4</f>
        <v>0</v>
      </c>
    </row>
    <row r="2216" spans="1:8" x14ac:dyDescent="0.2">
      <c r="A2216" s="1">
        <v>42392</v>
      </c>
      <c r="B2216">
        <v>24</v>
      </c>
      <c r="C2216" s="6">
        <f>IF('weather data'!C2216&gt;'user input'!$C$3,'user input'!$C$3,'weather data'!C2216)</f>
        <v>-3.8888888888888888</v>
      </c>
      <c r="D2216" s="6">
        <f>IF('weather data'!D2216&lt;'user input'!$C$2,'user input'!$C$2,'weather data'!D2216)</f>
        <v>10</v>
      </c>
      <c r="E2216">
        <f t="shared" si="35"/>
        <v>3.0555555555555554</v>
      </c>
      <c r="F2216">
        <f>IF((E2216-'user input'!$C$2)&lt;0,0,E2216-'user input'!$C$2)</f>
        <v>0</v>
      </c>
      <c r="G2216">
        <f>IF(B2216&lt;'user input'!$C$5,0,(F2216+G2215))</f>
        <v>0</v>
      </c>
      <c r="H2216">
        <f>G2216/'user input'!$C$4</f>
        <v>0</v>
      </c>
    </row>
    <row r="2217" spans="1:8" x14ac:dyDescent="0.2">
      <c r="A2217" s="1">
        <v>42393</v>
      </c>
      <c r="B2217">
        <v>25</v>
      </c>
      <c r="C2217" s="6">
        <f>IF('weather data'!C2217&gt;'user input'!$C$3,'user input'!$C$3,'weather data'!C2217)</f>
        <v>-0.55555555555555558</v>
      </c>
      <c r="D2217" s="6">
        <f>IF('weather data'!D2217&lt;'user input'!$C$2,'user input'!$C$2,'weather data'!D2217)</f>
        <v>10</v>
      </c>
      <c r="E2217">
        <f t="shared" si="35"/>
        <v>4.7222222222222223</v>
      </c>
      <c r="F2217">
        <f>IF((E2217-'user input'!$C$2)&lt;0,0,E2217-'user input'!$C$2)</f>
        <v>0</v>
      </c>
      <c r="G2217">
        <f>IF(B2217&lt;'user input'!$C$5,0,(F2217+G2216))</f>
        <v>0</v>
      </c>
      <c r="H2217">
        <f>G2217/'user input'!$C$4</f>
        <v>0</v>
      </c>
    </row>
    <row r="2218" spans="1:8" x14ac:dyDescent="0.2">
      <c r="A2218" s="1">
        <v>42394</v>
      </c>
      <c r="B2218">
        <v>26</v>
      </c>
      <c r="C2218" s="6">
        <f>IF('weather data'!C2218&gt;'user input'!$C$3,'user input'!$C$3,'weather data'!C2218)</f>
        <v>-2.7777777777777777</v>
      </c>
      <c r="D2218" s="6">
        <f>IF('weather data'!D2218&lt;'user input'!$C$2,'user input'!$C$2,'weather data'!D2218)</f>
        <v>10</v>
      </c>
      <c r="E2218">
        <f t="shared" si="35"/>
        <v>3.6111111111111112</v>
      </c>
      <c r="F2218">
        <f>IF((E2218-'user input'!$C$2)&lt;0,0,E2218-'user input'!$C$2)</f>
        <v>0</v>
      </c>
      <c r="G2218">
        <f>IF(B2218&lt;'user input'!$C$5,0,(F2218+G2217))</f>
        <v>0</v>
      </c>
      <c r="H2218">
        <f>G2218/'user input'!$C$4</f>
        <v>0</v>
      </c>
    </row>
    <row r="2219" spans="1:8" x14ac:dyDescent="0.2">
      <c r="A2219" s="1">
        <v>42395</v>
      </c>
      <c r="B2219">
        <v>27</v>
      </c>
      <c r="C2219" s="6">
        <f>IF('weather data'!C2219&gt;'user input'!$C$3,'user input'!$C$3,'weather data'!C2219)</f>
        <v>0</v>
      </c>
      <c r="D2219" s="6">
        <f>IF('weather data'!D2219&lt;'user input'!$C$2,'user input'!$C$2,'weather data'!D2219)</f>
        <v>10</v>
      </c>
      <c r="E2219">
        <f t="shared" si="35"/>
        <v>5</v>
      </c>
      <c r="F2219">
        <f>IF((E2219-'user input'!$C$2)&lt;0,0,E2219-'user input'!$C$2)</f>
        <v>0</v>
      </c>
      <c r="G2219">
        <f>IF(B2219&lt;'user input'!$C$5,0,(F2219+G2218))</f>
        <v>0</v>
      </c>
      <c r="H2219">
        <f>G2219/'user input'!$C$4</f>
        <v>0</v>
      </c>
    </row>
    <row r="2220" spans="1:8" x14ac:dyDescent="0.2">
      <c r="A2220" s="1">
        <v>42396</v>
      </c>
      <c r="B2220">
        <v>28</v>
      </c>
      <c r="C2220" s="6">
        <f>IF('weather data'!C2220&gt;'user input'!$C$3,'user input'!$C$3,'weather data'!C2220)</f>
        <v>-1.6666666666666665</v>
      </c>
      <c r="D2220" s="6">
        <f>IF('weather data'!D2220&lt;'user input'!$C$2,'user input'!$C$2,'weather data'!D2220)</f>
        <v>10</v>
      </c>
      <c r="E2220">
        <f t="shared" si="35"/>
        <v>4.166666666666667</v>
      </c>
      <c r="F2220">
        <f>IF((E2220-'user input'!$C$2)&lt;0,0,E2220-'user input'!$C$2)</f>
        <v>0</v>
      </c>
      <c r="G2220">
        <f>IF(B2220&lt;'user input'!$C$5,0,(F2220+G2219))</f>
        <v>0</v>
      </c>
      <c r="H2220">
        <f>G2220/'user input'!$C$4</f>
        <v>0</v>
      </c>
    </row>
    <row r="2221" spans="1:8" x14ac:dyDescent="0.2">
      <c r="A2221" s="1">
        <v>42397</v>
      </c>
      <c r="B2221">
        <v>29</v>
      </c>
      <c r="C2221" s="6">
        <f>IF('weather data'!C2221&gt;'user input'!$C$3,'user input'!$C$3,'weather data'!C2221)</f>
        <v>1.6666666666666665</v>
      </c>
      <c r="D2221" s="6">
        <f>IF('weather data'!D2221&lt;'user input'!$C$2,'user input'!$C$2,'weather data'!D2221)</f>
        <v>10</v>
      </c>
      <c r="E2221">
        <f t="shared" si="35"/>
        <v>5.833333333333333</v>
      </c>
      <c r="F2221">
        <f>IF((E2221-'user input'!$C$2)&lt;0,0,E2221-'user input'!$C$2)</f>
        <v>0</v>
      </c>
      <c r="G2221">
        <f>IF(B2221&lt;'user input'!$C$5,0,(F2221+G2220))</f>
        <v>0</v>
      </c>
      <c r="H2221">
        <f>G2221/'user input'!$C$4</f>
        <v>0</v>
      </c>
    </row>
    <row r="2222" spans="1:8" x14ac:dyDescent="0.2">
      <c r="A2222" s="1">
        <v>42398</v>
      </c>
      <c r="B2222">
        <v>30</v>
      </c>
      <c r="C2222" s="6">
        <f>IF('weather data'!C2222&gt;'user input'!$C$3,'user input'!$C$3,'weather data'!C2222)</f>
        <v>2.7777777777777777</v>
      </c>
      <c r="D2222" s="6">
        <f>IF('weather data'!D2222&lt;'user input'!$C$2,'user input'!$C$2,'weather data'!D2222)</f>
        <v>10</v>
      </c>
      <c r="E2222">
        <f t="shared" si="35"/>
        <v>6.3888888888888893</v>
      </c>
      <c r="F2222">
        <f>IF((E2222-'user input'!$C$2)&lt;0,0,E2222-'user input'!$C$2)</f>
        <v>0</v>
      </c>
      <c r="G2222">
        <f>IF(B2222&lt;'user input'!$C$5,0,(F2222+G2221))</f>
        <v>0</v>
      </c>
      <c r="H2222">
        <f>G2222/'user input'!$C$4</f>
        <v>0</v>
      </c>
    </row>
    <row r="2223" spans="1:8" x14ac:dyDescent="0.2">
      <c r="A2223" s="1">
        <v>42399</v>
      </c>
      <c r="B2223">
        <v>31</v>
      </c>
      <c r="C2223" s="6">
        <f>IF('weather data'!C2223&gt;'user input'!$C$3,'user input'!$C$3,'weather data'!C2223)</f>
        <v>1.1111111111111112</v>
      </c>
      <c r="D2223" s="6">
        <f>IF('weather data'!D2223&lt;'user input'!$C$2,'user input'!$C$2,'weather data'!D2223)</f>
        <v>10</v>
      </c>
      <c r="E2223">
        <f t="shared" si="35"/>
        <v>5.5555555555555554</v>
      </c>
      <c r="F2223">
        <f>IF((E2223-'user input'!$C$2)&lt;0,0,E2223-'user input'!$C$2)</f>
        <v>0</v>
      </c>
      <c r="G2223">
        <f>IF(B2223&lt;'user input'!$C$5,0,(F2223+G2222))</f>
        <v>0</v>
      </c>
      <c r="H2223">
        <f>G2223/'user input'!$C$4</f>
        <v>0</v>
      </c>
    </row>
    <row r="2224" spans="1:8" x14ac:dyDescent="0.2">
      <c r="A2224" s="1">
        <v>42400</v>
      </c>
      <c r="B2224">
        <v>32</v>
      </c>
      <c r="C2224" s="6">
        <f>IF('weather data'!C2224&gt;'user input'!$C$3,'user input'!$C$3,'weather data'!C2224)</f>
        <v>6.1111111111111116</v>
      </c>
      <c r="D2224" s="6">
        <f>IF('weather data'!D2224&lt;'user input'!$C$2,'user input'!$C$2,'weather data'!D2224)</f>
        <v>10</v>
      </c>
      <c r="E2224">
        <f t="shared" si="35"/>
        <v>8.0555555555555554</v>
      </c>
      <c r="F2224">
        <f>IF((E2224-'user input'!$C$2)&lt;0,0,E2224-'user input'!$C$2)</f>
        <v>0</v>
      </c>
      <c r="G2224">
        <f>IF(B2224&lt;'user input'!$C$5,0,(F2224+G2223))</f>
        <v>0</v>
      </c>
      <c r="H2224">
        <f>G2224/'user input'!$C$4</f>
        <v>0</v>
      </c>
    </row>
    <row r="2225" spans="1:8" x14ac:dyDescent="0.2">
      <c r="A2225" s="1">
        <v>42401</v>
      </c>
      <c r="B2225">
        <v>33</v>
      </c>
      <c r="C2225" s="6">
        <f>IF('weather data'!C2225&gt;'user input'!$C$3,'user input'!$C$3,'weather data'!C2225)</f>
        <v>2.7777777777777777</v>
      </c>
      <c r="D2225" s="6">
        <f>IF('weather data'!D2225&lt;'user input'!$C$2,'user input'!$C$2,'weather data'!D2225)</f>
        <v>10</v>
      </c>
      <c r="E2225">
        <f t="shared" si="35"/>
        <v>6.3888888888888893</v>
      </c>
      <c r="F2225">
        <f>IF((E2225-'user input'!$C$2)&lt;0,0,E2225-'user input'!$C$2)</f>
        <v>0</v>
      </c>
      <c r="G2225">
        <f>IF(B2225&lt;'user input'!$C$5,0,(F2225+G2224))</f>
        <v>0</v>
      </c>
      <c r="H2225">
        <f>G2225/'user input'!$C$4</f>
        <v>0</v>
      </c>
    </row>
    <row r="2226" spans="1:8" x14ac:dyDescent="0.2">
      <c r="A2226" s="1">
        <v>42402</v>
      </c>
      <c r="B2226">
        <v>34</v>
      </c>
      <c r="C2226" s="6">
        <f>IF('weather data'!C2226&gt;'user input'!$C$3,'user input'!$C$3,'weather data'!C2226)</f>
        <v>3.8888888888888888</v>
      </c>
      <c r="D2226" s="6">
        <f>IF('weather data'!D2226&lt;'user input'!$C$2,'user input'!$C$2,'weather data'!D2226)</f>
        <v>10</v>
      </c>
      <c r="E2226">
        <f t="shared" si="35"/>
        <v>6.9444444444444446</v>
      </c>
      <c r="F2226">
        <f>IF((E2226-'user input'!$C$2)&lt;0,0,E2226-'user input'!$C$2)</f>
        <v>0</v>
      </c>
      <c r="G2226">
        <f>IF(B2226&lt;'user input'!$C$5,0,(F2226+G2225))</f>
        <v>0</v>
      </c>
      <c r="H2226">
        <f>G2226/'user input'!$C$4</f>
        <v>0</v>
      </c>
    </row>
    <row r="2227" spans="1:8" x14ac:dyDescent="0.2">
      <c r="A2227" s="1">
        <v>42403</v>
      </c>
      <c r="B2227">
        <v>35</v>
      </c>
      <c r="C2227" s="6">
        <f>IF('weather data'!C2227&gt;'user input'!$C$3,'user input'!$C$3,'weather data'!C2227)</f>
        <v>1.1111111111111112</v>
      </c>
      <c r="D2227" s="6">
        <f>IF('weather data'!D2227&lt;'user input'!$C$2,'user input'!$C$2,'weather data'!D2227)</f>
        <v>10</v>
      </c>
      <c r="E2227">
        <f t="shared" si="35"/>
        <v>5.5555555555555554</v>
      </c>
      <c r="F2227">
        <f>IF((E2227-'user input'!$C$2)&lt;0,0,E2227-'user input'!$C$2)</f>
        <v>0</v>
      </c>
      <c r="G2227">
        <f>IF(B2227&lt;'user input'!$C$5,0,(F2227+G2226))</f>
        <v>0</v>
      </c>
      <c r="H2227">
        <f>G2227/'user input'!$C$4</f>
        <v>0</v>
      </c>
    </row>
    <row r="2228" spans="1:8" x14ac:dyDescent="0.2">
      <c r="A2228" s="1">
        <v>42404</v>
      </c>
      <c r="B2228">
        <v>36</v>
      </c>
      <c r="C2228" s="6">
        <f>IF('weather data'!C2228&gt;'user input'!$C$3,'user input'!$C$3,'weather data'!C2228)</f>
        <v>0</v>
      </c>
      <c r="D2228" s="6">
        <f>IF('weather data'!D2228&lt;'user input'!$C$2,'user input'!$C$2,'weather data'!D2228)</f>
        <v>10</v>
      </c>
      <c r="E2228">
        <f t="shared" si="35"/>
        <v>5</v>
      </c>
      <c r="F2228">
        <f>IF((E2228-'user input'!$C$2)&lt;0,0,E2228-'user input'!$C$2)</f>
        <v>0</v>
      </c>
      <c r="G2228">
        <f>IF(B2228&lt;'user input'!$C$5,0,(F2228+G2227))</f>
        <v>0</v>
      </c>
      <c r="H2228">
        <f>G2228/'user input'!$C$4</f>
        <v>0</v>
      </c>
    </row>
    <row r="2229" spans="1:8" x14ac:dyDescent="0.2">
      <c r="A2229" s="1">
        <v>42405</v>
      </c>
      <c r="B2229">
        <v>37</v>
      </c>
      <c r="C2229" s="6">
        <f>IF('weather data'!C2229&gt;'user input'!$C$3,'user input'!$C$3,'weather data'!C2229)</f>
        <v>-2.7777777777777777</v>
      </c>
      <c r="D2229" s="6">
        <f>IF('weather data'!D2229&lt;'user input'!$C$2,'user input'!$C$2,'weather data'!D2229)</f>
        <v>10</v>
      </c>
      <c r="E2229">
        <f t="shared" si="35"/>
        <v>3.6111111111111112</v>
      </c>
      <c r="F2229">
        <f>IF((E2229-'user input'!$C$2)&lt;0,0,E2229-'user input'!$C$2)</f>
        <v>0</v>
      </c>
      <c r="G2229">
        <f>IF(B2229&lt;'user input'!$C$5,0,(F2229+G2228))</f>
        <v>0</v>
      </c>
      <c r="H2229">
        <f>G2229/'user input'!$C$4</f>
        <v>0</v>
      </c>
    </row>
    <row r="2230" spans="1:8" x14ac:dyDescent="0.2">
      <c r="A2230" s="1">
        <v>42406</v>
      </c>
      <c r="B2230">
        <v>38</v>
      </c>
      <c r="C2230" s="6">
        <f>IF('weather data'!C2230&gt;'user input'!$C$3,'user input'!$C$3,'weather data'!C2230)</f>
        <v>-1.1111111111111112</v>
      </c>
      <c r="D2230" s="6">
        <f>IF('weather data'!D2230&lt;'user input'!$C$2,'user input'!$C$2,'weather data'!D2230)</f>
        <v>10</v>
      </c>
      <c r="E2230">
        <f t="shared" si="35"/>
        <v>4.4444444444444446</v>
      </c>
      <c r="F2230">
        <f>IF((E2230-'user input'!$C$2)&lt;0,0,E2230-'user input'!$C$2)</f>
        <v>0</v>
      </c>
      <c r="G2230">
        <f>IF(B2230&lt;'user input'!$C$5,0,(F2230+G2229))</f>
        <v>0</v>
      </c>
      <c r="H2230">
        <f>G2230/'user input'!$C$4</f>
        <v>0</v>
      </c>
    </row>
    <row r="2231" spans="1:8" x14ac:dyDescent="0.2">
      <c r="A2231" s="1">
        <v>42407</v>
      </c>
      <c r="B2231">
        <v>39</v>
      </c>
      <c r="C2231" s="6">
        <f>IF('weather data'!C2231&gt;'user input'!$C$3,'user input'!$C$3,'weather data'!C2231)</f>
        <v>2.7777777777777777</v>
      </c>
      <c r="D2231" s="6">
        <f>IF('weather data'!D2231&lt;'user input'!$C$2,'user input'!$C$2,'weather data'!D2231)</f>
        <v>10</v>
      </c>
      <c r="E2231">
        <f t="shared" si="35"/>
        <v>6.3888888888888893</v>
      </c>
      <c r="F2231">
        <f>IF((E2231-'user input'!$C$2)&lt;0,0,E2231-'user input'!$C$2)</f>
        <v>0</v>
      </c>
      <c r="G2231">
        <f>IF(B2231&lt;'user input'!$C$5,0,(F2231+G2230))</f>
        <v>0</v>
      </c>
      <c r="H2231">
        <f>G2231/'user input'!$C$4</f>
        <v>0</v>
      </c>
    </row>
    <row r="2232" spans="1:8" x14ac:dyDescent="0.2">
      <c r="A2232" s="1">
        <v>42408</v>
      </c>
      <c r="B2232">
        <v>40</v>
      </c>
      <c r="C2232" s="6">
        <f>IF('weather data'!C2232&gt;'user input'!$C$3,'user input'!$C$3,'weather data'!C2232)</f>
        <v>3.8888888888888888</v>
      </c>
      <c r="D2232" s="6">
        <f>IF('weather data'!D2232&lt;'user input'!$C$2,'user input'!$C$2,'weather data'!D2232)</f>
        <v>10</v>
      </c>
      <c r="E2232">
        <f t="shared" si="35"/>
        <v>6.9444444444444446</v>
      </c>
      <c r="F2232">
        <f>IF((E2232-'user input'!$C$2)&lt;0,0,E2232-'user input'!$C$2)</f>
        <v>0</v>
      </c>
      <c r="G2232">
        <f>IF(B2232&lt;'user input'!$C$5,0,(F2232+G2231))</f>
        <v>0</v>
      </c>
      <c r="H2232">
        <f>G2232/'user input'!$C$4</f>
        <v>0</v>
      </c>
    </row>
    <row r="2233" spans="1:8" x14ac:dyDescent="0.2">
      <c r="A2233" s="1">
        <v>42409</v>
      </c>
      <c r="B2233">
        <v>41</v>
      </c>
      <c r="C2233" s="6">
        <f>IF('weather data'!C2233&gt;'user input'!$C$3,'user input'!$C$3,'weather data'!C2233)</f>
        <v>-5.5555555555555554</v>
      </c>
      <c r="D2233" s="6">
        <f>IF('weather data'!D2233&lt;'user input'!$C$2,'user input'!$C$2,'weather data'!D2233)</f>
        <v>10</v>
      </c>
      <c r="E2233">
        <f t="shared" si="35"/>
        <v>2.2222222222222223</v>
      </c>
      <c r="F2233">
        <f>IF((E2233-'user input'!$C$2)&lt;0,0,E2233-'user input'!$C$2)</f>
        <v>0</v>
      </c>
      <c r="G2233">
        <f>IF(B2233&lt;'user input'!$C$5,0,(F2233+G2232))</f>
        <v>0</v>
      </c>
      <c r="H2233">
        <f>G2233/'user input'!$C$4</f>
        <v>0</v>
      </c>
    </row>
    <row r="2234" spans="1:8" x14ac:dyDescent="0.2">
      <c r="A2234" s="1">
        <v>42410</v>
      </c>
      <c r="B2234">
        <v>42</v>
      </c>
      <c r="C2234" s="6">
        <f>IF('weather data'!C2234&gt;'user input'!$C$3,'user input'!$C$3,'weather data'!C2234)</f>
        <v>-10</v>
      </c>
      <c r="D2234" s="6">
        <f>IF('weather data'!D2234&lt;'user input'!$C$2,'user input'!$C$2,'weather data'!D2234)</f>
        <v>10</v>
      </c>
      <c r="E2234">
        <f t="shared" si="35"/>
        <v>0</v>
      </c>
      <c r="F2234">
        <f>IF((E2234-'user input'!$C$2)&lt;0,0,E2234-'user input'!$C$2)</f>
        <v>0</v>
      </c>
      <c r="G2234">
        <f>IF(B2234&lt;'user input'!$C$5,0,(F2234+G2233))</f>
        <v>0</v>
      </c>
      <c r="H2234">
        <f>G2234/'user input'!$C$4</f>
        <v>0</v>
      </c>
    </row>
    <row r="2235" spans="1:8" x14ac:dyDescent="0.2">
      <c r="A2235" s="1">
        <v>42411</v>
      </c>
      <c r="B2235">
        <v>43</v>
      </c>
      <c r="C2235" s="6">
        <f>IF('weather data'!C2235&gt;'user input'!$C$3,'user input'!$C$3,'weather data'!C2235)</f>
        <v>-10.555555555555555</v>
      </c>
      <c r="D2235" s="6">
        <f>IF('weather data'!D2235&lt;'user input'!$C$2,'user input'!$C$2,'weather data'!D2235)</f>
        <v>10</v>
      </c>
      <c r="E2235">
        <f t="shared" si="35"/>
        <v>-0.27777777777777768</v>
      </c>
      <c r="F2235">
        <f>IF((E2235-'user input'!$C$2)&lt;0,0,E2235-'user input'!$C$2)</f>
        <v>0</v>
      </c>
      <c r="G2235">
        <f>IF(B2235&lt;'user input'!$C$5,0,(F2235+G2234))</f>
        <v>0</v>
      </c>
      <c r="H2235">
        <f>G2235/'user input'!$C$4</f>
        <v>0</v>
      </c>
    </row>
    <row r="2236" spans="1:8" x14ac:dyDescent="0.2">
      <c r="A2236" s="1">
        <v>42412</v>
      </c>
      <c r="B2236">
        <v>44</v>
      </c>
      <c r="C2236" s="6">
        <f>IF('weather data'!C2236&gt;'user input'!$C$3,'user input'!$C$3,'weather data'!C2236)</f>
        <v>-7.2222222222222223</v>
      </c>
      <c r="D2236" s="6">
        <f>IF('weather data'!D2236&lt;'user input'!$C$2,'user input'!$C$2,'weather data'!D2236)</f>
        <v>10</v>
      </c>
      <c r="E2236">
        <f t="shared" si="35"/>
        <v>1.3888888888888888</v>
      </c>
      <c r="F2236">
        <f>IF((E2236-'user input'!$C$2)&lt;0,0,E2236-'user input'!$C$2)</f>
        <v>0</v>
      </c>
      <c r="G2236">
        <f>IF(B2236&lt;'user input'!$C$5,0,(F2236+G2235))</f>
        <v>0</v>
      </c>
      <c r="H2236">
        <f>G2236/'user input'!$C$4</f>
        <v>0</v>
      </c>
    </row>
    <row r="2237" spans="1:8" x14ac:dyDescent="0.2">
      <c r="A2237" s="1">
        <v>42413</v>
      </c>
      <c r="B2237">
        <v>45</v>
      </c>
      <c r="C2237" s="6">
        <f>IF('weather data'!C2237&gt;'user input'!$C$3,'user input'!$C$3,'weather data'!C2237)</f>
        <v>-8.8888888888888893</v>
      </c>
      <c r="D2237" s="6">
        <f>IF('weather data'!D2237&lt;'user input'!$C$2,'user input'!$C$2,'weather data'!D2237)</f>
        <v>10</v>
      </c>
      <c r="E2237">
        <f t="shared" si="35"/>
        <v>0.55555555555555536</v>
      </c>
      <c r="F2237">
        <f>IF((E2237-'user input'!$C$2)&lt;0,0,E2237-'user input'!$C$2)</f>
        <v>0</v>
      </c>
      <c r="G2237">
        <f>IF(B2237&lt;'user input'!$C$5,0,(F2237+G2236))</f>
        <v>0</v>
      </c>
      <c r="H2237">
        <f>G2237/'user input'!$C$4</f>
        <v>0</v>
      </c>
    </row>
    <row r="2238" spans="1:8" x14ac:dyDescent="0.2">
      <c r="A2238" s="1">
        <v>42414</v>
      </c>
      <c r="B2238">
        <v>46</v>
      </c>
      <c r="C2238" s="6">
        <f>IF('weather data'!C2238&gt;'user input'!$C$3,'user input'!$C$3,'weather data'!C2238)</f>
        <v>-11.666666666666668</v>
      </c>
      <c r="D2238" s="6">
        <f>IF('weather data'!D2238&lt;'user input'!$C$2,'user input'!$C$2,'weather data'!D2238)</f>
        <v>10</v>
      </c>
      <c r="E2238">
        <f t="shared" si="35"/>
        <v>-0.83333333333333393</v>
      </c>
      <c r="F2238">
        <f>IF((E2238-'user input'!$C$2)&lt;0,0,E2238-'user input'!$C$2)</f>
        <v>0</v>
      </c>
      <c r="G2238">
        <f>IF(B2238&lt;'user input'!$C$5,0,(F2238+G2237))</f>
        <v>0</v>
      </c>
      <c r="H2238">
        <f>G2238/'user input'!$C$4</f>
        <v>0</v>
      </c>
    </row>
    <row r="2239" spans="1:8" x14ac:dyDescent="0.2">
      <c r="A2239" s="1">
        <v>42415</v>
      </c>
      <c r="B2239">
        <v>47</v>
      </c>
      <c r="C2239" s="6">
        <f>IF('weather data'!C2239&gt;'user input'!$C$3,'user input'!$C$3,'weather data'!C2239)</f>
        <v>-8.3333333333333339</v>
      </c>
      <c r="D2239" s="6">
        <f>IF('weather data'!D2239&lt;'user input'!$C$2,'user input'!$C$2,'weather data'!D2239)</f>
        <v>10</v>
      </c>
      <c r="E2239">
        <f t="shared" si="35"/>
        <v>0.83333333333333304</v>
      </c>
      <c r="F2239">
        <f>IF((E2239-'user input'!$C$2)&lt;0,0,E2239-'user input'!$C$2)</f>
        <v>0</v>
      </c>
      <c r="G2239">
        <f>IF(B2239&lt;'user input'!$C$5,0,(F2239+G2238))</f>
        <v>0</v>
      </c>
      <c r="H2239">
        <f>G2239/'user input'!$C$4</f>
        <v>0</v>
      </c>
    </row>
    <row r="2240" spans="1:8" x14ac:dyDescent="0.2">
      <c r="A2240" s="1">
        <v>42416</v>
      </c>
      <c r="B2240">
        <v>48</v>
      </c>
      <c r="C2240" s="6">
        <f>IF('weather data'!C2240&gt;'user input'!$C$3,'user input'!$C$3,'weather data'!C2240)</f>
        <v>-3.8888888888888888</v>
      </c>
      <c r="D2240" s="6">
        <f>IF('weather data'!D2240&lt;'user input'!$C$2,'user input'!$C$2,'weather data'!D2240)</f>
        <v>10</v>
      </c>
      <c r="E2240">
        <f t="shared" si="35"/>
        <v>3.0555555555555554</v>
      </c>
      <c r="F2240">
        <f>IF((E2240-'user input'!$C$2)&lt;0,0,E2240-'user input'!$C$2)</f>
        <v>0</v>
      </c>
      <c r="G2240">
        <f>IF(B2240&lt;'user input'!$C$5,0,(F2240+G2239))</f>
        <v>0</v>
      </c>
      <c r="H2240">
        <f>G2240/'user input'!$C$4</f>
        <v>0</v>
      </c>
    </row>
    <row r="2241" spans="1:8" x14ac:dyDescent="0.2">
      <c r="A2241" s="1">
        <v>42417</v>
      </c>
      <c r="B2241">
        <v>49</v>
      </c>
      <c r="C2241" s="6">
        <f>IF('weather data'!C2241&gt;'user input'!$C$3,'user input'!$C$3,'weather data'!C2241)</f>
        <v>0</v>
      </c>
      <c r="D2241" s="6">
        <f>IF('weather data'!D2241&lt;'user input'!$C$2,'user input'!$C$2,'weather data'!D2241)</f>
        <v>10</v>
      </c>
      <c r="E2241">
        <f t="shared" si="35"/>
        <v>5</v>
      </c>
      <c r="F2241">
        <f>IF((E2241-'user input'!$C$2)&lt;0,0,E2241-'user input'!$C$2)</f>
        <v>0</v>
      </c>
      <c r="G2241">
        <f>IF(B2241&lt;'user input'!$C$5,0,(F2241+G2240))</f>
        <v>0</v>
      </c>
      <c r="H2241">
        <f>G2241/'user input'!$C$4</f>
        <v>0</v>
      </c>
    </row>
    <row r="2242" spans="1:8" x14ac:dyDescent="0.2">
      <c r="A2242" s="1">
        <v>42418</v>
      </c>
      <c r="B2242">
        <v>50</v>
      </c>
      <c r="C2242" s="6">
        <f>IF('weather data'!C2242&gt;'user input'!$C$3,'user input'!$C$3,'weather data'!C2242)</f>
        <v>-1.1111111111111112</v>
      </c>
      <c r="D2242" s="6">
        <f>IF('weather data'!D2242&lt;'user input'!$C$2,'user input'!$C$2,'weather data'!D2242)</f>
        <v>10</v>
      </c>
      <c r="E2242">
        <f t="shared" si="35"/>
        <v>4.4444444444444446</v>
      </c>
      <c r="F2242">
        <f>IF((E2242-'user input'!$C$2)&lt;0,0,E2242-'user input'!$C$2)</f>
        <v>0</v>
      </c>
      <c r="G2242">
        <f>IF(B2242&lt;'user input'!$C$5,0,(F2242+G2241))</f>
        <v>0</v>
      </c>
      <c r="H2242">
        <f>G2242/'user input'!$C$4</f>
        <v>0</v>
      </c>
    </row>
    <row r="2243" spans="1:8" x14ac:dyDescent="0.2">
      <c r="A2243" s="1">
        <v>42419</v>
      </c>
      <c r="B2243">
        <v>51</v>
      </c>
      <c r="C2243" s="6">
        <f>IF('weather data'!C2243&gt;'user input'!$C$3,'user input'!$C$3,'weather data'!C2243)</f>
        <v>5.5555555555555554</v>
      </c>
      <c r="D2243" s="6">
        <f>IF('weather data'!D2243&lt;'user input'!$C$2,'user input'!$C$2,'weather data'!D2243)</f>
        <v>10</v>
      </c>
      <c r="E2243">
        <f t="shared" si="35"/>
        <v>7.7777777777777777</v>
      </c>
      <c r="F2243">
        <f>IF((E2243-'user input'!$C$2)&lt;0,0,E2243-'user input'!$C$2)</f>
        <v>0</v>
      </c>
      <c r="G2243">
        <f>IF(B2243&lt;'user input'!$C$5,0,(F2243+G2242))</f>
        <v>0</v>
      </c>
      <c r="H2243">
        <f>G2243/'user input'!$C$4</f>
        <v>0</v>
      </c>
    </row>
    <row r="2244" spans="1:8" x14ac:dyDescent="0.2">
      <c r="A2244" s="1">
        <v>42420</v>
      </c>
      <c r="B2244">
        <v>52</v>
      </c>
      <c r="C2244" s="6">
        <f>IF('weather data'!C2244&gt;'user input'!$C$3,'user input'!$C$3,'weather data'!C2244)</f>
        <v>9.4444444444444446</v>
      </c>
      <c r="D2244" s="6">
        <f>IF('weather data'!D2244&lt;'user input'!$C$2,'user input'!$C$2,'weather data'!D2244)</f>
        <v>10</v>
      </c>
      <c r="E2244">
        <f t="shared" si="35"/>
        <v>9.7222222222222214</v>
      </c>
      <c r="F2244">
        <f>IF((E2244-'user input'!$C$2)&lt;0,0,E2244-'user input'!$C$2)</f>
        <v>0</v>
      </c>
      <c r="G2244">
        <f>IF(B2244&lt;'user input'!$C$5,0,(F2244+G2243))</f>
        <v>0</v>
      </c>
      <c r="H2244">
        <f>G2244/'user input'!$C$4</f>
        <v>0</v>
      </c>
    </row>
    <row r="2245" spans="1:8" x14ac:dyDescent="0.2">
      <c r="A2245" s="1">
        <v>42421</v>
      </c>
      <c r="B2245">
        <v>53</v>
      </c>
      <c r="C2245" s="6">
        <f>IF('weather data'!C2245&gt;'user input'!$C$3,'user input'!$C$3,'weather data'!C2245)</f>
        <v>9.4444444444444446</v>
      </c>
      <c r="D2245" s="6">
        <f>IF('weather data'!D2245&lt;'user input'!$C$2,'user input'!$C$2,'weather data'!D2245)</f>
        <v>10</v>
      </c>
      <c r="E2245">
        <f t="shared" si="35"/>
        <v>9.7222222222222214</v>
      </c>
      <c r="F2245">
        <f>IF((E2245-'user input'!$C$2)&lt;0,0,E2245-'user input'!$C$2)</f>
        <v>0</v>
      </c>
      <c r="G2245">
        <f>IF(B2245&lt;'user input'!$C$5,0,(F2245+G2244))</f>
        <v>0</v>
      </c>
      <c r="H2245">
        <f>G2245/'user input'!$C$4</f>
        <v>0</v>
      </c>
    </row>
    <row r="2246" spans="1:8" x14ac:dyDescent="0.2">
      <c r="A2246" s="1">
        <v>42422</v>
      </c>
      <c r="B2246">
        <v>54</v>
      </c>
      <c r="C2246" s="6">
        <f>IF('weather data'!C2246&gt;'user input'!$C$3,'user input'!$C$3,'weather data'!C2246)</f>
        <v>5.5555555555555554</v>
      </c>
      <c r="D2246" s="6">
        <f>IF('weather data'!D2246&lt;'user input'!$C$2,'user input'!$C$2,'weather data'!D2246)</f>
        <v>10</v>
      </c>
      <c r="E2246">
        <f t="shared" si="35"/>
        <v>7.7777777777777777</v>
      </c>
      <c r="F2246">
        <f>IF((E2246-'user input'!$C$2)&lt;0,0,E2246-'user input'!$C$2)</f>
        <v>0</v>
      </c>
      <c r="G2246">
        <f>IF(B2246&lt;'user input'!$C$5,0,(F2246+G2245))</f>
        <v>0</v>
      </c>
      <c r="H2246">
        <f>G2246/'user input'!$C$4</f>
        <v>0</v>
      </c>
    </row>
    <row r="2247" spans="1:8" x14ac:dyDescent="0.2">
      <c r="A2247" s="1">
        <v>42423</v>
      </c>
      <c r="B2247">
        <v>55</v>
      </c>
      <c r="C2247" s="6">
        <f>IF('weather data'!C2247&gt;'user input'!$C$3,'user input'!$C$3,'weather data'!C2247)</f>
        <v>3.333333333333333</v>
      </c>
      <c r="D2247" s="6">
        <f>IF('weather data'!D2247&lt;'user input'!$C$2,'user input'!$C$2,'weather data'!D2247)</f>
        <v>10</v>
      </c>
      <c r="E2247">
        <f t="shared" si="35"/>
        <v>6.6666666666666661</v>
      </c>
      <c r="F2247">
        <f>IF((E2247-'user input'!$C$2)&lt;0,0,E2247-'user input'!$C$2)</f>
        <v>0</v>
      </c>
      <c r="G2247">
        <f>IF(B2247&lt;'user input'!$C$5,0,(F2247+G2246))</f>
        <v>0</v>
      </c>
      <c r="H2247">
        <f>G2247/'user input'!$C$4</f>
        <v>0</v>
      </c>
    </row>
    <row r="2248" spans="1:8" x14ac:dyDescent="0.2">
      <c r="A2248" s="1">
        <v>42424</v>
      </c>
      <c r="B2248">
        <v>56</v>
      </c>
      <c r="C2248" s="6">
        <f>IF('weather data'!C2248&gt;'user input'!$C$3,'user input'!$C$3,'weather data'!C2248)</f>
        <v>5</v>
      </c>
      <c r="D2248" s="6">
        <f>IF('weather data'!D2248&lt;'user input'!$C$2,'user input'!$C$2,'weather data'!D2248)</f>
        <v>10</v>
      </c>
      <c r="E2248">
        <f t="shared" si="35"/>
        <v>7.5</v>
      </c>
      <c r="F2248">
        <f>IF((E2248-'user input'!$C$2)&lt;0,0,E2248-'user input'!$C$2)</f>
        <v>0</v>
      </c>
      <c r="G2248">
        <f>IF(B2248&lt;'user input'!$C$5,0,(F2248+G2247))</f>
        <v>0</v>
      </c>
      <c r="H2248">
        <f>G2248/'user input'!$C$4</f>
        <v>0</v>
      </c>
    </row>
    <row r="2249" spans="1:8" x14ac:dyDescent="0.2">
      <c r="A2249" s="1">
        <v>42425</v>
      </c>
      <c r="B2249">
        <v>57</v>
      </c>
      <c r="C2249" s="6">
        <f>IF('weather data'!C2249&gt;'user input'!$C$3,'user input'!$C$3,'weather data'!C2249)</f>
        <v>3.333333333333333</v>
      </c>
      <c r="D2249" s="6">
        <f>IF('weather data'!D2249&lt;'user input'!$C$2,'user input'!$C$2,'weather data'!D2249)</f>
        <v>10</v>
      </c>
      <c r="E2249">
        <f t="shared" si="35"/>
        <v>6.6666666666666661</v>
      </c>
      <c r="F2249">
        <f>IF((E2249-'user input'!$C$2)&lt;0,0,E2249-'user input'!$C$2)</f>
        <v>0</v>
      </c>
      <c r="G2249">
        <f>IF(B2249&lt;'user input'!$C$5,0,(F2249+G2248))</f>
        <v>0</v>
      </c>
      <c r="H2249">
        <f>G2249/'user input'!$C$4</f>
        <v>0</v>
      </c>
    </row>
    <row r="2250" spans="1:8" x14ac:dyDescent="0.2">
      <c r="A2250" s="1">
        <v>42426</v>
      </c>
      <c r="B2250">
        <v>58</v>
      </c>
      <c r="C2250" s="6">
        <f>IF('weather data'!C2250&gt;'user input'!$C$3,'user input'!$C$3,'weather data'!C2250)</f>
        <v>2.2222222222222223</v>
      </c>
      <c r="D2250" s="6">
        <f>IF('weather data'!D2250&lt;'user input'!$C$2,'user input'!$C$2,'weather data'!D2250)</f>
        <v>10</v>
      </c>
      <c r="E2250">
        <f t="shared" si="35"/>
        <v>6.1111111111111107</v>
      </c>
      <c r="F2250">
        <f>IF((E2250-'user input'!$C$2)&lt;0,0,E2250-'user input'!$C$2)</f>
        <v>0</v>
      </c>
      <c r="G2250">
        <f>IF(B2250&lt;'user input'!$C$5,0,(F2250+G2249))</f>
        <v>0</v>
      </c>
      <c r="H2250">
        <f>G2250/'user input'!$C$4</f>
        <v>0</v>
      </c>
    </row>
    <row r="2251" spans="1:8" x14ac:dyDescent="0.2">
      <c r="A2251" s="1">
        <v>42427</v>
      </c>
      <c r="B2251">
        <v>59</v>
      </c>
      <c r="C2251" s="6">
        <f>IF('weather data'!C2251&gt;'user input'!$C$3,'user input'!$C$3,'weather data'!C2251)</f>
        <v>1.1111111111111112</v>
      </c>
      <c r="D2251" s="6">
        <f>IF('weather data'!D2251&lt;'user input'!$C$2,'user input'!$C$2,'weather data'!D2251)</f>
        <v>10</v>
      </c>
      <c r="E2251">
        <f t="shared" si="35"/>
        <v>5.5555555555555554</v>
      </c>
      <c r="F2251">
        <f>IF((E2251-'user input'!$C$2)&lt;0,0,E2251-'user input'!$C$2)</f>
        <v>0</v>
      </c>
      <c r="G2251">
        <f>IF(B2251&lt;'user input'!$C$5,0,(F2251+G2250))</f>
        <v>0</v>
      </c>
      <c r="H2251">
        <f>G2251/'user input'!$C$4</f>
        <v>0</v>
      </c>
    </row>
    <row r="2252" spans="1:8" x14ac:dyDescent="0.2">
      <c r="A2252" s="1">
        <v>42428</v>
      </c>
      <c r="B2252">
        <v>60</v>
      </c>
      <c r="C2252" s="6">
        <f>IF('weather data'!C2252&gt;'user input'!$C$3,'user input'!$C$3,'weather data'!C2252)</f>
        <v>13.888888888888889</v>
      </c>
      <c r="D2252" s="6">
        <f>IF('weather data'!D2252&lt;'user input'!$C$2,'user input'!$C$2,'weather data'!D2252)</f>
        <v>10</v>
      </c>
      <c r="E2252">
        <f t="shared" si="35"/>
        <v>11.944444444444445</v>
      </c>
      <c r="F2252">
        <f>IF((E2252-'user input'!$C$2)&lt;0,0,E2252-'user input'!$C$2)</f>
        <v>1.9444444444444446</v>
      </c>
      <c r="G2252">
        <f>IF(B2252&lt;'user input'!$C$5,0,(F2252+G2251))</f>
        <v>0</v>
      </c>
      <c r="H2252">
        <f>G2252/'user input'!$C$4</f>
        <v>0</v>
      </c>
    </row>
    <row r="2253" spans="1:8" x14ac:dyDescent="0.2">
      <c r="A2253" s="1">
        <v>42429</v>
      </c>
      <c r="B2253">
        <v>61</v>
      </c>
      <c r="C2253" s="6">
        <f>IF('weather data'!C2253&gt;'user input'!$C$3,'user input'!$C$3,'weather data'!C2253)</f>
        <v>14.444444444444445</v>
      </c>
      <c r="D2253" s="6">
        <f>IF('weather data'!D2253&lt;'user input'!$C$2,'user input'!$C$2,'weather data'!D2253)</f>
        <v>10</v>
      </c>
      <c r="E2253">
        <f t="shared" si="35"/>
        <v>12.222222222222221</v>
      </c>
      <c r="F2253">
        <f>IF((E2253-'user input'!$C$2)&lt;0,0,E2253-'user input'!$C$2)</f>
        <v>2.2222222222222214</v>
      </c>
      <c r="G2253">
        <f>IF(B2253&lt;'user input'!$C$5,0,(F2253+G2252))</f>
        <v>0</v>
      </c>
      <c r="H2253">
        <f>G2253/'user input'!$C$4</f>
        <v>0</v>
      </c>
    </row>
    <row r="2254" spans="1:8" x14ac:dyDescent="0.2">
      <c r="A2254" s="1">
        <v>42430</v>
      </c>
      <c r="B2254">
        <v>62</v>
      </c>
      <c r="C2254" s="6">
        <f>IF('weather data'!C2254&gt;'user input'!$C$3,'user input'!$C$3,'weather data'!C2254)</f>
        <v>7.7777777777777777</v>
      </c>
      <c r="D2254" s="6">
        <f>IF('weather data'!D2254&lt;'user input'!$C$2,'user input'!$C$2,'weather data'!D2254)</f>
        <v>10</v>
      </c>
      <c r="E2254">
        <f t="shared" si="35"/>
        <v>8.8888888888888893</v>
      </c>
      <c r="F2254">
        <f>IF((E2254-'user input'!$C$2)&lt;0,0,E2254-'user input'!$C$2)</f>
        <v>0</v>
      </c>
      <c r="G2254">
        <f>IF(B2254&lt;'user input'!$C$5,0,(F2254+G2253))</f>
        <v>0</v>
      </c>
      <c r="H2254">
        <f>G2254/'user input'!$C$4</f>
        <v>0</v>
      </c>
    </row>
    <row r="2255" spans="1:8" x14ac:dyDescent="0.2">
      <c r="A2255" s="1">
        <v>42431</v>
      </c>
      <c r="B2255">
        <v>63</v>
      </c>
      <c r="C2255" s="6">
        <f>IF('weather data'!C2255&gt;'user input'!$C$3,'user input'!$C$3,'weather data'!C2255)</f>
        <v>-6.1111111111111116</v>
      </c>
      <c r="D2255" s="6">
        <f>IF('weather data'!D2255&lt;'user input'!$C$2,'user input'!$C$2,'weather data'!D2255)</f>
        <v>10</v>
      </c>
      <c r="E2255">
        <f t="shared" si="35"/>
        <v>1.9444444444444442</v>
      </c>
      <c r="F2255">
        <f>IF((E2255-'user input'!$C$2)&lt;0,0,E2255-'user input'!$C$2)</f>
        <v>0</v>
      </c>
      <c r="G2255">
        <f>IF(B2255&lt;'user input'!$C$5,0,(F2255+G2254))</f>
        <v>0</v>
      </c>
      <c r="H2255">
        <f>G2255/'user input'!$C$4</f>
        <v>0</v>
      </c>
    </row>
    <row r="2256" spans="1:8" x14ac:dyDescent="0.2">
      <c r="A2256" s="1">
        <v>42432</v>
      </c>
      <c r="B2256">
        <v>64</v>
      </c>
      <c r="C2256" s="6">
        <f>IF('weather data'!C2256&gt;'user input'!$C$3,'user input'!$C$3,'weather data'!C2256)</f>
        <v>-2.7777777777777777</v>
      </c>
      <c r="D2256" s="6">
        <f>IF('weather data'!D2256&lt;'user input'!$C$2,'user input'!$C$2,'weather data'!D2256)</f>
        <v>10</v>
      </c>
      <c r="E2256">
        <f t="shared" si="35"/>
        <v>3.6111111111111112</v>
      </c>
      <c r="F2256">
        <f>IF((E2256-'user input'!$C$2)&lt;0,0,E2256-'user input'!$C$2)</f>
        <v>0</v>
      </c>
      <c r="G2256">
        <f>IF(B2256&lt;'user input'!$C$5,0,(F2256+G2255))</f>
        <v>0</v>
      </c>
      <c r="H2256">
        <f>G2256/'user input'!$C$4</f>
        <v>0</v>
      </c>
    </row>
    <row r="2257" spans="1:8" x14ac:dyDescent="0.2">
      <c r="A2257" s="1">
        <v>42433</v>
      </c>
      <c r="B2257">
        <v>65</v>
      </c>
      <c r="C2257" s="6">
        <f>IF('weather data'!C2257&gt;'user input'!$C$3,'user input'!$C$3,'weather data'!C2257)</f>
        <v>0</v>
      </c>
      <c r="D2257" s="6">
        <f>IF('weather data'!D2257&lt;'user input'!$C$2,'user input'!$C$2,'weather data'!D2257)</f>
        <v>10</v>
      </c>
      <c r="E2257">
        <f t="shared" si="35"/>
        <v>5</v>
      </c>
      <c r="F2257">
        <f>IF((E2257-'user input'!$C$2)&lt;0,0,E2257-'user input'!$C$2)</f>
        <v>0</v>
      </c>
      <c r="G2257">
        <f>IF(B2257&lt;'user input'!$C$5,0,(F2257+G2256))</f>
        <v>0</v>
      </c>
      <c r="H2257">
        <f>G2257/'user input'!$C$4</f>
        <v>0</v>
      </c>
    </row>
    <row r="2258" spans="1:8" x14ac:dyDescent="0.2">
      <c r="A2258" s="1">
        <v>42434</v>
      </c>
      <c r="B2258">
        <v>66</v>
      </c>
      <c r="C2258" s="6">
        <f>IF('weather data'!C2258&gt;'user input'!$C$3,'user input'!$C$3,'weather data'!C2258)</f>
        <v>2.2222222222222223</v>
      </c>
      <c r="D2258" s="6">
        <f>IF('weather data'!D2258&lt;'user input'!$C$2,'user input'!$C$2,'weather data'!D2258)</f>
        <v>10</v>
      </c>
      <c r="E2258">
        <f t="shared" ref="E2258:E2321" si="36">(C2258+D2258)/2</f>
        <v>6.1111111111111107</v>
      </c>
      <c r="F2258">
        <f>IF((E2258-'user input'!$C$2)&lt;0,0,E2258-'user input'!$C$2)</f>
        <v>0</v>
      </c>
      <c r="G2258">
        <f>IF(B2258&lt;'user input'!$C$5,0,(F2258+G2257))</f>
        <v>0</v>
      </c>
      <c r="H2258">
        <f>G2258/'user input'!$C$4</f>
        <v>0</v>
      </c>
    </row>
    <row r="2259" spans="1:8" x14ac:dyDescent="0.2">
      <c r="A2259" s="1">
        <v>42435</v>
      </c>
      <c r="B2259">
        <v>67</v>
      </c>
      <c r="C2259" s="6">
        <f>IF('weather data'!C2259&gt;'user input'!$C$3,'user input'!$C$3,'weather data'!C2259)</f>
        <v>2.7777777777777777</v>
      </c>
      <c r="D2259" s="6">
        <f>IF('weather data'!D2259&lt;'user input'!$C$2,'user input'!$C$2,'weather data'!D2259)</f>
        <v>10</v>
      </c>
      <c r="E2259">
        <f t="shared" si="36"/>
        <v>6.3888888888888893</v>
      </c>
      <c r="F2259">
        <f>IF((E2259-'user input'!$C$2)&lt;0,0,E2259-'user input'!$C$2)</f>
        <v>0</v>
      </c>
      <c r="G2259">
        <f>IF(B2259&lt;'user input'!$C$5,0,(F2259+G2258))</f>
        <v>0</v>
      </c>
      <c r="H2259">
        <f>G2259/'user input'!$C$4</f>
        <v>0</v>
      </c>
    </row>
    <row r="2260" spans="1:8" x14ac:dyDescent="0.2">
      <c r="A2260" s="1">
        <v>42436</v>
      </c>
      <c r="B2260">
        <v>68</v>
      </c>
      <c r="C2260" s="6">
        <f>IF('weather data'!C2260&gt;'user input'!$C$3,'user input'!$C$3,'weather data'!C2260)</f>
        <v>10.555555555555555</v>
      </c>
      <c r="D2260" s="6">
        <f>IF('weather data'!D2260&lt;'user input'!$C$2,'user input'!$C$2,'weather data'!D2260)</f>
        <v>10</v>
      </c>
      <c r="E2260">
        <f t="shared" si="36"/>
        <v>10.277777777777779</v>
      </c>
      <c r="F2260">
        <f>IF((E2260-'user input'!$C$2)&lt;0,0,E2260-'user input'!$C$2)</f>
        <v>0.27777777777777857</v>
      </c>
      <c r="G2260">
        <f>IF(B2260&lt;'user input'!$C$5,0,(F2260+G2259))</f>
        <v>0</v>
      </c>
      <c r="H2260">
        <f>G2260/'user input'!$C$4</f>
        <v>0</v>
      </c>
    </row>
    <row r="2261" spans="1:8" x14ac:dyDescent="0.2">
      <c r="A2261" s="1">
        <v>42437</v>
      </c>
      <c r="B2261">
        <v>69</v>
      </c>
      <c r="C2261" s="6">
        <f>IF('weather data'!C2261&gt;'user input'!$C$3,'user input'!$C$3,'weather data'!C2261)</f>
        <v>18.888888888888889</v>
      </c>
      <c r="D2261" s="6">
        <f>IF('weather data'!D2261&lt;'user input'!$C$2,'user input'!$C$2,'weather data'!D2261)</f>
        <v>10</v>
      </c>
      <c r="E2261">
        <f t="shared" si="36"/>
        <v>14.444444444444445</v>
      </c>
      <c r="F2261">
        <f>IF((E2261-'user input'!$C$2)&lt;0,0,E2261-'user input'!$C$2)</f>
        <v>4.4444444444444446</v>
      </c>
      <c r="G2261">
        <f>IF(B2261&lt;'user input'!$C$5,0,(F2261+G2260))</f>
        <v>0</v>
      </c>
      <c r="H2261">
        <f>G2261/'user input'!$C$4</f>
        <v>0</v>
      </c>
    </row>
    <row r="2262" spans="1:8" x14ac:dyDescent="0.2">
      <c r="A2262" s="1">
        <v>42438</v>
      </c>
      <c r="B2262">
        <v>70</v>
      </c>
      <c r="C2262" s="6">
        <f>IF('weather data'!C2262&gt;'user input'!$C$3,'user input'!$C$3,'weather data'!C2262)</f>
        <v>20.555555555555554</v>
      </c>
      <c r="D2262" s="6">
        <f>IF('weather data'!D2262&lt;'user input'!$C$2,'user input'!$C$2,'weather data'!D2262)</f>
        <v>10</v>
      </c>
      <c r="E2262">
        <f t="shared" si="36"/>
        <v>15.277777777777777</v>
      </c>
      <c r="F2262">
        <f>IF((E2262-'user input'!$C$2)&lt;0,0,E2262-'user input'!$C$2)</f>
        <v>5.2777777777777768</v>
      </c>
      <c r="G2262">
        <f>IF(B2262&lt;'user input'!$C$5,0,(F2262+G2261))</f>
        <v>0</v>
      </c>
      <c r="H2262">
        <f>G2262/'user input'!$C$4</f>
        <v>0</v>
      </c>
    </row>
    <row r="2263" spans="1:8" x14ac:dyDescent="0.2">
      <c r="A2263" s="1">
        <v>42439</v>
      </c>
      <c r="B2263">
        <v>71</v>
      </c>
      <c r="C2263" s="6">
        <f>IF('weather data'!C2263&gt;'user input'!$C$3,'user input'!$C$3,'weather data'!C2263)</f>
        <v>12.222222222222223</v>
      </c>
      <c r="D2263" s="6">
        <f>IF('weather data'!D2263&lt;'user input'!$C$2,'user input'!$C$2,'weather data'!D2263)</f>
        <v>10</v>
      </c>
      <c r="E2263">
        <f t="shared" si="36"/>
        <v>11.111111111111111</v>
      </c>
      <c r="F2263">
        <f>IF((E2263-'user input'!$C$2)&lt;0,0,E2263-'user input'!$C$2)</f>
        <v>1.1111111111111107</v>
      </c>
      <c r="G2263">
        <f>IF(B2263&lt;'user input'!$C$5,0,(F2263+G2262))</f>
        <v>0</v>
      </c>
      <c r="H2263">
        <f>G2263/'user input'!$C$4</f>
        <v>0</v>
      </c>
    </row>
    <row r="2264" spans="1:8" x14ac:dyDescent="0.2">
      <c r="A2264" s="1">
        <v>42440</v>
      </c>
      <c r="B2264">
        <v>72</v>
      </c>
      <c r="C2264" s="6">
        <f>IF('weather data'!C2264&gt;'user input'!$C$3,'user input'!$C$3,'weather data'!C2264)</f>
        <v>11.666666666666668</v>
      </c>
      <c r="D2264" s="6">
        <f>IF('weather data'!D2264&lt;'user input'!$C$2,'user input'!$C$2,'weather data'!D2264)</f>
        <v>10</v>
      </c>
      <c r="E2264">
        <f t="shared" si="36"/>
        <v>10.833333333333334</v>
      </c>
      <c r="F2264">
        <f>IF((E2264-'user input'!$C$2)&lt;0,0,E2264-'user input'!$C$2)</f>
        <v>0.83333333333333393</v>
      </c>
      <c r="G2264">
        <f>IF(B2264&lt;'user input'!$C$5,0,(F2264+G2263))</f>
        <v>0</v>
      </c>
      <c r="H2264">
        <f>G2264/'user input'!$C$4</f>
        <v>0</v>
      </c>
    </row>
    <row r="2265" spans="1:8" x14ac:dyDescent="0.2">
      <c r="A2265" s="1">
        <v>42441</v>
      </c>
      <c r="B2265">
        <v>73</v>
      </c>
      <c r="C2265" s="6">
        <f>IF('weather data'!C2265&gt;'user input'!$C$3,'user input'!$C$3,'weather data'!C2265)</f>
        <v>16.111111111111111</v>
      </c>
      <c r="D2265" s="6">
        <f>IF('weather data'!D2265&lt;'user input'!$C$2,'user input'!$C$2,'weather data'!D2265)</f>
        <v>10</v>
      </c>
      <c r="E2265">
        <f t="shared" si="36"/>
        <v>13.055555555555555</v>
      </c>
      <c r="F2265">
        <f>IF((E2265-'user input'!$C$2)&lt;0,0,E2265-'user input'!$C$2)</f>
        <v>3.0555555555555554</v>
      </c>
      <c r="G2265">
        <f>IF(B2265&lt;'user input'!$C$5,0,(F2265+G2264))</f>
        <v>0</v>
      </c>
      <c r="H2265">
        <f>G2265/'user input'!$C$4</f>
        <v>0</v>
      </c>
    </row>
    <row r="2266" spans="1:8" x14ac:dyDescent="0.2">
      <c r="A2266" s="1">
        <v>42442</v>
      </c>
      <c r="B2266">
        <v>74</v>
      </c>
      <c r="C2266" s="6">
        <f>IF('weather data'!C2266&gt;'user input'!$C$3,'user input'!$C$3,'weather data'!C2266)</f>
        <v>18.888888888888889</v>
      </c>
      <c r="D2266" s="6">
        <f>IF('weather data'!D2266&lt;'user input'!$C$2,'user input'!$C$2,'weather data'!D2266)</f>
        <v>10</v>
      </c>
      <c r="E2266">
        <f t="shared" si="36"/>
        <v>14.444444444444445</v>
      </c>
      <c r="F2266">
        <f>IF((E2266-'user input'!$C$2)&lt;0,0,E2266-'user input'!$C$2)</f>
        <v>4.4444444444444446</v>
      </c>
      <c r="G2266">
        <f>IF(B2266&lt;'user input'!$C$5,0,(F2266+G2265))</f>
        <v>0</v>
      </c>
      <c r="H2266">
        <f>G2266/'user input'!$C$4</f>
        <v>0</v>
      </c>
    </row>
    <row r="2267" spans="1:8" x14ac:dyDescent="0.2">
      <c r="A2267" s="1">
        <v>42443</v>
      </c>
      <c r="B2267">
        <v>75</v>
      </c>
      <c r="C2267" s="6">
        <f>IF('weather data'!C2267&gt;'user input'!$C$3,'user input'!$C$3,'weather data'!C2267)</f>
        <v>11.666666666666668</v>
      </c>
      <c r="D2267" s="6">
        <f>IF('weather data'!D2267&lt;'user input'!$C$2,'user input'!$C$2,'weather data'!D2267)</f>
        <v>10</v>
      </c>
      <c r="E2267">
        <f t="shared" si="36"/>
        <v>10.833333333333334</v>
      </c>
      <c r="F2267">
        <f>IF((E2267-'user input'!$C$2)&lt;0,0,E2267-'user input'!$C$2)</f>
        <v>0.83333333333333393</v>
      </c>
      <c r="G2267">
        <f>IF(B2267&lt;'user input'!$C$5,0,(F2267+G2266))</f>
        <v>0</v>
      </c>
      <c r="H2267">
        <f>G2267/'user input'!$C$4</f>
        <v>0</v>
      </c>
    </row>
    <row r="2268" spans="1:8" x14ac:dyDescent="0.2">
      <c r="A2268" s="1">
        <v>42444</v>
      </c>
      <c r="B2268">
        <v>76</v>
      </c>
      <c r="C2268" s="6">
        <f>IF('weather data'!C2268&gt;'user input'!$C$3,'user input'!$C$3,'weather data'!C2268)</f>
        <v>14.444444444444445</v>
      </c>
      <c r="D2268" s="6">
        <f>IF('weather data'!D2268&lt;'user input'!$C$2,'user input'!$C$2,'weather data'!D2268)</f>
        <v>10</v>
      </c>
      <c r="E2268">
        <f t="shared" si="36"/>
        <v>12.222222222222221</v>
      </c>
      <c r="F2268">
        <f>IF((E2268-'user input'!$C$2)&lt;0,0,E2268-'user input'!$C$2)</f>
        <v>2.2222222222222214</v>
      </c>
      <c r="G2268">
        <f>IF(B2268&lt;'user input'!$C$5,0,(F2268+G2267))</f>
        <v>0</v>
      </c>
      <c r="H2268">
        <f>G2268/'user input'!$C$4</f>
        <v>0</v>
      </c>
    </row>
    <row r="2269" spans="1:8" x14ac:dyDescent="0.2">
      <c r="A2269" s="1">
        <v>42445</v>
      </c>
      <c r="B2269">
        <v>77</v>
      </c>
      <c r="C2269" s="6">
        <f>IF('weather data'!C2269&gt;'user input'!$C$3,'user input'!$C$3,'weather data'!C2269)</f>
        <v>10</v>
      </c>
      <c r="D2269" s="6">
        <f>IF('weather data'!D2269&lt;'user input'!$C$2,'user input'!$C$2,'weather data'!D2269)</f>
        <v>10</v>
      </c>
      <c r="E2269">
        <f t="shared" si="36"/>
        <v>10</v>
      </c>
      <c r="F2269">
        <f>IF((E2269-'user input'!$C$2)&lt;0,0,E2269-'user input'!$C$2)</f>
        <v>0</v>
      </c>
      <c r="G2269">
        <f>IF(B2269&lt;'user input'!$C$5,0,(F2269+G2268))</f>
        <v>0</v>
      </c>
      <c r="H2269">
        <f>G2269/'user input'!$C$4</f>
        <v>0</v>
      </c>
    </row>
    <row r="2270" spans="1:8" x14ac:dyDescent="0.2">
      <c r="A2270" s="1">
        <v>42446</v>
      </c>
      <c r="B2270">
        <v>78</v>
      </c>
      <c r="C2270" s="6">
        <f>IF('weather data'!C2270&gt;'user input'!$C$3,'user input'!$C$3,'weather data'!C2270)</f>
        <v>11.666666666666668</v>
      </c>
      <c r="D2270" s="6">
        <f>IF('weather data'!D2270&lt;'user input'!$C$2,'user input'!$C$2,'weather data'!D2270)</f>
        <v>10</v>
      </c>
      <c r="E2270">
        <f t="shared" si="36"/>
        <v>10.833333333333334</v>
      </c>
      <c r="F2270">
        <f>IF((E2270-'user input'!$C$2)&lt;0,0,E2270-'user input'!$C$2)</f>
        <v>0.83333333333333393</v>
      </c>
      <c r="G2270">
        <f>IF(B2270&lt;'user input'!$C$5,0,(F2270+G2269))</f>
        <v>0</v>
      </c>
      <c r="H2270">
        <f>G2270/'user input'!$C$4</f>
        <v>0</v>
      </c>
    </row>
    <row r="2271" spans="1:8" x14ac:dyDescent="0.2">
      <c r="A2271" s="1">
        <v>42447</v>
      </c>
      <c r="B2271">
        <v>79</v>
      </c>
      <c r="C2271" s="6">
        <f>IF('weather data'!C2271&gt;'user input'!$C$3,'user input'!$C$3,'weather data'!C2271)</f>
        <v>11.666666666666668</v>
      </c>
      <c r="D2271" s="6">
        <f>IF('weather data'!D2271&lt;'user input'!$C$2,'user input'!$C$2,'weather data'!D2271)</f>
        <v>10</v>
      </c>
      <c r="E2271">
        <f t="shared" si="36"/>
        <v>10.833333333333334</v>
      </c>
      <c r="F2271">
        <f>IF((E2271-'user input'!$C$2)&lt;0,0,E2271-'user input'!$C$2)</f>
        <v>0.83333333333333393</v>
      </c>
      <c r="G2271">
        <f>IF(B2271&lt;'user input'!$C$5,0,(F2271+G2270))</f>
        <v>0</v>
      </c>
      <c r="H2271">
        <f>G2271/'user input'!$C$4</f>
        <v>0</v>
      </c>
    </row>
    <row r="2272" spans="1:8" x14ac:dyDescent="0.2">
      <c r="A2272" s="1">
        <v>42448</v>
      </c>
      <c r="B2272">
        <v>80</v>
      </c>
      <c r="C2272" s="6">
        <f>IF('weather data'!C2272&gt;'user input'!$C$3,'user input'!$C$3,'weather data'!C2272)</f>
        <v>4.4444444444444446</v>
      </c>
      <c r="D2272" s="6">
        <f>IF('weather data'!D2272&lt;'user input'!$C$2,'user input'!$C$2,'weather data'!D2272)</f>
        <v>10</v>
      </c>
      <c r="E2272">
        <f t="shared" si="36"/>
        <v>7.2222222222222223</v>
      </c>
      <c r="F2272">
        <f>IF((E2272-'user input'!$C$2)&lt;0,0,E2272-'user input'!$C$2)</f>
        <v>0</v>
      </c>
      <c r="G2272">
        <f>IF(B2272&lt;'user input'!$C$5,0,(F2272+G2271))</f>
        <v>0</v>
      </c>
      <c r="H2272">
        <f>G2272/'user input'!$C$4</f>
        <v>0</v>
      </c>
    </row>
    <row r="2273" spans="1:8" x14ac:dyDescent="0.2">
      <c r="A2273" s="1">
        <v>42449</v>
      </c>
      <c r="B2273">
        <v>81</v>
      </c>
      <c r="C2273" s="6">
        <f>IF('weather data'!C2273&gt;'user input'!$C$3,'user input'!$C$3,'weather data'!C2273)</f>
        <v>5</v>
      </c>
      <c r="D2273" s="6">
        <f>IF('weather data'!D2273&lt;'user input'!$C$2,'user input'!$C$2,'weather data'!D2273)</f>
        <v>10</v>
      </c>
      <c r="E2273">
        <f t="shared" si="36"/>
        <v>7.5</v>
      </c>
      <c r="F2273">
        <f>IF((E2273-'user input'!$C$2)&lt;0,0,E2273-'user input'!$C$2)</f>
        <v>0</v>
      </c>
      <c r="G2273">
        <f>IF(B2273&lt;'user input'!$C$5,0,(F2273+G2272))</f>
        <v>0</v>
      </c>
      <c r="H2273">
        <f>G2273/'user input'!$C$4</f>
        <v>0</v>
      </c>
    </row>
    <row r="2274" spans="1:8" x14ac:dyDescent="0.2">
      <c r="A2274" s="1">
        <v>42450</v>
      </c>
      <c r="B2274">
        <v>82</v>
      </c>
      <c r="C2274" s="6">
        <f>IF('weather data'!C2274&gt;'user input'!$C$3,'user input'!$C$3,'weather data'!C2274)</f>
        <v>7.2222222222222223</v>
      </c>
      <c r="D2274" s="6">
        <f>IF('weather data'!D2274&lt;'user input'!$C$2,'user input'!$C$2,'weather data'!D2274)</f>
        <v>10</v>
      </c>
      <c r="E2274">
        <f t="shared" si="36"/>
        <v>8.6111111111111107</v>
      </c>
      <c r="F2274">
        <f>IF((E2274-'user input'!$C$2)&lt;0,0,E2274-'user input'!$C$2)</f>
        <v>0</v>
      </c>
      <c r="G2274">
        <f>IF(B2274&lt;'user input'!$C$5,0,(F2274+G2273))</f>
        <v>0</v>
      </c>
      <c r="H2274">
        <f>G2274/'user input'!$C$4</f>
        <v>0</v>
      </c>
    </row>
    <row r="2275" spans="1:8" x14ac:dyDescent="0.2">
      <c r="A2275" s="1">
        <v>42451</v>
      </c>
      <c r="B2275">
        <v>83</v>
      </c>
      <c r="C2275" s="6">
        <f>IF('weather data'!C2275&gt;'user input'!$C$3,'user input'!$C$3,'weather data'!C2275)</f>
        <v>9.4444444444444446</v>
      </c>
      <c r="D2275" s="6">
        <f>IF('weather data'!D2275&lt;'user input'!$C$2,'user input'!$C$2,'weather data'!D2275)</f>
        <v>10</v>
      </c>
      <c r="E2275">
        <f t="shared" si="36"/>
        <v>9.7222222222222214</v>
      </c>
      <c r="F2275">
        <f>IF((E2275-'user input'!$C$2)&lt;0,0,E2275-'user input'!$C$2)</f>
        <v>0</v>
      </c>
      <c r="G2275">
        <f>IF(B2275&lt;'user input'!$C$5,0,(F2275+G2274))</f>
        <v>0</v>
      </c>
      <c r="H2275">
        <f>G2275/'user input'!$C$4</f>
        <v>0</v>
      </c>
    </row>
    <row r="2276" spans="1:8" x14ac:dyDescent="0.2">
      <c r="A2276" s="1">
        <v>42452</v>
      </c>
      <c r="B2276">
        <v>84</v>
      </c>
      <c r="C2276" s="6">
        <f>IF('weather data'!C2276&gt;'user input'!$C$3,'user input'!$C$3,'weather data'!C2276)</f>
        <v>13.333333333333332</v>
      </c>
      <c r="D2276" s="6">
        <f>IF('weather data'!D2276&lt;'user input'!$C$2,'user input'!$C$2,'weather data'!D2276)</f>
        <v>10</v>
      </c>
      <c r="E2276">
        <f t="shared" si="36"/>
        <v>11.666666666666666</v>
      </c>
      <c r="F2276">
        <f>IF((E2276-'user input'!$C$2)&lt;0,0,E2276-'user input'!$C$2)</f>
        <v>1.6666666666666661</v>
      </c>
      <c r="G2276">
        <f>IF(B2276&lt;'user input'!$C$5,0,(F2276+G2275))</f>
        <v>0</v>
      </c>
      <c r="H2276">
        <f>G2276/'user input'!$C$4</f>
        <v>0</v>
      </c>
    </row>
    <row r="2277" spans="1:8" x14ac:dyDescent="0.2">
      <c r="A2277" s="1">
        <v>42453</v>
      </c>
      <c r="B2277">
        <v>85</v>
      </c>
      <c r="C2277" s="6">
        <f>IF('weather data'!C2277&gt;'user input'!$C$3,'user input'!$C$3,'weather data'!C2277)</f>
        <v>1.1111111111111112</v>
      </c>
      <c r="D2277" s="6">
        <f>IF('weather data'!D2277&lt;'user input'!$C$2,'user input'!$C$2,'weather data'!D2277)</f>
        <v>10</v>
      </c>
      <c r="E2277">
        <f t="shared" si="36"/>
        <v>5.5555555555555554</v>
      </c>
      <c r="F2277">
        <f>IF((E2277-'user input'!$C$2)&lt;0,0,E2277-'user input'!$C$2)</f>
        <v>0</v>
      </c>
      <c r="G2277">
        <f>IF(B2277&lt;'user input'!$C$5,0,(F2277+G2276))</f>
        <v>0</v>
      </c>
      <c r="H2277">
        <f>G2277/'user input'!$C$4</f>
        <v>0</v>
      </c>
    </row>
    <row r="2278" spans="1:8" x14ac:dyDescent="0.2">
      <c r="A2278" s="1">
        <v>42454</v>
      </c>
      <c r="B2278">
        <v>86</v>
      </c>
      <c r="C2278" s="6">
        <f>IF('weather data'!C2278&gt;'user input'!$C$3,'user input'!$C$3,'weather data'!C2278)</f>
        <v>-0.55555555555555558</v>
      </c>
      <c r="D2278" s="6">
        <f>IF('weather data'!D2278&lt;'user input'!$C$2,'user input'!$C$2,'weather data'!D2278)</f>
        <v>10</v>
      </c>
      <c r="E2278">
        <f t="shared" si="36"/>
        <v>4.7222222222222223</v>
      </c>
      <c r="F2278">
        <f>IF((E2278-'user input'!$C$2)&lt;0,0,E2278-'user input'!$C$2)</f>
        <v>0</v>
      </c>
      <c r="G2278">
        <f>IF(B2278&lt;'user input'!$C$5,0,(F2278+G2277))</f>
        <v>0</v>
      </c>
      <c r="H2278">
        <f>G2278/'user input'!$C$4</f>
        <v>0</v>
      </c>
    </row>
    <row r="2279" spans="1:8" x14ac:dyDescent="0.2">
      <c r="A2279" s="1">
        <v>42455</v>
      </c>
      <c r="B2279">
        <v>87</v>
      </c>
      <c r="C2279" s="6">
        <f>IF('weather data'!C2279&gt;'user input'!$C$3,'user input'!$C$3,'weather data'!C2279)</f>
        <v>8.8888888888888893</v>
      </c>
      <c r="D2279" s="6">
        <f>IF('weather data'!D2279&lt;'user input'!$C$2,'user input'!$C$2,'weather data'!D2279)</f>
        <v>10</v>
      </c>
      <c r="E2279">
        <f t="shared" si="36"/>
        <v>9.4444444444444446</v>
      </c>
      <c r="F2279">
        <f>IF((E2279-'user input'!$C$2)&lt;0,0,E2279-'user input'!$C$2)</f>
        <v>0</v>
      </c>
      <c r="G2279">
        <f>IF(B2279&lt;'user input'!$C$5,0,(F2279+G2278))</f>
        <v>0</v>
      </c>
      <c r="H2279">
        <f>G2279/'user input'!$C$4</f>
        <v>0</v>
      </c>
    </row>
    <row r="2280" spans="1:8" x14ac:dyDescent="0.2">
      <c r="A2280" s="1">
        <v>42456</v>
      </c>
      <c r="B2280">
        <v>88</v>
      </c>
      <c r="C2280" s="6">
        <f>IF('weather data'!C2280&gt;'user input'!$C$3,'user input'!$C$3,'weather data'!C2280)</f>
        <v>11.666666666666668</v>
      </c>
      <c r="D2280" s="6">
        <f>IF('weather data'!D2280&lt;'user input'!$C$2,'user input'!$C$2,'weather data'!D2280)</f>
        <v>10</v>
      </c>
      <c r="E2280">
        <f t="shared" si="36"/>
        <v>10.833333333333334</v>
      </c>
      <c r="F2280">
        <f>IF((E2280-'user input'!$C$2)&lt;0,0,E2280-'user input'!$C$2)</f>
        <v>0.83333333333333393</v>
      </c>
      <c r="G2280">
        <f>IF(B2280&lt;'user input'!$C$5,0,(F2280+G2279))</f>
        <v>0</v>
      </c>
      <c r="H2280">
        <f>G2280/'user input'!$C$4</f>
        <v>0</v>
      </c>
    </row>
    <row r="2281" spans="1:8" x14ac:dyDescent="0.2">
      <c r="A2281" s="1">
        <v>42457</v>
      </c>
      <c r="B2281">
        <v>89</v>
      </c>
      <c r="C2281" s="6">
        <f>IF('weather data'!C2281&gt;'user input'!$C$3,'user input'!$C$3,'weather data'!C2281)</f>
        <v>7.2222222222222223</v>
      </c>
      <c r="D2281" s="6">
        <f>IF('weather data'!D2281&lt;'user input'!$C$2,'user input'!$C$2,'weather data'!D2281)</f>
        <v>10</v>
      </c>
      <c r="E2281">
        <f t="shared" si="36"/>
        <v>8.6111111111111107</v>
      </c>
      <c r="F2281">
        <f>IF((E2281-'user input'!$C$2)&lt;0,0,E2281-'user input'!$C$2)</f>
        <v>0</v>
      </c>
      <c r="G2281">
        <f>IF(B2281&lt;'user input'!$C$5,0,(F2281+G2280))</f>
        <v>0</v>
      </c>
      <c r="H2281">
        <f>G2281/'user input'!$C$4</f>
        <v>0</v>
      </c>
    </row>
    <row r="2282" spans="1:8" x14ac:dyDescent="0.2">
      <c r="A2282" s="1">
        <v>42458</v>
      </c>
      <c r="B2282">
        <v>90</v>
      </c>
      <c r="C2282" s="6">
        <f>IF('weather data'!C2282&gt;'user input'!$C$3,'user input'!$C$3,'weather data'!C2282)</f>
        <v>13.888888888888889</v>
      </c>
      <c r="D2282" s="6">
        <f>IF('weather data'!D2282&lt;'user input'!$C$2,'user input'!$C$2,'weather data'!D2282)</f>
        <v>10</v>
      </c>
      <c r="E2282">
        <f t="shared" si="36"/>
        <v>11.944444444444445</v>
      </c>
      <c r="F2282">
        <f>IF((E2282-'user input'!$C$2)&lt;0,0,E2282-'user input'!$C$2)</f>
        <v>1.9444444444444446</v>
      </c>
      <c r="G2282">
        <f>IF(B2282&lt;'user input'!$C$5,0,(F2282+G2281))</f>
        <v>0</v>
      </c>
      <c r="H2282">
        <f>G2282/'user input'!$C$4</f>
        <v>0</v>
      </c>
    </row>
    <row r="2283" spans="1:8" x14ac:dyDescent="0.2">
      <c r="A2283" s="1">
        <v>42459</v>
      </c>
      <c r="B2283">
        <v>91</v>
      </c>
      <c r="C2283" s="6">
        <f>IF('weather data'!C2283&gt;'user input'!$C$3,'user input'!$C$3,'weather data'!C2283)</f>
        <v>16.666666666666668</v>
      </c>
      <c r="D2283" s="6">
        <f>IF('weather data'!D2283&lt;'user input'!$C$2,'user input'!$C$2,'weather data'!D2283)</f>
        <v>10</v>
      </c>
      <c r="E2283">
        <f t="shared" si="36"/>
        <v>13.333333333333334</v>
      </c>
      <c r="F2283">
        <f>IF((E2283-'user input'!$C$2)&lt;0,0,E2283-'user input'!$C$2)</f>
        <v>3.3333333333333339</v>
      </c>
      <c r="G2283">
        <f>IF(B2283&lt;'user input'!$C$5,0,(F2283+G2282))</f>
        <v>0</v>
      </c>
      <c r="H2283">
        <f>G2283/'user input'!$C$4</f>
        <v>0</v>
      </c>
    </row>
    <row r="2284" spans="1:8" x14ac:dyDescent="0.2">
      <c r="A2284" s="1">
        <v>42460</v>
      </c>
      <c r="B2284">
        <v>92</v>
      </c>
      <c r="C2284" s="6">
        <f>IF('weather data'!C2284&gt;'user input'!$C$3,'user input'!$C$3,'weather data'!C2284)</f>
        <v>9.4444444444444446</v>
      </c>
      <c r="D2284" s="6">
        <f>IF('weather data'!D2284&lt;'user input'!$C$2,'user input'!$C$2,'weather data'!D2284)</f>
        <v>10</v>
      </c>
      <c r="E2284">
        <f t="shared" si="36"/>
        <v>9.7222222222222214</v>
      </c>
      <c r="F2284">
        <f>IF((E2284-'user input'!$C$2)&lt;0,0,E2284-'user input'!$C$2)</f>
        <v>0</v>
      </c>
      <c r="G2284">
        <f>IF(B2284&lt;'user input'!$C$5,0,(F2284+G2283))</f>
        <v>0</v>
      </c>
      <c r="H2284">
        <f>G2284/'user input'!$C$4</f>
        <v>0</v>
      </c>
    </row>
    <row r="2285" spans="1:8" x14ac:dyDescent="0.2">
      <c r="A2285" s="1">
        <v>42461</v>
      </c>
      <c r="B2285">
        <v>93</v>
      </c>
      <c r="C2285" s="6">
        <f>IF('weather data'!C2285&gt;'user input'!$C$3,'user input'!$C$3,'weather data'!C2285)</f>
        <v>6.6666666666666661</v>
      </c>
      <c r="D2285" s="6">
        <f>IF('weather data'!D2285&lt;'user input'!$C$2,'user input'!$C$2,'weather data'!D2285)</f>
        <v>10</v>
      </c>
      <c r="E2285">
        <f t="shared" si="36"/>
        <v>8.3333333333333321</v>
      </c>
      <c r="F2285">
        <f>IF((E2285-'user input'!$C$2)&lt;0,0,E2285-'user input'!$C$2)</f>
        <v>0</v>
      </c>
      <c r="G2285">
        <f>IF(B2285&lt;'user input'!$C$5,0,(F2285+G2284))</f>
        <v>0</v>
      </c>
      <c r="H2285">
        <f>G2285/'user input'!$C$4</f>
        <v>0</v>
      </c>
    </row>
    <row r="2286" spans="1:8" x14ac:dyDescent="0.2">
      <c r="A2286" s="1">
        <v>42462</v>
      </c>
      <c r="B2286">
        <v>94</v>
      </c>
      <c r="C2286" s="6">
        <f>IF('weather data'!C2286&gt;'user input'!$C$3,'user input'!$C$3,'weather data'!C2286)</f>
        <v>10</v>
      </c>
      <c r="D2286" s="6">
        <f>IF('weather data'!D2286&lt;'user input'!$C$2,'user input'!$C$2,'weather data'!D2286)</f>
        <v>10</v>
      </c>
      <c r="E2286">
        <f t="shared" si="36"/>
        <v>10</v>
      </c>
      <c r="F2286">
        <f>IF((E2286-'user input'!$C$2)&lt;0,0,E2286-'user input'!$C$2)</f>
        <v>0</v>
      </c>
      <c r="G2286">
        <f>IF(B2286&lt;'user input'!$C$5,0,(F2286+G2285))</f>
        <v>0</v>
      </c>
      <c r="H2286">
        <f>G2286/'user input'!$C$4</f>
        <v>0</v>
      </c>
    </row>
    <row r="2287" spans="1:8" x14ac:dyDescent="0.2">
      <c r="A2287" s="1">
        <v>42463</v>
      </c>
      <c r="B2287">
        <v>95</v>
      </c>
      <c r="C2287" s="6">
        <f>IF('weather data'!C2287&gt;'user input'!$C$3,'user input'!$C$3,'weather data'!C2287)</f>
        <v>2.2222222222222223</v>
      </c>
      <c r="D2287" s="6">
        <f>IF('weather data'!D2287&lt;'user input'!$C$2,'user input'!$C$2,'weather data'!D2287)</f>
        <v>10</v>
      </c>
      <c r="E2287">
        <f t="shared" si="36"/>
        <v>6.1111111111111107</v>
      </c>
      <c r="F2287">
        <f>IF((E2287-'user input'!$C$2)&lt;0,0,E2287-'user input'!$C$2)</f>
        <v>0</v>
      </c>
      <c r="G2287">
        <f>IF(B2287&lt;'user input'!$C$5,0,(F2287+G2286))</f>
        <v>0</v>
      </c>
      <c r="H2287">
        <f>G2287/'user input'!$C$4</f>
        <v>0</v>
      </c>
    </row>
    <row r="2288" spans="1:8" x14ac:dyDescent="0.2">
      <c r="A2288" s="1">
        <v>42464</v>
      </c>
      <c r="B2288">
        <v>96</v>
      </c>
      <c r="C2288" s="6">
        <f>IF('weather data'!C2288&gt;'user input'!$C$3,'user input'!$C$3,'weather data'!C2288)</f>
        <v>23.333333333333336</v>
      </c>
      <c r="D2288" s="6">
        <f>IF('weather data'!D2288&lt;'user input'!$C$2,'user input'!$C$2,'weather data'!D2288)</f>
        <v>10</v>
      </c>
      <c r="E2288">
        <f t="shared" si="36"/>
        <v>16.666666666666668</v>
      </c>
      <c r="F2288">
        <f>IF((E2288-'user input'!$C$2)&lt;0,0,E2288-'user input'!$C$2)</f>
        <v>6.6666666666666679</v>
      </c>
      <c r="G2288">
        <f>IF(B2288&lt;'user input'!$C$5,0,(F2288+G2287))</f>
        <v>0</v>
      </c>
      <c r="H2288">
        <f>G2288/'user input'!$C$4</f>
        <v>0</v>
      </c>
    </row>
    <row r="2289" spans="1:8" x14ac:dyDescent="0.2">
      <c r="A2289" s="1">
        <v>42465</v>
      </c>
      <c r="B2289">
        <v>97</v>
      </c>
      <c r="C2289" s="6">
        <f>IF('weather data'!C2289&gt;'user input'!$C$3,'user input'!$C$3,'weather data'!C2289)</f>
        <v>2.7777777777777777</v>
      </c>
      <c r="D2289" s="6">
        <f>IF('weather data'!D2289&lt;'user input'!$C$2,'user input'!$C$2,'weather data'!D2289)</f>
        <v>10</v>
      </c>
      <c r="E2289">
        <f t="shared" si="36"/>
        <v>6.3888888888888893</v>
      </c>
      <c r="F2289">
        <f>IF((E2289-'user input'!$C$2)&lt;0,0,E2289-'user input'!$C$2)</f>
        <v>0</v>
      </c>
      <c r="G2289">
        <f>IF(B2289&lt;'user input'!$C$5,0,(F2289+G2288))</f>
        <v>0</v>
      </c>
      <c r="H2289">
        <f>G2289/'user input'!$C$4</f>
        <v>0</v>
      </c>
    </row>
    <row r="2290" spans="1:8" x14ac:dyDescent="0.2">
      <c r="A2290" s="1">
        <v>42466</v>
      </c>
      <c r="B2290">
        <v>98</v>
      </c>
      <c r="C2290" s="6">
        <f>IF('weather data'!C2290&gt;'user input'!$C$3,'user input'!$C$3,'weather data'!C2290)</f>
        <v>5.5555555555555554</v>
      </c>
      <c r="D2290" s="6">
        <f>IF('weather data'!D2290&lt;'user input'!$C$2,'user input'!$C$2,'weather data'!D2290)</f>
        <v>10</v>
      </c>
      <c r="E2290">
        <f t="shared" si="36"/>
        <v>7.7777777777777777</v>
      </c>
      <c r="F2290">
        <f>IF((E2290-'user input'!$C$2)&lt;0,0,E2290-'user input'!$C$2)</f>
        <v>0</v>
      </c>
      <c r="G2290">
        <f>IF(B2290&lt;'user input'!$C$5,0,(F2290+G2289))</f>
        <v>0</v>
      </c>
      <c r="H2290">
        <f>G2290/'user input'!$C$4</f>
        <v>0</v>
      </c>
    </row>
    <row r="2291" spans="1:8" x14ac:dyDescent="0.2">
      <c r="A2291" s="1">
        <v>42467</v>
      </c>
      <c r="B2291">
        <v>99</v>
      </c>
      <c r="C2291" s="6">
        <f>IF('weather data'!C2291&gt;'user input'!$C$3,'user input'!$C$3,'weather data'!C2291)</f>
        <v>9.4444444444444446</v>
      </c>
      <c r="D2291" s="6">
        <f>IF('weather data'!D2291&lt;'user input'!$C$2,'user input'!$C$2,'weather data'!D2291)</f>
        <v>10</v>
      </c>
      <c r="E2291">
        <f t="shared" si="36"/>
        <v>9.7222222222222214</v>
      </c>
      <c r="F2291">
        <f>IF((E2291-'user input'!$C$2)&lt;0,0,E2291-'user input'!$C$2)</f>
        <v>0</v>
      </c>
      <c r="G2291">
        <f>IF(B2291&lt;'user input'!$C$5,0,(F2291+G2290))</f>
        <v>0</v>
      </c>
      <c r="H2291">
        <f>G2291/'user input'!$C$4</f>
        <v>0</v>
      </c>
    </row>
    <row r="2292" spans="1:8" x14ac:dyDescent="0.2">
      <c r="A2292" s="1">
        <v>42468</v>
      </c>
      <c r="B2292">
        <v>100</v>
      </c>
      <c r="C2292" s="6">
        <f>IF('weather data'!C2292&gt;'user input'!$C$3,'user input'!$C$3,'weather data'!C2292)</f>
        <v>4.4444444444444446</v>
      </c>
      <c r="D2292" s="6">
        <f>IF('weather data'!D2292&lt;'user input'!$C$2,'user input'!$C$2,'weather data'!D2292)</f>
        <v>10</v>
      </c>
      <c r="E2292">
        <f t="shared" si="36"/>
        <v>7.2222222222222223</v>
      </c>
      <c r="F2292">
        <f>IF((E2292-'user input'!$C$2)&lt;0,0,E2292-'user input'!$C$2)</f>
        <v>0</v>
      </c>
      <c r="G2292">
        <f>IF(B2292&lt;'user input'!$C$5,0,(F2292+G2291))</f>
        <v>0</v>
      </c>
      <c r="H2292">
        <f>G2292/'user input'!$C$4</f>
        <v>0</v>
      </c>
    </row>
    <row r="2293" spans="1:8" x14ac:dyDescent="0.2">
      <c r="A2293" s="1">
        <v>42469</v>
      </c>
      <c r="B2293">
        <v>101</v>
      </c>
      <c r="C2293" s="6">
        <f>IF('weather data'!C2293&gt;'user input'!$C$3,'user input'!$C$3,'weather data'!C2293)</f>
        <v>4.4444444444444446</v>
      </c>
      <c r="D2293" s="6">
        <f>IF('weather data'!D2293&lt;'user input'!$C$2,'user input'!$C$2,'weather data'!D2293)</f>
        <v>10</v>
      </c>
      <c r="E2293">
        <f t="shared" si="36"/>
        <v>7.2222222222222223</v>
      </c>
      <c r="F2293">
        <f>IF((E2293-'user input'!$C$2)&lt;0,0,E2293-'user input'!$C$2)</f>
        <v>0</v>
      </c>
      <c r="G2293">
        <f>IF(B2293&lt;'user input'!$C$5,0,(F2293+G2292))</f>
        <v>0</v>
      </c>
      <c r="H2293">
        <f>G2293/'user input'!$C$4</f>
        <v>0</v>
      </c>
    </row>
    <row r="2294" spans="1:8" x14ac:dyDescent="0.2">
      <c r="A2294" s="1">
        <v>42470</v>
      </c>
      <c r="B2294">
        <v>102</v>
      </c>
      <c r="C2294" s="6">
        <f>IF('weather data'!C2294&gt;'user input'!$C$3,'user input'!$C$3,'weather data'!C2294)</f>
        <v>4.4444444444444446</v>
      </c>
      <c r="D2294" s="6">
        <f>IF('weather data'!D2294&lt;'user input'!$C$2,'user input'!$C$2,'weather data'!D2294)</f>
        <v>10</v>
      </c>
      <c r="E2294">
        <f t="shared" si="36"/>
        <v>7.2222222222222223</v>
      </c>
      <c r="F2294">
        <f>IF((E2294-'user input'!$C$2)&lt;0,0,E2294-'user input'!$C$2)</f>
        <v>0</v>
      </c>
      <c r="G2294">
        <f>IF(B2294&lt;'user input'!$C$5,0,(F2294+G2293))</f>
        <v>0</v>
      </c>
      <c r="H2294">
        <f>G2294/'user input'!$C$4</f>
        <v>0</v>
      </c>
    </row>
    <row r="2295" spans="1:8" x14ac:dyDescent="0.2">
      <c r="A2295" s="1">
        <v>42471</v>
      </c>
      <c r="B2295">
        <v>103</v>
      </c>
      <c r="C2295" s="6">
        <f>IF('weather data'!C2295&gt;'user input'!$C$3,'user input'!$C$3,'weather data'!C2295)</f>
        <v>11.111111111111111</v>
      </c>
      <c r="D2295" s="6">
        <f>IF('weather data'!D2295&lt;'user input'!$C$2,'user input'!$C$2,'weather data'!D2295)</f>
        <v>10</v>
      </c>
      <c r="E2295">
        <f t="shared" si="36"/>
        <v>10.555555555555555</v>
      </c>
      <c r="F2295">
        <f>IF((E2295-'user input'!$C$2)&lt;0,0,E2295-'user input'!$C$2)</f>
        <v>0.55555555555555536</v>
      </c>
      <c r="G2295">
        <f>IF(B2295&lt;'user input'!$C$5,0,(F2295+G2294))</f>
        <v>0</v>
      </c>
      <c r="H2295">
        <f>G2295/'user input'!$C$4</f>
        <v>0</v>
      </c>
    </row>
    <row r="2296" spans="1:8" x14ac:dyDescent="0.2">
      <c r="A2296" s="1">
        <v>42472</v>
      </c>
      <c r="B2296">
        <v>104</v>
      </c>
      <c r="C2296" s="6">
        <f>IF('weather data'!C2296&gt;'user input'!$C$3,'user input'!$C$3,'weather data'!C2296)</f>
        <v>8.3333333333333339</v>
      </c>
      <c r="D2296" s="6">
        <f>IF('weather data'!D2296&lt;'user input'!$C$2,'user input'!$C$2,'weather data'!D2296)</f>
        <v>10</v>
      </c>
      <c r="E2296">
        <f t="shared" si="36"/>
        <v>9.1666666666666679</v>
      </c>
      <c r="F2296">
        <f>IF((E2296-'user input'!$C$2)&lt;0,0,E2296-'user input'!$C$2)</f>
        <v>0</v>
      </c>
      <c r="G2296">
        <f>IF(B2296&lt;'user input'!$C$5,0,(F2296+G2295))</f>
        <v>0</v>
      </c>
      <c r="H2296">
        <f>G2296/'user input'!$C$4</f>
        <v>0</v>
      </c>
    </row>
    <row r="2297" spans="1:8" x14ac:dyDescent="0.2">
      <c r="A2297" s="1">
        <v>42473</v>
      </c>
      <c r="B2297">
        <v>105</v>
      </c>
      <c r="C2297" s="6">
        <f>IF('weather data'!C2297&gt;'user input'!$C$3,'user input'!$C$3,'weather data'!C2297)</f>
        <v>11.111111111111111</v>
      </c>
      <c r="D2297" s="6">
        <f>IF('weather data'!D2297&lt;'user input'!$C$2,'user input'!$C$2,'weather data'!D2297)</f>
        <v>10</v>
      </c>
      <c r="E2297">
        <f t="shared" si="36"/>
        <v>10.555555555555555</v>
      </c>
      <c r="F2297">
        <f>IF((E2297-'user input'!$C$2)&lt;0,0,E2297-'user input'!$C$2)</f>
        <v>0.55555555555555536</v>
      </c>
      <c r="G2297">
        <f>IF(B2297&lt;'user input'!$C$5,0,(F2297+G2296))</f>
        <v>0</v>
      </c>
      <c r="H2297">
        <f>G2297/'user input'!$C$4</f>
        <v>0</v>
      </c>
    </row>
    <row r="2298" spans="1:8" x14ac:dyDescent="0.2">
      <c r="A2298" s="1">
        <v>42474</v>
      </c>
      <c r="B2298">
        <v>106</v>
      </c>
      <c r="C2298" s="6">
        <f>IF('weather data'!C2298&gt;'user input'!$C$3,'user input'!$C$3,'weather data'!C2298)</f>
        <v>10.555555555555555</v>
      </c>
      <c r="D2298" s="6">
        <f>IF('weather data'!D2298&lt;'user input'!$C$2,'user input'!$C$2,'weather data'!D2298)</f>
        <v>10</v>
      </c>
      <c r="E2298">
        <f t="shared" si="36"/>
        <v>10.277777777777779</v>
      </c>
      <c r="F2298">
        <f>IF((E2298-'user input'!$C$2)&lt;0,0,E2298-'user input'!$C$2)</f>
        <v>0.27777777777777857</v>
      </c>
      <c r="G2298">
        <f>IF(B2298&lt;'user input'!$C$5,0,(F2298+G2297))</f>
        <v>0</v>
      </c>
      <c r="H2298">
        <f>G2298/'user input'!$C$4</f>
        <v>0</v>
      </c>
    </row>
    <row r="2299" spans="1:8" x14ac:dyDescent="0.2">
      <c r="A2299" s="1">
        <v>42475</v>
      </c>
      <c r="B2299">
        <v>107</v>
      </c>
      <c r="C2299" s="6">
        <f>IF('weather data'!C2299&gt;'user input'!$C$3,'user input'!$C$3,'weather data'!C2299)</f>
        <v>19.444444444444443</v>
      </c>
      <c r="D2299" s="6">
        <f>IF('weather data'!D2299&lt;'user input'!$C$2,'user input'!$C$2,'weather data'!D2299)</f>
        <v>10</v>
      </c>
      <c r="E2299">
        <f t="shared" si="36"/>
        <v>14.722222222222221</v>
      </c>
      <c r="F2299">
        <f>IF((E2299-'user input'!$C$2)&lt;0,0,E2299-'user input'!$C$2)</f>
        <v>4.7222222222222214</v>
      </c>
      <c r="G2299">
        <f>IF(B2299&lt;'user input'!$C$5,0,(F2299+G2298))</f>
        <v>0</v>
      </c>
      <c r="H2299">
        <f>G2299/'user input'!$C$4</f>
        <v>0</v>
      </c>
    </row>
    <row r="2300" spans="1:8" x14ac:dyDescent="0.2">
      <c r="A2300" s="1">
        <v>42476</v>
      </c>
      <c r="B2300">
        <v>108</v>
      </c>
      <c r="C2300" s="6">
        <f>IF('weather data'!C2300&gt;'user input'!$C$3,'user input'!$C$3,'weather data'!C2300)</f>
        <v>22.777777777777779</v>
      </c>
      <c r="D2300" s="6">
        <f>IF('weather data'!D2300&lt;'user input'!$C$2,'user input'!$C$2,'weather data'!D2300)</f>
        <v>10</v>
      </c>
      <c r="E2300">
        <f t="shared" si="36"/>
        <v>16.388888888888889</v>
      </c>
      <c r="F2300">
        <f>IF((E2300-'user input'!$C$2)&lt;0,0,E2300-'user input'!$C$2)</f>
        <v>6.3888888888888893</v>
      </c>
      <c r="G2300">
        <f>IF(B2300&lt;'user input'!$C$5,0,(F2300+G2299))</f>
        <v>0</v>
      </c>
      <c r="H2300">
        <f>G2300/'user input'!$C$4</f>
        <v>0</v>
      </c>
    </row>
    <row r="2301" spans="1:8" x14ac:dyDescent="0.2">
      <c r="A2301" s="1">
        <v>42477</v>
      </c>
      <c r="B2301">
        <v>109</v>
      </c>
      <c r="C2301" s="6">
        <f>IF('weather data'!C2301&gt;'user input'!$C$3,'user input'!$C$3,'weather data'!C2301)</f>
        <v>26.666666666666664</v>
      </c>
      <c r="D2301" s="6">
        <f>IF('weather data'!D2301&lt;'user input'!$C$2,'user input'!$C$2,'weather data'!D2301)</f>
        <v>10</v>
      </c>
      <c r="E2301">
        <f t="shared" si="36"/>
        <v>18.333333333333332</v>
      </c>
      <c r="F2301">
        <f>IF((E2301-'user input'!$C$2)&lt;0,0,E2301-'user input'!$C$2)</f>
        <v>8.3333333333333321</v>
      </c>
      <c r="G2301">
        <f>IF(B2301&lt;'user input'!$C$5,0,(F2301+G2300))</f>
        <v>0</v>
      </c>
      <c r="H2301">
        <f>G2301/'user input'!$C$4</f>
        <v>0</v>
      </c>
    </row>
    <row r="2302" spans="1:8" x14ac:dyDescent="0.2">
      <c r="A2302" s="1">
        <v>42478</v>
      </c>
      <c r="B2302">
        <v>110</v>
      </c>
      <c r="C2302" s="6">
        <f>IF('weather data'!C2302&gt;'user input'!$C$3,'user input'!$C$3,'weather data'!C2302)</f>
        <v>27.222222222222221</v>
      </c>
      <c r="D2302" s="6">
        <f>IF('weather data'!D2302&lt;'user input'!$C$2,'user input'!$C$2,'weather data'!D2302)</f>
        <v>10</v>
      </c>
      <c r="E2302">
        <f t="shared" si="36"/>
        <v>18.611111111111111</v>
      </c>
      <c r="F2302">
        <f>IF((E2302-'user input'!$C$2)&lt;0,0,E2302-'user input'!$C$2)</f>
        <v>8.6111111111111107</v>
      </c>
      <c r="G2302">
        <f>IF(B2302&lt;'user input'!$C$5,0,(F2302+G2301))</f>
        <v>0</v>
      </c>
      <c r="H2302">
        <f>G2302/'user input'!$C$4</f>
        <v>0</v>
      </c>
    </row>
    <row r="2303" spans="1:8" x14ac:dyDescent="0.2">
      <c r="A2303" s="1">
        <v>42479</v>
      </c>
      <c r="B2303">
        <v>111</v>
      </c>
      <c r="C2303" s="6">
        <f>IF('weather data'!C2303&gt;'user input'!$C$3,'user input'!$C$3,'weather data'!C2303)</f>
        <v>26.666666666666664</v>
      </c>
      <c r="D2303" s="6">
        <f>IF('weather data'!D2303&lt;'user input'!$C$2,'user input'!$C$2,'weather data'!D2303)</f>
        <v>10</v>
      </c>
      <c r="E2303">
        <f t="shared" si="36"/>
        <v>18.333333333333332</v>
      </c>
      <c r="F2303">
        <f>IF((E2303-'user input'!$C$2)&lt;0,0,E2303-'user input'!$C$2)</f>
        <v>8.3333333333333321</v>
      </c>
      <c r="G2303">
        <f>IF(B2303&lt;'user input'!$C$5,0,(F2303+G2302))</f>
        <v>0</v>
      </c>
      <c r="H2303">
        <f>G2303/'user input'!$C$4</f>
        <v>0</v>
      </c>
    </row>
    <row r="2304" spans="1:8" x14ac:dyDescent="0.2">
      <c r="A2304" s="1">
        <v>42480</v>
      </c>
      <c r="B2304">
        <v>112</v>
      </c>
      <c r="C2304" s="6">
        <f>IF('weather data'!C2304&gt;'user input'!$C$3,'user input'!$C$3,'weather data'!C2304)</f>
        <v>11.666666666666668</v>
      </c>
      <c r="D2304" s="6">
        <f>IF('weather data'!D2304&lt;'user input'!$C$2,'user input'!$C$2,'weather data'!D2304)</f>
        <v>10</v>
      </c>
      <c r="E2304">
        <f t="shared" si="36"/>
        <v>10.833333333333334</v>
      </c>
      <c r="F2304">
        <f>IF((E2304-'user input'!$C$2)&lt;0,0,E2304-'user input'!$C$2)</f>
        <v>0.83333333333333393</v>
      </c>
      <c r="G2304">
        <f>IF(B2304&lt;'user input'!$C$5,0,(F2304+G2303))</f>
        <v>0</v>
      </c>
      <c r="H2304">
        <f>G2304/'user input'!$C$4</f>
        <v>0</v>
      </c>
    </row>
    <row r="2305" spans="1:8" x14ac:dyDescent="0.2">
      <c r="A2305" s="1">
        <v>42481</v>
      </c>
      <c r="B2305">
        <v>113</v>
      </c>
      <c r="C2305" s="6">
        <f>IF('weather data'!C2305&gt;'user input'!$C$3,'user input'!$C$3,'weather data'!C2305)</f>
        <v>22.222222222222221</v>
      </c>
      <c r="D2305" s="6">
        <f>IF('weather data'!D2305&lt;'user input'!$C$2,'user input'!$C$2,'weather data'!D2305)</f>
        <v>10</v>
      </c>
      <c r="E2305">
        <f t="shared" si="36"/>
        <v>16.111111111111111</v>
      </c>
      <c r="F2305">
        <f>IF((E2305-'user input'!$C$2)&lt;0,0,E2305-'user input'!$C$2)</f>
        <v>6.1111111111111107</v>
      </c>
      <c r="G2305">
        <f>IF(B2305&lt;'user input'!$C$5,0,(F2305+G2304))</f>
        <v>0</v>
      </c>
      <c r="H2305">
        <f>G2305/'user input'!$C$4</f>
        <v>0</v>
      </c>
    </row>
    <row r="2306" spans="1:8" x14ac:dyDescent="0.2">
      <c r="A2306" s="1">
        <v>42482</v>
      </c>
      <c r="B2306">
        <v>114</v>
      </c>
      <c r="C2306" s="6">
        <f>IF('weather data'!C2306&gt;'user input'!$C$3,'user input'!$C$3,'weather data'!C2306)</f>
        <v>20.555555555555554</v>
      </c>
      <c r="D2306" s="6">
        <f>IF('weather data'!D2306&lt;'user input'!$C$2,'user input'!$C$2,'weather data'!D2306)</f>
        <v>10</v>
      </c>
      <c r="E2306">
        <f t="shared" si="36"/>
        <v>15.277777777777777</v>
      </c>
      <c r="F2306">
        <f>IF((E2306-'user input'!$C$2)&lt;0,0,E2306-'user input'!$C$2)</f>
        <v>5.2777777777777768</v>
      </c>
      <c r="G2306">
        <f>IF(B2306&lt;'user input'!$C$5,0,(F2306+G2305))</f>
        <v>0</v>
      </c>
      <c r="H2306">
        <f>G2306/'user input'!$C$4</f>
        <v>0</v>
      </c>
    </row>
    <row r="2307" spans="1:8" x14ac:dyDescent="0.2">
      <c r="A2307" s="1">
        <v>42483</v>
      </c>
      <c r="B2307">
        <v>115</v>
      </c>
      <c r="C2307" s="6">
        <f>IF('weather data'!C2307&gt;'user input'!$C$3,'user input'!$C$3,'weather data'!C2307)</f>
        <v>15.555555555555555</v>
      </c>
      <c r="D2307" s="6">
        <f>IF('weather data'!D2307&lt;'user input'!$C$2,'user input'!$C$2,'weather data'!D2307)</f>
        <v>10</v>
      </c>
      <c r="E2307">
        <f t="shared" si="36"/>
        <v>12.777777777777779</v>
      </c>
      <c r="F2307">
        <f>IF((E2307-'user input'!$C$2)&lt;0,0,E2307-'user input'!$C$2)</f>
        <v>2.7777777777777786</v>
      </c>
      <c r="G2307">
        <f>IF(B2307&lt;'user input'!$C$5,0,(F2307+G2306))</f>
        <v>0</v>
      </c>
      <c r="H2307">
        <f>G2307/'user input'!$C$4</f>
        <v>0</v>
      </c>
    </row>
    <row r="2308" spans="1:8" x14ac:dyDescent="0.2">
      <c r="A2308" s="1">
        <v>42484</v>
      </c>
      <c r="B2308">
        <v>116</v>
      </c>
      <c r="C2308" s="6">
        <f>IF('weather data'!C2308&gt;'user input'!$C$3,'user input'!$C$3,'weather data'!C2308)</f>
        <v>18.888888888888889</v>
      </c>
      <c r="D2308" s="6">
        <f>IF('weather data'!D2308&lt;'user input'!$C$2,'user input'!$C$2,'weather data'!D2308)</f>
        <v>10</v>
      </c>
      <c r="E2308">
        <f t="shared" si="36"/>
        <v>14.444444444444445</v>
      </c>
      <c r="F2308">
        <f>IF((E2308-'user input'!$C$2)&lt;0,0,E2308-'user input'!$C$2)</f>
        <v>4.4444444444444446</v>
      </c>
      <c r="G2308">
        <f>IF(B2308&lt;'user input'!$C$5,0,(F2308+G2307))</f>
        <v>0</v>
      </c>
      <c r="H2308">
        <f>G2308/'user input'!$C$4</f>
        <v>0</v>
      </c>
    </row>
    <row r="2309" spans="1:8" x14ac:dyDescent="0.2">
      <c r="A2309" s="1">
        <v>42485</v>
      </c>
      <c r="B2309">
        <v>117</v>
      </c>
      <c r="C2309" s="6">
        <f>IF('weather data'!C2309&gt;'user input'!$C$3,'user input'!$C$3,'weather data'!C2309)</f>
        <v>22.222222222222221</v>
      </c>
      <c r="D2309" s="6">
        <f>IF('weather data'!D2309&lt;'user input'!$C$2,'user input'!$C$2,'weather data'!D2309)</f>
        <v>10</v>
      </c>
      <c r="E2309">
        <f t="shared" si="36"/>
        <v>16.111111111111111</v>
      </c>
      <c r="F2309">
        <f>IF((E2309-'user input'!$C$2)&lt;0,0,E2309-'user input'!$C$2)</f>
        <v>6.1111111111111107</v>
      </c>
      <c r="G2309">
        <f>IF(B2309&lt;'user input'!$C$5,0,(F2309+G2308))</f>
        <v>0</v>
      </c>
      <c r="H2309">
        <f>G2309/'user input'!$C$4</f>
        <v>0</v>
      </c>
    </row>
    <row r="2310" spans="1:8" x14ac:dyDescent="0.2">
      <c r="A2310" s="1">
        <v>42486</v>
      </c>
      <c r="B2310">
        <v>118</v>
      </c>
      <c r="C2310" s="6">
        <f>IF('weather data'!C2310&gt;'user input'!$C$3,'user input'!$C$3,'weather data'!C2310)</f>
        <v>24.444444444444446</v>
      </c>
      <c r="D2310" s="6">
        <f>IF('weather data'!D2310&lt;'user input'!$C$2,'user input'!$C$2,'weather data'!D2310)</f>
        <v>10</v>
      </c>
      <c r="E2310">
        <f t="shared" si="36"/>
        <v>17.222222222222221</v>
      </c>
      <c r="F2310">
        <f>IF((E2310-'user input'!$C$2)&lt;0,0,E2310-'user input'!$C$2)</f>
        <v>7.2222222222222214</v>
      </c>
      <c r="G2310">
        <f>IF(B2310&lt;'user input'!$C$5,0,(F2310+G2309))</f>
        <v>0</v>
      </c>
      <c r="H2310">
        <f>G2310/'user input'!$C$4</f>
        <v>0</v>
      </c>
    </row>
    <row r="2311" spans="1:8" x14ac:dyDescent="0.2">
      <c r="A2311" s="1">
        <v>42487</v>
      </c>
      <c r="B2311">
        <v>119</v>
      </c>
      <c r="C2311" s="6">
        <f>IF('weather data'!C2311&gt;'user input'!$C$3,'user input'!$C$3,'weather data'!C2311)</f>
        <v>8.3333333333333339</v>
      </c>
      <c r="D2311" s="6">
        <f>IF('weather data'!D2311&lt;'user input'!$C$2,'user input'!$C$2,'weather data'!D2311)</f>
        <v>10</v>
      </c>
      <c r="E2311">
        <f t="shared" si="36"/>
        <v>9.1666666666666679</v>
      </c>
      <c r="F2311">
        <f>IF((E2311-'user input'!$C$2)&lt;0,0,E2311-'user input'!$C$2)</f>
        <v>0</v>
      </c>
      <c r="G2311">
        <f>IF(B2311&lt;'user input'!$C$5,0,(F2311+G2310))</f>
        <v>0</v>
      </c>
      <c r="H2311">
        <f>G2311/'user input'!$C$4</f>
        <v>0</v>
      </c>
    </row>
    <row r="2312" spans="1:8" x14ac:dyDescent="0.2">
      <c r="A2312" s="1">
        <v>42488</v>
      </c>
      <c r="B2312">
        <v>120</v>
      </c>
      <c r="C2312" s="6">
        <f>IF('weather data'!C2312&gt;'user input'!$C$3,'user input'!$C$3,'weather data'!C2312)</f>
        <v>12.777777777777777</v>
      </c>
      <c r="D2312" s="6">
        <f>IF('weather data'!D2312&lt;'user input'!$C$2,'user input'!$C$2,'weather data'!D2312)</f>
        <v>10</v>
      </c>
      <c r="E2312">
        <f t="shared" si="36"/>
        <v>11.388888888888889</v>
      </c>
      <c r="F2312">
        <f>IF((E2312-'user input'!$C$2)&lt;0,0,E2312-'user input'!$C$2)</f>
        <v>1.3888888888888893</v>
      </c>
      <c r="G2312">
        <f>IF(B2312&lt;'user input'!$C$5,0,(F2312+G2311))</f>
        <v>0</v>
      </c>
      <c r="H2312">
        <f>G2312/'user input'!$C$4</f>
        <v>0</v>
      </c>
    </row>
    <row r="2313" spans="1:8" x14ac:dyDescent="0.2">
      <c r="A2313" s="1">
        <v>42489</v>
      </c>
      <c r="B2313">
        <v>121</v>
      </c>
      <c r="C2313" s="6">
        <f>IF('weather data'!C2313&gt;'user input'!$C$3,'user input'!$C$3,'weather data'!C2313)</f>
        <v>6.1111111111111116</v>
      </c>
      <c r="D2313" s="6">
        <f>IF('weather data'!D2313&lt;'user input'!$C$2,'user input'!$C$2,'weather data'!D2313)</f>
        <v>10</v>
      </c>
      <c r="E2313">
        <f t="shared" si="36"/>
        <v>8.0555555555555554</v>
      </c>
      <c r="F2313">
        <f>IF((E2313-'user input'!$C$2)&lt;0,0,E2313-'user input'!$C$2)</f>
        <v>0</v>
      </c>
      <c r="G2313">
        <f>IF(B2313&lt;'user input'!$C$5,0,(F2313+G2312))</f>
        <v>0</v>
      </c>
      <c r="H2313">
        <f>G2313/'user input'!$C$4</f>
        <v>0</v>
      </c>
    </row>
    <row r="2314" spans="1:8" x14ac:dyDescent="0.2">
      <c r="A2314" s="1">
        <v>42490</v>
      </c>
      <c r="B2314">
        <v>122</v>
      </c>
      <c r="C2314" s="6">
        <f>IF('weather data'!C2314&gt;'user input'!$C$3,'user input'!$C$3,'weather data'!C2314)</f>
        <v>11.666666666666668</v>
      </c>
      <c r="D2314" s="6">
        <f>IF('weather data'!D2314&lt;'user input'!$C$2,'user input'!$C$2,'weather data'!D2314)</f>
        <v>10</v>
      </c>
      <c r="E2314">
        <f t="shared" si="36"/>
        <v>10.833333333333334</v>
      </c>
      <c r="F2314">
        <f>IF((E2314-'user input'!$C$2)&lt;0,0,E2314-'user input'!$C$2)</f>
        <v>0.83333333333333393</v>
      </c>
      <c r="G2314">
        <f>IF(B2314&lt;'user input'!$C$5,0,(F2314+G2313))</f>
        <v>0.83333333333333393</v>
      </c>
      <c r="H2314">
        <f>G2314/'user input'!$C$4</f>
        <v>6.944444444444449E-4</v>
      </c>
    </row>
    <row r="2315" spans="1:8" x14ac:dyDescent="0.2">
      <c r="A2315" s="1">
        <v>42491</v>
      </c>
      <c r="B2315">
        <v>123</v>
      </c>
      <c r="C2315" s="6">
        <f>IF('weather data'!C2315&gt;'user input'!$C$3,'user input'!$C$3,'weather data'!C2315)</f>
        <v>9.4444444444444446</v>
      </c>
      <c r="D2315" s="6">
        <f>IF('weather data'!D2315&lt;'user input'!$C$2,'user input'!$C$2,'weather data'!D2315)</f>
        <v>10</v>
      </c>
      <c r="E2315">
        <f t="shared" si="36"/>
        <v>9.7222222222222214</v>
      </c>
      <c r="F2315">
        <f>IF((E2315-'user input'!$C$2)&lt;0,0,E2315-'user input'!$C$2)</f>
        <v>0</v>
      </c>
      <c r="G2315">
        <f>IF(B2315&lt;'user input'!$C$5,0,(F2315+G2314))</f>
        <v>0.83333333333333393</v>
      </c>
      <c r="H2315">
        <f>G2315/'user input'!$C$4</f>
        <v>6.944444444444449E-4</v>
      </c>
    </row>
    <row r="2316" spans="1:8" x14ac:dyDescent="0.2">
      <c r="A2316" s="1">
        <v>42492</v>
      </c>
      <c r="B2316">
        <v>124</v>
      </c>
      <c r="C2316" s="6">
        <f>IF('weather data'!C2316&gt;'user input'!$C$3,'user input'!$C$3,'weather data'!C2316)</f>
        <v>13.333333333333332</v>
      </c>
      <c r="D2316" s="6">
        <f>IF('weather data'!D2316&lt;'user input'!$C$2,'user input'!$C$2,'weather data'!D2316)</f>
        <v>10</v>
      </c>
      <c r="E2316">
        <f t="shared" si="36"/>
        <v>11.666666666666666</v>
      </c>
      <c r="F2316">
        <f>IF((E2316-'user input'!$C$2)&lt;0,0,E2316-'user input'!$C$2)</f>
        <v>1.6666666666666661</v>
      </c>
      <c r="G2316">
        <f>IF(B2316&lt;'user input'!$C$5,0,(F2316+G2315))</f>
        <v>2.5</v>
      </c>
      <c r="H2316">
        <f>G2316/'user input'!$C$4</f>
        <v>2.0833333333333333E-3</v>
      </c>
    </row>
    <row r="2317" spans="1:8" x14ac:dyDescent="0.2">
      <c r="A2317" s="1">
        <v>42493</v>
      </c>
      <c r="B2317">
        <v>125</v>
      </c>
      <c r="C2317" s="6">
        <f>IF('weather data'!C2317&gt;'user input'!$C$3,'user input'!$C$3,'weather data'!C2317)</f>
        <v>18.333333333333332</v>
      </c>
      <c r="D2317" s="6">
        <f>IF('weather data'!D2317&lt;'user input'!$C$2,'user input'!$C$2,'weather data'!D2317)</f>
        <v>10</v>
      </c>
      <c r="E2317">
        <f t="shared" si="36"/>
        <v>14.166666666666666</v>
      </c>
      <c r="F2317">
        <f>IF((E2317-'user input'!$C$2)&lt;0,0,E2317-'user input'!$C$2)</f>
        <v>4.1666666666666661</v>
      </c>
      <c r="G2317">
        <f>IF(B2317&lt;'user input'!$C$5,0,(F2317+G2316))</f>
        <v>6.6666666666666661</v>
      </c>
      <c r="H2317">
        <f>G2317/'user input'!$C$4</f>
        <v>5.5555555555555549E-3</v>
      </c>
    </row>
    <row r="2318" spans="1:8" x14ac:dyDescent="0.2">
      <c r="A2318" s="1">
        <v>42494</v>
      </c>
      <c r="B2318">
        <v>126</v>
      </c>
      <c r="C2318" s="6">
        <f>IF('weather data'!C2318&gt;'user input'!$C$3,'user input'!$C$3,'weather data'!C2318)</f>
        <v>19.444444444444443</v>
      </c>
      <c r="D2318" s="6">
        <f>IF('weather data'!D2318&lt;'user input'!$C$2,'user input'!$C$2,'weather data'!D2318)</f>
        <v>10</v>
      </c>
      <c r="E2318">
        <f t="shared" si="36"/>
        <v>14.722222222222221</v>
      </c>
      <c r="F2318">
        <f>IF((E2318-'user input'!$C$2)&lt;0,0,E2318-'user input'!$C$2)</f>
        <v>4.7222222222222214</v>
      </c>
      <c r="G2318">
        <f>IF(B2318&lt;'user input'!$C$5,0,(F2318+G2317))</f>
        <v>11.388888888888888</v>
      </c>
      <c r="H2318">
        <f>G2318/'user input'!$C$4</f>
        <v>9.4907407407407388E-3</v>
      </c>
    </row>
    <row r="2319" spans="1:8" x14ac:dyDescent="0.2">
      <c r="A2319" s="1">
        <v>42495</v>
      </c>
      <c r="B2319">
        <v>127</v>
      </c>
      <c r="C2319" s="6">
        <f>IF('weather data'!C2319&gt;'user input'!$C$3,'user input'!$C$3,'weather data'!C2319)</f>
        <v>16.111111111111111</v>
      </c>
      <c r="D2319" s="6">
        <f>IF('weather data'!D2319&lt;'user input'!$C$2,'user input'!$C$2,'weather data'!D2319)</f>
        <v>10</v>
      </c>
      <c r="E2319">
        <f t="shared" si="36"/>
        <v>13.055555555555555</v>
      </c>
      <c r="F2319">
        <f>IF((E2319-'user input'!$C$2)&lt;0,0,E2319-'user input'!$C$2)</f>
        <v>3.0555555555555554</v>
      </c>
      <c r="G2319">
        <f>IF(B2319&lt;'user input'!$C$5,0,(F2319+G2318))</f>
        <v>14.444444444444443</v>
      </c>
      <c r="H2319">
        <f>G2319/'user input'!$C$4</f>
        <v>1.2037037037037035E-2</v>
      </c>
    </row>
    <row r="2320" spans="1:8" x14ac:dyDescent="0.2">
      <c r="A2320" s="1">
        <v>42496</v>
      </c>
      <c r="B2320">
        <v>128</v>
      </c>
      <c r="C2320" s="6">
        <f>IF('weather data'!C2320&gt;'user input'!$C$3,'user input'!$C$3,'weather data'!C2320)</f>
        <v>19.444444444444443</v>
      </c>
      <c r="D2320" s="6">
        <f>IF('weather data'!D2320&lt;'user input'!$C$2,'user input'!$C$2,'weather data'!D2320)</f>
        <v>10</v>
      </c>
      <c r="E2320">
        <f t="shared" si="36"/>
        <v>14.722222222222221</v>
      </c>
      <c r="F2320">
        <f>IF((E2320-'user input'!$C$2)&lt;0,0,E2320-'user input'!$C$2)</f>
        <v>4.7222222222222214</v>
      </c>
      <c r="G2320">
        <f>IF(B2320&lt;'user input'!$C$5,0,(F2320+G2319))</f>
        <v>19.166666666666664</v>
      </c>
      <c r="H2320">
        <f>G2320/'user input'!$C$4</f>
        <v>1.5972222222222221E-2</v>
      </c>
    </row>
    <row r="2321" spans="1:8" x14ac:dyDescent="0.2">
      <c r="A2321" s="1">
        <v>42497</v>
      </c>
      <c r="B2321">
        <v>129</v>
      </c>
      <c r="C2321" s="6">
        <f>IF('weather data'!C2321&gt;'user input'!$C$3,'user input'!$C$3,'weather data'!C2321)</f>
        <v>29.444444444444446</v>
      </c>
      <c r="D2321" s="6">
        <f>IF('weather data'!D2321&lt;'user input'!$C$2,'user input'!$C$2,'weather data'!D2321)</f>
        <v>10</v>
      </c>
      <c r="E2321">
        <f t="shared" si="36"/>
        <v>19.722222222222221</v>
      </c>
      <c r="F2321">
        <f>IF((E2321-'user input'!$C$2)&lt;0,0,E2321-'user input'!$C$2)</f>
        <v>9.7222222222222214</v>
      </c>
      <c r="G2321">
        <f>IF(B2321&lt;'user input'!$C$5,0,(F2321+G2320))</f>
        <v>28.888888888888886</v>
      </c>
      <c r="H2321">
        <f>G2321/'user input'!$C$4</f>
        <v>2.4074074074074071E-2</v>
      </c>
    </row>
    <row r="2322" spans="1:8" x14ac:dyDescent="0.2">
      <c r="A2322" s="1">
        <v>42498</v>
      </c>
      <c r="B2322">
        <v>130</v>
      </c>
      <c r="C2322" s="6">
        <f>IF('weather data'!C2322&gt;'user input'!$C$3,'user input'!$C$3,'weather data'!C2322)</f>
        <v>20</v>
      </c>
      <c r="D2322" s="6">
        <f>IF('weather data'!D2322&lt;'user input'!$C$2,'user input'!$C$2,'weather data'!D2322)</f>
        <v>10</v>
      </c>
      <c r="E2322">
        <f t="shared" ref="E2322:E2385" si="37">(C2322+D2322)/2</f>
        <v>15</v>
      </c>
      <c r="F2322">
        <f>IF((E2322-'user input'!$C$2)&lt;0,0,E2322-'user input'!$C$2)</f>
        <v>5</v>
      </c>
      <c r="G2322">
        <f>IF(B2322&lt;'user input'!$C$5,0,(F2322+G2321))</f>
        <v>33.888888888888886</v>
      </c>
      <c r="H2322">
        <f>G2322/'user input'!$C$4</f>
        <v>2.8240740740740736E-2</v>
      </c>
    </row>
    <row r="2323" spans="1:8" x14ac:dyDescent="0.2">
      <c r="A2323" s="1">
        <v>42499</v>
      </c>
      <c r="B2323">
        <v>131</v>
      </c>
      <c r="C2323" s="6">
        <f>IF('weather data'!C2323&gt;'user input'!$C$3,'user input'!$C$3,'weather data'!C2323)</f>
        <v>22.222222222222221</v>
      </c>
      <c r="D2323" s="6">
        <f>IF('weather data'!D2323&lt;'user input'!$C$2,'user input'!$C$2,'weather data'!D2323)</f>
        <v>10</v>
      </c>
      <c r="E2323">
        <f t="shared" si="37"/>
        <v>16.111111111111111</v>
      </c>
      <c r="F2323">
        <f>IF((E2323-'user input'!$C$2)&lt;0,0,E2323-'user input'!$C$2)</f>
        <v>6.1111111111111107</v>
      </c>
      <c r="G2323">
        <f>IF(B2323&lt;'user input'!$C$5,0,(F2323+G2322))</f>
        <v>40</v>
      </c>
      <c r="H2323">
        <f>G2323/'user input'!$C$4</f>
        <v>3.3333333333333333E-2</v>
      </c>
    </row>
    <row r="2324" spans="1:8" x14ac:dyDescent="0.2">
      <c r="A2324" s="1">
        <v>42500</v>
      </c>
      <c r="B2324">
        <v>132</v>
      </c>
      <c r="C2324" s="6">
        <f>IF('weather data'!C2324&gt;'user input'!$C$3,'user input'!$C$3,'weather data'!C2324)</f>
        <v>18.888888888888889</v>
      </c>
      <c r="D2324" s="6">
        <f>IF('weather data'!D2324&lt;'user input'!$C$2,'user input'!$C$2,'weather data'!D2324)</f>
        <v>10</v>
      </c>
      <c r="E2324">
        <f t="shared" si="37"/>
        <v>14.444444444444445</v>
      </c>
      <c r="F2324">
        <f>IF((E2324-'user input'!$C$2)&lt;0,0,E2324-'user input'!$C$2)</f>
        <v>4.4444444444444446</v>
      </c>
      <c r="G2324">
        <f>IF(B2324&lt;'user input'!$C$5,0,(F2324+G2323))</f>
        <v>44.444444444444443</v>
      </c>
      <c r="H2324">
        <f>G2324/'user input'!$C$4</f>
        <v>3.7037037037037035E-2</v>
      </c>
    </row>
    <row r="2325" spans="1:8" x14ac:dyDescent="0.2">
      <c r="A2325" s="1">
        <v>42501</v>
      </c>
      <c r="B2325">
        <v>133</v>
      </c>
      <c r="C2325" s="6">
        <f>IF('weather data'!C2325&gt;'user input'!$C$3,'user input'!$C$3,'weather data'!C2325)</f>
        <v>11.111111111111111</v>
      </c>
      <c r="D2325" s="6">
        <f>IF('weather data'!D2325&lt;'user input'!$C$2,'user input'!$C$2,'weather data'!D2325)</f>
        <v>10</v>
      </c>
      <c r="E2325">
        <f t="shared" si="37"/>
        <v>10.555555555555555</v>
      </c>
      <c r="F2325">
        <f>IF((E2325-'user input'!$C$2)&lt;0,0,E2325-'user input'!$C$2)</f>
        <v>0.55555555555555536</v>
      </c>
      <c r="G2325">
        <f>IF(B2325&lt;'user input'!$C$5,0,(F2325+G2324))</f>
        <v>45</v>
      </c>
      <c r="H2325">
        <f>G2325/'user input'!$C$4</f>
        <v>3.7499999999999999E-2</v>
      </c>
    </row>
    <row r="2326" spans="1:8" x14ac:dyDescent="0.2">
      <c r="A2326" s="1">
        <v>42502</v>
      </c>
      <c r="B2326">
        <v>134</v>
      </c>
      <c r="C2326" s="6">
        <f>IF('weather data'!C2326&gt;'user input'!$C$3,'user input'!$C$3,'weather data'!C2326)</f>
        <v>20</v>
      </c>
      <c r="D2326" s="6">
        <f>IF('weather data'!D2326&lt;'user input'!$C$2,'user input'!$C$2,'weather data'!D2326)</f>
        <v>10</v>
      </c>
      <c r="E2326">
        <f t="shared" si="37"/>
        <v>15</v>
      </c>
      <c r="F2326">
        <f>IF((E2326-'user input'!$C$2)&lt;0,0,E2326-'user input'!$C$2)</f>
        <v>5</v>
      </c>
      <c r="G2326">
        <f>IF(B2326&lt;'user input'!$C$5,0,(F2326+G2325))</f>
        <v>50</v>
      </c>
      <c r="H2326">
        <f>G2326/'user input'!$C$4</f>
        <v>4.1666666666666664E-2</v>
      </c>
    </row>
    <row r="2327" spans="1:8" x14ac:dyDescent="0.2">
      <c r="A2327" s="1">
        <v>42503</v>
      </c>
      <c r="B2327">
        <v>135</v>
      </c>
      <c r="C2327" s="6">
        <f>IF('weather data'!C2327&gt;'user input'!$C$3,'user input'!$C$3,'weather data'!C2327)</f>
        <v>18.888888888888889</v>
      </c>
      <c r="D2327" s="6">
        <f>IF('weather data'!D2327&lt;'user input'!$C$2,'user input'!$C$2,'weather data'!D2327)</f>
        <v>10</v>
      </c>
      <c r="E2327">
        <f t="shared" si="37"/>
        <v>14.444444444444445</v>
      </c>
      <c r="F2327">
        <f>IF((E2327-'user input'!$C$2)&lt;0,0,E2327-'user input'!$C$2)</f>
        <v>4.4444444444444446</v>
      </c>
      <c r="G2327">
        <f>IF(B2327&lt;'user input'!$C$5,0,(F2327+G2326))</f>
        <v>54.444444444444443</v>
      </c>
      <c r="H2327">
        <f>G2327/'user input'!$C$4</f>
        <v>4.5370370370370366E-2</v>
      </c>
    </row>
    <row r="2328" spans="1:8" x14ac:dyDescent="0.2">
      <c r="A2328" s="1">
        <v>42504</v>
      </c>
      <c r="B2328">
        <v>136</v>
      </c>
      <c r="C2328" s="6">
        <f>IF('weather data'!C2328&gt;'user input'!$C$3,'user input'!$C$3,'weather data'!C2328)</f>
        <v>14.444444444444445</v>
      </c>
      <c r="D2328" s="6">
        <f>IF('weather data'!D2328&lt;'user input'!$C$2,'user input'!$C$2,'weather data'!D2328)</f>
        <v>10</v>
      </c>
      <c r="E2328">
        <f t="shared" si="37"/>
        <v>12.222222222222221</v>
      </c>
      <c r="F2328">
        <f>IF((E2328-'user input'!$C$2)&lt;0,0,E2328-'user input'!$C$2)</f>
        <v>2.2222222222222214</v>
      </c>
      <c r="G2328">
        <f>IF(B2328&lt;'user input'!$C$5,0,(F2328+G2327))</f>
        <v>56.666666666666664</v>
      </c>
      <c r="H2328">
        <f>G2328/'user input'!$C$4</f>
        <v>4.7222222222222221E-2</v>
      </c>
    </row>
    <row r="2329" spans="1:8" x14ac:dyDescent="0.2">
      <c r="A2329" s="1">
        <v>42505</v>
      </c>
      <c r="B2329">
        <v>137</v>
      </c>
      <c r="C2329" s="6">
        <f>IF('weather data'!C2329&gt;'user input'!$C$3,'user input'!$C$3,'weather data'!C2329)</f>
        <v>7.2222222222222223</v>
      </c>
      <c r="D2329" s="6">
        <f>IF('weather data'!D2329&lt;'user input'!$C$2,'user input'!$C$2,'weather data'!D2329)</f>
        <v>10</v>
      </c>
      <c r="E2329">
        <f t="shared" si="37"/>
        <v>8.6111111111111107</v>
      </c>
      <c r="F2329">
        <f>IF((E2329-'user input'!$C$2)&lt;0,0,E2329-'user input'!$C$2)</f>
        <v>0</v>
      </c>
      <c r="G2329">
        <f>IF(B2329&lt;'user input'!$C$5,0,(F2329+G2328))</f>
        <v>56.666666666666664</v>
      </c>
      <c r="H2329">
        <f>G2329/'user input'!$C$4</f>
        <v>4.7222222222222221E-2</v>
      </c>
    </row>
    <row r="2330" spans="1:8" x14ac:dyDescent="0.2">
      <c r="A2330" s="1">
        <v>42506</v>
      </c>
      <c r="B2330">
        <v>138</v>
      </c>
      <c r="C2330" s="6">
        <f>IF('weather data'!C2330&gt;'user input'!$C$3,'user input'!$C$3,'weather data'!C2330)</f>
        <v>14.444444444444445</v>
      </c>
      <c r="D2330" s="6">
        <f>IF('weather data'!D2330&lt;'user input'!$C$2,'user input'!$C$2,'weather data'!D2330)</f>
        <v>10</v>
      </c>
      <c r="E2330">
        <f t="shared" si="37"/>
        <v>12.222222222222221</v>
      </c>
      <c r="F2330">
        <f>IF((E2330-'user input'!$C$2)&lt;0,0,E2330-'user input'!$C$2)</f>
        <v>2.2222222222222214</v>
      </c>
      <c r="G2330">
        <f>IF(B2330&lt;'user input'!$C$5,0,(F2330+G2329))</f>
        <v>58.888888888888886</v>
      </c>
      <c r="H2330">
        <f>G2330/'user input'!$C$4</f>
        <v>4.9074074074074069E-2</v>
      </c>
    </row>
    <row r="2331" spans="1:8" x14ac:dyDescent="0.2">
      <c r="A2331" s="1">
        <v>42507</v>
      </c>
      <c r="B2331">
        <v>139</v>
      </c>
      <c r="C2331" s="6">
        <f>IF('weather data'!C2331&gt;'user input'!$C$3,'user input'!$C$3,'weather data'!C2331)</f>
        <v>21.111111111111111</v>
      </c>
      <c r="D2331" s="6">
        <f>IF('weather data'!D2331&lt;'user input'!$C$2,'user input'!$C$2,'weather data'!D2331)</f>
        <v>10</v>
      </c>
      <c r="E2331">
        <f t="shared" si="37"/>
        <v>15.555555555555555</v>
      </c>
      <c r="F2331">
        <f>IF((E2331-'user input'!$C$2)&lt;0,0,E2331-'user input'!$C$2)</f>
        <v>5.5555555555555554</v>
      </c>
      <c r="G2331">
        <f>IF(B2331&lt;'user input'!$C$5,0,(F2331+G2330))</f>
        <v>64.444444444444443</v>
      </c>
      <c r="H2331">
        <f>G2331/'user input'!$C$4</f>
        <v>5.3703703703703705E-2</v>
      </c>
    </row>
    <row r="2332" spans="1:8" x14ac:dyDescent="0.2">
      <c r="A2332" s="1">
        <v>42508</v>
      </c>
      <c r="B2332">
        <v>140</v>
      </c>
      <c r="C2332" s="6">
        <f>IF('weather data'!C2332&gt;'user input'!$C$3,'user input'!$C$3,'weather data'!C2332)</f>
        <v>16.111111111111111</v>
      </c>
      <c r="D2332" s="6">
        <f>IF('weather data'!D2332&lt;'user input'!$C$2,'user input'!$C$2,'weather data'!D2332)</f>
        <v>10</v>
      </c>
      <c r="E2332">
        <f t="shared" si="37"/>
        <v>13.055555555555555</v>
      </c>
      <c r="F2332">
        <f>IF((E2332-'user input'!$C$2)&lt;0,0,E2332-'user input'!$C$2)</f>
        <v>3.0555555555555554</v>
      </c>
      <c r="G2332">
        <f>IF(B2332&lt;'user input'!$C$5,0,(F2332+G2331))</f>
        <v>67.5</v>
      </c>
      <c r="H2332">
        <f>G2332/'user input'!$C$4</f>
        <v>5.6250000000000001E-2</v>
      </c>
    </row>
    <row r="2333" spans="1:8" x14ac:dyDescent="0.2">
      <c r="A2333" s="1">
        <v>42509</v>
      </c>
      <c r="B2333">
        <v>141</v>
      </c>
      <c r="C2333" s="6">
        <f>IF('weather data'!C2333&gt;'user input'!$C$3,'user input'!$C$3,'weather data'!C2333)</f>
        <v>20</v>
      </c>
      <c r="D2333" s="6">
        <f>IF('weather data'!D2333&lt;'user input'!$C$2,'user input'!$C$2,'weather data'!D2333)</f>
        <v>10</v>
      </c>
      <c r="E2333">
        <f t="shared" si="37"/>
        <v>15</v>
      </c>
      <c r="F2333">
        <f>IF((E2333-'user input'!$C$2)&lt;0,0,E2333-'user input'!$C$2)</f>
        <v>5</v>
      </c>
      <c r="G2333">
        <f>IF(B2333&lt;'user input'!$C$5,0,(F2333+G2332))</f>
        <v>72.5</v>
      </c>
      <c r="H2333">
        <f>G2333/'user input'!$C$4</f>
        <v>6.0416666666666667E-2</v>
      </c>
    </row>
    <row r="2334" spans="1:8" x14ac:dyDescent="0.2">
      <c r="A2334" s="1">
        <v>42510</v>
      </c>
      <c r="B2334">
        <v>142</v>
      </c>
      <c r="C2334" s="6">
        <f>IF('weather data'!C2334&gt;'user input'!$C$3,'user input'!$C$3,'weather data'!C2334)</f>
        <v>22.222222222222221</v>
      </c>
      <c r="D2334" s="6">
        <f>IF('weather data'!D2334&lt;'user input'!$C$2,'user input'!$C$2,'weather data'!D2334)</f>
        <v>10</v>
      </c>
      <c r="E2334">
        <f t="shared" si="37"/>
        <v>16.111111111111111</v>
      </c>
      <c r="F2334">
        <f>IF((E2334-'user input'!$C$2)&lt;0,0,E2334-'user input'!$C$2)</f>
        <v>6.1111111111111107</v>
      </c>
      <c r="G2334">
        <f>IF(B2334&lt;'user input'!$C$5,0,(F2334+G2333))</f>
        <v>78.611111111111114</v>
      </c>
      <c r="H2334">
        <f>G2334/'user input'!$C$4</f>
        <v>6.5509259259259267E-2</v>
      </c>
    </row>
    <row r="2335" spans="1:8" x14ac:dyDescent="0.2">
      <c r="A2335" s="1">
        <v>42511</v>
      </c>
      <c r="B2335">
        <v>143</v>
      </c>
      <c r="C2335" s="6">
        <f>IF('weather data'!C2335&gt;'user input'!$C$3,'user input'!$C$3,'weather data'!C2335)</f>
        <v>23.333333333333336</v>
      </c>
      <c r="D2335" s="6">
        <f>IF('weather data'!D2335&lt;'user input'!$C$2,'user input'!$C$2,'weather data'!D2335)</f>
        <v>10</v>
      </c>
      <c r="E2335">
        <f t="shared" si="37"/>
        <v>16.666666666666668</v>
      </c>
      <c r="F2335">
        <f>IF((E2335-'user input'!$C$2)&lt;0,0,E2335-'user input'!$C$2)</f>
        <v>6.6666666666666679</v>
      </c>
      <c r="G2335">
        <f>IF(B2335&lt;'user input'!$C$5,0,(F2335+G2334))</f>
        <v>85.277777777777786</v>
      </c>
      <c r="H2335">
        <f>G2335/'user input'!$C$4</f>
        <v>7.1064814814814817E-2</v>
      </c>
    </row>
    <row r="2336" spans="1:8" x14ac:dyDescent="0.2">
      <c r="A2336" s="1">
        <v>42512</v>
      </c>
      <c r="B2336">
        <v>144</v>
      </c>
      <c r="C2336" s="6">
        <f>IF('weather data'!C2336&gt;'user input'!$C$3,'user input'!$C$3,'weather data'!C2336)</f>
        <v>27.222222222222221</v>
      </c>
      <c r="D2336" s="6">
        <f>IF('weather data'!D2336&lt;'user input'!$C$2,'user input'!$C$2,'weather data'!D2336)</f>
        <v>10</v>
      </c>
      <c r="E2336">
        <f t="shared" si="37"/>
        <v>18.611111111111111</v>
      </c>
      <c r="F2336">
        <f>IF((E2336-'user input'!$C$2)&lt;0,0,E2336-'user input'!$C$2)</f>
        <v>8.6111111111111107</v>
      </c>
      <c r="G2336">
        <f>IF(B2336&lt;'user input'!$C$5,0,(F2336+G2335))</f>
        <v>93.8888888888889</v>
      </c>
      <c r="H2336">
        <f>G2336/'user input'!$C$4</f>
        <v>7.824074074074075E-2</v>
      </c>
    </row>
    <row r="2337" spans="1:8" x14ac:dyDescent="0.2">
      <c r="A2337" s="1">
        <v>42513</v>
      </c>
      <c r="B2337">
        <v>145</v>
      </c>
      <c r="C2337" s="6">
        <f>IF('weather data'!C2337&gt;'user input'!$C$3,'user input'!$C$3,'weather data'!C2337)</f>
        <v>29.444444444444446</v>
      </c>
      <c r="D2337" s="6">
        <f>IF('weather data'!D2337&lt;'user input'!$C$2,'user input'!$C$2,'weather data'!D2337)</f>
        <v>10</v>
      </c>
      <c r="E2337">
        <f t="shared" si="37"/>
        <v>19.722222222222221</v>
      </c>
      <c r="F2337">
        <f>IF((E2337-'user input'!$C$2)&lt;0,0,E2337-'user input'!$C$2)</f>
        <v>9.7222222222222214</v>
      </c>
      <c r="G2337">
        <f>IF(B2337&lt;'user input'!$C$5,0,(F2337+G2336))</f>
        <v>103.61111111111111</v>
      </c>
      <c r="H2337">
        <f>G2337/'user input'!$C$4</f>
        <v>8.6342592592592596E-2</v>
      </c>
    </row>
    <row r="2338" spans="1:8" x14ac:dyDescent="0.2">
      <c r="A2338" s="1">
        <v>42514</v>
      </c>
      <c r="B2338">
        <v>146</v>
      </c>
      <c r="C2338" s="6">
        <f>IF('weather data'!C2338&gt;'user input'!$C$3,'user input'!$C$3,'weather data'!C2338)</f>
        <v>28.888888888888889</v>
      </c>
      <c r="D2338" s="6">
        <f>IF('weather data'!D2338&lt;'user input'!$C$2,'user input'!$C$2,'weather data'!D2338)</f>
        <v>10.555555555555555</v>
      </c>
      <c r="E2338">
        <f t="shared" si="37"/>
        <v>19.722222222222221</v>
      </c>
      <c r="F2338">
        <f>IF((E2338-'user input'!$C$2)&lt;0,0,E2338-'user input'!$C$2)</f>
        <v>9.7222222222222214</v>
      </c>
      <c r="G2338">
        <f>IF(B2338&lt;'user input'!$C$5,0,(F2338+G2337))</f>
        <v>113.33333333333334</v>
      </c>
      <c r="H2338">
        <f>G2338/'user input'!$C$4</f>
        <v>9.4444444444444456E-2</v>
      </c>
    </row>
    <row r="2339" spans="1:8" x14ac:dyDescent="0.2">
      <c r="A2339" s="1">
        <v>42515</v>
      </c>
      <c r="B2339">
        <v>147</v>
      </c>
      <c r="C2339" s="6">
        <f>IF('weather data'!C2339&gt;'user input'!$C$3,'user input'!$C$3,'weather data'!C2339)</f>
        <v>28.888888888888889</v>
      </c>
      <c r="D2339" s="6">
        <f>IF('weather data'!D2339&lt;'user input'!$C$2,'user input'!$C$2,'weather data'!D2339)</f>
        <v>14.444444444444445</v>
      </c>
      <c r="E2339">
        <f t="shared" si="37"/>
        <v>21.666666666666668</v>
      </c>
      <c r="F2339">
        <f>IF((E2339-'user input'!$C$2)&lt;0,0,E2339-'user input'!$C$2)</f>
        <v>11.666666666666668</v>
      </c>
      <c r="G2339">
        <f>IF(B2339&lt;'user input'!$C$5,0,(F2339+G2338))</f>
        <v>125.00000000000001</v>
      </c>
      <c r="H2339">
        <f>G2339/'user input'!$C$4</f>
        <v>0.10416666666666669</v>
      </c>
    </row>
    <row r="2340" spans="1:8" x14ac:dyDescent="0.2">
      <c r="A2340" s="1">
        <v>42516</v>
      </c>
      <c r="B2340">
        <v>148</v>
      </c>
      <c r="C2340" s="6">
        <f>IF('weather data'!C2340&gt;'user input'!$C$3,'user input'!$C$3,'weather data'!C2340)</f>
        <v>28.888888888888889</v>
      </c>
      <c r="D2340" s="6">
        <f>IF('weather data'!D2340&lt;'user input'!$C$2,'user input'!$C$2,'weather data'!D2340)</f>
        <v>13.888888888888889</v>
      </c>
      <c r="E2340">
        <f t="shared" si="37"/>
        <v>21.388888888888889</v>
      </c>
      <c r="F2340">
        <f>IF((E2340-'user input'!$C$2)&lt;0,0,E2340-'user input'!$C$2)</f>
        <v>11.388888888888889</v>
      </c>
      <c r="G2340">
        <f>IF(B2340&lt;'user input'!$C$5,0,(F2340+G2339))</f>
        <v>136.38888888888891</v>
      </c>
      <c r="H2340">
        <f>G2340/'user input'!$C$4</f>
        <v>0.11365740740740743</v>
      </c>
    </row>
    <row r="2341" spans="1:8" x14ac:dyDescent="0.2">
      <c r="A2341" s="1">
        <v>42517</v>
      </c>
      <c r="B2341">
        <v>149</v>
      </c>
      <c r="C2341" s="6">
        <f>IF('weather data'!C2341&gt;'user input'!$C$3,'user input'!$C$3,'weather data'!C2341)</f>
        <v>29.444444444444446</v>
      </c>
      <c r="D2341" s="6">
        <f>IF('weather data'!D2341&lt;'user input'!$C$2,'user input'!$C$2,'weather data'!D2341)</f>
        <v>15</v>
      </c>
      <c r="E2341">
        <f t="shared" si="37"/>
        <v>22.222222222222221</v>
      </c>
      <c r="F2341">
        <f>IF((E2341-'user input'!$C$2)&lt;0,0,E2341-'user input'!$C$2)</f>
        <v>12.222222222222221</v>
      </c>
      <c r="G2341">
        <f>IF(B2341&lt;'user input'!$C$5,0,(F2341+G2340))</f>
        <v>148.61111111111114</v>
      </c>
      <c r="H2341">
        <f>G2341/'user input'!$C$4</f>
        <v>0.12384259259259262</v>
      </c>
    </row>
    <row r="2342" spans="1:8" x14ac:dyDescent="0.2">
      <c r="A2342" s="1">
        <v>42518</v>
      </c>
      <c r="B2342">
        <v>150</v>
      </c>
      <c r="C2342" s="6">
        <f>IF('weather data'!C2342&gt;'user input'!$C$3,'user input'!$C$3,'weather data'!C2342)</f>
        <v>26.111111111111111</v>
      </c>
      <c r="D2342" s="6">
        <f>IF('weather data'!D2342&lt;'user input'!$C$2,'user input'!$C$2,'weather data'!D2342)</f>
        <v>17.222222222222221</v>
      </c>
      <c r="E2342">
        <f t="shared" si="37"/>
        <v>21.666666666666664</v>
      </c>
      <c r="F2342">
        <f>IF((E2342-'user input'!$C$2)&lt;0,0,E2342-'user input'!$C$2)</f>
        <v>11.666666666666664</v>
      </c>
      <c r="G2342">
        <f>IF(B2342&lt;'user input'!$C$5,0,(F2342+G2341))</f>
        <v>160.2777777777778</v>
      </c>
      <c r="H2342">
        <f>G2342/'user input'!$C$4</f>
        <v>0.13356481481481483</v>
      </c>
    </row>
    <row r="2343" spans="1:8" x14ac:dyDescent="0.2">
      <c r="A2343" s="1">
        <v>42519</v>
      </c>
      <c r="B2343">
        <v>151</v>
      </c>
      <c r="C2343" s="6">
        <f>IF('weather data'!C2343&gt;'user input'!$C$3,'user input'!$C$3,'weather data'!C2343)</f>
        <v>28.333333333333336</v>
      </c>
      <c r="D2343" s="6">
        <f>IF('weather data'!D2343&lt;'user input'!$C$2,'user input'!$C$2,'weather data'!D2343)</f>
        <v>16.111111111111111</v>
      </c>
      <c r="E2343">
        <f t="shared" si="37"/>
        <v>22.222222222222221</v>
      </c>
      <c r="F2343">
        <f>IF((E2343-'user input'!$C$2)&lt;0,0,E2343-'user input'!$C$2)</f>
        <v>12.222222222222221</v>
      </c>
      <c r="G2343">
        <f>IF(B2343&lt;'user input'!$C$5,0,(F2343+G2342))</f>
        <v>172.50000000000003</v>
      </c>
      <c r="H2343">
        <f>G2343/'user input'!$C$4</f>
        <v>0.14375000000000002</v>
      </c>
    </row>
    <row r="2344" spans="1:8" x14ac:dyDescent="0.2">
      <c r="A2344" s="1">
        <v>42520</v>
      </c>
      <c r="B2344">
        <v>152</v>
      </c>
      <c r="C2344" s="6">
        <f>IF('weather data'!C2344&gt;'user input'!$C$3,'user input'!$C$3,'weather data'!C2344)</f>
        <v>26.111111111111111</v>
      </c>
      <c r="D2344" s="6">
        <f>IF('weather data'!D2344&lt;'user input'!$C$2,'user input'!$C$2,'weather data'!D2344)</f>
        <v>13.333333333333332</v>
      </c>
      <c r="E2344">
        <f t="shared" si="37"/>
        <v>19.722222222222221</v>
      </c>
      <c r="F2344">
        <f>IF((E2344-'user input'!$C$2)&lt;0,0,E2344-'user input'!$C$2)</f>
        <v>9.7222222222222214</v>
      </c>
      <c r="G2344">
        <f>IF(B2344&lt;'user input'!$C$5,0,(F2344+G2343))</f>
        <v>182.22222222222226</v>
      </c>
      <c r="H2344">
        <f>G2344/'user input'!$C$4</f>
        <v>0.15185185185185188</v>
      </c>
    </row>
    <row r="2345" spans="1:8" x14ac:dyDescent="0.2">
      <c r="A2345" s="1">
        <v>42521</v>
      </c>
      <c r="B2345">
        <v>153</v>
      </c>
      <c r="C2345" s="6">
        <f>IF('weather data'!C2345&gt;'user input'!$C$3,'user input'!$C$3,'weather data'!C2345)</f>
        <v>28.333333333333336</v>
      </c>
      <c r="D2345" s="6">
        <f>IF('weather data'!D2345&lt;'user input'!$C$2,'user input'!$C$2,'weather data'!D2345)</f>
        <v>13.888888888888889</v>
      </c>
      <c r="E2345">
        <f t="shared" si="37"/>
        <v>21.111111111111114</v>
      </c>
      <c r="F2345">
        <f>IF((E2345-'user input'!$C$2)&lt;0,0,E2345-'user input'!$C$2)</f>
        <v>11.111111111111114</v>
      </c>
      <c r="G2345">
        <f>IF(B2345&lt;'user input'!$C$5,0,(F2345+G2344))</f>
        <v>193.33333333333337</v>
      </c>
      <c r="H2345">
        <f>G2345/'user input'!$C$4</f>
        <v>0.16111111111111115</v>
      </c>
    </row>
    <row r="2346" spans="1:8" x14ac:dyDescent="0.2">
      <c r="A2346" s="1">
        <v>42522</v>
      </c>
      <c r="B2346">
        <v>154</v>
      </c>
      <c r="C2346" s="6">
        <f>IF('weather data'!C2346&gt;'user input'!$C$3,'user input'!$C$3,'weather data'!C2346)</f>
        <v>26.666666666666664</v>
      </c>
      <c r="D2346" s="6">
        <f>IF('weather data'!D2346&lt;'user input'!$C$2,'user input'!$C$2,'weather data'!D2346)</f>
        <v>16.666666666666668</v>
      </c>
      <c r="E2346">
        <f t="shared" si="37"/>
        <v>21.666666666666664</v>
      </c>
      <c r="F2346">
        <f>IF((E2346-'user input'!$C$2)&lt;0,0,E2346-'user input'!$C$2)</f>
        <v>11.666666666666664</v>
      </c>
      <c r="G2346">
        <f>IF(B2346&lt;'user input'!$C$5,0,(F2346+G2345))</f>
        <v>205.00000000000003</v>
      </c>
      <c r="H2346">
        <f>G2346/'user input'!$C$4</f>
        <v>0.17083333333333336</v>
      </c>
    </row>
    <row r="2347" spans="1:8" x14ac:dyDescent="0.2">
      <c r="A2347" s="1">
        <v>42523</v>
      </c>
      <c r="B2347">
        <v>155</v>
      </c>
      <c r="C2347" s="6">
        <f>IF('weather data'!C2347&gt;'user input'!$C$3,'user input'!$C$3,'weather data'!C2347)</f>
        <v>25.555555555555554</v>
      </c>
      <c r="D2347" s="6">
        <f>IF('weather data'!D2347&lt;'user input'!$C$2,'user input'!$C$2,'weather data'!D2347)</f>
        <v>11.111111111111111</v>
      </c>
      <c r="E2347">
        <f t="shared" si="37"/>
        <v>18.333333333333332</v>
      </c>
      <c r="F2347">
        <f>IF((E2347-'user input'!$C$2)&lt;0,0,E2347-'user input'!$C$2)</f>
        <v>8.3333333333333321</v>
      </c>
      <c r="G2347">
        <f>IF(B2347&lt;'user input'!$C$5,0,(F2347+G2346))</f>
        <v>213.33333333333337</v>
      </c>
      <c r="H2347">
        <f>G2347/'user input'!$C$4</f>
        <v>0.17777777777777781</v>
      </c>
    </row>
    <row r="2348" spans="1:8" x14ac:dyDescent="0.2">
      <c r="A2348" s="1">
        <v>42524</v>
      </c>
      <c r="B2348">
        <v>156</v>
      </c>
      <c r="C2348" s="6">
        <f>IF('weather data'!C2348&gt;'user input'!$C$3,'user input'!$C$3,'weather data'!C2348)</f>
        <v>23.333333333333336</v>
      </c>
      <c r="D2348" s="6">
        <f>IF('weather data'!D2348&lt;'user input'!$C$2,'user input'!$C$2,'weather data'!D2348)</f>
        <v>10.555555555555555</v>
      </c>
      <c r="E2348">
        <f t="shared" si="37"/>
        <v>16.944444444444446</v>
      </c>
      <c r="F2348">
        <f>IF((E2348-'user input'!$C$2)&lt;0,0,E2348-'user input'!$C$2)</f>
        <v>6.9444444444444464</v>
      </c>
      <c r="G2348">
        <f>IF(B2348&lt;'user input'!$C$5,0,(F2348+G2347))</f>
        <v>220.27777777777783</v>
      </c>
      <c r="H2348">
        <f>G2348/'user input'!$C$4</f>
        <v>0.18356481481481485</v>
      </c>
    </row>
    <row r="2349" spans="1:8" x14ac:dyDescent="0.2">
      <c r="A2349" s="1">
        <v>42525</v>
      </c>
      <c r="B2349">
        <v>157</v>
      </c>
      <c r="C2349" s="6">
        <f>IF('weather data'!C2349&gt;'user input'!$C$3,'user input'!$C$3,'weather data'!C2349)</f>
        <v>28.333333333333336</v>
      </c>
      <c r="D2349" s="6">
        <f>IF('weather data'!D2349&lt;'user input'!$C$2,'user input'!$C$2,'weather data'!D2349)</f>
        <v>12.777777777777777</v>
      </c>
      <c r="E2349">
        <f t="shared" si="37"/>
        <v>20.555555555555557</v>
      </c>
      <c r="F2349">
        <f>IF((E2349-'user input'!$C$2)&lt;0,0,E2349-'user input'!$C$2)</f>
        <v>10.555555555555557</v>
      </c>
      <c r="G2349">
        <f>IF(B2349&lt;'user input'!$C$5,0,(F2349+G2348))</f>
        <v>230.83333333333337</v>
      </c>
      <c r="H2349">
        <f>G2349/'user input'!$C$4</f>
        <v>0.19236111111111115</v>
      </c>
    </row>
    <row r="2350" spans="1:8" x14ac:dyDescent="0.2">
      <c r="A2350" s="1">
        <v>42526</v>
      </c>
      <c r="B2350">
        <v>158</v>
      </c>
      <c r="C2350" s="6">
        <f>IF('weather data'!C2350&gt;'user input'!$C$3,'user input'!$C$3,'weather data'!C2350)</f>
        <v>28.333333333333336</v>
      </c>
      <c r="D2350" s="6">
        <f>IF('weather data'!D2350&lt;'user input'!$C$2,'user input'!$C$2,'weather data'!D2350)</f>
        <v>12.777777777777777</v>
      </c>
      <c r="E2350">
        <f t="shared" si="37"/>
        <v>20.555555555555557</v>
      </c>
      <c r="F2350">
        <f>IF((E2350-'user input'!$C$2)&lt;0,0,E2350-'user input'!$C$2)</f>
        <v>10.555555555555557</v>
      </c>
      <c r="G2350">
        <f>IF(B2350&lt;'user input'!$C$5,0,(F2350+G2349))</f>
        <v>241.38888888888891</v>
      </c>
      <c r="H2350">
        <f>G2350/'user input'!$C$4</f>
        <v>0.20115740740740742</v>
      </c>
    </row>
    <row r="2351" spans="1:8" x14ac:dyDescent="0.2">
      <c r="A2351" s="1">
        <v>42527</v>
      </c>
      <c r="B2351">
        <v>159</v>
      </c>
      <c r="C2351" s="6">
        <f>IF('weather data'!C2351&gt;'user input'!$C$3,'user input'!$C$3,'weather data'!C2351)</f>
        <v>28.333333333333336</v>
      </c>
      <c r="D2351" s="6">
        <f>IF('weather data'!D2351&lt;'user input'!$C$2,'user input'!$C$2,'weather data'!D2351)</f>
        <v>10.555555555555555</v>
      </c>
      <c r="E2351">
        <f t="shared" si="37"/>
        <v>19.444444444444446</v>
      </c>
      <c r="F2351">
        <f>IF((E2351-'user input'!$C$2)&lt;0,0,E2351-'user input'!$C$2)</f>
        <v>9.4444444444444464</v>
      </c>
      <c r="G2351">
        <f>IF(B2351&lt;'user input'!$C$5,0,(F2351+G2350))</f>
        <v>250.83333333333337</v>
      </c>
      <c r="H2351">
        <f>G2351/'user input'!$C$4</f>
        <v>0.20902777777777781</v>
      </c>
    </row>
    <row r="2352" spans="1:8" x14ac:dyDescent="0.2">
      <c r="A2352" s="1">
        <v>42528</v>
      </c>
      <c r="B2352">
        <v>160</v>
      </c>
      <c r="C2352" s="6">
        <f>IF('weather data'!C2352&gt;'user input'!$C$3,'user input'!$C$3,'weather data'!C2352)</f>
        <v>22.777777777777779</v>
      </c>
      <c r="D2352" s="6">
        <f>IF('weather data'!D2352&lt;'user input'!$C$2,'user input'!$C$2,'weather data'!D2352)</f>
        <v>10.555555555555555</v>
      </c>
      <c r="E2352">
        <f t="shared" si="37"/>
        <v>16.666666666666668</v>
      </c>
      <c r="F2352">
        <f>IF((E2352-'user input'!$C$2)&lt;0,0,E2352-'user input'!$C$2)</f>
        <v>6.6666666666666679</v>
      </c>
      <c r="G2352">
        <f>IF(B2352&lt;'user input'!$C$5,0,(F2352+G2351))</f>
        <v>257.50000000000006</v>
      </c>
      <c r="H2352">
        <f>G2352/'user input'!$C$4</f>
        <v>0.21458333333333338</v>
      </c>
    </row>
    <row r="2353" spans="1:8" x14ac:dyDescent="0.2">
      <c r="A2353" s="1">
        <v>42529</v>
      </c>
      <c r="B2353">
        <v>161</v>
      </c>
      <c r="C2353" s="6">
        <f>IF('weather data'!C2353&gt;'user input'!$C$3,'user input'!$C$3,'weather data'!C2353)</f>
        <v>19.444444444444443</v>
      </c>
      <c r="D2353" s="6">
        <f>IF('weather data'!D2353&lt;'user input'!$C$2,'user input'!$C$2,'weather data'!D2353)</f>
        <v>10</v>
      </c>
      <c r="E2353">
        <f t="shared" si="37"/>
        <v>14.722222222222221</v>
      </c>
      <c r="F2353">
        <f>IF((E2353-'user input'!$C$2)&lt;0,0,E2353-'user input'!$C$2)</f>
        <v>4.7222222222222214</v>
      </c>
      <c r="G2353">
        <f>IF(B2353&lt;'user input'!$C$5,0,(F2353+G2352))</f>
        <v>262.22222222222229</v>
      </c>
      <c r="H2353">
        <f>G2353/'user input'!$C$4</f>
        <v>0.21851851851851858</v>
      </c>
    </row>
    <row r="2354" spans="1:8" x14ac:dyDescent="0.2">
      <c r="A2354" s="1">
        <v>42530</v>
      </c>
      <c r="B2354">
        <v>162</v>
      </c>
      <c r="C2354" s="6">
        <f>IF('weather data'!C2354&gt;'user input'!$C$3,'user input'!$C$3,'weather data'!C2354)</f>
        <v>23.333333333333336</v>
      </c>
      <c r="D2354" s="6">
        <f>IF('weather data'!D2354&lt;'user input'!$C$2,'user input'!$C$2,'weather data'!D2354)</f>
        <v>10</v>
      </c>
      <c r="E2354">
        <f t="shared" si="37"/>
        <v>16.666666666666668</v>
      </c>
      <c r="F2354">
        <f>IF((E2354-'user input'!$C$2)&lt;0,0,E2354-'user input'!$C$2)</f>
        <v>6.6666666666666679</v>
      </c>
      <c r="G2354">
        <f>IF(B2354&lt;'user input'!$C$5,0,(F2354+G2353))</f>
        <v>268.88888888888897</v>
      </c>
      <c r="H2354">
        <f>G2354/'user input'!$C$4</f>
        <v>0.22407407407407415</v>
      </c>
    </row>
    <row r="2355" spans="1:8" x14ac:dyDescent="0.2">
      <c r="A2355" s="1">
        <v>42531</v>
      </c>
      <c r="B2355">
        <v>163</v>
      </c>
      <c r="C2355" s="6">
        <f>IF('weather data'!C2355&gt;'user input'!$C$3,'user input'!$C$3,'weather data'!C2355)</f>
        <v>23.888888888888889</v>
      </c>
      <c r="D2355" s="6">
        <f>IF('weather data'!D2355&lt;'user input'!$C$2,'user input'!$C$2,'weather data'!D2355)</f>
        <v>13.333333333333332</v>
      </c>
      <c r="E2355">
        <f t="shared" si="37"/>
        <v>18.611111111111111</v>
      </c>
      <c r="F2355">
        <f>IF((E2355-'user input'!$C$2)&lt;0,0,E2355-'user input'!$C$2)</f>
        <v>8.6111111111111107</v>
      </c>
      <c r="G2355">
        <f>IF(B2355&lt;'user input'!$C$5,0,(F2355+G2354))</f>
        <v>277.50000000000006</v>
      </c>
      <c r="H2355">
        <f>G2355/'user input'!$C$4</f>
        <v>0.23125000000000004</v>
      </c>
    </row>
    <row r="2356" spans="1:8" x14ac:dyDescent="0.2">
      <c r="A2356" s="1">
        <v>42532</v>
      </c>
      <c r="B2356">
        <v>164</v>
      </c>
      <c r="C2356" s="6">
        <f>IF('weather data'!C2356&gt;'user input'!$C$3,'user input'!$C$3,'weather data'!C2356)</f>
        <v>30</v>
      </c>
      <c r="D2356" s="6">
        <f>IF('weather data'!D2356&lt;'user input'!$C$2,'user input'!$C$2,'weather data'!D2356)</f>
        <v>17.222222222222221</v>
      </c>
      <c r="E2356">
        <f t="shared" si="37"/>
        <v>23.611111111111111</v>
      </c>
      <c r="F2356">
        <f>IF((E2356-'user input'!$C$2)&lt;0,0,E2356-'user input'!$C$2)</f>
        <v>13.611111111111111</v>
      </c>
      <c r="G2356">
        <f>IF(B2356&lt;'user input'!$C$5,0,(F2356+G2355))</f>
        <v>291.11111111111114</v>
      </c>
      <c r="H2356">
        <f>G2356/'user input'!$C$4</f>
        <v>0.24259259259259261</v>
      </c>
    </row>
    <row r="2357" spans="1:8" x14ac:dyDescent="0.2">
      <c r="A2357" s="1">
        <v>42533</v>
      </c>
      <c r="B2357">
        <v>165</v>
      </c>
      <c r="C2357" s="6">
        <f>IF('weather data'!C2357&gt;'user input'!$C$3,'user input'!$C$3,'weather data'!C2357)</f>
        <v>30</v>
      </c>
      <c r="D2357" s="6">
        <f>IF('weather data'!D2357&lt;'user input'!$C$2,'user input'!$C$2,'weather data'!D2357)</f>
        <v>16.111111111111111</v>
      </c>
      <c r="E2357">
        <f t="shared" si="37"/>
        <v>23.055555555555557</v>
      </c>
      <c r="F2357">
        <f>IF((E2357-'user input'!$C$2)&lt;0,0,E2357-'user input'!$C$2)</f>
        <v>13.055555555555557</v>
      </c>
      <c r="G2357">
        <f>IF(B2357&lt;'user input'!$C$5,0,(F2357+G2356))</f>
        <v>304.16666666666669</v>
      </c>
      <c r="H2357">
        <f>G2357/'user input'!$C$4</f>
        <v>0.25347222222222227</v>
      </c>
    </row>
    <row r="2358" spans="1:8" x14ac:dyDescent="0.2">
      <c r="A2358" s="1">
        <v>42534</v>
      </c>
      <c r="B2358">
        <v>166</v>
      </c>
      <c r="C2358" s="6">
        <f>IF('weather data'!C2358&gt;'user input'!$C$3,'user input'!$C$3,'weather data'!C2358)</f>
        <v>22.222222222222221</v>
      </c>
      <c r="D2358" s="6">
        <f>IF('weather data'!D2358&lt;'user input'!$C$2,'user input'!$C$2,'weather data'!D2358)</f>
        <v>12.777777777777777</v>
      </c>
      <c r="E2358">
        <f t="shared" si="37"/>
        <v>17.5</v>
      </c>
      <c r="F2358">
        <f>IF((E2358-'user input'!$C$2)&lt;0,0,E2358-'user input'!$C$2)</f>
        <v>7.5</v>
      </c>
      <c r="G2358">
        <f>IF(B2358&lt;'user input'!$C$5,0,(F2358+G2357))</f>
        <v>311.66666666666669</v>
      </c>
      <c r="H2358">
        <f>G2358/'user input'!$C$4</f>
        <v>0.25972222222222224</v>
      </c>
    </row>
    <row r="2359" spans="1:8" x14ac:dyDescent="0.2">
      <c r="A2359" s="1">
        <v>42535</v>
      </c>
      <c r="B2359">
        <v>167</v>
      </c>
      <c r="C2359" s="6">
        <f>IF('weather data'!C2359&gt;'user input'!$C$3,'user input'!$C$3,'weather data'!C2359)</f>
        <v>27.222222222222221</v>
      </c>
      <c r="D2359" s="6">
        <f>IF('weather data'!D2359&lt;'user input'!$C$2,'user input'!$C$2,'weather data'!D2359)</f>
        <v>13.333333333333332</v>
      </c>
      <c r="E2359">
        <f t="shared" si="37"/>
        <v>20.277777777777779</v>
      </c>
      <c r="F2359">
        <f>IF((E2359-'user input'!$C$2)&lt;0,0,E2359-'user input'!$C$2)</f>
        <v>10.277777777777779</v>
      </c>
      <c r="G2359">
        <f>IF(B2359&lt;'user input'!$C$5,0,(F2359+G2358))</f>
        <v>321.94444444444446</v>
      </c>
      <c r="H2359">
        <f>G2359/'user input'!$C$4</f>
        <v>0.26828703703703705</v>
      </c>
    </row>
    <row r="2360" spans="1:8" x14ac:dyDescent="0.2">
      <c r="A2360" s="1">
        <v>42536</v>
      </c>
      <c r="B2360">
        <v>168</v>
      </c>
      <c r="C2360" s="6">
        <f>IF('weather data'!C2360&gt;'user input'!$C$3,'user input'!$C$3,'weather data'!C2360)</f>
        <v>28.888888888888889</v>
      </c>
      <c r="D2360" s="6">
        <f>IF('weather data'!D2360&lt;'user input'!$C$2,'user input'!$C$2,'weather data'!D2360)</f>
        <v>17.222222222222221</v>
      </c>
      <c r="E2360">
        <f t="shared" si="37"/>
        <v>23.055555555555557</v>
      </c>
      <c r="F2360">
        <f>IF((E2360-'user input'!$C$2)&lt;0,0,E2360-'user input'!$C$2)</f>
        <v>13.055555555555557</v>
      </c>
      <c r="G2360">
        <f>IF(B2360&lt;'user input'!$C$5,0,(F2360+G2359))</f>
        <v>335</v>
      </c>
      <c r="H2360">
        <f>G2360/'user input'!$C$4</f>
        <v>0.27916666666666667</v>
      </c>
    </row>
    <row r="2361" spans="1:8" x14ac:dyDescent="0.2">
      <c r="A2361" s="1">
        <v>42537</v>
      </c>
      <c r="B2361">
        <v>169</v>
      </c>
      <c r="C2361" s="6">
        <f>IF('weather data'!C2361&gt;'user input'!$C$3,'user input'!$C$3,'weather data'!C2361)</f>
        <v>30</v>
      </c>
      <c r="D2361" s="6">
        <f>IF('weather data'!D2361&lt;'user input'!$C$2,'user input'!$C$2,'weather data'!D2361)</f>
        <v>17.777777777777779</v>
      </c>
      <c r="E2361">
        <f t="shared" si="37"/>
        <v>23.888888888888889</v>
      </c>
      <c r="F2361">
        <f>IF((E2361-'user input'!$C$2)&lt;0,0,E2361-'user input'!$C$2)</f>
        <v>13.888888888888889</v>
      </c>
      <c r="G2361">
        <f>IF(B2361&lt;'user input'!$C$5,0,(F2361+G2360))</f>
        <v>348.88888888888891</v>
      </c>
      <c r="H2361">
        <f>G2361/'user input'!$C$4</f>
        <v>0.29074074074074074</v>
      </c>
    </row>
    <row r="2362" spans="1:8" x14ac:dyDescent="0.2">
      <c r="A2362" s="1">
        <v>42538</v>
      </c>
      <c r="B2362">
        <v>170</v>
      </c>
      <c r="C2362" s="6">
        <f>IF('weather data'!C2362&gt;'user input'!$C$3,'user input'!$C$3,'weather data'!C2362)</f>
        <v>22.777777777777779</v>
      </c>
      <c r="D2362" s="6">
        <f>IF('weather data'!D2362&lt;'user input'!$C$2,'user input'!$C$2,'weather data'!D2362)</f>
        <v>12.777777777777777</v>
      </c>
      <c r="E2362">
        <f t="shared" si="37"/>
        <v>17.777777777777779</v>
      </c>
      <c r="F2362">
        <f>IF((E2362-'user input'!$C$2)&lt;0,0,E2362-'user input'!$C$2)</f>
        <v>7.7777777777777786</v>
      </c>
      <c r="G2362">
        <f>IF(B2362&lt;'user input'!$C$5,0,(F2362+G2361))</f>
        <v>356.66666666666669</v>
      </c>
      <c r="H2362">
        <f>G2362/'user input'!$C$4</f>
        <v>0.29722222222222222</v>
      </c>
    </row>
    <row r="2363" spans="1:8" x14ac:dyDescent="0.2">
      <c r="A2363" s="1">
        <v>42539</v>
      </c>
      <c r="B2363">
        <v>171</v>
      </c>
      <c r="C2363" s="6">
        <f>IF('weather data'!C2363&gt;'user input'!$C$3,'user input'!$C$3,'weather data'!C2363)</f>
        <v>28.888888888888889</v>
      </c>
      <c r="D2363" s="6">
        <f>IF('weather data'!D2363&lt;'user input'!$C$2,'user input'!$C$2,'weather data'!D2363)</f>
        <v>13.888888888888889</v>
      </c>
      <c r="E2363">
        <f t="shared" si="37"/>
        <v>21.388888888888889</v>
      </c>
      <c r="F2363">
        <f>IF((E2363-'user input'!$C$2)&lt;0,0,E2363-'user input'!$C$2)</f>
        <v>11.388888888888889</v>
      </c>
      <c r="G2363">
        <f>IF(B2363&lt;'user input'!$C$5,0,(F2363+G2362))</f>
        <v>368.0555555555556</v>
      </c>
      <c r="H2363">
        <f>G2363/'user input'!$C$4</f>
        <v>0.30671296296296302</v>
      </c>
    </row>
    <row r="2364" spans="1:8" x14ac:dyDescent="0.2">
      <c r="A2364" s="1">
        <v>42540</v>
      </c>
      <c r="B2364">
        <v>172</v>
      </c>
      <c r="C2364" s="6">
        <f>IF('weather data'!C2364&gt;'user input'!$C$3,'user input'!$C$3,'weather data'!C2364)</f>
        <v>29.444444444444446</v>
      </c>
      <c r="D2364" s="6">
        <f>IF('weather data'!D2364&lt;'user input'!$C$2,'user input'!$C$2,'weather data'!D2364)</f>
        <v>13.888888888888889</v>
      </c>
      <c r="E2364">
        <f t="shared" si="37"/>
        <v>21.666666666666668</v>
      </c>
      <c r="F2364">
        <f>IF((E2364-'user input'!$C$2)&lt;0,0,E2364-'user input'!$C$2)</f>
        <v>11.666666666666668</v>
      </c>
      <c r="G2364">
        <f>IF(B2364&lt;'user input'!$C$5,0,(F2364+G2363))</f>
        <v>379.72222222222229</v>
      </c>
      <c r="H2364">
        <f>G2364/'user input'!$C$4</f>
        <v>0.31643518518518526</v>
      </c>
    </row>
    <row r="2365" spans="1:8" x14ac:dyDescent="0.2">
      <c r="A2365" s="1">
        <v>42541</v>
      </c>
      <c r="B2365">
        <v>173</v>
      </c>
      <c r="C2365" s="6">
        <f>IF('weather data'!C2365&gt;'user input'!$C$3,'user input'!$C$3,'weather data'!C2365)</f>
        <v>29.444444444444446</v>
      </c>
      <c r="D2365" s="6">
        <f>IF('weather data'!D2365&lt;'user input'!$C$2,'user input'!$C$2,'weather data'!D2365)</f>
        <v>20.555555555555554</v>
      </c>
      <c r="E2365">
        <f t="shared" si="37"/>
        <v>25</v>
      </c>
      <c r="F2365">
        <f>IF((E2365-'user input'!$C$2)&lt;0,0,E2365-'user input'!$C$2)</f>
        <v>15</v>
      </c>
      <c r="G2365">
        <f>IF(B2365&lt;'user input'!$C$5,0,(F2365+G2364))</f>
        <v>394.72222222222229</v>
      </c>
      <c r="H2365">
        <f>G2365/'user input'!$C$4</f>
        <v>0.32893518518518522</v>
      </c>
    </row>
    <row r="2366" spans="1:8" x14ac:dyDescent="0.2">
      <c r="A2366" s="1">
        <v>42542</v>
      </c>
      <c r="B2366">
        <v>174</v>
      </c>
      <c r="C2366" s="6">
        <f>IF('weather data'!C2366&gt;'user input'!$C$3,'user input'!$C$3,'weather data'!C2366)</f>
        <v>28.888888888888889</v>
      </c>
      <c r="D2366" s="6">
        <f>IF('weather data'!D2366&lt;'user input'!$C$2,'user input'!$C$2,'weather data'!D2366)</f>
        <v>12.222222222222223</v>
      </c>
      <c r="E2366">
        <f t="shared" si="37"/>
        <v>20.555555555555557</v>
      </c>
      <c r="F2366">
        <f>IF((E2366-'user input'!$C$2)&lt;0,0,E2366-'user input'!$C$2)</f>
        <v>10.555555555555557</v>
      </c>
      <c r="G2366">
        <f>IF(B2366&lt;'user input'!$C$5,0,(F2366+G2365))</f>
        <v>405.27777777777783</v>
      </c>
      <c r="H2366">
        <f>G2366/'user input'!$C$4</f>
        <v>0.33773148148148152</v>
      </c>
    </row>
    <row r="2367" spans="1:8" x14ac:dyDescent="0.2">
      <c r="A2367" s="1">
        <v>42543</v>
      </c>
      <c r="B2367">
        <v>175</v>
      </c>
      <c r="C2367" s="6">
        <f>IF('weather data'!C2367&gt;'user input'!$C$3,'user input'!$C$3,'weather data'!C2367)</f>
        <v>27.777777777777779</v>
      </c>
      <c r="D2367" s="6">
        <f>IF('weather data'!D2367&lt;'user input'!$C$2,'user input'!$C$2,'weather data'!D2367)</f>
        <v>13.333333333333332</v>
      </c>
      <c r="E2367">
        <f t="shared" si="37"/>
        <v>20.555555555555557</v>
      </c>
      <c r="F2367">
        <f>IF((E2367-'user input'!$C$2)&lt;0,0,E2367-'user input'!$C$2)</f>
        <v>10.555555555555557</v>
      </c>
      <c r="G2367">
        <f>IF(B2367&lt;'user input'!$C$5,0,(F2367+G2366))</f>
        <v>415.83333333333337</v>
      </c>
      <c r="H2367">
        <f>G2367/'user input'!$C$4</f>
        <v>0.34652777777777782</v>
      </c>
    </row>
    <row r="2368" spans="1:8" x14ac:dyDescent="0.2">
      <c r="A2368" s="1">
        <v>42544</v>
      </c>
      <c r="B2368">
        <v>176</v>
      </c>
      <c r="C2368" s="6">
        <f>IF('weather data'!C2368&gt;'user input'!$C$3,'user input'!$C$3,'weather data'!C2368)</f>
        <v>25.555555555555554</v>
      </c>
      <c r="D2368" s="6">
        <f>IF('weather data'!D2368&lt;'user input'!$C$2,'user input'!$C$2,'weather data'!D2368)</f>
        <v>16.666666666666668</v>
      </c>
      <c r="E2368">
        <f t="shared" si="37"/>
        <v>21.111111111111111</v>
      </c>
      <c r="F2368">
        <f>IF((E2368-'user input'!$C$2)&lt;0,0,E2368-'user input'!$C$2)</f>
        <v>11.111111111111111</v>
      </c>
      <c r="G2368">
        <f>IF(B2368&lt;'user input'!$C$5,0,(F2368+G2367))</f>
        <v>426.94444444444446</v>
      </c>
      <c r="H2368">
        <f>G2368/'user input'!$C$4</f>
        <v>0.35578703703703707</v>
      </c>
    </row>
    <row r="2369" spans="1:8" x14ac:dyDescent="0.2">
      <c r="A2369" s="1">
        <v>42545</v>
      </c>
      <c r="B2369">
        <v>177</v>
      </c>
      <c r="C2369" s="6">
        <f>IF('weather data'!C2369&gt;'user input'!$C$3,'user input'!$C$3,'weather data'!C2369)</f>
        <v>23.333333333333336</v>
      </c>
      <c r="D2369" s="6">
        <f>IF('weather data'!D2369&lt;'user input'!$C$2,'user input'!$C$2,'weather data'!D2369)</f>
        <v>11.666666666666668</v>
      </c>
      <c r="E2369">
        <f t="shared" si="37"/>
        <v>17.5</v>
      </c>
      <c r="F2369">
        <f>IF((E2369-'user input'!$C$2)&lt;0,0,E2369-'user input'!$C$2)</f>
        <v>7.5</v>
      </c>
      <c r="G2369">
        <f>IF(B2369&lt;'user input'!$C$5,0,(F2369+G2368))</f>
        <v>434.44444444444446</v>
      </c>
      <c r="H2369">
        <f>G2369/'user input'!$C$4</f>
        <v>0.36203703703703705</v>
      </c>
    </row>
    <row r="2370" spans="1:8" x14ac:dyDescent="0.2">
      <c r="A2370" s="1">
        <v>42546</v>
      </c>
      <c r="B2370">
        <v>178</v>
      </c>
      <c r="C2370" s="6">
        <f>IF('weather data'!C2370&gt;'user input'!$C$3,'user input'!$C$3,'weather data'!C2370)</f>
        <v>28.333333333333336</v>
      </c>
      <c r="D2370" s="6">
        <f>IF('weather data'!D2370&lt;'user input'!$C$2,'user input'!$C$2,'weather data'!D2370)</f>
        <v>13.333333333333332</v>
      </c>
      <c r="E2370">
        <f t="shared" si="37"/>
        <v>20.833333333333336</v>
      </c>
      <c r="F2370">
        <f>IF((E2370-'user input'!$C$2)&lt;0,0,E2370-'user input'!$C$2)</f>
        <v>10.833333333333336</v>
      </c>
      <c r="G2370">
        <f>IF(B2370&lt;'user input'!$C$5,0,(F2370+G2369))</f>
        <v>445.27777777777777</v>
      </c>
      <c r="H2370">
        <f>G2370/'user input'!$C$4</f>
        <v>0.37106481481481479</v>
      </c>
    </row>
    <row r="2371" spans="1:8" x14ac:dyDescent="0.2">
      <c r="A2371" s="1">
        <v>42547</v>
      </c>
      <c r="B2371">
        <v>179</v>
      </c>
      <c r="C2371" s="6">
        <f>IF('weather data'!C2371&gt;'user input'!$C$3,'user input'!$C$3,'weather data'!C2371)</f>
        <v>30</v>
      </c>
      <c r="D2371" s="6">
        <f>IF('weather data'!D2371&lt;'user input'!$C$2,'user input'!$C$2,'weather data'!D2371)</f>
        <v>19.444444444444443</v>
      </c>
      <c r="E2371">
        <f t="shared" si="37"/>
        <v>24.722222222222221</v>
      </c>
      <c r="F2371">
        <f>IF((E2371-'user input'!$C$2)&lt;0,0,E2371-'user input'!$C$2)</f>
        <v>14.722222222222221</v>
      </c>
      <c r="G2371">
        <f>IF(B2371&lt;'user input'!$C$5,0,(F2371+G2370))</f>
        <v>460</v>
      </c>
      <c r="H2371">
        <f>G2371/'user input'!$C$4</f>
        <v>0.38333333333333336</v>
      </c>
    </row>
    <row r="2372" spans="1:8" x14ac:dyDescent="0.2">
      <c r="A2372" s="1">
        <v>42548</v>
      </c>
      <c r="B2372">
        <v>180</v>
      </c>
      <c r="C2372" s="6">
        <f>IF('weather data'!C2372&gt;'user input'!$C$3,'user input'!$C$3,'weather data'!C2372)</f>
        <v>30</v>
      </c>
      <c r="D2372" s="6">
        <f>IF('weather data'!D2372&lt;'user input'!$C$2,'user input'!$C$2,'weather data'!D2372)</f>
        <v>16.111111111111111</v>
      </c>
      <c r="E2372">
        <f t="shared" si="37"/>
        <v>23.055555555555557</v>
      </c>
      <c r="F2372">
        <f>IF((E2372-'user input'!$C$2)&lt;0,0,E2372-'user input'!$C$2)</f>
        <v>13.055555555555557</v>
      </c>
      <c r="G2372">
        <f>IF(B2372&lt;'user input'!$C$5,0,(F2372+G2371))</f>
        <v>473.05555555555554</v>
      </c>
      <c r="H2372">
        <f>G2372/'user input'!$C$4</f>
        <v>0.39421296296296293</v>
      </c>
    </row>
    <row r="2373" spans="1:8" x14ac:dyDescent="0.2">
      <c r="A2373" s="1">
        <v>42549</v>
      </c>
      <c r="B2373">
        <v>181</v>
      </c>
      <c r="C2373" s="6">
        <f>IF('weather data'!C2373&gt;'user input'!$C$3,'user input'!$C$3,'weather data'!C2373)</f>
        <v>26.666666666666664</v>
      </c>
      <c r="D2373" s="6">
        <f>IF('weather data'!D2373&lt;'user input'!$C$2,'user input'!$C$2,'weather data'!D2373)</f>
        <v>13.888888888888889</v>
      </c>
      <c r="E2373">
        <f t="shared" si="37"/>
        <v>20.277777777777779</v>
      </c>
      <c r="F2373">
        <f>IF((E2373-'user input'!$C$2)&lt;0,0,E2373-'user input'!$C$2)</f>
        <v>10.277777777777779</v>
      </c>
      <c r="G2373">
        <f>IF(B2373&lt;'user input'!$C$5,0,(F2373+G2372))</f>
        <v>483.33333333333331</v>
      </c>
      <c r="H2373">
        <f>G2373/'user input'!$C$4</f>
        <v>0.40277777777777773</v>
      </c>
    </row>
    <row r="2374" spans="1:8" x14ac:dyDescent="0.2">
      <c r="A2374" s="1">
        <v>42550</v>
      </c>
      <c r="B2374">
        <v>182</v>
      </c>
      <c r="C2374" s="6">
        <f>IF('weather data'!C2374&gt;'user input'!$C$3,'user input'!$C$3,'weather data'!C2374)</f>
        <v>22.777777777777779</v>
      </c>
      <c r="D2374" s="6">
        <f>IF('weather data'!D2374&lt;'user input'!$C$2,'user input'!$C$2,'weather data'!D2374)</f>
        <v>11.666666666666668</v>
      </c>
      <c r="E2374">
        <f t="shared" si="37"/>
        <v>17.222222222222221</v>
      </c>
      <c r="F2374">
        <f>IF((E2374-'user input'!$C$2)&lt;0,0,E2374-'user input'!$C$2)</f>
        <v>7.2222222222222214</v>
      </c>
      <c r="G2374">
        <f>IF(B2374&lt;'user input'!$C$5,0,(F2374+G2373))</f>
        <v>490.55555555555554</v>
      </c>
      <c r="H2374">
        <f>G2374/'user input'!$C$4</f>
        <v>0.40879629629629627</v>
      </c>
    </row>
    <row r="2375" spans="1:8" x14ac:dyDescent="0.2">
      <c r="A2375" s="1">
        <v>42551</v>
      </c>
      <c r="B2375">
        <v>183</v>
      </c>
      <c r="C2375" s="6">
        <f>IF('weather data'!C2375&gt;'user input'!$C$3,'user input'!$C$3,'weather data'!C2375)</f>
        <v>25</v>
      </c>
      <c r="D2375" s="6">
        <f>IF('weather data'!D2375&lt;'user input'!$C$2,'user input'!$C$2,'weather data'!D2375)</f>
        <v>11.111111111111111</v>
      </c>
      <c r="E2375">
        <f t="shared" si="37"/>
        <v>18.055555555555557</v>
      </c>
      <c r="F2375">
        <f>IF((E2375-'user input'!$C$2)&lt;0,0,E2375-'user input'!$C$2)</f>
        <v>8.0555555555555571</v>
      </c>
      <c r="G2375">
        <f>IF(B2375&lt;'user input'!$C$5,0,(F2375+G2374))</f>
        <v>498.61111111111109</v>
      </c>
      <c r="H2375">
        <f>G2375/'user input'!$C$4</f>
        <v>0.41550925925925924</v>
      </c>
    </row>
    <row r="2376" spans="1:8" x14ac:dyDescent="0.2">
      <c r="A2376" s="1">
        <v>42552</v>
      </c>
      <c r="B2376">
        <v>184</v>
      </c>
      <c r="C2376" s="6">
        <f>IF('weather data'!C2376&gt;'user input'!$C$3,'user input'!$C$3,'weather data'!C2376)</f>
        <v>25.555555555555554</v>
      </c>
      <c r="D2376" s="6">
        <f>IF('weather data'!D2376&lt;'user input'!$C$2,'user input'!$C$2,'weather data'!D2376)</f>
        <v>11.666666666666668</v>
      </c>
      <c r="E2376">
        <f t="shared" si="37"/>
        <v>18.611111111111111</v>
      </c>
      <c r="F2376">
        <f>IF((E2376-'user input'!$C$2)&lt;0,0,E2376-'user input'!$C$2)</f>
        <v>8.6111111111111107</v>
      </c>
      <c r="G2376">
        <f>IF(B2376&lt;'user input'!$C$5,0,(F2376+G2375))</f>
        <v>507.22222222222217</v>
      </c>
      <c r="H2376">
        <f>G2376/'user input'!$C$4</f>
        <v>0.42268518518518516</v>
      </c>
    </row>
    <row r="2377" spans="1:8" x14ac:dyDescent="0.2">
      <c r="A2377" s="1">
        <v>42553</v>
      </c>
      <c r="B2377">
        <v>185</v>
      </c>
      <c r="C2377" s="6">
        <f>IF('weather data'!C2377&gt;'user input'!$C$3,'user input'!$C$3,'weather data'!C2377)</f>
        <v>23.333333333333336</v>
      </c>
      <c r="D2377" s="6">
        <f>IF('weather data'!D2377&lt;'user input'!$C$2,'user input'!$C$2,'weather data'!D2377)</f>
        <v>11.666666666666668</v>
      </c>
      <c r="E2377">
        <f t="shared" si="37"/>
        <v>17.5</v>
      </c>
      <c r="F2377">
        <f>IF((E2377-'user input'!$C$2)&lt;0,0,E2377-'user input'!$C$2)</f>
        <v>7.5</v>
      </c>
      <c r="G2377">
        <f>IF(B2377&lt;'user input'!$C$5,0,(F2377+G2376))</f>
        <v>514.72222222222217</v>
      </c>
      <c r="H2377">
        <f>G2377/'user input'!$C$4</f>
        <v>0.42893518518518514</v>
      </c>
    </row>
    <row r="2378" spans="1:8" x14ac:dyDescent="0.2">
      <c r="A2378" s="1">
        <v>42554</v>
      </c>
      <c r="B2378">
        <v>186</v>
      </c>
      <c r="C2378" s="6">
        <f>IF('weather data'!C2378&gt;'user input'!$C$3,'user input'!$C$3,'weather data'!C2378)</f>
        <v>23.888888888888889</v>
      </c>
      <c r="D2378" s="6">
        <f>IF('weather data'!D2378&lt;'user input'!$C$2,'user input'!$C$2,'weather data'!D2378)</f>
        <v>10</v>
      </c>
      <c r="E2378">
        <f t="shared" si="37"/>
        <v>16.944444444444443</v>
      </c>
      <c r="F2378">
        <f>IF((E2378-'user input'!$C$2)&lt;0,0,E2378-'user input'!$C$2)</f>
        <v>6.9444444444444429</v>
      </c>
      <c r="G2378">
        <f>IF(B2378&lt;'user input'!$C$5,0,(F2378+G2377))</f>
        <v>521.66666666666663</v>
      </c>
      <c r="H2378">
        <f>G2378/'user input'!$C$4</f>
        <v>0.43472222222222218</v>
      </c>
    </row>
    <row r="2379" spans="1:8" x14ac:dyDescent="0.2">
      <c r="A2379" s="1">
        <v>42555</v>
      </c>
      <c r="B2379">
        <v>187</v>
      </c>
      <c r="C2379" s="6">
        <f>IF('weather data'!C2379&gt;'user input'!$C$3,'user input'!$C$3,'weather data'!C2379)</f>
        <v>25.555555555555554</v>
      </c>
      <c r="D2379" s="6">
        <f>IF('weather data'!D2379&lt;'user input'!$C$2,'user input'!$C$2,'weather data'!D2379)</f>
        <v>11.666666666666668</v>
      </c>
      <c r="E2379">
        <f t="shared" si="37"/>
        <v>18.611111111111111</v>
      </c>
      <c r="F2379">
        <f>IF((E2379-'user input'!$C$2)&lt;0,0,E2379-'user input'!$C$2)</f>
        <v>8.6111111111111107</v>
      </c>
      <c r="G2379">
        <f>IF(B2379&lt;'user input'!$C$5,0,(F2379+G2378))</f>
        <v>530.27777777777771</v>
      </c>
      <c r="H2379">
        <f>G2379/'user input'!$C$4</f>
        <v>0.4418981481481481</v>
      </c>
    </row>
    <row r="2380" spans="1:8" x14ac:dyDescent="0.2">
      <c r="A2380" s="1">
        <v>42556</v>
      </c>
      <c r="B2380">
        <v>188</v>
      </c>
      <c r="C2380" s="6">
        <f>IF('weather data'!C2380&gt;'user input'!$C$3,'user input'!$C$3,'weather data'!C2380)</f>
        <v>23.888888888888889</v>
      </c>
      <c r="D2380" s="6">
        <f>IF('weather data'!D2380&lt;'user input'!$C$2,'user input'!$C$2,'weather data'!D2380)</f>
        <v>12.777777777777777</v>
      </c>
      <c r="E2380">
        <f t="shared" si="37"/>
        <v>18.333333333333332</v>
      </c>
      <c r="F2380">
        <f>IF((E2380-'user input'!$C$2)&lt;0,0,E2380-'user input'!$C$2)</f>
        <v>8.3333333333333321</v>
      </c>
      <c r="G2380">
        <f>IF(B2380&lt;'user input'!$C$5,0,(F2380+G2379))</f>
        <v>538.61111111111109</v>
      </c>
      <c r="H2380">
        <f>G2380/'user input'!$C$4</f>
        <v>0.44884259259259257</v>
      </c>
    </row>
    <row r="2381" spans="1:8" x14ac:dyDescent="0.2">
      <c r="A2381" s="1">
        <v>42557</v>
      </c>
      <c r="B2381">
        <v>189</v>
      </c>
      <c r="C2381" s="6">
        <f>IF('weather data'!C2381&gt;'user input'!$C$3,'user input'!$C$3,'weather data'!C2381)</f>
        <v>28.888888888888889</v>
      </c>
      <c r="D2381" s="6">
        <f>IF('weather data'!D2381&lt;'user input'!$C$2,'user input'!$C$2,'weather data'!D2381)</f>
        <v>18.888888888888889</v>
      </c>
      <c r="E2381">
        <f t="shared" si="37"/>
        <v>23.888888888888889</v>
      </c>
      <c r="F2381">
        <f>IF((E2381-'user input'!$C$2)&lt;0,0,E2381-'user input'!$C$2)</f>
        <v>13.888888888888889</v>
      </c>
      <c r="G2381">
        <f>IF(B2381&lt;'user input'!$C$5,0,(F2381+G2380))</f>
        <v>552.5</v>
      </c>
      <c r="H2381">
        <f>G2381/'user input'!$C$4</f>
        <v>0.46041666666666664</v>
      </c>
    </row>
    <row r="2382" spans="1:8" x14ac:dyDescent="0.2">
      <c r="A2382" s="1">
        <v>42558</v>
      </c>
      <c r="B2382">
        <v>190</v>
      </c>
      <c r="C2382" s="6">
        <f>IF('weather data'!C2382&gt;'user input'!$C$3,'user input'!$C$3,'weather data'!C2382)</f>
        <v>27.777777777777779</v>
      </c>
      <c r="D2382" s="6">
        <f>IF('weather data'!D2382&lt;'user input'!$C$2,'user input'!$C$2,'weather data'!D2382)</f>
        <v>17.777777777777779</v>
      </c>
      <c r="E2382">
        <f t="shared" si="37"/>
        <v>22.777777777777779</v>
      </c>
      <c r="F2382">
        <f>IF((E2382-'user input'!$C$2)&lt;0,0,E2382-'user input'!$C$2)</f>
        <v>12.777777777777779</v>
      </c>
      <c r="G2382">
        <f>IF(B2382&lt;'user input'!$C$5,0,(F2382+G2381))</f>
        <v>565.27777777777783</v>
      </c>
      <c r="H2382">
        <f>G2382/'user input'!$C$4</f>
        <v>0.47106481481481488</v>
      </c>
    </row>
    <row r="2383" spans="1:8" x14ac:dyDescent="0.2">
      <c r="A2383" s="1">
        <v>42559</v>
      </c>
      <c r="B2383">
        <v>191</v>
      </c>
      <c r="C2383" s="6">
        <f>IF('weather data'!C2383&gt;'user input'!$C$3,'user input'!$C$3,'weather data'!C2383)</f>
        <v>28.888888888888889</v>
      </c>
      <c r="D2383" s="6">
        <f>IF('weather data'!D2383&lt;'user input'!$C$2,'user input'!$C$2,'weather data'!D2383)</f>
        <v>18.333333333333332</v>
      </c>
      <c r="E2383">
        <f t="shared" si="37"/>
        <v>23.611111111111111</v>
      </c>
      <c r="F2383">
        <f>IF((E2383-'user input'!$C$2)&lt;0,0,E2383-'user input'!$C$2)</f>
        <v>13.611111111111111</v>
      </c>
      <c r="G2383">
        <f>IF(B2383&lt;'user input'!$C$5,0,(F2383+G2382))</f>
        <v>578.88888888888891</v>
      </c>
      <c r="H2383">
        <f>G2383/'user input'!$C$4</f>
        <v>0.48240740740740745</v>
      </c>
    </row>
    <row r="2384" spans="1:8" x14ac:dyDescent="0.2">
      <c r="A2384" s="1">
        <v>42560</v>
      </c>
      <c r="B2384">
        <v>192</v>
      </c>
      <c r="C2384" s="6">
        <f>IF('weather data'!C2384&gt;'user input'!$C$3,'user input'!$C$3,'weather data'!C2384)</f>
        <v>26.666666666666664</v>
      </c>
      <c r="D2384" s="6">
        <f>IF('weather data'!D2384&lt;'user input'!$C$2,'user input'!$C$2,'weather data'!D2384)</f>
        <v>15.555555555555555</v>
      </c>
      <c r="E2384">
        <f t="shared" si="37"/>
        <v>21.111111111111111</v>
      </c>
      <c r="F2384">
        <f>IF((E2384-'user input'!$C$2)&lt;0,0,E2384-'user input'!$C$2)</f>
        <v>11.111111111111111</v>
      </c>
      <c r="G2384">
        <f>IF(B2384&lt;'user input'!$C$5,0,(F2384+G2383))</f>
        <v>590</v>
      </c>
      <c r="H2384">
        <f>G2384/'user input'!$C$4</f>
        <v>0.49166666666666664</v>
      </c>
    </row>
    <row r="2385" spans="1:8" x14ac:dyDescent="0.2">
      <c r="A2385" s="1">
        <v>42561</v>
      </c>
      <c r="B2385">
        <v>193</v>
      </c>
      <c r="C2385" s="6">
        <f>IF('weather data'!C2385&gt;'user input'!$C$3,'user input'!$C$3,'weather data'!C2385)</f>
        <v>27.222222222222221</v>
      </c>
      <c r="D2385" s="6">
        <f>IF('weather data'!D2385&lt;'user input'!$C$2,'user input'!$C$2,'weather data'!D2385)</f>
        <v>14.444444444444445</v>
      </c>
      <c r="E2385">
        <f t="shared" si="37"/>
        <v>20.833333333333332</v>
      </c>
      <c r="F2385">
        <f>IF((E2385-'user input'!$C$2)&lt;0,0,E2385-'user input'!$C$2)</f>
        <v>10.833333333333332</v>
      </c>
      <c r="G2385">
        <f>IF(B2385&lt;'user input'!$C$5,0,(F2385+G2384))</f>
        <v>600.83333333333337</v>
      </c>
      <c r="H2385">
        <f>G2385/'user input'!$C$4</f>
        <v>0.50069444444444444</v>
      </c>
    </row>
    <row r="2386" spans="1:8" x14ac:dyDescent="0.2">
      <c r="A2386" s="1">
        <v>42562</v>
      </c>
      <c r="B2386">
        <v>194</v>
      </c>
      <c r="C2386" s="6">
        <f>IF('weather data'!C2386&gt;'user input'!$C$3,'user input'!$C$3,'weather data'!C2386)</f>
        <v>26.111111111111111</v>
      </c>
      <c r="D2386" s="6">
        <f>IF('weather data'!D2386&lt;'user input'!$C$2,'user input'!$C$2,'weather data'!D2386)</f>
        <v>15.555555555555555</v>
      </c>
      <c r="E2386">
        <f t="shared" ref="E2386:E2436" si="38">(C2386+D2386)/2</f>
        <v>20.833333333333332</v>
      </c>
      <c r="F2386">
        <f>IF((E2386-'user input'!$C$2)&lt;0,0,E2386-'user input'!$C$2)</f>
        <v>10.833333333333332</v>
      </c>
      <c r="G2386">
        <f>IF(B2386&lt;'user input'!$C$5,0,(F2386+G2385))</f>
        <v>611.66666666666674</v>
      </c>
      <c r="H2386">
        <f>G2386/'user input'!$C$4</f>
        <v>0.5097222222222223</v>
      </c>
    </row>
    <row r="2387" spans="1:8" x14ac:dyDescent="0.2">
      <c r="A2387" s="1">
        <v>42563</v>
      </c>
      <c r="B2387">
        <v>195</v>
      </c>
      <c r="C2387" s="6">
        <f>IF('weather data'!C2387&gt;'user input'!$C$3,'user input'!$C$3,'weather data'!C2387)</f>
        <v>30</v>
      </c>
      <c r="D2387" s="6">
        <f>IF('weather data'!D2387&lt;'user input'!$C$2,'user input'!$C$2,'weather data'!D2387)</f>
        <v>20</v>
      </c>
      <c r="E2387">
        <f t="shared" si="38"/>
        <v>25</v>
      </c>
      <c r="F2387">
        <f>IF((E2387-'user input'!$C$2)&lt;0,0,E2387-'user input'!$C$2)</f>
        <v>15</v>
      </c>
      <c r="G2387">
        <f>IF(B2387&lt;'user input'!$C$5,0,(F2387+G2386))</f>
        <v>626.66666666666674</v>
      </c>
      <c r="H2387">
        <f>G2387/'user input'!$C$4</f>
        <v>0.52222222222222225</v>
      </c>
    </row>
    <row r="2388" spans="1:8" x14ac:dyDescent="0.2">
      <c r="A2388" s="1">
        <v>42564</v>
      </c>
      <c r="B2388">
        <v>196</v>
      </c>
      <c r="C2388" s="6">
        <f>IF('weather data'!C2388&gt;'user input'!$C$3,'user input'!$C$3,'weather data'!C2388)</f>
        <v>27.222222222222221</v>
      </c>
      <c r="D2388" s="6">
        <f>IF('weather data'!D2388&lt;'user input'!$C$2,'user input'!$C$2,'weather data'!D2388)</f>
        <v>18.333333333333332</v>
      </c>
      <c r="E2388">
        <f t="shared" si="38"/>
        <v>22.777777777777779</v>
      </c>
      <c r="F2388">
        <f>IF((E2388-'user input'!$C$2)&lt;0,0,E2388-'user input'!$C$2)</f>
        <v>12.777777777777779</v>
      </c>
      <c r="G2388">
        <f>IF(B2388&lt;'user input'!$C$5,0,(F2388+G2387))</f>
        <v>639.44444444444457</v>
      </c>
      <c r="H2388">
        <f>G2388/'user input'!$C$4</f>
        <v>0.53287037037037044</v>
      </c>
    </row>
    <row r="2389" spans="1:8" x14ac:dyDescent="0.2">
      <c r="A2389" s="1">
        <v>42565</v>
      </c>
      <c r="B2389">
        <v>197</v>
      </c>
      <c r="C2389" s="6">
        <f>IF('weather data'!C2389&gt;'user input'!$C$3,'user input'!$C$3,'weather data'!C2389)</f>
        <v>29.444444444444446</v>
      </c>
      <c r="D2389" s="6">
        <f>IF('weather data'!D2389&lt;'user input'!$C$2,'user input'!$C$2,'weather data'!D2389)</f>
        <v>16.666666666666668</v>
      </c>
      <c r="E2389">
        <f t="shared" si="38"/>
        <v>23.055555555555557</v>
      </c>
      <c r="F2389">
        <f>IF((E2389-'user input'!$C$2)&lt;0,0,E2389-'user input'!$C$2)</f>
        <v>13.055555555555557</v>
      </c>
      <c r="G2389">
        <f>IF(B2389&lt;'user input'!$C$5,0,(F2389+G2388))</f>
        <v>652.50000000000011</v>
      </c>
      <c r="H2389">
        <f>G2389/'user input'!$C$4</f>
        <v>0.54375000000000007</v>
      </c>
    </row>
    <row r="2390" spans="1:8" x14ac:dyDescent="0.2">
      <c r="A2390" s="1">
        <v>42566</v>
      </c>
      <c r="B2390">
        <v>198</v>
      </c>
      <c r="C2390" s="6">
        <f>IF('weather data'!C2390&gt;'user input'!$C$3,'user input'!$C$3,'weather data'!C2390)</f>
        <v>26.111111111111111</v>
      </c>
      <c r="D2390" s="6">
        <f>IF('weather data'!D2390&lt;'user input'!$C$2,'user input'!$C$2,'weather data'!D2390)</f>
        <v>15.555555555555555</v>
      </c>
      <c r="E2390">
        <f t="shared" si="38"/>
        <v>20.833333333333332</v>
      </c>
      <c r="F2390">
        <f>IF((E2390-'user input'!$C$2)&lt;0,0,E2390-'user input'!$C$2)</f>
        <v>10.833333333333332</v>
      </c>
      <c r="G2390">
        <f>IF(B2390&lt;'user input'!$C$5,0,(F2390+G2389))</f>
        <v>663.33333333333348</v>
      </c>
      <c r="H2390">
        <f>G2390/'user input'!$C$4</f>
        <v>0.55277777777777792</v>
      </c>
    </row>
    <row r="2391" spans="1:8" x14ac:dyDescent="0.2">
      <c r="A2391" s="1">
        <v>42567</v>
      </c>
      <c r="B2391">
        <v>199</v>
      </c>
      <c r="C2391" s="6">
        <f>IF('weather data'!C2391&gt;'user input'!$C$3,'user input'!$C$3,'weather data'!C2391)</f>
        <v>21.666666666666664</v>
      </c>
      <c r="D2391" s="6">
        <f>IF('weather data'!D2391&lt;'user input'!$C$2,'user input'!$C$2,'weather data'!D2391)</f>
        <v>10.555555555555555</v>
      </c>
      <c r="E2391">
        <f t="shared" si="38"/>
        <v>16.111111111111111</v>
      </c>
      <c r="F2391">
        <f>IF((E2391-'user input'!$C$2)&lt;0,0,E2391-'user input'!$C$2)</f>
        <v>6.1111111111111107</v>
      </c>
      <c r="G2391">
        <f>IF(B2391&lt;'user input'!$C$5,0,(F2391+G2390))</f>
        <v>669.44444444444457</v>
      </c>
      <c r="H2391">
        <f>G2391/'user input'!$C$4</f>
        <v>0.55787037037037046</v>
      </c>
    </row>
    <row r="2392" spans="1:8" x14ac:dyDescent="0.2">
      <c r="A2392" s="1">
        <v>42568</v>
      </c>
      <c r="B2392">
        <v>200</v>
      </c>
      <c r="C2392" s="6">
        <f>IF('weather data'!C2392&gt;'user input'!$C$3,'user input'!$C$3,'weather data'!C2392)</f>
        <v>25.555555555555554</v>
      </c>
      <c r="D2392" s="6">
        <f>IF('weather data'!D2392&lt;'user input'!$C$2,'user input'!$C$2,'weather data'!D2392)</f>
        <v>11.666666666666668</v>
      </c>
      <c r="E2392">
        <f t="shared" si="38"/>
        <v>18.611111111111111</v>
      </c>
      <c r="F2392">
        <f>IF((E2392-'user input'!$C$2)&lt;0,0,E2392-'user input'!$C$2)</f>
        <v>8.6111111111111107</v>
      </c>
      <c r="G2392">
        <f>IF(B2392&lt;'user input'!$C$5,0,(F2392+G2391))</f>
        <v>678.05555555555566</v>
      </c>
      <c r="H2392">
        <f>G2392/'user input'!$C$4</f>
        <v>0.56504629629629644</v>
      </c>
    </row>
    <row r="2393" spans="1:8" x14ac:dyDescent="0.2">
      <c r="A2393" s="1">
        <v>42569</v>
      </c>
      <c r="B2393">
        <v>201</v>
      </c>
      <c r="C2393" s="6">
        <f>IF('weather data'!C2393&gt;'user input'!$C$3,'user input'!$C$3,'weather data'!C2393)</f>
        <v>27.222222222222221</v>
      </c>
      <c r="D2393" s="6">
        <f>IF('weather data'!D2393&lt;'user input'!$C$2,'user input'!$C$2,'weather data'!D2393)</f>
        <v>16.111111111111111</v>
      </c>
      <c r="E2393">
        <f t="shared" si="38"/>
        <v>21.666666666666664</v>
      </c>
      <c r="F2393">
        <f>IF((E2393-'user input'!$C$2)&lt;0,0,E2393-'user input'!$C$2)</f>
        <v>11.666666666666664</v>
      </c>
      <c r="G2393">
        <f>IF(B2393&lt;'user input'!$C$5,0,(F2393+G2392))</f>
        <v>689.72222222222229</v>
      </c>
      <c r="H2393">
        <f>G2393/'user input'!$C$4</f>
        <v>0.57476851851851862</v>
      </c>
    </row>
    <row r="2394" spans="1:8" x14ac:dyDescent="0.2">
      <c r="A2394" s="1">
        <v>42570</v>
      </c>
      <c r="B2394">
        <v>202</v>
      </c>
      <c r="C2394" s="6">
        <f>IF('weather data'!C2394&gt;'user input'!$C$3,'user input'!$C$3,'weather data'!C2394)</f>
        <v>28.888888888888889</v>
      </c>
      <c r="D2394" s="6">
        <f>IF('weather data'!D2394&lt;'user input'!$C$2,'user input'!$C$2,'weather data'!D2394)</f>
        <v>15.555555555555555</v>
      </c>
      <c r="E2394">
        <f t="shared" si="38"/>
        <v>22.222222222222221</v>
      </c>
      <c r="F2394">
        <f>IF((E2394-'user input'!$C$2)&lt;0,0,E2394-'user input'!$C$2)</f>
        <v>12.222222222222221</v>
      </c>
      <c r="G2394">
        <f>IF(B2394&lt;'user input'!$C$5,0,(F2394+G2393))</f>
        <v>701.94444444444446</v>
      </c>
      <c r="H2394">
        <f>G2394/'user input'!$C$4</f>
        <v>0.5849537037037037</v>
      </c>
    </row>
    <row r="2395" spans="1:8" x14ac:dyDescent="0.2">
      <c r="A2395" s="1">
        <v>42571</v>
      </c>
      <c r="B2395">
        <v>203</v>
      </c>
      <c r="C2395" s="6">
        <f>IF('weather data'!C2395&gt;'user input'!$C$3,'user input'!$C$3,'weather data'!C2395)</f>
        <v>28.888888888888889</v>
      </c>
      <c r="D2395" s="6">
        <f>IF('weather data'!D2395&lt;'user input'!$C$2,'user input'!$C$2,'weather data'!D2395)</f>
        <v>16.666666666666668</v>
      </c>
      <c r="E2395">
        <f t="shared" si="38"/>
        <v>22.777777777777779</v>
      </c>
      <c r="F2395">
        <f>IF((E2395-'user input'!$C$2)&lt;0,0,E2395-'user input'!$C$2)</f>
        <v>12.777777777777779</v>
      </c>
      <c r="G2395">
        <f>IF(B2395&lt;'user input'!$C$5,0,(F2395+G2394))</f>
        <v>714.72222222222229</v>
      </c>
      <c r="H2395">
        <f>G2395/'user input'!$C$4</f>
        <v>0.59560185185185188</v>
      </c>
    </row>
    <row r="2396" spans="1:8" x14ac:dyDescent="0.2">
      <c r="A2396" s="1">
        <v>42572</v>
      </c>
      <c r="B2396">
        <v>204</v>
      </c>
      <c r="C2396" s="6">
        <f>IF('weather data'!C2396&gt;'user input'!$C$3,'user input'!$C$3,'weather data'!C2396)</f>
        <v>28.333333333333336</v>
      </c>
      <c r="D2396" s="6">
        <f>IF('weather data'!D2396&lt;'user input'!$C$2,'user input'!$C$2,'weather data'!D2396)</f>
        <v>19.444444444444443</v>
      </c>
      <c r="E2396">
        <f t="shared" si="38"/>
        <v>23.888888888888889</v>
      </c>
      <c r="F2396">
        <f>IF((E2396-'user input'!$C$2)&lt;0,0,E2396-'user input'!$C$2)</f>
        <v>13.888888888888889</v>
      </c>
      <c r="G2396">
        <f>IF(B2396&lt;'user input'!$C$5,0,(F2396+G2395))</f>
        <v>728.6111111111112</v>
      </c>
      <c r="H2396">
        <f>G2396/'user input'!$C$4</f>
        <v>0.60717592592592595</v>
      </c>
    </row>
    <row r="2397" spans="1:8" x14ac:dyDescent="0.2">
      <c r="A2397" s="1">
        <v>42573</v>
      </c>
      <c r="B2397">
        <v>205</v>
      </c>
      <c r="C2397" s="6">
        <f>IF('weather data'!C2397&gt;'user input'!$C$3,'user input'!$C$3,'weather data'!C2397)</f>
        <v>30</v>
      </c>
      <c r="D2397" s="6">
        <f>IF('weather data'!D2397&lt;'user input'!$C$2,'user input'!$C$2,'weather data'!D2397)</f>
        <v>19.444444444444443</v>
      </c>
      <c r="E2397">
        <f t="shared" si="38"/>
        <v>24.722222222222221</v>
      </c>
      <c r="F2397">
        <f>IF((E2397-'user input'!$C$2)&lt;0,0,E2397-'user input'!$C$2)</f>
        <v>14.722222222222221</v>
      </c>
      <c r="G2397">
        <f>IF(B2397&lt;'user input'!$C$5,0,(F2397+G2396))</f>
        <v>743.33333333333337</v>
      </c>
      <c r="H2397">
        <f>G2397/'user input'!$C$4</f>
        <v>0.61944444444444446</v>
      </c>
    </row>
    <row r="2398" spans="1:8" x14ac:dyDescent="0.2">
      <c r="A2398" s="1">
        <v>42574</v>
      </c>
      <c r="B2398">
        <v>206</v>
      </c>
      <c r="C2398" s="6">
        <f>IF('weather data'!C2398&gt;'user input'!$C$3,'user input'!$C$3,'weather data'!C2398)</f>
        <v>30</v>
      </c>
      <c r="D2398" s="6">
        <f>IF('weather data'!D2398&lt;'user input'!$C$2,'user input'!$C$2,'weather data'!D2398)</f>
        <v>20</v>
      </c>
      <c r="E2398">
        <f t="shared" si="38"/>
        <v>25</v>
      </c>
      <c r="F2398">
        <f>IF((E2398-'user input'!$C$2)&lt;0,0,E2398-'user input'!$C$2)</f>
        <v>15</v>
      </c>
      <c r="G2398">
        <f>IF(B2398&lt;'user input'!$C$5,0,(F2398+G2397))</f>
        <v>758.33333333333337</v>
      </c>
      <c r="H2398">
        <f>G2398/'user input'!$C$4</f>
        <v>0.63194444444444453</v>
      </c>
    </row>
    <row r="2399" spans="1:8" x14ac:dyDescent="0.2">
      <c r="A2399" s="1">
        <v>42575</v>
      </c>
      <c r="B2399">
        <v>207</v>
      </c>
      <c r="C2399" s="6">
        <f>IF('weather data'!C2399&gt;'user input'!$C$3,'user input'!$C$3,'weather data'!C2399)</f>
        <v>27.777777777777779</v>
      </c>
      <c r="D2399" s="6">
        <f>IF('weather data'!D2399&lt;'user input'!$C$2,'user input'!$C$2,'weather data'!D2399)</f>
        <v>21.666666666666664</v>
      </c>
      <c r="E2399">
        <f t="shared" si="38"/>
        <v>24.722222222222221</v>
      </c>
      <c r="F2399">
        <f>IF((E2399-'user input'!$C$2)&lt;0,0,E2399-'user input'!$C$2)</f>
        <v>14.722222222222221</v>
      </c>
      <c r="G2399">
        <f>IF(B2399&lt;'user input'!$C$5,0,(F2399+G2398))</f>
        <v>773.05555555555554</v>
      </c>
      <c r="H2399">
        <f>G2399/'user input'!$C$4</f>
        <v>0.64421296296296293</v>
      </c>
    </row>
    <row r="2400" spans="1:8" x14ac:dyDescent="0.2">
      <c r="A2400" s="1">
        <v>42576</v>
      </c>
      <c r="B2400">
        <v>208</v>
      </c>
      <c r="C2400" s="6">
        <f>IF('weather data'!C2400&gt;'user input'!$C$3,'user input'!$C$3,'weather data'!C2400)</f>
        <v>30</v>
      </c>
      <c r="D2400" s="6">
        <f>IF('weather data'!D2400&lt;'user input'!$C$2,'user input'!$C$2,'weather data'!D2400)</f>
        <v>18.333333333333332</v>
      </c>
      <c r="E2400">
        <f t="shared" si="38"/>
        <v>24.166666666666664</v>
      </c>
      <c r="F2400">
        <f>IF((E2400-'user input'!$C$2)&lt;0,0,E2400-'user input'!$C$2)</f>
        <v>14.166666666666664</v>
      </c>
      <c r="G2400">
        <f>IF(B2400&lt;'user input'!$C$5,0,(F2400+G2399))</f>
        <v>787.22222222222217</v>
      </c>
      <c r="H2400">
        <f>G2400/'user input'!$C$4</f>
        <v>0.65601851851851845</v>
      </c>
    </row>
    <row r="2401" spans="1:8" x14ac:dyDescent="0.2">
      <c r="A2401" s="1">
        <v>42577</v>
      </c>
      <c r="B2401">
        <v>209</v>
      </c>
      <c r="C2401" s="6">
        <f>IF('weather data'!C2401&gt;'user input'!$C$3,'user input'!$C$3,'weather data'!C2401)</f>
        <v>29.444444444444446</v>
      </c>
      <c r="D2401" s="6">
        <f>IF('weather data'!D2401&lt;'user input'!$C$2,'user input'!$C$2,'weather data'!D2401)</f>
        <v>16.666666666666668</v>
      </c>
      <c r="E2401">
        <f t="shared" si="38"/>
        <v>23.055555555555557</v>
      </c>
      <c r="F2401">
        <f>IF((E2401-'user input'!$C$2)&lt;0,0,E2401-'user input'!$C$2)</f>
        <v>13.055555555555557</v>
      </c>
      <c r="G2401">
        <f>IF(B2401&lt;'user input'!$C$5,0,(F2401+G2400))</f>
        <v>800.27777777777771</v>
      </c>
      <c r="H2401">
        <f>G2401/'user input'!$C$4</f>
        <v>0.66689814814814807</v>
      </c>
    </row>
    <row r="2402" spans="1:8" x14ac:dyDescent="0.2">
      <c r="A2402" s="1">
        <v>42578</v>
      </c>
      <c r="B2402">
        <v>210</v>
      </c>
      <c r="C2402" s="6">
        <f>IF('weather data'!C2402&gt;'user input'!$C$3,'user input'!$C$3,'weather data'!C2402)</f>
        <v>30</v>
      </c>
      <c r="D2402" s="6">
        <f>IF('weather data'!D2402&lt;'user input'!$C$2,'user input'!$C$2,'weather data'!D2402)</f>
        <v>17.222222222222221</v>
      </c>
      <c r="E2402">
        <f t="shared" si="38"/>
        <v>23.611111111111111</v>
      </c>
      <c r="F2402">
        <f>IF((E2402-'user input'!$C$2)&lt;0,0,E2402-'user input'!$C$2)</f>
        <v>13.611111111111111</v>
      </c>
      <c r="G2402">
        <f>IF(B2402&lt;'user input'!$C$5,0,(F2402+G2401))</f>
        <v>813.8888888888888</v>
      </c>
      <c r="H2402">
        <f>G2402/'user input'!$C$4</f>
        <v>0.6782407407407407</v>
      </c>
    </row>
    <row r="2403" spans="1:8" x14ac:dyDescent="0.2">
      <c r="A2403" s="1">
        <v>42579</v>
      </c>
      <c r="B2403">
        <v>211</v>
      </c>
      <c r="C2403" s="6">
        <f>IF('weather data'!C2403&gt;'user input'!$C$3,'user input'!$C$3,'weather data'!C2403)</f>
        <v>30</v>
      </c>
      <c r="D2403" s="6">
        <f>IF('weather data'!D2403&lt;'user input'!$C$2,'user input'!$C$2,'weather data'!D2403)</f>
        <v>17.777777777777779</v>
      </c>
      <c r="E2403">
        <f t="shared" si="38"/>
        <v>23.888888888888889</v>
      </c>
      <c r="F2403">
        <f>IF((E2403-'user input'!$C$2)&lt;0,0,E2403-'user input'!$C$2)</f>
        <v>13.888888888888889</v>
      </c>
      <c r="G2403">
        <f>IF(B2403&lt;'user input'!$C$5,0,(F2403+G2402))</f>
        <v>827.77777777777771</v>
      </c>
      <c r="H2403">
        <f>G2403/'user input'!$C$4</f>
        <v>0.68981481481481477</v>
      </c>
    </row>
    <row r="2404" spans="1:8" x14ac:dyDescent="0.2">
      <c r="A2404" s="1">
        <v>42580</v>
      </c>
      <c r="B2404">
        <v>212</v>
      </c>
      <c r="C2404" s="6">
        <f>IF('weather data'!C2404&gt;'user input'!$C$3,'user input'!$C$3,'weather data'!C2404)</f>
        <v>24.444444444444446</v>
      </c>
      <c r="D2404" s="6">
        <f>IF('weather data'!D2404&lt;'user input'!$C$2,'user input'!$C$2,'weather data'!D2404)</f>
        <v>17.777777777777779</v>
      </c>
      <c r="E2404">
        <f t="shared" si="38"/>
        <v>21.111111111111114</v>
      </c>
      <c r="F2404">
        <f>IF((E2404-'user input'!$C$2)&lt;0,0,E2404-'user input'!$C$2)</f>
        <v>11.111111111111114</v>
      </c>
      <c r="G2404">
        <f>IF(B2404&lt;'user input'!$C$5,0,(F2404+G2403))</f>
        <v>838.8888888888888</v>
      </c>
      <c r="H2404">
        <f>G2404/'user input'!$C$4</f>
        <v>0.69907407407407396</v>
      </c>
    </row>
    <row r="2405" spans="1:8" x14ac:dyDescent="0.2">
      <c r="A2405" s="1">
        <v>42581</v>
      </c>
      <c r="B2405">
        <v>213</v>
      </c>
      <c r="C2405" s="6">
        <f>IF('weather data'!C2405&gt;'user input'!$C$3,'user input'!$C$3,'weather data'!C2405)</f>
        <v>22.222222222222221</v>
      </c>
      <c r="D2405" s="6">
        <f>IF('weather data'!D2405&lt;'user input'!$C$2,'user input'!$C$2,'weather data'!D2405)</f>
        <v>16.111111111111111</v>
      </c>
      <c r="E2405">
        <f t="shared" si="38"/>
        <v>19.166666666666664</v>
      </c>
      <c r="F2405">
        <f>IF((E2405-'user input'!$C$2)&lt;0,0,E2405-'user input'!$C$2)</f>
        <v>9.1666666666666643</v>
      </c>
      <c r="G2405">
        <f>IF(B2405&lt;'user input'!$C$5,0,(F2405+G2404))</f>
        <v>848.05555555555543</v>
      </c>
      <c r="H2405">
        <f>G2405/'user input'!$C$4</f>
        <v>0.70671296296296282</v>
      </c>
    </row>
    <row r="2406" spans="1:8" x14ac:dyDescent="0.2">
      <c r="A2406" s="1">
        <v>42582</v>
      </c>
      <c r="B2406">
        <v>214</v>
      </c>
      <c r="C2406" s="6">
        <f>IF('weather data'!C2406&gt;'user input'!$C$3,'user input'!$C$3,'weather data'!C2406)</f>
        <v>26.111111111111111</v>
      </c>
      <c r="D2406" s="6">
        <f>IF('weather data'!D2406&lt;'user input'!$C$2,'user input'!$C$2,'weather data'!D2406)</f>
        <v>13.333333333333332</v>
      </c>
      <c r="E2406">
        <f t="shared" si="38"/>
        <v>19.722222222222221</v>
      </c>
      <c r="F2406">
        <f>IF((E2406-'user input'!$C$2)&lt;0,0,E2406-'user input'!$C$2)</f>
        <v>9.7222222222222214</v>
      </c>
      <c r="G2406">
        <f>IF(B2406&lt;'user input'!$C$5,0,(F2406+G2405))</f>
        <v>857.7777777777776</v>
      </c>
      <c r="H2406">
        <f>G2406/'user input'!$C$4</f>
        <v>0.71481481481481468</v>
      </c>
    </row>
    <row r="2407" spans="1:8" x14ac:dyDescent="0.2">
      <c r="A2407" s="1">
        <v>42583</v>
      </c>
      <c r="B2407">
        <v>215</v>
      </c>
      <c r="C2407" s="6">
        <f>IF('weather data'!C2407&gt;'user input'!$C$3,'user input'!$C$3,'weather data'!C2407)</f>
        <v>28.333333333333336</v>
      </c>
      <c r="D2407" s="6">
        <f>IF('weather data'!D2407&lt;'user input'!$C$2,'user input'!$C$2,'weather data'!D2407)</f>
        <v>16.111111111111111</v>
      </c>
      <c r="E2407">
        <f t="shared" si="38"/>
        <v>22.222222222222221</v>
      </c>
      <c r="F2407">
        <f>IF((E2407-'user input'!$C$2)&lt;0,0,E2407-'user input'!$C$2)</f>
        <v>12.222222222222221</v>
      </c>
      <c r="G2407">
        <f>IF(B2407&lt;'user input'!$C$5,0,(F2407+G2406))</f>
        <v>869.99999999999977</v>
      </c>
      <c r="H2407">
        <f>G2407/'user input'!$C$4</f>
        <v>0.72499999999999976</v>
      </c>
    </row>
    <row r="2408" spans="1:8" x14ac:dyDescent="0.2">
      <c r="A2408" s="1">
        <v>42584</v>
      </c>
      <c r="B2408">
        <v>216</v>
      </c>
      <c r="C2408" s="6">
        <f>IF('weather data'!C2408&gt;'user input'!$C$3,'user input'!$C$3,'weather data'!C2408)</f>
        <v>28.888888888888889</v>
      </c>
      <c r="D2408" s="6">
        <f>IF('weather data'!D2408&lt;'user input'!$C$2,'user input'!$C$2,'weather data'!D2408)</f>
        <v>16.111111111111111</v>
      </c>
      <c r="E2408">
        <f t="shared" si="38"/>
        <v>22.5</v>
      </c>
      <c r="F2408">
        <f>IF((E2408-'user input'!$C$2)&lt;0,0,E2408-'user input'!$C$2)</f>
        <v>12.5</v>
      </c>
      <c r="G2408">
        <f>IF(B2408&lt;'user input'!$C$5,0,(F2408+G2407))</f>
        <v>882.49999999999977</v>
      </c>
      <c r="H2408">
        <f>G2408/'user input'!$C$4</f>
        <v>0.7354166666666665</v>
      </c>
    </row>
    <row r="2409" spans="1:8" x14ac:dyDescent="0.2">
      <c r="A2409" s="1">
        <v>42585</v>
      </c>
      <c r="B2409">
        <v>217</v>
      </c>
      <c r="C2409" s="6">
        <f>IF('weather data'!C2409&gt;'user input'!$C$3,'user input'!$C$3,'weather data'!C2409)</f>
        <v>29.444444444444446</v>
      </c>
      <c r="D2409" s="6">
        <f>IF('weather data'!D2409&lt;'user input'!$C$2,'user input'!$C$2,'weather data'!D2409)</f>
        <v>19.444444444444443</v>
      </c>
      <c r="E2409">
        <f t="shared" si="38"/>
        <v>24.444444444444443</v>
      </c>
      <c r="F2409">
        <f>IF((E2409-'user input'!$C$2)&lt;0,0,E2409-'user input'!$C$2)</f>
        <v>14.444444444444443</v>
      </c>
      <c r="G2409">
        <f>IF(B2409&lt;'user input'!$C$5,0,(F2409+G2408))</f>
        <v>896.94444444444423</v>
      </c>
      <c r="H2409">
        <f>G2409/'user input'!$C$4</f>
        <v>0.74745370370370356</v>
      </c>
    </row>
    <row r="2410" spans="1:8" x14ac:dyDescent="0.2">
      <c r="A2410" s="1">
        <v>42586</v>
      </c>
      <c r="B2410">
        <v>218</v>
      </c>
      <c r="C2410" s="6">
        <f>IF('weather data'!C2410&gt;'user input'!$C$3,'user input'!$C$3,'weather data'!C2410)</f>
        <v>30</v>
      </c>
      <c r="D2410" s="6">
        <f>IF('weather data'!D2410&lt;'user input'!$C$2,'user input'!$C$2,'weather data'!D2410)</f>
        <v>20.555555555555554</v>
      </c>
      <c r="E2410">
        <f t="shared" si="38"/>
        <v>25.277777777777779</v>
      </c>
      <c r="F2410">
        <f>IF((E2410-'user input'!$C$2)&lt;0,0,E2410-'user input'!$C$2)</f>
        <v>15.277777777777779</v>
      </c>
      <c r="G2410">
        <f>IF(B2410&lt;'user input'!$C$5,0,(F2410+G2409))</f>
        <v>912.22222222222206</v>
      </c>
      <c r="H2410">
        <f>G2410/'user input'!$C$4</f>
        <v>0.76018518518518507</v>
      </c>
    </row>
    <row r="2411" spans="1:8" x14ac:dyDescent="0.2">
      <c r="A2411" s="1">
        <v>42587</v>
      </c>
      <c r="B2411">
        <v>219</v>
      </c>
      <c r="C2411" s="6">
        <f>IF('weather data'!C2411&gt;'user input'!$C$3,'user input'!$C$3,'weather data'!C2411)</f>
        <v>30</v>
      </c>
      <c r="D2411" s="6">
        <f>IF('weather data'!D2411&lt;'user input'!$C$2,'user input'!$C$2,'weather data'!D2411)</f>
        <v>20</v>
      </c>
      <c r="E2411">
        <f t="shared" si="38"/>
        <v>25</v>
      </c>
      <c r="F2411">
        <f>IF((E2411-'user input'!$C$2)&lt;0,0,E2411-'user input'!$C$2)</f>
        <v>15</v>
      </c>
      <c r="G2411">
        <f>IF(B2411&lt;'user input'!$C$5,0,(F2411+G2410))</f>
        <v>927.22222222222206</v>
      </c>
      <c r="H2411">
        <f>G2411/'user input'!$C$4</f>
        <v>0.77268518518518503</v>
      </c>
    </row>
    <row r="2412" spans="1:8" x14ac:dyDescent="0.2">
      <c r="A2412" s="1">
        <v>42588</v>
      </c>
      <c r="B2412">
        <v>220</v>
      </c>
      <c r="C2412" s="6">
        <f>IF('weather data'!C2412&gt;'user input'!$C$3,'user input'!$C$3,'weather data'!C2412)</f>
        <v>26.111111111111111</v>
      </c>
      <c r="D2412" s="6">
        <f>IF('weather data'!D2412&lt;'user input'!$C$2,'user input'!$C$2,'weather data'!D2412)</f>
        <v>13.888888888888889</v>
      </c>
      <c r="E2412">
        <f t="shared" si="38"/>
        <v>20</v>
      </c>
      <c r="F2412">
        <f>IF((E2412-'user input'!$C$2)&lt;0,0,E2412-'user input'!$C$2)</f>
        <v>10</v>
      </c>
      <c r="G2412">
        <f>IF(B2412&lt;'user input'!$C$5,0,(F2412+G2411))</f>
        <v>937.22222222222206</v>
      </c>
      <c r="H2412">
        <f>G2412/'user input'!$C$4</f>
        <v>0.78101851851851833</v>
      </c>
    </row>
    <row r="2413" spans="1:8" x14ac:dyDescent="0.2">
      <c r="A2413" s="1">
        <v>42589</v>
      </c>
      <c r="B2413">
        <v>221</v>
      </c>
      <c r="C2413" s="6">
        <f>IF('weather data'!C2413&gt;'user input'!$C$3,'user input'!$C$3,'weather data'!C2413)</f>
        <v>26.111111111111111</v>
      </c>
      <c r="D2413" s="6">
        <f>IF('weather data'!D2413&lt;'user input'!$C$2,'user input'!$C$2,'weather data'!D2413)</f>
        <v>14.444444444444445</v>
      </c>
      <c r="E2413">
        <f t="shared" si="38"/>
        <v>20.277777777777779</v>
      </c>
      <c r="F2413">
        <f>IF((E2413-'user input'!$C$2)&lt;0,0,E2413-'user input'!$C$2)</f>
        <v>10.277777777777779</v>
      </c>
      <c r="G2413">
        <f>IF(B2413&lt;'user input'!$C$5,0,(F2413+G2412))</f>
        <v>947.49999999999989</v>
      </c>
      <c r="H2413">
        <f>G2413/'user input'!$C$4</f>
        <v>0.78958333333333319</v>
      </c>
    </row>
    <row r="2414" spans="1:8" x14ac:dyDescent="0.2">
      <c r="A2414" s="1">
        <v>42590</v>
      </c>
      <c r="B2414">
        <v>222</v>
      </c>
      <c r="C2414" s="6">
        <f>IF('weather data'!C2414&gt;'user input'!$C$3,'user input'!$C$3,'weather data'!C2414)</f>
        <v>25</v>
      </c>
      <c r="D2414" s="6">
        <f>IF('weather data'!D2414&lt;'user input'!$C$2,'user input'!$C$2,'weather data'!D2414)</f>
        <v>12.777777777777777</v>
      </c>
      <c r="E2414">
        <f t="shared" si="38"/>
        <v>18.888888888888889</v>
      </c>
      <c r="F2414">
        <f>IF((E2414-'user input'!$C$2)&lt;0,0,E2414-'user input'!$C$2)</f>
        <v>8.8888888888888893</v>
      </c>
      <c r="G2414">
        <f>IF(B2414&lt;'user input'!$C$5,0,(F2414+G2413))</f>
        <v>956.3888888888888</v>
      </c>
      <c r="H2414">
        <f>G2414/'user input'!$C$4</f>
        <v>0.79699074074074072</v>
      </c>
    </row>
    <row r="2415" spans="1:8" x14ac:dyDescent="0.2">
      <c r="A2415" s="1">
        <v>42591</v>
      </c>
      <c r="B2415">
        <v>223</v>
      </c>
      <c r="C2415" s="6">
        <f>IF('weather data'!C2415&gt;'user input'!$C$3,'user input'!$C$3,'weather data'!C2415)</f>
        <v>27.777777777777779</v>
      </c>
      <c r="D2415" s="6">
        <f>IF('weather data'!D2415&lt;'user input'!$C$2,'user input'!$C$2,'weather data'!D2415)</f>
        <v>13.333333333333332</v>
      </c>
      <c r="E2415">
        <f t="shared" si="38"/>
        <v>20.555555555555557</v>
      </c>
      <c r="F2415">
        <f>IF((E2415-'user input'!$C$2)&lt;0,0,E2415-'user input'!$C$2)</f>
        <v>10.555555555555557</v>
      </c>
      <c r="G2415">
        <f>IF(B2415&lt;'user input'!$C$5,0,(F2415+G2414))</f>
        <v>966.94444444444434</v>
      </c>
      <c r="H2415">
        <f>G2415/'user input'!$C$4</f>
        <v>0.80578703703703691</v>
      </c>
    </row>
    <row r="2416" spans="1:8" x14ac:dyDescent="0.2">
      <c r="A2416" s="1">
        <v>42592</v>
      </c>
      <c r="B2416">
        <v>224</v>
      </c>
      <c r="C2416" s="6">
        <f>IF('weather data'!C2416&gt;'user input'!$C$3,'user input'!$C$3,'weather data'!C2416)</f>
        <v>28.888888888888889</v>
      </c>
      <c r="D2416" s="6">
        <f>IF('weather data'!D2416&lt;'user input'!$C$2,'user input'!$C$2,'weather data'!D2416)</f>
        <v>17.777777777777779</v>
      </c>
      <c r="E2416">
        <f t="shared" si="38"/>
        <v>23.333333333333336</v>
      </c>
      <c r="F2416">
        <f>IF((E2416-'user input'!$C$2)&lt;0,0,E2416-'user input'!$C$2)</f>
        <v>13.333333333333336</v>
      </c>
      <c r="G2416">
        <f>IF(B2416&lt;'user input'!$C$5,0,(F2416+G2415))</f>
        <v>980.27777777777771</v>
      </c>
      <c r="H2416">
        <f>G2416/'user input'!$C$4</f>
        <v>0.8168981481481481</v>
      </c>
    </row>
    <row r="2417" spans="1:8" x14ac:dyDescent="0.2">
      <c r="A2417" s="1">
        <v>42593</v>
      </c>
      <c r="B2417">
        <v>225</v>
      </c>
      <c r="C2417" s="6">
        <f>IF('weather data'!C2417&gt;'user input'!$C$3,'user input'!$C$3,'weather data'!C2417)</f>
        <v>30</v>
      </c>
      <c r="D2417" s="6">
        <f>IF('weather data'!D2417&lt;'user input'!$C$2,'user input'!$C$2,'weather data'!D2417)</f>
        <v>18.333333333333332</v>
      </c>
      <c r="E2417">
        <f t="shared" si="38"/>
        <v>24.166666666666664</v>
      </c>
      <c r="F2417">
        <f>IF((E2417-'user input'!$C$2)&lt;0,0,E2417-'user input'!$C$2)</f>
        <v>14.166666666666664</v>
      </c>
      <c r="G2417">
        <f>IF(B2417&lt;'user input'!$C$5,0,(F2417+G2416))</f>
        <v>994.44444444444434</v>
      </c>
      <c r="H2417">
        <f>G2417/'user input'!$C$4</f>
        <v>0.82870370370370361</v>
      </c>
    </row>
    <row r="2418" spans="1:8" x14ac:dyDescent="0.2">
      <c r="A2418" s="1">
        <v>42594</v>
      </c>
      <c r="B2418">
        <v>226</v>
      </c>
      <c r="C2418" s="6">
        <f>IF('weather data'!C2418&gt;'user input'!$C$3,'user input'!$C$3,'weather data'!C2418)</f>
        <v>29.444444444444446</v>
      </c>
      <c r="D2418" s="6">
        <f>IF('weather data'!D2418&lt;'user input'!$C$2,'user input'!$C$2,'weather data'!D2418)</f>
        <v>22.222222222222221</v>
      </c>
      <c r="E2418">
        <f t="shared" si="38"/>
        <v>25.833333333333336</v>
      </c>
      <c r="F2418">
        <f>IF((E2418-'user input'!$C$2)&lt;0,0,E2418-'user input'!$C$2)</f>
        <v>15.833333333333336</v>
      </c>
      <c r="G2418">
        <f>IF(B2418&lt;'user input'!$C$5,0,(F2418+G2417))</f>
        <v>1010.2777777777777</v>
      </c>
      <c r="H2418">
        <f>G2418/'user input'!$C$4</f>
        <v>0.84189814814814812</v>
      </c>
    </row>
    <row r="2419" spans="1:8" x14ac:dyDescent="0.2">
      <c r="A2419" s="1">
        <v>42595</v>
      </c>
      <c r="B2419">
        <v>227</v>
      </c>
      <c r="C2419" s="6">
        <f>IF('weather data'!C2419&gt;'user input'!$C$3,'user input'!$C$3,'weather data'!C2419)</f>
        <v>26.666666666666664</v>
      </c>
      <c r="D2419" s="6">
        <f>IF('weather data'!D2419&lt;'user input'!$C$2,'user input'!$C$2,'weather data'!D2419)</f>
        <v>20</v>
      </c>
      <c r="E2419">
        <f t="shared" si="38"/>
        <v>23.333333333333332</v>
      </c>
      <c r="F2419">
        <f>IF((E2419-'user input'!$C$2)&lt;0,0,E2419-'user input'!$C$2)</f>
        <v>13.333333333333332</v>
      </c>
      <c r="G2419">
        <f>IF(B2419&lt;'user input'!$C$5,0,(F2419+G2418))</f>
        <v>1023.6111111111111</v>
      </c>
      <c r="H2419">
        <f>G2419/'user input'!$C$4</f>
        <v>0.85300925925925919</v>
      </c>
    </row>
    <row r="2420" spans="1:8" x14ac:dyDescent="0.2">
      <c r="A2420" s="1">
        <v>42596</v>
      </c>
      <c r="B2420">
        <v>228</v>
      </c>
      <c r="C2420" s="6">
        <f>IF('weather data'!C2420&gt;'user input'!$C$3,'user input'!$C$3,'weather data'!C2420)</f>
        <v>26.666666666666664</v>
      </c>
      <c r="D2420" s="6">
        <f>IF('weather data'!D2420&lt;'user input'!$C$2,'user input'!$C$2,'weather data'!D2420)</f>
        <v>16.666666666666668</v>
      </c>
      <c r="E2420">
        <f t="shared" si="38"/>
        <v>21.666666666666664</v>
      </c>
      <c r="F2420">
        <f>IF((E2420-'user input'!$C$2)&lt;0,0,E2420-'user input'!$C$2)</f>
        <v>11.666666666666664</v>
      </c>
      <c r="G2420">
        <f>IF(B2420&lt;'user input'!$C$5,0,(F2420+G2419))</f>
        <v>1035.2777777777778</v>
      </c>
      <c r="H2420">
        <f>G2420/'user input'!$C$4</f>
        <v>0.86273148148148149</v>
      </c>
    </row>
    <row r="2421" spans="1:8" x14ac:dyDescent="0.2">
      <c r="A2421" s="1">
        <v>42597</v>
      </c>
      <c r="B2421">
        <v>229</v>
      </c>
      <c r="C2421" s="6">
        <f>IF('weather data'!C2421&gt;'user input'!$C$3,'user input'!$C$3,'weather data'!C2421)</f>
        <v>28.333333333333336</v>
      </c>
      <c r="D2421" s="6">
        <f>IF('weather data'!D2421&lt;'user input'!$C$2,'user input'!$C$2,'weather data'!D2421)</f>
        <v>16.111111111111111</v>
      </c>
      <c r="E2421">
        <f t="shared" si="38"/>
        <v>22.222222222222221</v>
      </c>
      <c r="F2421">
        <f>IF((E2421-'user input'!$C$2)&lt;0,0,E2421-'user input'!$C$2)</f>
        <v>12.222222222222221</v>
      </c>
      <c r="G2421">
        <f>IF(B2421&lt;'user input'!$C$5,0,(F2421+G2420))</f>
        <v>1047.5</v>
      </c>
      <c r="H2421">
        <f>G2421/'user input'!$C$4</f>
        <v>0.87291666666666667</v>
      </c>
    </row>
    <row r="2422" spans="1:8" x14ac:dyDescent="0.2">
      <c r="A2422" s="1">
        <v>42598</v>
      </c>
      <c r="B2422">
        <v>230</v>
      </c>
      <c r="C2422" s="6">
        <f>IF('weather data'!C2422&gt;'user input'!$C$3,'user input'!$C$3,'weather data'!C2422)</f>
        <v>27.777777777777779</v>
      </c>
      <c r="D2422" s="6">
        <f>IF('weather data'!D2422&lt;'user input'!$C$2,'user input'!$C$2,'weather data'!D2422)</f>
        <v>16.666666666666668</v>
      </c>
      <c r="E2422">
        <f t="shared" si="38"/>
        <v>22.222222222222221</v>
      </c>
      <c r="F2422">
        <f>IF((E2422-'user input'!$C$2)&lt;0,0,E2422-'user input'!$C$2)</f>
        <v>12.222222222222221</v>
      </c>
      <c r="G2422">
        <f>IF(B2422&lt;'user input'!$C$5,0,(F2422+G2421))</f>
        <v>1059.7222222222222</v>
      </c>
      <c r="H2422">
        <f>G2422/'user input'!$C$4</f>
        <v>0.88310185185185186</v>
      </c>
    </row>
    <row r="2423" spans="1:8" x14ac:dyDescent="0.2">
      <c r="A2423" s="1">
        <v>42599</v>
      </c>
      <c r="B2423">
        <v>231</v>
      </c>
      <c r="C2423" s="6">
        <f>IF('weather data'!C2423&gt;'user input'!$C$3,'user input'!$C$3,'weather data'!C2423)</f>
        <v>28.888888888888889</v>
      </c>
      <c r="D2423" s="6">
        <f>IF('weather data'!D2423&lt;'user input'!$C$2,'user input'!$C$2,'weather data'!D2423)</f>
        <v>16.666666666666668</v>
      </c>
      <c r="E2423">
        <f t="shared" si="38"/>
        <v>22.777777777777779</v>
      </c>
      <c r="F2423">
        <f>IF((E2423-'user input'!$C$2)&lt;0,0,E2423-'user input'!$C$2)</f>
        <v>12.777777777777779</v>
      </c>
      <c r="G2423">
        <f>IF(B2423&lt;'user input'!$C$5,0,(F2423+G2422))</f>
        <v>1072.5</v>
      </c>
      <c r="H2423">
        <f>G2423/'user input'!$C$4</f>
        <v>0.89375000000000004</v>
      </c>
    </row>
    <row r="2424" spans="1:8" x14ac:dyDescent="0.2">
      <c r="A2424" s="1">
        <v>42600</v>
      </c>
      <c r="B2424">
        <v>232</v>
      </c>
      <c r="C2424" s="6">
        <f>IF('weather data'!C2424&gt;'user input'!$C$3,'user input'!$C$3,'weather data'!C2424)</f>
        <v>29.444444444444446</v>
      </c>
      <c r="D2424" s="6">
        <f>IF('weather data'!D2424&lt;'user input'!$C$2,'user input'!$C$2,'weather data'!D2424)</f>
        <v>17.222222222222221</v>
      </c>
      <c r="E2424">
        <f t="shared" si="38"/>
        <v>23.333333333333336</v>
      </c>
      <c r="F2424">
        <f>IF((E2424-'user input'!$C$2)&lt;0,0,E2424-'user input'!$C$2)</f>
        <v>13.333333333333336</v>
      </c>
      <c r="G2424">
        <f>IF(B2424&lt;'user input'!$C$5,0,(F2424+G2423))</f>
        <v>1085.8333333333333</v>
      </c>
      <c r="H2424">
        <f>G2424/'user input'!$C$4</f>
        <v>0.90486111111111101</v>
      </c>
    </row>
    <row r="2425" spans="1:8" x14ac:dyDescent="0.2">
      <c r="A2425" s="1">
        <v>42601</v>
      </c>
      <c r="B2425">
        <v>233</v>
      </c>
      <c r="C2425" s="6">
        <f>IF('weather data'!C2425&gt;'user input'!$C$3,'user input'!$C$3,'weather data'!C2425)</f>
        <v>30</v>
      </c>
      <c r="D2425" s="6">
        <f>IF('weather data'!D2425&lt;'user input'!$C$2,'user input'!$C$2,'weather data'!D2425)</f>
        <v>18.333333333333332</v>
      </c>
      <c r="E2425">
        <f t="shared" si="38"/>
        <v>24.166666666666664</v>
      </c>
      <c r="F2425">
        <f>IF((E2425-'user input'!$C$2)&lt;0,0,E2425-'user input'!$C$2)</f>
        <v>14.166666666666664</v>
      </c>
      <c r="G2425">
        <f>IF(B2425&lt;'user input'!$C$5,0,(F2425+G2424))</f>
        <v>1100</v>
      </c>
      <c r="H2425">
        <f>G2425/'user input'!$C$4</f>
        <v>0.91666666666666663</v>
      </c>
    </row>
    <row r="2426" spans="1:8" x14ac:dyDescent="0.2">
      <c r="A2426" s="1">
        <v>42602</v>
      </c>
      <c r="B2426">
        <v>234</v>
      </c>
      <c r="C2426" s="6">
        <f>IF('weather data'!C2426&gt;'user input'!$C$3,'user input'!$C$3,'weather data'!C2426)</f>
        <v>25.555555555555554</v>
      </c>
      <c r="D2426" s="6">
        <f>IF('weather data'!D2426&lt;'user input'!$C$2,'user input'!$C$2,'weather data'!D2426)</f>
        <v>17.777777777777779</v>
      </c>
      <c r="E2426">
        <f t="shared" si="38"/>
        <v>21.666666666666664</v>
      </c>
      <c r="F2426">
        <f>IF((E2426-'user input'!$C$2)&lt;0,0,E2426-'user input'!$C$2)</f>
        <v>11.666666666666664</v>
      </c>
      <c r="G2426">
        <f>IF(B2426&lt;'user input'!$C$5,0,(F2426+G2425))</f>
        <v>1111.6666666666667</v>
      </c>
      <c r="H2426">
        <f>G2426/'user input'!$C$4</f>
        <v>0.92638888888888893</v>
      </c>
    </row>
    <row r="2427" spans="1:8" x14ac:dyDescent="0.2">
      <c r="A2427" s="1">
        <v>42603</v>
      </c>
      <c r="B2427">
        <v>235</v>
      </c>
      <c r="C2427" s="6">
        <f>IF('weather data'!C2427&gt;'user input'!$C$3,'user input'!$C$3,'weather data'!C2427)</f>
        <v>22.777777777777779</v>
      </c>
      <c r="D2427" s="6">
        <f>IF('weather data'!D2427&lt;'user input'!$C$2,'user input'!$C$2,'weather data'!D2427)</f>
        <v>13.333333333333332</v>
      </c>
      <c r="E2427">
        <f t="shared" si="38"/>
        <v>18.055555555555557</v>
      </c>
      <c r="F2427">
        <f>IF((E2427-'user input'!$C$2)&lt;0,0,E2427-'user input'!$C$2)</f>
        <v>8.0555555555555571</v>
      </c>
      <c r="G2427">
        <f>IF(B2427&lt;'user input'!$C$5,0,(F2427+G2426))</f>
        <v>1119.7222222222224</v>
      </c>
      <c r="H2427">
        <f>G2427/'user input'!$C$4</f>
        <v>0.93310185185185202</v>
      </c>
    </row>
    <row r="2428" spans="1:8" x14ac:dyDescent="0.2">
      <c r="A2428" s="1">
        <v>42604</v>
      </c>
      <c r="B2428">
        <v>236</v>
      </c>
      <c r="C2428" s="6">
        <f>IF('weather data'!C2428&gt;'user input'!$C$3,'user input'!$C$3,'weather data'!C2428)</f>
        <v>22.222222222222221</v>
      </c>
      <c r="D2428" s="6">
        <f>IF('weather data'!D2428&lt;'user input'!$C$2,'user input'!$C$2,'weather data'!D2428)</f>
        <v>10</v>
      </c>
      <c r="E2428">
        <f t="shared" si="38"/>
        <v>16.111111111111111</v>
      </c>
      <c r="F2428">
        <f>IF((E2428-'user input'!$C$2)&lt;0,0,E2428-'user input'!$C$2)</f>
        <v>6.1111111111111107</v>
      </c>
      <c r="G2428">
        <f>IF(B2428&lt;'user input'!$C$5,0,(F2428+G2427))</f>
        <v>1125.8333333333335</v>
      </c>
      <c r="H2428">
        <f>G2428/'user input'!$C$4</f>
        <v>0.93819444444444455</v>
      </c>
    </row>
    <row r="2429" spans="1:8" x14ac:dyDescent="0.2">
      <c r="A2429" s="1">
        <v>42605</v>
      </c>
      <c r="B2429">
        <v>237</v>
      </c>
      <c r="C2429" s="6">
        <f>IF('weather data'!C2429&gt;'user input'!$C$3,'user input'!$C$3,'weather data'!C2429)</f>
        <v>25</v>
      </c>
      <c r="D2429" s="6">
        <f>IF('weather data'!D2429&lt;'user input'!$C$2,'user input'!$C$2,'weather data'!D2429)</f>
        <v>10</v>
      </c>
      <c r="E2429">
        <f t="shared" si="38"/>
        <v>17.5</v>
      </c>
      <c r="F2429">
        <f>IF((E2429-'user input'!$C$2)&lt;0,0,E2429-'user input'!$C$2)</f>
        <v>7.5</v>
      </c>
      <c r="G2429">
        <f>IF(B2429&lt;'user input'!$C$5,0,(F2429+G2428))</f>
        <v>1133.3333333333335</v>
      </c>
      <c r="H2429">
        <f>G2429/'user input'!$C$4</f>
        <v>0.94444444444444453</v>
      </c>
    </row>
    <row r="2430" spans="1:8" x14ac:dyDescent="0.2">
      <c r="A2430" s="1">
        <v>42606</v>
      </c>
      <c r="B2430">
        <v>238</v>
      </c>
      <c r="C2430" s="6">
        <f>IF('weather data'!C2430&gt;'user input'!$C$3,'user input'!$C$3,'weather data'!C2430)</f>
        <v>26.666666666666664</v>
      </c>
      <c r="D2430" s="6">
        <f>IF('weather data'!D2430&lt;'user input'!$C$2,'user input'!$C$2,'weather data'!D2430)</f>
        <v>14.444444444444445</v>
      </c>
      <c r="E2430">
        <f t="shared" si="38"/>
        <v>20.555555555555554</v>
      </c>
      <c r="F2430">
        <f>IF((E2430-'user input'!$C$2)&lt;0,0,E2430-'user input'!$C$2)</f>
        <v>10.555555555555554</v>
      </c>
      <c r="G2430">
        <f>IF(B2430&lt;'user input'!$C$5,0,(F2430+G2429))</f>
        <v>1143.8888888888891</v>
      </c>
      <c r="H2430">
        <f>G2430/'user input'!$C$4</f>
        <v>0.95324074074074094</v>
      </c>
    </row>
    <row r="2431" spans="1:8" x14ac:dyDescent="0.2">
      <c r="A2431" s="1">
        <v>42607</v>
      </c>
      <c r="B2431">
        <v>239</v>
      </c>
      <c r="C2431" s="6">
        <f>IF('weather data'!C2431&gt;'user input'!$C$3,'user input'!$C$3,'weather data'!C2431)</f>
        <v>28.333333333333336</v>
      </c>
      <c r="D2431" s="6">
        <f>IF('weather data'!D2431&lt;'user input'!$C$2,'user input'!$C$2,'weather data'!D2431)</f>
        <v>17.777777777777779</v>
      </c>
      <c r="E2431">
        <f t="shared" si="38"/>
        <v>23.055555555555557</v>
      </c>
      <c r="F2431">
        <f>IF((E2431-'user input'!$C$2)&lt;0,0,E2431-'user input'!$C$2)</f>
        <v>13.055555555555557</v>
      </c>
      <c r="G2431">
        <f>IF(B2431&lt;'user input'!$C$5,0,(F2431+G2430))</f>
        <v>1156.9444444444448</v>
      </c>
      <c r="H2431">
        <f>G2431/'user input'!$C$4</f>
        <v>0.96412037037037068</v>
      </c>
    </row>
    <row r="2432" spans="1:8" x14ac:dyDescent="0.2">
      <c r="A2432" s="1">
        <v>42608</v>
      </c>
      <c r="B2432">
        <v>240</v>
      </c>
      <c r="C2432" s="6">
        <f>IF('weather data'!C2432&gt;'user input'!$C$3,'user input'!$C$3,'weather data'!C2432)</f>
        <v>25.555555555555554</v>
      </c>
      <c r="D2432" s="6">
        <f>IF('weather data'!D2432&lt;'user input'!$C$2,'user input'!$C$2,'weather data'!D2432)</f>
        <v>13.333333333333332</v>
      </c>
      <c r="E2432">
        <f t="shared" si="38"/>
        <v>19.444444444444443</v>
      </c>
      <c r="F2432">
        <f>IF((E2432-'user input'!$C$2)&lt;0,0,E2432-'user input'!$C$2)</f>
        <v>9.4444444444444429</v>
      </c>
      <c r="G2432">
        <f>IF(B2432&lt;'user input'!$C$5,0,(F2432+G2431))</f>
        <v>1166.3888888888891</v>
      </c>
      <c r="H2432">
        <f>G2432/'user input'!$C$4</f>
        <v>0.97199074074074099</v>
      </c>
    </row>
    <row r="2433" spans="1:8" x14ac:dyDescent="0.2">
      <c r="A2433" s="1">
        <v>42609</v>
      </c>
      <c r="B2433">
        <v>241</v>
      </c>
      <c r="C2433" s="6">
        <f>IF('weather data'!C2433&gt;'user input'!$C$3,'user input'!$C$3,'weather data'!C2433)</f>
        <v>22.777777777777779</v>
      </c>
      <c r="D2433" s="6">
        <f>IF('weather data'!D2433&lt;'user input'!$C$2,'user input'!$C$2,'weather data'!D2433)</f>
        <v>14.444444444444445</v>
      </c>
      <c r="E2433">
        <f t="shared" si="38"/>
        <v>18.611111111111111</v>
      </c>
      <c r="F2433">
        <f>IF((E2433-'user input'!$C$2)&lt;0,0,E2433-'user input'!$C$2)</f>
        <v>8.6111111111111107</v>
      </c>
      <c r="G2433">
        <f>IF(B2433&lt;'user input'!$C$5,0,(F2433+G2432))</f>
        <v>1175.0000000000002</v>
      </c>
      <c r="H2433">
        <f>G2433/'user input'!$C$4</f>
        <v>0.97916666666666685</v>
      </c>
    </row>
    <row r="2434" spans="1:8" x14ac:dyDescent="0.2">
      <c r="A2434" s="1">
        <v>42610</v>
      </c>
      <c r="B2434">
        <v>242</v>
      </c>
      <c r="C2434" s="6">
        <f>IF('weather data'!C2434&gt;'user input'!$C$3,'user input'!$C$3,'weather data'!C2434)</f>
        <v>21.666666666666664</v>
      </c>
      <c r="D2434" s="6">
        <f>IF('weather data'!D2434&lt;'user input'!$C$2,'user input'!$C$2,'weather data'!D2434)</f>
        <v>16.111111111111111</v>
      </c>
      <c r="E2434">
        <f t="shared" si="38"/>
        <v>18.888888888888886</v>
      </c>
      <c r="F2434">
        <f>IF((E2434-'user input'!$C$2)&lt;0,0,E2434-'user input'!$C$2)</f>
        <v>8.8888888888888857</v>
      </c>
      <c r="G2434">
        <f>IF(B2434&lt;'user input'!$C$5,0,(F2434+G2433))</f>
        <v>1183.8888888888891</v>
      </c>
      <c r="H2434">
        <f>G2434/'user input'!$C$4</f>
        <v>0.98657407407407427</v>
      </c>
    </row>
    <row r="2435" spans="1:8" x14ac:dyDescent="0.2">
      <c r="A2435" s="1">
        <v>42611</v>
      </c>
      <c r="B2435">
        <v>243</v>
      </c>
      <c r="C2435" s="6">
        <f>IF('weather data'!C2435&gt;'user input'!$C$3,'user input'!$C$3,'weather data'!C2435)</f>
        <v>26.111111111111111</v>
      </c>
      <c r="D2435" s="6">
        <f>IF('weather data'!D2435&lt;'user input'!$C$2,'user input'!$C$2,'weather data'!D2435)</f>
        <v>18.333333333333332</v>
      </c>
      <c r="E2435">
        <f t="shared" si="38"/>
        <v>22.222222222222221</v>
      </c>
      <c r="F2435">
        <f>IF((E2435-'user input'!$C$2)&lt;0,0,E2435-'user input'!$C$2)</f>
        <v>12.222222222222221</v>
      </c>
      <c r="G2435">
        <f>IF(B2435&lt;'user input'!$C$5,0,(F2435+G2434))</f>
        <v>1196.1111111111113</v>
      </c>
      <c r="H2435">
        <f>G2435/'user input'!$C$4</f>
        <v>0.99675925925925946</v>
      </c>
    </row>
    <row r="2436" spans="1:8" x14ac:dyDescent="0.2">
      <c r="A2436" s="1">
        <v>42612</v>
      </c>
      <c r="B2436">
        <v>244</v>
      </c>
      <c r="C2436" s="6">
        <f>IF('weather data'!C2436&gt;'user input'!$C$3,'user input'!$C$3,'weather data'!C2436)</f>
        <v>28.333333333333336</v>
      </c>
      <c r="D2436" s="6">
        <f>IF('weather data'!D2436&lt;'user input'!$C$2,'user input'!$C$2,'weather data'!D2436)</f>
        <v>20</v>
      </c>
      <c r="E2436">
        <f t="shared" si="38"/>
        <v>24.166666666666668</v>
      </c>
      <c r="F2436">
        <f>IF((E2436-'user input'!$C$2)&lt;0,0,E2436-'user input'!$C$2)</f>
        <v>14.166666666666668</v>
      </c>
      <c r="G2436">
        <f>IF(B2436&lt;'user input'!$C$5,0,(F2436+G2435))</f>
        <v>1210.2777777777781</v>
      </c>
      <c r="H2436">
        <f>G2436/'user input'!$C$4</f>
        <v>1.008564814814815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2436"/>
  <sheetViews>
    <sheetView workbookViewId="0">
      <pane ySplit="2" topLeftCell="A669" activePane="bottomLeft" state="frozen"/>
      <selection pane="bottomLeft" activeCell="E687" sqref="E687"/>
    </sheetView>
  </sheetViews>
  <sheetFormatPr baseColWidth="10" defaultColWidth="8.83203125" defaultRowHeight="15" x14ac:dyDescent="0.2"/>
  <cols>
    <col min="1" max="1" width="10.6640625" bestFit="1" customWidth="1"/>
  </cols>
  <sheetData>
    <row r="2" spans="1:6" x14ac:dyDescent="0.2">
      <c r="A2" t="s">
        <v>0</v>
      </c>
      <c r="B2" t="s">
        <v>1</v>
      </c>
      <c r="C2" t="s">
        <v>14</v>
      </c>
      <c r="D2" t="s">
        <v>23</v>
      </c>
      <c r="E2" s="3" t="s">
        <v>24</v>
      </c>
      <c r="F2" s="3" t="s">
        <v>26</v>
      </c>
    </row>
    <row r="3" spans="1:6" x14ac:dyDescent="0.2">
      <c r="A3" s="1">
        <v>40179</v>
      </c>
      <c r="B3">
        <v>1</v>
      </c>
      <c r="C3">
        <f>IF('heat units'!H3&gt;1,1,'heat units'!H3)</f>
        <v>0</v>
      </c>
      <c r="D3">
        <v>0</v>
      </c>
      <c r="E3">
        <v>0</v>
      </c>
      <c r="F3">
        <v>0</v>
      </c>
    </row>
    <row r="4" spans="1:6" x14ac:dyDescent="0.2">
      <c r="A4" s="1">
        <v>40180</v>
      </c>
      <c r="B4">
        <v>2</v>
      </c>
      <c r="C4">
        <f>IF(B4&gt;'user input'!$C$6,0,IF('heat units'!H4&gt;1,1,'heat units'!H4))</f>
        <v>0</v>
      </c>
      <c r="D4">
        <f>IF(B4&gt;'user input'!$C$6,0,(C4/(C4+EXP('user input'!$C$15-'user input'!$C$14*C4))))</f>
        <v>0</v>
      </c>
      <c r="E4">
        <f>IF(C4&lt;'user input'!$C$12,(D4-D3)*'user input'!$C$17*(1-EXP(5*(F3-'user input'!$C$17))),F4-F3)</f>
        <v>0</v>
      </c>
      <c r="F4">
        <f>IF(C4&lt;'user input'!$C$12,IF(B4&gt;'user input'!$C$6,0,F3+E4),'user input'!$C$17*((1-C4)/(1-'user input'!$C$12)))</f>
        <v>0</v>
      </c>
    </row>
    <row r="5" spans="1:6" x14ac:dyDescent="0.2">
      <c r="A5" s="1">
        <v>40181</v>
      </c>
      <c r="B5">
        <v>3</v>
      </c>
      <c r="C5">
        <f>IF(B5&gt;'user input'!$C$6,0,IF('heat units'!H5&gt;1,1,'heat units'!H5))</f>
        <v>0</v>
      </c>
      <c r="D5">
        <f>IF(B5&gt;'user input'!$C$6,0,(C5/(C5+EXP('user input'!$C$15-'user input'!$C$14*C5))))</f>
        <v>0</v>
      </c>
      <c r="E5">
        <f>IF(C5&lt;'user input'!$C$12,(D5-D4)*'user input'!$C$17*(1-EXP(5*(F4-'user input'!$C$17))),F5-F4)</f>
        <v>0</v>
      </c>
      <c r="F5">
        <f>IF(C5&lt;'user input'!$C$12,IF(B5&gt;'user input'!$C$6,0,F4+E5),'user input'!$C$17*((1-C5)/(1-'user input'!$C$12)))</f>
        <v>0</v>
      </c>
    </row>
    <row r="6" spans="1:6" x14ac:dyDescent="0.2">
      <c r="A6" s="1">
        <v>40182</v>
      </c>
      <c r="B6">
        <v>4</v>
      </c>
      <c r="C6">
        <f>IF(B6&gt;'user input'!$C$6,0,IF('heat units'!H6&gt;1,1,'heat units'!H6))</f>
        <v>0</v>
      </c>
      <c r="D6">
        <f>IF(B6&gt;'user input'!$C$6,0,(C6/(C6+EXP('user input'!$C$15-'user input'!$C$14*C6))))</f>
        <v>0</v>
      </c>
      <c r="E6">
        <f>IF(C6&lt;'user input'!$C$12,(D6-D5)*'user input'!$C$17*(1-EXP(5*(F5-'user input'!$C$17))),F6-F5)</f>
        <v>0</v>
      </c>
      <c r="F6">
        <f>IF(C6&lt;'user input'!$C$12,IF(B6&gt;'user input'!$C$6,0,F5+E6),'user input'!$C$17*((1-C6)/(1-'user input'!$C$12)))</f>
        <v>0</v>
      </c>
    </row>
    <row r="7" spans="1:6" x14ac:dyDescent="0.2">
      <c r="A7" s="1">
        <v>40183</v>
      </c>
      <c r="B7">
        <v>5</v>
      </c>
      <c r="C7">
        <f>IF(B7&gt;'user input'!$C$6,0,IF('heat units'!H7&gt;1,1,'heat units'!H7))</f>
        <v>0</v>
      </c>
      <c r="D7">
        <f>IF(B7&gt;'user input'!$C$6,0,(C7/(C7+EXP('user input'!$C$15-'user input'!$C$14*C7))))</f>
        <v>0</v>
      </c>
      <c r="E7">
        <f>IF(C7&lt;'user input'!$C$12,(D7-D6)*'user input'!$C$17*(1-EXP(5*(F6-'user input'!$C$17))),F7-F6)</f>
        <v>0</v>
      </c>
      <c r="F7">
        <f>IF(C7&lt;'user input'!$C$12,IF(B7&gt;'user input'!$C$6,0,F6+E7),'user input'!$C$17*((1-C7)/(1-'user input'!$C$12)))</f>
        <v>0</v>
      </c>
    </row>
    <row r="8" spans="1:6" x14ac:dyDescent="0.2">
      <c r="A8" s="1">
        <v>40184</v>
      </c>
      <c r="B8">
        <v>6</v>
      </c>
      <c r="C8">
        <f>IF(B8&gt;'user input'!$C$6,0,IF('heat units'!H8&gt;1,1,'heat units'!H8))</f>
        <v>0</v>
      </c>
      <c r="D8">
        <f>IF(B8&gt;'user input'!$C$6,0,(C8/(C8+EXP('user input'!$C$15-'user input'!$C$14*C8))))</f>
        <v>0</v>
      </c>
      <c r="E8">
        <f>IF(C8&lt;'user input'!$C$12,(D8-D7)*'user input'!$C$17*(1-EXP(5*(F7-'user input'!$C$17))),F8-F7)</f>
        <v>0</v>
      </c>
      <c r="F8">
        <f>IF(C8&lt;'user input'!$C$12,IF(B8&gt;'user input'!$C$6,0,F7+E8),'user input'!$C$17*((1-C8)/(1-'user input'!$C$12)))</f>
        <v>0</v>
      </c>
    </row>
    <row r="9" spans="1:6" x14ac:dyDescent="0.2">
      <c r="A9" s="1">
        <v>40185</v>
      </c>
      <c r="B9">
        <v>7</v>
      </c>
      <c r="C9">
        <f>IF(B9&gt;'user input'!$C$6,0,IF('heat units'!H9&gt;1,1,'heat units'!H9))</f>
        <v>0</v>
      </c>
      <c r="D9">
        <f>IF(B9&gt;'user input'!$C$6,0,(C9/(C9+EXP('user input'!$C$15-'user input'!$C$14*C9))))</f>
        <v>0</v>
      </c>
      <c r="E9">
        <f>IF(C9&lt;'user input'!$C$12,(D9-D8)*'user input'!$C$17*(1-EXP(5*(F8-'user input'!$C$17))),F9-F8)</f>
        <v>0</v>
      </c>
      <c r="F9">
        <f>IF(C9&lt;'user input'!$C$12,IF(B9&gt;'user input'!$C$6,0,F8+E9),'user input'!$C$17*((1-C9)/(1-'user input'!$C$12)))</f>
        <v>0</v>
      </c>
    </row>
    <row r="10" spans="1:6" x14ac:dyDescent="0.2">
      <c r="A10" s="1">
        <v>40186</v>
      </c>
      <c r="B10">
        <v>8</v>
      </c>
      <c r="C10">
        <f>IF(B10&gt;'user input'!$C$6,0,IF('heat units'!H10&gt;1,1,'heat units'!H10))</f>
        <v>0</v>
      </c>
      <c r="D10">
        <f>IF(B10&gt;'user input'!$C$6,0,(C10/(C10+EXP('user input'!$C$15-'user input'!$C$14*C10))))</f>
        <v>0</v>
      </c>
      <c r="E10">
        <f>IF(C10&lt;'user input'!$C$12,(D10-D9)*'user input'!$C$17*(1-EXP(5*(F9-'user input'!$C$17))),F10-F9)</f>
        <v>0</v>
      </c>
      <c r="F10">
        <f>IF(C10&lt;'user input'!$C$12,IF(B10&gt;'user input'!$C$6,0,F9+E10),'user input'!$C$17*((1-C10)/(1-'user input'!$C$12)))</f>
        <v>0</v>
      </c>
    </row>
    <row r="11" spans="1:6" x14ac:dyDescent="0.2">
      <c r="A11" s="1">
        <v>40187</v>
      </c>
      <c r="B11">
        <v>9</v>
      </c>
      <c r="C11">
        <f>IF(B11&gt;'user input'!$C$6,0,IF('heat units'!H11&gt;1,1,'heat units'!H11))</f>
        <v>0</v>
      </c>
      <c r="D11">
        <f>IF(B11&gt;'user input'!$C$6,0,(C11/(C11+EXP('user input'!$C$15-'user input'!$C$14*C11))))</f>
        <v>0</v>
      </c>
      <c r="E11">
        <f>IF(C11&lt;'user input'!$C$12,(D11-D10)*'user input'!$C$17*(1-EXP(5*(F10-'user input'!$C$17))),F11-F10)</f>
        <v>0</v>
      </c>
      <c r="F11">
        <f>IF(C11&lt;'user input'!$C$12,IF(B11&gt;'user input'!$C$6,0,F10+E11),'user input'!$C$17*((1-C11)/(1-'user input'!$C$12)))</f>
        <v>0</v>
      </c>
    </row>
    <row r="12" spans="1:6" x14ac:dyDescent="0.2">
      <c r="A12" s="1">
        <v>40188</v>
      </c>
      <c r="B12">
        <v>10</v>
      </c>
      <c r="C12">
        <f>IF(B12&gt;'user input'!$C$6,0,IF('heat units'!H12&gt;1,1,'heat units'!H12))</f>
        <v>0</v>
      </c>
      <c r="D12">
        <f>IF(B12&gt;'user input'!$C$6,0,(C12/(C12+EXP('user input'!$C$15-'user input'!$C$14*C12))))</f>
        <v>0</v>
      </c>
      <c r="E12">
        <f>IF(C12&lt;'user input'!$C$12,(D12-D11)*'user input'!$C$17*(1-EXP(5*(F11-'user input'!$C$17))),F12-F11)</f>
        <v>0</v>
      </c>
      <c r="F12">
        <f>IF(C12&lt;'user input'!$C$12,IF(B12&gt;'user input'!$C$6,0,F11+E12),'user input'!$C$17*((1-C12)/(1-'user input'!$C$12)))</f>
        <v>0</v>
      </c>
    </row>
    <row r="13" spans="1:6" x14ac:dyDescent="0.2">
      <c r="A13" s="1">
        <v>40189</v>
      </c>
      <c r="B13">
        <v>11</v>
      </c>
      <c r="C13">
        <f>IF(B13&gt;'user input'!$C$6,0,IF('heat units'!H13&gt;1,1,'heat units'!H13))</f>
        <v>0</v>
      </c>
      <c r="D13">
        <f>IF(B13&gt;'user input'!$C$6,0,(C13/(C13+EXP('user input'!$C$15-'user input'!$C$14*C13))))</f>
        <v>0</v>
      </c>
      <c r="E13">
        <f>IF(C13&lt;'user input'!$C$12,(D13-D12)*'user input'!$C$17*(1-EXP(5*(F12-'user input'!$C$17))),F13-F12)</f>
        <v>0</v>
      </c>
      <c r="F13">
        <f>IF(C13&lt;'user input'!$C$12,IF(B13&gt;'user input'!$C$6,0,F12+E13),'user input'!$C$17*((1-C13)/(1-'user input'!$C$12)))</f>
        <v>0</v>
      </c>
    </row>
    <row r="14" spans="1:6" x14ac:dyDescent="0.2">
      <c r="A14" s="1">
        <v>40190</v>
      </c>
      <c r="B14">
        <v>12</v>
      </c>
      <c r="C14">
        <f>IF(B14&gt;'user input'!$C$6,0,IF('heat units'!H14&gt;1,1,'heat units'!H14))</f>
        <v>0</v>
      </c>
      <c r="D14">
        <f>IF(B14&gt;'user input'!$C$6,0,(C14/(C14+EXP('user input'!$C$15-'user input'!$C$14*C14))))</f>
        <v>0</v>
      </c>
      <c r="E14">
        <f>IF(C14&lt;'user input'!$C$12,(D14-D13)*'user input'!$C$17*(1-EXP(5*(F13-'user input'!$C$17))),F14-F13)</f>
        <v>0</v>
      </c>
      <c r="F14">
        <f>IF(C14&lt;'user input'!$C$12,IF(B14&gt;'user input'!$C$6,0,F13+E14),'user input'!$C$17*((1-C14)/(1-'user input'!$C$12)))</f>
        <v>0</v>
      </c>
    </row>
    <row r="15" spans="1:6" x14ac:dyDescent="0.2">
      <c r="A15" s="1">
        <v>40191</v>
      </c>
      <c r="B15">
        <v>13</v>
      </c>
      <c r="C15">
        <f>IF(B15&gt;'user input'!$C$6,0,IF('heat units'!H15&gt;1,1,'heat units'!H15))</f>
        <v>0</v>
      </c>
      <c r="D15">
        <f>IF(B15&gt;'user input'!$C$6,0,(C15/(C15+EXP('user input'!$C$15-'user input'!$C$14*C15))))</f>
        <v>0</v>
      </c>
      <c r="E15">
        <f>IF(C15&lt;'user input'!$C$12,(D15-D14)*'user input'!$C$17*(1-EXP(5*(F14-'user input'!$C$17))),F15-F14)</f>
        <v>0</v>
      </c>
      <c r="F15">
        <f>IF(C15&lt;'user input'!$C$12,IF(B15&gt;'user input'!$C$6,0,F14+E15),'user input'!$C$17*((1-C15)/(1-'user input'!$C$12)))</f>
        <v>0</v>
      </c>
    </row>
    <row r="16" spans="1:6" x14ac:dyDescent="0.2">
      <c r="A16" s="1">
        <v>40192</v>
      </c>
      <c r="B16">
        <v>14</v>
      </c>
      <c r="C16">
        <f>IF(B16&gt;'user input'!$C$6,0,IF('heat units'!H16&gt;1,1,'heat units'!H16))</f>
        <v>0</v>
      </c>
      <c r="D16">
        <f>IF(B16&gt;'user input'!$C$6,0,(C16/(C16+EXP('user input'!$C$15-'user input'!$C$14*C16))))</f>
        <v>0</v>
      </c>
      <c r="E16">
        <f>IF(C16&lt;'user input'!$C$12,(D16-D15)*'user input'!$C$17*(1-EXP(5*(F15-'user input'!$C$17))),F16-F15)</f>
        <v>0</v>
      </c>
      <c r="F16">
        <f>IF(C16&lt;'user input'!$C$12,IF(B16&gt;'user input'!$C$6,0,F15+E16),'user input'!$C$17*((1-C16)/(1-'user input'!$C$12)))</f>
        <v>0</v>
      </c>
    </row>
    <row r="17" spans="1:6" x14ac:dyDescent="0.2">
      <c r="A17" s="1">
        <v>40193</v>
      </c>
      <c r="B17">
        <v>15</v>
      </c>
      <c r="C17">
        <f>IF(B17&gt;'user input'!$C$6,0,IF('heat units'!H17&gt;1,1,'heat units'!H17))</f>
        <v>0</v>
      </c>
      <c r="D17">
        <f>IF(B17&gt;'user input'!$C$6,0,(C17/(C17+EXP('user input'!$C$15-'user input'!$C$14*C17))))</f>
        <v>0</v>
      </c>
      <c r="E17">
        <f>IF(C17&lt;'user input'!$C$12,(D17-D16)*'user input'!$C$17*(1-EXP(5*(F16-'user input'!$C$17))),F17-F16)</f>
        <v>0</v>
      </c>
      <c r="F17">
        <f>IF(C17&lt;'user input'!$C$12,IF(B17&gt;'user input'!$C$6,0,F16+E17),'user input'!$C$17*((1-C17)/(1-'user input'!$C$12)))</f>
        <v>0</v>
      </c>
    </row>
    <row r="18" spans="1:6" x14ac:dyDescent="0.2">
      <c r="A18" s="1">
        <v>40194</v>
      </c>
      <c r="B18">
        <v>16</v>
      </c>
      <c r="C18">
        <f>IF(B18&gt;'user input'!$C$6,0,IF('heat units'!H18&gt;1,1,'heat units'!H18))</f>
        <v>0</v>
      </c>
      <c r="D18">
        <f>IF(B18&gt;'user input'!$C$6,0,(C18/(C18+EXP('user input'!$C$15-'user input'!$C$14*C18))))</f>
        <v>0</v>
      </c>
      <c r="E18">
        <f>IF(C18&lt;'user input'!$C$12,(D18-D17)*'user input'!$C$17*(1-EXP(5*(F17-'user input'!$C$17))),F18-F17)</f>
        <v>0</v>
      </c>
      <c r="F18">
        <f>IF(C18&lt;'user input'!$C$12,IF(B18&gt;'user input'!$C$6,0,F17+E18),'user input'!$C$17*((1-C18)/(1-'user input'!$C$12)))</f>
        <v>0</v>
      </c>
    </row>
    <row r="19" spans="1:6" x14ac:dyDescent="0.2">
      <c r="A19" s="1">
        <v>40195</v>
      </c>
      <c r="B19">
        <v>17</v>
      </c>
      <c r="C19">
        <f>IF(B19&gt;'user input'!$C$6,0,IF('heat units'!H19&gt;1,1,'heat units'!H19))</f>
        <v>0</v>
      </c>
      <c r="D19">
        <f>IF(B19&gt;'user input'!$C$6,0,(C19/(C19+EXP('user input'!$C$15-'user input'!$C$14*C19))))</f>
        <v>0</v>
      </c>
      <c r="E19">
        <f>IF(C19&lt;'user input'!$C$12,(D19-D18)*'user input'!$C$17*(1-EXP(5*(F18-'user input'!$C$17))),F19-F18)</f>
        <v>0</v>
      </c>
      <c r="F19">
        <f>IF(C19&lt;'user input'!$C$12,IF(B19&gt;'user input'!$C$6,0,F18+E19),'user input'!$C$17*((1-C19)/(1-'user input'!$C$12)))</f>
        <v>0</v>
      </c>
    </row>
    <row r="20" spans="1:6" x14ac:dyDescent="0.2">
      <c r="A20" s="1">
        <v>40196</v>
      </c>
      <c r="B20">
        <v>18</v>
      </c>
      <c r="C20">
        <f>IF(B20&gt;'user input'!$C$6,0,IF('heat units'!H20&gt;1,1,'heat units'!H20))</f>
        <v>0</v>
      </c>
      <c r="D20">
        <f>IF(B20&gt;'user input'!$C$6,0,(C20/(C20+EXP('user input'!$C$15-'user input'!$C$14*C20))))</f>
        <v>0</v>
      </c>
      <c r="E20">
        <f>IF(C20&lt;'user input'!$C$12,(D20-D19)*'user input'!$C$17*(1-EXP(5*(F19-'user input'!$C$17))),F20-F19)</f>
        <v>0</v>
      </c>
      <c r="F20">
        <f>IF(C20&lt;'user input'!$C$12,IF(B20&gt;'user input'!$C$6,0,F19+E20),'user input'!$C$17*((1-C20)/(1-'user input'!$C$12)))</f>
        <v>0</v>
      </c>
    </row>
    <row r="21" spans="1:6" x14ac:dyDescent="0.2">
      <c r="A21" s="1">
        <v>40197</v>
      </c>
      <c r="B21">
        <v>19</v>
      </c>
      <c r="C21">
        <f>IF(B21&gt;'user input'!$C$6,0,IF('heat units'!H21&gt;1,1,'heat units'!H21))</f>
        <v>0</v>
      </c>
      <c r="D21">
        <f>IF(B21&gt;'user input'!$C$6,0,(C21/(C21+EXP('user input'!$C$15-'user input'!$C$14*C21))))</f>
        <v>0</v>
      </c>
      <c r="E21">
        <f>IF(C21&lt;'user input'!$C$12,(D21-D20)*'user input'!$C$17*(1-EXP(5*(F20-'user input'!$C$17))),F21-F20)</f>
        <v>0</v>
      </c>
      <c r="F21">
        <f>IF(C21&lt;'user input'!$C$12,IF(B21&gt;'user input'!$C$6,0,F20+E21),'user input'!$C$17*((1-C21)/(1-'user input'!$C$12)))</f>
        <v>0</v>
      </c>
    </row>
    <row r="22" spans="1:6" x14ac:dyDescent="0.2">
      <c r="A22" s="1">
        <v>40198</v>
      </c>
      <c r="B22">
        <v>20</v>
      </c>
      <c r="C22">
        <f>IF(B22&gt;'user input'!$C$6,0,IF('heat units'!H22&gt;1,1,'heat units'!H22))</f>
        <v>0</v>
      </c>
      <c r="D22">
        <f>IF(B22&gt;'user input'!$C$6,0,(C22/(C22+EXP('user input'!$C$15-'user input'!$C$14*C22))))</f>
        <v>0</v>
      </c>
      <c r="E22">
        <f>IF(C22&lt;'user input'!$C$12,(D22-D21)*'user input'!$C$17*(1-EXP(5*(F21-'user input'!$C$17))),F22-F21)</f>
        <v>0</v>
      </c>
      <c r="F22">
        <f>IF(C22&lt;'user input'!$C$12,IF(B22&gt;'user input'!$C$6,0,F21+E22),'user input'!$C$17*((1-C22)/(1-'user input'!$C$12)))</f>
        <v>0</v>
      </c>
    </row>
    <row r="23" spans="1:6" x14ac:dyDescent="0.2">
      <c r="A23" s="1">
        <v>40199</v>
      </c>
      <c r="B23">
        <v>21</v>
      </c>
      <c r="C23">
        <f>IF(B23&gt;'user input'!$C$6,0,IF('heat units'!H23&gt;1,1,'heat units'!H23))</f>
        <v>0</v>
      </c>
      <c r="D23">
        <f>IF(B23&gt;'user input'!$C$6,0,(C23/(C23+EXP('user input'!$C$15-'user input'!$C$14*C23))))</f>
        <v>0</v>
      </c>
      <c r="E23">
        <f>IF(C23&lt;'user input'!$C$12,(D23-D22)*'user input'!$C$17*(1-EXP(5*(F22-'user input'!$C$17))),F23-F22)</f>
        <v>0</v>
      </c>
      <c r="F23">
        <f>IF(C23&lt;'user input'!$C$12,IF(B23&gt;'user input'!$C$6,0,F22+E23),'user input'!$C$17*((1-C23)/(1-'user input'!$C$12)))</f>
        <v>0</v>
      </c>
    </row>
    <row r="24" spans="1:6" x14ac:dyDescent="0.2">
      <c r="A24" s="1">
        <v>40200</v>
      </c>
      <c r="B24">
        <v>22</v>
      </c>
      <c r="C24">
        <f>IF(B24&gt;'user input'!$C$6,0,IF('heat units'!H24&gt;1,1,'heat units'!H24))</f>
        <v>0</v>
      </c>
      <c r="D24">
        <f>IF(B24&gt;'user input'!$C$6,0,(C24/(C24+EXP('user input'!$C$15-'user input'!$C$14*C24))))</f>
        <v>0</v>
      </c>
      <c r="E24">
        <f>IF(C24&lt;'user input'!$C$12,(D24-D23)*'user input'!$C$17*(1-EXP(5*(F23-'user input'!$C$17))),F24-F23)</f>
        <v>0</v>
      </c>
      <c r="F24">
        <f>IF(C24&lt;'user input'!$C$12,IF(B24&gt;'user input'!$C$6,0,F23+E24),'user input'!$C$17*((1-C24)/(1-'user input'!$C$12)))</f>
        <v>0</v>
      </c>
    </row>
    <row r="25" spans="1:6" x14ac:dyDescent="0.2">
      <c r="A25" s="1">
        <v>40201</v>
      </c>
      <c r="B25">
        <v>23</v>
      </c>
      <c r="C25">
        <f>IF(B25&gt;'user input'!$C$6,0,IF('heat units'!H25&gt;1,1,'heat units'!H25))</f>
        <v>0</v>
      </c>
      <c r="D25">
        <f>IF(B25&gt;'user input'!$C$6,0,(C25/(C25+EXP('user input'!$C$15-'user input'!$C$14*C25))))</f>
        <v>0</v>
      </c>
      <c r="E25">
        <f>IF(C25&lt;'user input'!$C$12,(D25-D24)*'user input'!$C$17*(1-EXP(5*(F24-'user input'!$C$17))),F25-F24)</f>
        <v>0</v>
      </c>
      <c r="F25">
        <f>IF(C25&lt;'user input'!$C$12,IF(B25&gt;'user input'!$C$6,0,F24+E25),'user input'!$C$17*((1-C25)/(1-'user input'!$C$12)))</f>
        <v>0</v>
      </c>
    </row>
    <row r="26" spans="1:6" x14ac:dyDescent="0.2">
      <c r="A26" s="1">
        <v>40202</v>
      </c>
      <c r="B26">
        <v>24</v>
      </c>
      <c r="C26">
        <f>IF(B26&gt;'user input'!$C$6,0,IF('heat units'!H26&gt;1,1,'heat units'!H26))</f>
        <v>0</v>
      </c>
      <c r="D26">
        <f>IF(B26&gt;'user input'!$C$6,0,(C26/(C26+EXP('user input'!$C$15-'user input'!$C$14*C26))))</f>
        <v>0</v>
      </c>
      <c r="E26">
        <f>IF(C26&lt;'user input'!$C$12,(D26-D25)*'user input'!$C$17*(1-EXP(5*(F25-'user input'!$C$17))),F26-F25)</f>
        <v>0</v>
      </c>
      <c r="F26">
        <f>IF(C26&lt;'user input'!$C$12,IF(B26&gt;'user input'!$C$6,0,F25+E26),'user input'!$C$17*((1-C26)/(1-'user input'!$C$12)))</f>
        <v>0</v>
      </c>
    </row>
    <row r="27" spans="1:6" x14ac:dyDescent="0.2">
      <c r="A27" s="1">
        <v>40203</v>
      </c>
      <c r="B27">
        <v>25</v>
      </c>
      <c r="C27">
        <f>IF(B27&gt;'user input'!$C$6,0,IF('heat units'!H27&gt;1,1,'heat units'!H27))</f>
        <v>0</v>
      </c>
      <c r="D27">
        <f>IF(B27&gt;'user input'!$C$6,0,(C27/(C27+EXP('user input'!$C$15-'user input'!$C$14*C27))))</f>
        <v>0</v>
      </c>
      <c r="E27">
        <f>IF(C27&lt;'user input'!$C$12,(D27-D26)*'user input'!$C$17*(1-EXP(5*(F26-'user input'!$C$17))),F27-F26)</f>
        <v>0</v>
      </c>
      <c r="F27">
        <f>IF(C27&lt;'user input'!$C$12,IF(B27&gt;'user input'!$C$6,0,F26+E27),'user input'!$C$17*((1-C27)/(1-'user input'!$C$12)))</f>
        <v>0</v>
      </c>
    </row>
    <row r="28" spans="1:6" x14ac:dyDescent="0.2">
      <c r="A28" s="1">
        <v>40204</v>
      </c>
      <c r="B28">
        <v>26</v>
      </c>
      <c r="C28">
        <f>IF(B28&gt;'user input'!$C$6,0,IF('heat units'!H28&gt;1,1,'heat units'!H28))</f>
        <v>0</v>
      </c>
      <c r="D28">
        <f>IF(B28&gt;'user input'!$C$6,0,(C28/(C28+EXP('user input'!$C$15-'user input'!$C$14*C28))))</f>
        <v>0</v>
      </c>
      <c r="E28">
        <f>IF(C28&lt;'user input'!$C$12,(D28-D27)*'user input'!$C$17*(1-EXP(5*(F27-'user input'!$C$17))),F28-F27)</f>
        <v>0</v>
      </c>
      <c r="F28">
        <f>IF(C28&lt;'user input'!$C$12,IF(B28&gt;'user input'!$C$6,0,F27+E28),'user input'!$C$17*((1-C28)/(1-'user input'!$C$12)))</f>
        <v>0</v>
      </c>
    </row>
    <row r="29" spans="1:6" x14ac:dyDescent="0.2">
      <c r="A29" s="1">
        <v>40205</v>
      </c>
      <c r="B29">
        <v>27</v>
      </c>
      <c r="C29">
        <f>IF(B29&gt;'user input'!$C$6,0,IF('heat units'!H29&gt;1,1,'heat units'!H29))</f>
        <v>0</v>
      </c>
      <c r="D29">
        <f>IF(B29&gt;'user input'!$C$6,0,(C29/(C29+EXP('user input'!$C$15-'user input'!$C$14*C29))))</f>
        <v>0</v>
      </c>
      <c r="E29">
        <f>IF(C29&lt;'user input'!$C$12,(D29-D28)*'user input'!$C$17*(1-EXP(5*(F28-'user input'!$C$17))),F29-F28)</f>
        <v>0</v>
      </c>
      <c r="F29">
        <f>IF(C29&lt;'user input'!$C$12,IF(B29&gt;'user input'!$C$6,0,F28+E29),'user input'!$C$17*((1-C29)/(1-'user input'!$C$12)))</f>
        <v>0</v>
      </c>
    </row>
    <row r="30" spans="1:6" x14ac:dyDescent="0.2">
      <c r="A30" s="1">
        <v>40206</v>
      </c>
      <c r="B30">
        <v>28</v>
      </c>
      <c r="C30">
        <f>IF(B30&gt;'user input'!$C$6,0,IF('heat units'!H30&gt;1,1,'heat units'!H30))</f>
        <v>0</v>
      </c>
      <c r="D30">
        <f>IF(B30&gt;'user input'!$C$6,0,(C30/(C30+EXP('user input'!$C$15-'user input'!$C$14*C30))))</f>
        <v>0</v>
      </c>
      <c r="E30">
        <f>IF(C30&lt;'user input'!$C$12,(D30-D29)*'user input'!$C$17*(1-EXP(5*(F29-'user input'!$C$17))),F30-F29)</f>
        <v>0</v>
      </c>
      <c r="F30">
        <f>IF(C30&lt;'user input'!$C$12,IF(B30&gt;'user input'!$C$6,0,F29+E30),'user input'!$C$17*((1-C30)/(1-'user input'!$C$12)))</f>
        <v>0</v>
      </c>
    </row>
    <row r="31" spans="1:6" x14ac:dyDescent="0.2">
      <c r="A31" s="1">
        <v>40207</v>
      </c>
      <c r="B31">
        <v>29</v>
      </c>
      <c r="C31">
        <f>IF(B31&gt;'user input'!$C$6,0,IF('heat units'!H31&gt;1,1,'heat units'!H31))</f>
        <v>0</v>
      </c>
      <c r="D31">
        <f>IF(B31&gt;'user input'!$C$6,0,(C31/(C31+EXP('user input'!$C$15-'user input'!$C$14*C31))))</f>
        <v>0</v>
      </c>
      <c r="E31">
        <f>IF(C31&lt;'user input'!$C$12,(D31-D30)*'user input'!$C$17*(1-EXP(5*(F30-'user input'!$C$17))),F31-F30)</f>
        <v>0</v>
      </c>
      <c r="F31">
        <f>IF(C31&lt;'user input'!$C$12,IF(B31&gt;'user input'!$C$6,0,F30+E31),'user input'!$C$17*((1-C31)/(1-'user input'!$C$12)))</f>
        <v>0</v>
      </c>
    </row>
    <row r="32" spans="1:6" x14ac:dyDescent="0.2">
      <c r="A32" s="1">
        <v>40208</v>
      </c>
      <c r="B32">
        <v>30</v>
      </c>
      <c r="C32">
        <f>IF(B32&gt;'user input'!$C$6,0,IF('heat units'!H32&gt;1,1,'heat units'!H32))</f>
        <v>0</v>
      </c>
      <c r="D32">
        <f>IF(B32&gt;'user input'!$C$6,0,(C32/(C32+EXP('user input'!$C$15-'user input'!$C$14*C32))))</f>
        <v>0</v>
      </c>
      <c r="E32">
        <f>IF(C32&lt;'user input'!$C$12,(D32-D31)*'user input'!$C$17*(1-EXP(5*(F31-'user input'!$C$17))),F32-F31)</f>
        <v>0</v>
      </c>
      <c r="F32">
        <f>IF(C32&lt;'user input'!$C$12,IF(B32&gt;'user input'!$C$6,0,F31+E32),'user input'!$C$17*((1-C32)/(1-'user input'!$C$12)))</f>
        <v>0</v>
      </c>
    </row>
    <row r="33" spans="1:6" x14ac:dyDescent="0.2">
      <c r="A33" s="1">
        <v>40209</v>
      </c>
      <c r="B33">
        <v>31</v>
      </c>
      <c r="C33">
        <f>IF(B33&gt;'user input'!$C$6,0,IF('heat units'!H33&gt;1,1,'heat units'!H33))</f>
        <v>0</v>
      </c>
      <c r="D33">
        <f>IF(B33&gt;'user input'!$C$6,0,(C33/(C33+EXP('user input'!$C$15-'user input'!$C$14*C33))))</f>
        <v>0</v>
      </c>
      <c r="E33">
        <f>IF(C33&lt;'user input'!$C$12,(D33-D32)*'user input'!$C$17*(1-EXP(5*(F32-'user input'!$C$17))),F33-F32)</f>
        <v>0</v>
      </c>
      <c r="F33">
        <f>IF(C33&lt;'user input'!$C$12,IF(B33&gt;'user input'!$C$6,0,F32+E33),'user input'!$C$17*((1-C33)/(1-'user input'!$C$12)))</f>
        <v>0</v>
      </c>
    </row>
    <row r="34" spans="1:6" x14ac:dyDescent="0.2">
      <c r="A34" s="1">
        <v>40210</v>
      </c>
      <c r="B34">
        <v>32</v>
      </c>
      <c r="C34">
        <f>IF(B34&gt;'user input'!$C$6,0,IF('heat units'!H34&gt;1,1,'heat units'!H34))</f>
        <v>0</v>
      </c>
      <c r="D34">
        <f>IF(B34&gt;'user input'!$C$6,0,(C34/(C34+EXP('user input'!$C$15-'user input'!$C$14*C34))))</f>
        <v>0</v>
      </c>
      <c r="E34">
        <f>IF(C34&lt;'user input'!$C$12,(D34-D33)*'user input'!$C$17*(1-EXP(5*(F33-'user input'!$C$17))),F34-F33)</f>
        <v>0</v>
      </c>
      <c r="F34">
        <f>IF(C34&lt;'user input'!$C$12,IF(B34&gt;'user input'!$C$6,0,F33+E34),'user input'!$C$17*((1-C34)/(1-'user input'!$C$12)))</f>
        <v>0</v>
      </c>
    </row>
    <row r="35" spans="1:6" x14ac:dyDescent="0.2">
      <c r="A35" s="1">
        <v>40211</v>
      </c>
      <c r="B35">
        <v>33</v>
      </c>
      <c r="C35">
        <f>IF(B35&gt;'user input'!$C$6,0,IF('heat units'!H35&gt;1,1,'heat units'!H35))</f>
        <v>0</v>
      </c>
      <c r="D35">
        <f>IF(B35&gt;'user input'!$C$6,0,(C35/(C35+EXP('user input'!$C$15-'user input'!$C$14*C35))))</f>
        <v>0</v>
      </c>
      <c r="E35">
        <f>IF(C35&lt;'user input'!$C$12,(D35-D34)*'user input'!$C$17*(1-EXP(5*(F34-'user input'!$C$17))),F35-F34)</f>
        <v>0</v>
      </c>
      <c r="F35">
        <f>IF(C35&lt;'user input'!$C$12,IF(B35&gt;'user input'!$C$6,0,F34+E35),'user input'!$C$17*((1-C35)/(1-'user input'!$C$12)))</f>
        <v>0</v>
      </c>
    </row>
    <row r="36" spans="1:6" x14ac:dyDescent="0.2">
      <c r="A36" s="1">
        <v>40212</v>
      </c>
      <c r="B36">
        <v>34</v>
      </c>
      <c r="C36">
        <f>IF(B36&gt;'user input'!$C$6,0,IF('heat units'!H36&gt;1,1,'heat units'!H36))</f>
        <v>0</v>
      </c>
      <c r="D36">
        <f>IF(B36&gt;'user input'!$C$6,0,(C36/(C36+EXP('user input'!$C$15-'user input'!$C$14*C36))))</f>
        <v>0</v>
      </c>
      <c r="E36">
        <f>IF(C36&lt;'user input'!$C$12,(D36-D35)*'user input'!$C$17*(1-EXP(5*(F35-'user input'!$C$17))),F36-F35)</f>
        <v>0</v>
      </c>
      <c r="F36">
        <f>IF(C36&lt;'user input'!$C$12,IF(B36&gt;'user input'!$C$6,0,F35+E36),'user input'!$C$17*((1-C36)/(1-'user input'!$C$12)))</f>
        <v>0</v>
      </c>
    </row>
    <row r="37" spans="1:6" x14ac:dyDescent="0.2">
      <c r="A37" s="1">
        <v>40213</v>
      </c>
      <c r="B37">
        <v>35</v>
      </c>
      <c r="C37">
        <f>IF(B37&gt;'user input'!$C$6,0,IF('heat units'!H37&gt;1,1,'heat units'!H37))</f>
        <v>0</v>
      </c>
      <c r="D37">
        <f>IF(B37&gt;'user input'!$C$6,0,(C37/(C37+EXP('user input'!$C$15-'user input'!$C$14*C37))))</f>
        <v>0</v>
      </c>
      <c r="E37">
        <f>IF(C37&lt;'user input'!$C$12,(D37-D36)*'user input'!$C$17*(1-EXP(5*(F36-'user input'!$C$17))),F37-F36)</f>
        <v>0</v>
      </c>
      <c r="F37">
        <f>IF(C37&lt;'user input'!$C$12,IF(B37&gt;'user input'!$C$6,0,F36+E37),'user input'!$C$17*((1-C37)/(1-'user input'!$C$12)))</f>
        <v>0</v>
      </c>
    </row>
    <row r="38" spans="1:6" x14ac:dyDescent="0.2">
      <c r="A38" s="1">
        <v>40214</v>
      </c>
      <c r="B38">
        <v>36</v>
      </c>
      <c r="C38">
        <f>IF(B38&gt;'user input'!$C$6,0,IF('heat units'!H38&gt;1,1,'heat units'!H38))</f>
        <v>0</v>
      </c>
      <c r="D38">
        <f>IF(B38&gt;'user input'!$C$6,0,(C38/(C38+EXP('user input'!$C$15-'user input'!$C$14*C38))))</f>
        <v>0</v>
      </c>
      <c r="E38">
        <f>IF(C38&lt;'user input'!$C$12,(D38-D37)*'user input'!$C$17*(1-EXP(5*(F37-'user input'!$C$17))),F38-F37)</f>
        <v>0</v>
      </c>
      <c r="F38">
        <f>IF(C38&lt;'user input'!$C$12,IF(B38&gt;'user input'!$C$6,0,F37+E38),'user input'!$C$17*((1-C38)/(1-'user input'!$C$12)))</f>
        <v>0</v>
      </c>
    </row>
    <row r="39" spans="1:6" x14ac:dyDescent="0.2">
      <c r="A39" s="1">
        <v>40215</v>
      </c>
      <c r="B39">
        <v>37</v>
      </c>
      <c r="C39">
        <f>IF(B39&gt;'user input'!$C$6,0,IF('heat units'!H39&gt;1,1,'heat units'!H39))</f>
        <v>0</v>
      </c>
      <c r="D39">
        <f>IF(B39&gt;'user input'!$C$6,0,(C39/(C39+EXP('user input'!$C$15-'user input'!$C$14*C39))))</f>
        <v>0</v>
      </c>
      <c r="E39">
        <f>IF(C39&lt;'user input'!$C$12,(D39-D38)*'user input'!$C$17*(1-EXP(5*(F38-'user input'!$C$17))),F39-F38)</f>
        <v>0</v>
      </c>
      <c r="F39">
        <f>IF(C39&lt;'user input'!$C$12,IF(B39&gt;'user input'!$C$6,0,F38+E39),'user input'!$C$17*((1-C39)/(1-'user input'!$C$12)))</f>
        <v>0</v>
      </c>
    </row>
    <row r="40" spans="1:6" x14ac:dyDescent="0.2">
      <c r="A40" s="1">
        <v>40216</v>
      </c>
      <c r="B40">
        <v>38</v>
      </c>
      <c r="C40">
        <f>IF(B40&gt;'user input'!$C$6,0,IF('heat units'!H40&gt;1,1,'heat units'!H40))</f>
        <v>0</v>
      </c>
      <c r="D40">
        <f>IF(B40&gt;'user input'!$C$6,0,(C40/(C40+EXP('user input'!$C$15-'user input'!$C$14*C40))))</f>
        <v>0</v>
      </c>
      <c r="E40">
        <f>IF(C40&lt;'user input'!$C$12,(D40-D39)*'user input'!$C$17*(1-EXP(5*(F39-'user input'!$C$17))),F40-F39)</f>
        <v>0</v>
      </c>
      <c r="F40">
        <f>IF(C40&lt;'user input'!$C$12,IF(B40&gt;'user input'!$C$6,0,F39+E40),'user input'!$C$17*((1-C40)/(1-'user input'!$C$12)))</f>
        <v>0</v>
      </c>
    </row>
    <row r="41" spans="1:6" x14ac:dyDescent="0.2">
      <c r="A41" s="1">
        <v>40217</v>
      </c>
      <c r="B41">
        <v>39</v>
      </c>
      <c r="C41">
        <f>IF(B41&gt;'user input'!$C$6,0,IF('heat units'!H41&gt;1,1,'heat units'!H41))</f>
        <v>0</v>
      </c>
      <c r="D41">
        <f>IF(B41&gt;'user input'!$C$6,0,(C41/(C41+EXP('user input'!$C$15-'user input'!$C$14*C41))))</f>
        <v>0</v>
      </c>
      <c r="E41">
        <f>IF(C41&lt;'user input'!$C$12,(D41-D40)*'user input'!$C$17*(1-EXP(5*(F40-'user input'!$C$17))),F41-F40)</f>
        <v>0</v>
      </c>
      <c r="F41">
        <f>IF(C41&lt;'user input'!$C$12,IF(B41&gt;'user input'!$C$6,0,F40+E41),'user input'!$C$17*((1-C41)/(1-'user input'!$C$12)))</f>
        <v>0</v>
      </c>
    </row>
    <row r="42" spans="1:6" x14ac:dyDescent="0.2">
      <c r="A42" s="1">
        <v>40218</v>
      </c>
      <c r="B42">
        <v>40</v>
      </c>
      <c r="C42">
        <f>IF(B42&gt;'user input'!$C$6,0,IF('heat units'!H42&gt;1,1,'heat units'!H42))</f>
        <v>0</v>
      </c>
      <c r="D42">
        <f>IF(B42&gt;'user input'!$C$6,0,(C42/(C42+EXP('user input'!$C$15-'user input'!$C$14*C42))))</f>
        <v>0</v>
      </c>
      <c r="E42">
        <f>IF(C42&lt;'user input'!$C$12,(D42-D41)*'user input'!$C$17*(1-EXP(5*(F41-'user input'!$C$17))),F42-F41)</f>
        <v>0</v>
      </c>
      <c r="F42">
        <f>IF(C42&lt;'user input'!$C$12,IF(B42&gt;'user input'!$C$6,0,F41+E42),'user input'!$C$17*((1-C42)/(1-'user input'!$C$12)))</f>
        <v>0</v>
      </c>
    </row>
    <row r="43" spans="1:6" x14ac:dyDescent="0.2">
      <c r="A43" s="1">
        <v>40219</v>
      </c>
      <c r="B43">
        <v>41</v>
      </c>
      <c r="C43">
        <f>IF(B43&gt;'user input'!$C$6,0,IF('heat units'!H43&gt;1,1,'heat units'!H43))</f>
        <v>0</v>
      </c>
      <c r="D43">
        <f>IF(B43&gt;'user input'!$C$6,0,(C43/(C43+EXP('user input'!$C$15-'user input'!$C$14*C43))))</f>
        <v>0</v>
      </c>
      <c r="E43">
        <f>IF(C43&lt;'user input'!$C$12,(D43-D42)*'user input'!$C$17*(1-EXP(5*(F42-'user input'!$C$17))),F43-F42)</f>
        <v>0</v>
      </c>
      <c r="F43">
        <f>IF(C43&lt;'user input'!$C$12,IF(B43&gt;'user input'!$C$6,0,F42+E43),'user input'!$C$17*((1-C43)/(1-'user input'!$C$12)))</f>
        <v>0</v>
      </c>
    </row>
    <row r="44" spans="1:6" x14ac:dyDescent="0.2">
      <c r="A44" s="1">
        <v>40220</v>
      </c>
      <c r="B44">
        <v>42</v>
      </c>
      <c r="C44">
        <f>IF(B44&gt;'user input'!$C$6,0,IF('heat units'!H44&gt;1,1,'heat units'!H44))</f>
        <v>0</v>
      </c>
      <c r="D44">
        <f>IF(B44&gt;'user input'!$C$6,0,(C44/(C44+EXP('user input'!$C$15-'user input'!$C$14*C44))))</f>
        <v>0</v>
      </c>
      <c r="E44">
        <f>IF(C44&lt;'user input'!$C$12,(D44-D43)*'user input'!$C$17*(1-EXP(5*(F43-'user input'!$C$17))),F44-F43)</f>
        <v>0</v>
      </c>
      <c r="F44">
        <f>IF(C44&lt;'user input'!$C$12,IF(B44&gt;'user input'!$C$6,0,F43+E44),'user input'!$C$17*((1-C44)/(1-'user input'!$C$12)))</f>
        <v>0</v>
      </c>
    </row>
    <row r="45" spans="1:6" x14ac:dyDescent="0.2">
      <c r="A45" s="1">
        <v>40221</v>
      </c>
      <c r="B45">
        <v>43</v>
      </c>
      <c r="C45">
        <f>IF(B45&gt;'user input'!$C$6,0,IF('heat units'!H45&gt;1,1,'heat units'!H45))</f>
        <v>0</v>
      </c>
      <c r="D45">
        <f>IF(B45&gt;'user input'!$C$6,0,(C45/(C45+EXP('user input'!$C$15-'user input'!$C$14*C45))))</f>
        <v>0</v>
      </c>
      <c r="E45">
        <f>IF(C45&lt;'user input'!$C$12,(D45-D44)*'user input'!$C$17*(1-EXP(5*(F44-'user input'!$C$17))),F45-F44)</f>
        <v>0</v>
      </c>
      <c r="F45">
        <f>IF(C45&lt;'user input'!$C$12,IF(B45&gt;'user input'!$C$6,0,F44+E45),'user input'!$C$17*((1-C45)/(1-'user input'!$C$12)))</f>
        <v>0</v>
      </c>
    </row>
    <row r="46" spans="1:6" x14ac:dyDescent="0.2">
      <c r="A46" s="1">
        <v>40222</v>
      </c>
      <c r="B46">
        <v>44</v>
      </c>
      <c r="C46">
        <f>IF(B46&gt;'user input'!$C$6,0,IF('heat units'!H46&gt;1,1,'heat units'!H46))</f>
        <v>0</v>
      </c>
      <c r="D46">
        <f>IF(B46&gt;'user input'!$C$6,0,(C46/(C46+EXP('user input'!$C$15-'user input'!$C$14*C46))))</f>
        <v>0</v>
      </c>
      <c r="E46">
        <f>IF(C46&lt;'user input'!$C$12,(D46-D45)*'user input'!$C$17*(1-EXP(5*(F45-'user input'!$C$17))),F46-F45)</f>
        <v>0</v>
      </c>
      <c r="F46">
        <f>IF(C46&lt;'user input'!$C$12,IF(B46&gt;'user input'!$C$6,0,F45+E46),'user input'!$C$17*((1-C46)/(1-'user input'!$C$12)))</f>
        <v>0</v>
      </c>
    </row>
    <row r="47" spans="1:6" x14ac:dyDescent="0.2">
      <c r="A47" s="1">
        <v>40223</v>
      </c>
      <c r="B47">
        <v>45</v>
      </c>
      <c r="C47">
        <f>IF(B47&gt;'user input'!$C$6,0,IF('heat units'!H47&gt;1,1,'heat units'!H47))</f>
        <v>0</v>
      </c>
      <c r="D47">
        <f>IF(B47&gt;'user input'!$C$6,0,(C47/(C47+EXP('user input'!$C$15-'user input'!$C$14*C47))))</f>
        <v>0</v>
      </c>
      <c r="E47">
        <f>IF(C47&lt;'user input'!$C$12,(D47-D46)*'user input'!$C$17*(1-EXP(5*(F46-'user input'!$C$17))),F47-F46)</f>
        <v>0</v>
      </c>
      <c r="F47">
        <f>IF(C47&lt;'user input'!$C$12,IF(B47&gt;'user input'!$C$6,0,F46+E47),'user input'!$C$17*((1-C47)/(1-'user input'!$C$12)))</f>
        <v>0</v>
      </c>
    </row>
    <row r="48" spans="1:6" x14ac:dyDescent="0.2">
      <c r="A48" s="1">
        <v>40224</v>
      </c>
      <c r="B48">
        <v>46</v>
      </c>
      <c r="C48">
        <f>IF(B48&gt;'user input'!$C$6,0,IF('heat units'!H48&gt;1,1,'heat units'!H48))</f>
        <v>0</v>
      </c>
      <c r="D48">
        <f>IF(B48&gt;'user input'!$C$6,0,(C48/(C48+EXP('user input'!$C$15-'user input'!$C$14*C48))))</f>
        <v>0</v>
      </c>
      <c r="E48">
        <f>IF(C48&lt;'user input'!$C$12,(D48-D47)*'user input'!$C$17*(1-EXP(5*(F47-'user input'!$C$17))),F48-F47)</f>
        <v>0</v>
      </c>
      <c r="F48">
        <f>IF(C48&lt;'user input'!$C$12,IF(B48&gt;'user input'!$C$6,0,F47+E48),'user input'!$C$17*((1-C48)/(1-'user input'!$C$12)))</f>
        <v>0</v>
      </c>
    </row>
    <row r="49" spans="1:6" x14ac:dyDescent="0.2">
      <c r="A49" s="1">
        <v>40225</v>
      </c>
      <c r="B49">
        <v>47</v>
      </c>
      <c r="C49">
        <f>IF(B49&gt;'user input'!$C$6,0,IF('heat units'!H49&gt;1,1,'heat units'!H49))</f>
        <v>0</v>
      </c>
      <c r="D49">
        <f>IF(B49&gt;'user input'!$C$6,0,(C49/(C49+EXP('user input'!$C$15-'user input'!$C$14*C49))))</f>
        <v>0</v>
      </c>
      <c r="E49">
        <f>IF(C49&lt;'user input'!$C$12,(D49-D48)*'user input'!$C$17*(1-EXP(5*(F48-'user input'!$C$17))),F49-F48)</f>
        <v>0</v>
      </c>
      <c r="F49">
        <f>IF(C49&lt;'user input'!$C$12,IF(B49&gt;'user input'!$C$6,0,F48+E49),'user input'!$C$17*((1-C49)/(1-'user input'!$C$12)))</f>
        <v>0</v>
      </c>
    </row>
    <row r="50" spans="1:6" x14ac:dyDescent="0.2">
      <c r="A50" s="1">
        <v>40226</v>
      </c>
      <c r="B50">
        <v>48</v>
      </c>
      <c r="C50">
        <f>IF(B50&gt;'user input'!$C$6,0,IF('heat units'!H50&gt;1,1,'heat units'!H50))</f>
        <v>0</v>
      </c>
      <c r="D50">
        <f>IF(B50&gt;'user input'!$C$6,0,(C50/(C50+EXP('user input'!$C$15-'user input'!$C$14*C50))))</f>
        <v>0</v>
      </c>
      <c r="E50">
        <f>IF(C50&lt;'user input'!$C$12,(D50-D49)*'user input'!$C$17*(1-EXP(5*(F49-'user input'!$C$17))),F50-F49)</f>
        <v>0</v>
      </c>
      <c r="F50">
        <f>IF(C50&lt;'user input'!$C$12,IF(B50&gt;'user input'!$C$6,0,F49+E50),'user input'!$C$17*((1-C50)/(1-'user input'!$C$12)))</f>
        <v>0</v>
      </c>
    </row>
    <row r="51" spans="1:6" x14ac:dyDescent="0.2">
      <c r="A51" s="1">
        <v>40227</v>
      </c>
      <c r="B51">
        <v>49</v>
      </c>
      <c r="C51">
        <f>IF(B51&gt;'user input'!$C$6,0,IF('heat units'!H51&gt;1,1,'heat units'!H51))</f>
        <v>0</v>
      </c>
      <c r="D51">
        <f>IF(B51&gt;'user input'!$C$6,0,(C51/(C51+EXP('user input'!$C$15-'user input'!$C$14*C51))))</f>
        <v>0</v>
      </c>
      <c r="E51">
        <f>IF(C51&lt;'user input'!$C$12,(D51-D50)*'user input'!$C$17*(1-EXP(5*(F50-'user input'!$C$17))),F51-F50)</f>
        <v>0</v>
      </c>
      <c r="F51">
        <f>IF(C51&lt;'user input'!$C$12,IF(B51&gt;'user input'!$C$6,0,F50+E51),'user input'!$C$17*((1-C51)/(1-'user input'!$C$12)))</f>
        <v>0</v>
      </c>
    </row>
    <row r="52" spans="1:6" x14ac:dyDescent="0.2">
      <c r="A52" s="1">
        <v>40228</v>
      </c>
      <c r="B52">
        <v>50</v>
      </c>
      <c r="C52">
        <f>IF(B52&gt;'user input'!$C$6,0,IF('heat units'!H52&gt;1,1,'heat units'!H52))</f>
        <v>0</v>
      </c>
      <c r="D52">
        <f>IF(B52&gt;'user input'!$C$6,0,(C52/(C52+EXP('user input'!$C$15-'user input'!$C$14*C52))))</f>
        <v>0</v>
      </c>
      <c r="E52">
        <f>IF(C52&lt;'user input'!$C$12,(D52-D51)*'user input'!$C$17*(1-EXP(5*(F51-'user input'!$C$17))),F52-F51)</f>
        <v>0</v>
      </c>
      <c r="F52">
        <f>IF(C52&lt;'user input'!$C$12,IF(B52&gt;'user input'!$C$6,0,F51+E52),'user input'!$C$17*((1-C52)/(1-'user input'!$C$12)))</f>
        <v>0</v>
      </c>
    </row>
    <row r="53" spans="1:6" x14ac:dyDescent="0.2">
      <c r="A53" s="1">
        <v>40229</v>
      </c>
      <c r="B53">
        <v>51</v>
      </c>
      <c r="C53">
        <f>IF(B53&gt;'user input'!$C$6,0,IF('heat units'!H53&gt;1,1,'heat units'!H53))</f>
        <v>0</v>
      </c>
      <c r="D53">
        <f>IF(B53&gt;'user input'!$C$6,0,(C53/(C53+EXP('user input'!$C$15-'user input'!$C$14*C53))))</f>
        <v>0</v>
      </c>
      <c r="E53">
        <f>IF(C53&lt;'user input'!$C$12,(D53-D52)*'user input'!$C$17*(1-EXP(5*(F52-'user input'!$C$17))),F53-F52)</f>
        <v>0</v>
      </c>
      <c r="F53">
        <f>IF(C53&lt;'user input'!$C$12,IF(B53&gt;'user input'!$C$6,0,F52+E53),'user input'!$C$17*((1-C53)/(1-'user input'!$C$12)))</f>
        <v>0</v>
      </c>
    </row>
    <row r="54" spans="1:6" x14ac:dyDescent="0.2">
      <c r="A54" s="1">
        <v>40230</v>
      </c>
      <c r="B54">
        <v>52</v>
      </c>
      <c r="C54">
        <f>IF(B54&gt;'user input'!$C$6,0,IF('heat units'!H54&gt;1,1,'heat units'!H54))</f>
        <v>0</v>
      </c>
      <c r="D54">
        <f>IF(B54&gt;'user input'!$C$6,0,(C54/(C54+EXP('user input'!$C$15-'user input'!$C$14*C54))))</f>
        <v>0</v>
      </c>
      <c r="E54">
        <f>IF(C54&lt;'user input'!$C$12,(D54-D53)*'user input'!$C$17*(1-EXP(5*(F53-'user input'!$C$17))),F54-F53)</f>
        <v>0</v>
      </c>
      <c r="F54">
        <f>IF(C54&lt;'user input'!$C$12,IF(B54&gt;'user input'!$C$6,0,F53+E54),'user input'!$C$17*((1-C54)/(1-'user input'!$C$12)))</f>
        <v>0</v>
      </c>
    </row>
    <row r="55" spans="1:6" x14ac:dyDescent="0.2">
      <c r="A55" s="1">
        <v>40231</v>
      </c>
      <c r="B55">
        <v>53</v>
      </c>
      <c r="C55">
        <f>IF(B55&gt;'user input'!$C$6,0,IF('heat units'!H55&gt;1,1,'heat units'!H55))</f>
        <v>0</v>
      </c>
      <c r="D55">
        <f>IF(B55&gt;'user input'!$C$6,0,(C55/(C55+EXP('user input'!$C$15-'user input'!$C$14*C55))))</f>
        <v>0</v>
      </c>
      <c r="E55">
        <f>IF(C55&lt;'user input'!$C$12,(D55-D54)*'user input'!$C$17*(1-EXP(5*(F54-'user input'!$C$17))),F55-F54)</f>
        <v>0</v>
      </c>
      <c r="F55">
        <f>IF(C55&lt;'user input'!$C$12,IF(B55&gt;'user input'!$C$6,0,F54+E55),'user input'!$C$17*((1-C55)/(1-'user input'!$C$12)))</f>
        <v>0</v>
      </c>
    </row>
    <row r="56" spans="1:6" x14ac:dyDescent="0.2">
      <c r="A56" s="1">
        <v>40232</v>
      </c>
      <c r="B56">
        <v>54</v>
      </c>
      <c r="C56">
        <f>IF(B56&gt;'user input'!$C$6,0,IF('heat units'!H56&gt;1,1,'heat units'!H56))</f>
        <v>0</v>
      </c>
      <c r="D56">
        <f>IF(B56&gt;'user input'!$C$6,0,(C56/(C56+EXP('user input'!$C$15-'user input'!$C$14*C56))))</f>
        <v>0</v>
      </c>
      <c r="E56">
        <f>IF(C56&lt;'user input'!$C$12,(D56-D55)*'user input'!$C$17*(1-EXP(5*(F55-'user input'!$C$17))),F56-F55)</f>
        <v>0</v>
      </c>
      <c r="F56">
        <f>IF(C56&lt;'user input'!$C$12,IF(B56&gt;'user input'!$C$6,0,F55+E56),'user input'!$C$17*((1-C56)/(1-'user input'!$C$12)))</f>
        <v>0</v>
      </c>
    </row>
    <row r="57" spans="1:6" x14ac:dyDescent="0.2">
      <c r="A57" s="1">
        <v>40233</v>
      </c>
      <c r="B57">
        <v>55</v>
      </c>
      <c r="C57">
        <f>IF(B57&gt;'user input'!$C$6,0,IF('heat units'!H57&gt;1,1,'heat units'!H57))</f>
        <v>0</v>
      </c>
      <c r="D57">
        <f>IF(B57&gt;'user input'!$C$6,0,(C57/(C57+EXP('user input'!$C$15-'user input'!$C$14*C57))))</f>
        <v>0</v>
      </c>
      <c r="E57">
        <f>IF(C57&lt;'user input'!$C$12,(D57-D56)*'user input'!$C$17*(1-EXP(5*(F56-'user input'!$C$17))),F57-F56)</f>
        <v>0</v>
      </c>
      <c r="F57">
        <f>IF(C57&lt;'user input'!$C$12,IF(B57&gt;'user input'!$C$6,0,F56+E57),'user input'!$C$17*((1-C57)/(1-'user input'!$C$12)))</f>
        <v>0</v>
      </c>
    </row>
    <row r="58" spans="1:6" x14ac:dyDescent="0.2">
      <c r="A58" s="1">
        <v>40234</v>
      </c>
      <c r="B58">
        <v>56</v>
      </c>
      <c r="C58">
        <f>IF(B58&gt;'user input'!$C$6,0,IF('heat units'!H58&gt;1,1,'heat units'!H58))</f>
        <v>0</v>
      </c>
      <c r="D58">
        <f>IF(B58&gt;'user input'!$C$6,0,(C58/(C58+EXP('user input'!$C$15-'user input'!$C$14*C58))))</f>
        <v>0</v>
      </c>
      <c r="E58">
        <f>IF(C58&lt;'user input'!$C$12,(D58-D57)*'user input'!$C$17*(1-EXP(5*(F57-'user input'!$C$17))),F58-F57)</f>
        <v>0</v>
      </c>
      <c r="F58">
        <f>IF(C58&lt;'user input'!$C$12,IF(B58&gt;'user input'!$C$6,0,F57+E58),'user input'!$C$17*((1-C58)/(1-'user input'!$C$12)))</f>
        <v>0</v>
      </c>
    </row>
    <row r="59" spans="1:6" x14ac:dyDescent="0.2">
      <c r="A59" s="1">
        <v>40235</v>
      </c>
      <c r="B59">
        <v>57</v>
      </c>
      <c r="C59">
        <f>IF(B59&gt;'user input'!$C$6,0,IF('heat units'!H59&gt;1,1,'heat units'!H59))</f>
        <v>0</v>
      </c>
      <c r="D59">
        <f>IF(B59&gt;'user input'!$C$6,0,(C59/(C59+EXP('user input'!$C$15-'user input'!$C$14*C59))))</f>
        <v>0</v>
      </c>
      <c r="E59">
        <f>IF(C59&lt;'user input'!$C$12,(D59-D58)*'user input'!$C$17*(1-EXP(5*(F58-'user input'!$C$17))),F59-F58)</f>
        <v>0</v>
      </c>
      <c r="F59">
        <f>IF(C59&lt;'user input'!$C$12,IF(B59&gt;'user input'!$C$6,0,F58+E59),'user input'!$C$17*((1-C59)/(1-'user input'!$C$12)))</f>
        <v>0</v>
      </c>
    </row>
    <row r="60" spans="1:6" x14ac:dyDescent="0.2">
      <c r="A60" s="1">
        <v>40236</v>
      </c>
      <c r="B60">
        <v>58</v>
      </c>
      <c r="C60">
        <f>IF(B60&gt;'user input'!$C$6,0,IF('heat units'!H60&gt;1,1,'heat units'!H60))</f>
        <v>0</v>
      </c>
      <c r="D60">
        <f>IF(B60&gt;'user input'!$C$6,0,(C60/(C60+EXP('user input'!$C$15-'user input'!$C$14*C60))))</f>
        <v>0</v>
      </c>
      <c r="E60">
        <f>IF(C60&lt;'user input'!$C$12,(D60-D59)*'user input'!$C$17*(1-EXP(5*(F59-'user input'!$C$17))),F60-F59)</f>
        <v>0</v>
      </c>
      <c r="F60">
        <f>IF(C60&lt;'user input'!$C$12,IF(B60&gt;'user input'!$C$6,0,F59+E60),'user input'!$C$17*((1-C60)/(1-'user input'!$C$12)))</f>
        <v>0</v>
      </c>
    </row>
    <row r="61" spans="1:6" x14ac:dyDescent="0.2">
      <c r="A61" s="1">
        <v>40237</v>
      </c>
      <c r="B61">
        <v>59</v>
      </c>
      <c r="C61">
        <f>IF(B61&gt;'user input'!$C$6,0,IF('heat units'!H61&gt;1,1,'heat units'!H61))</f>
        <v>0</v>
      </c>
      <c r="D61">
        <f>IF(B61&gt;'user input'!$C$6,0,(C61/(C61+EXP('user input'!$C$15-'user input'!$C$14*C61))))</f>
        <v>0</v>
      </c>
      <c r="E61">
        <f>IF(C61&lt;'user input'!$C$12,(D61-D60)*'user input'!$C$17*(1-EXP(5*(F60-'user input'!$C$17))),F61-F60)</f>
        <v>0</v>
      </c>
      <c r="F61">
        <f>IF(C61&lt;'user input'!$C$12,IF(B61&gt;'user input'!$C$6,0,F60+E61),'user input'!$C$17*((1-C61)/(1-'user input'!$C$12)))</f>
        <v>0</v>
      </c>
    </row>
    <row r="62" spans="1:6" x14ac:dyDescent="0.2">
      <c r="A62" s="1">
        <v>40238</v>
      </c>
      <c r="B62">
        <v>60</v>
      </c>
      <c r="C62">
        <f>IF(B62&gt;'user input'!$C$6,0,IF('heat units'!H62&gt;1,1,'heat units'!H62))</f>
        <v>0</v>
      </c>
      <c r="D62">
        <f>IF(B62&gt;'user input'!$C$6,0,(C62/(C62+EXP('user input'!$C$15-'user input'!$C$14*C62))))</f>
        <v>0</v>
      </c>
      <c r="E62">
        <f>IF(C62&lt;'user input'!$C$12,(D62-D61)*'user input'!$C$17*(1-EXP(5*(F61-'user input'!$C$17))),F62-F61)</f>
        <v>0</v>
      </c>
      <c r="F62">
        <f>IF(C62&lt;'user input'!$C$12,IF(B62&gt;'user input'!$C$6,0,F61+E62),'user input'!$C$17*((1-C62)/(1-'user input'!$C$12)))</f>
        <v>0</v>
      </c>
    </row>
    <row r="63" spans="1:6" x14ac:dyDescent="0.2">
      <c r="A63" s="1">
        <v>40239</v>
      </c>
      <c r="B63">
        <v>61</v>
      </c>
      <c r="C63">
        <f>IF(B63&gt;'user input'!$C$6,0,IF('heat units'!H63&gt;1,1,'heat units'!H63))</f>
        <v>0</v>
      </c>
      <c r="D63">
        <f>IF(B63&gt;'user input'!$C$6,0,(C63/(C63+EXP('user input'!$C$15-'user input'!$C$14*C63))))</f>
        <v>0</v>
      </c>
      <c r="E63">
        <f>IF(C63&lt;'user input'!$C$12,(D63-D62)*'user input'!$C$17*(1-EXP(5*(F62-'user input'!$C$17))),F63-F62)</f>
        <v>0</v>
      </c>
      <c r="F63">
        <f>IF(C63&lt;'user input'!$C$12,IF(B63&gt;'user input'!$C$6,0,F62+E63),'user input'!$C$17*((1-C63)/(1-'user input'!$C$12)))</f>
        <v>0</v>
      </c>
    </row>
    <row r="64" spans="1:6" x14ac:dyDescent="0.2">
      <c r="A64" s="1">
        <v>40240</v>
      </c>
      <c r="B64">
        <v>62</v>
      </c>
      <c r="C64">
        <f>IF(B64&gt;'user input'!$C$6,0,IF('heat units'!H64&gt;1,1,'heat units'!H64))</f>
        <v>0</v>
      </c>
      <c r="D64">
        <f>IF(B64&gt;'user input'!$C$6,0,(C64/(C64+EXP('user input'!$C$15-'user input'!$C$14*C64))))</f>
        <v>0</v>
      </c>
      <c r="E64">
        <f>IF(C64&lt;'user input'!$C$12,(D64-D63)*'user input'!$C$17*(1-EXP(5*(F63-'user input'!$C$17))),F64-F63)</f>
        <v>0</v>
      </c>
      <c r="F64">
        <f>IF(C64&lt;'user input'!$C$12,IF(B64&gt;'user input'!$C$6,0,F63+E64),'user input'!$C$17*((1-C64)/(1-'user input'!$C$12)))</f>
        <v>0</v>
      </c>
    </row>
    <row r="65" spans="1:6" x14ac:dyDescent="0.2">
      <c r="A65" s="1">
        <v>40241</v>
      </c>
      <c r="B65">
        <v>63</v>
      </c>
      <c r="C65">
        <f>IF(B65&gt;'user input'!$C$6,0,IF('heat units'!H65&gt;1,1,'heat units'!H65))</f>
        <v>0</v>
      </c>
      <c r="D65">
        <f>IF(B65&gt;'user input'!$C$6,0,(C65/(C65+EXP('user input'!$C$15-'user input'!$C$14*C65))))</f>
        <v>0</v>
      </c>
      <c r="E65">
        <f>IF(C65&lt;'user input'!$C$12,(D65-D64)*'user input'!$C$17*(1-EXP(5*(F64-'user input'!$C$17))),F65-F64)</f>
        <v>0</v>
      </c>
      <c r="F65">
        <f>IF(C65&lt;'user input'!$C$12,IF(B65&gt;'user input'!$C$6,0,F64+E65),'user input'!$C$17*((1-C65)/(1-'user input'!$C$12)))</f>
        <v>0</v>
      </c>
    </row>
    <row r="66" spans="1:6" x14ac:dyDescent="0.2">
      <c r="A66" s="1">
        <v>40242</v>
      </c>
      <c r="B66">
        <v>64</v>
      </c>
      <c r="C66">
        <f>IF(B66&gt;'user input'!$C$6,0,IF('heat units'!H66&gt;1,1,'heat units'!H66))</f>
        <v>0</v>
      </c>
      <c r="D66">
        <f>IF(B66&gt;'user input'!$C$6,0,(C66/(C66+EXP('user input'!$C$15-'user input'!$C$14*C66))))</f>
        <v>0</v>
      </c>
      <c r="E66">
        <f>IF(C66&lt;'user input'!$C$12,(D66-D65)*'user input'!$C$17*(1-EXP(5*(F65-'user input'!$C$17))),F66-F65)</f>
        <v>0</v>
      </c>
      <c r="F66">
        <f>IF(C66&lt;'user input'!$C$12,IF(B66&gt;'user input'!$C$6,0,F65+E66),'user input'!$C$17*((1-C66)/(1-'user input'!$C$12)))</f>
        <v>0</v>
      </c>
    </row>
    <row r="67" spans="1:6" x14ac:dyDescent="0.2">
      <c r="A67" s="1">
        <v>40243</v>
      </c>
      <c r="B67">
        <v>65</v>
      </c>
      <c r="C67">
        <f>IF(B67&gt;'user input'!$C$6,0,IF('heat units'!H67&gt;1,1,'heat units'!H67))</f>
        <v>0</v>
      </c>
      <c r="D67">
        <f>IF(B67&gt;'user input'!$C$6,0,(C67/(C67+EXP('user input'!$C$15-'user input'!$C$14*C67))))</f>
        <v>0</v>
      </c>
      <c r="E67">
        <f>IF(C67&lt;'user input'!$C$12,(D67-D66)*'user input'!$C$17*(1-EXP(5*(F66-'user input'!$C$17))),F67-F66)</f>
        <v>0</v>
      </c>
      <c r="F67">
        <f>IF(C67&lt;'user input'!$C$12,IF(B67&gt;'user input'!$C$6,0,F66+E67),'user input'!$C$17*((1-C67)/(1-'user input'!$C$12)))</f>
        <v>0</v>
      </c>
    </row>
    <row r="68" spans="1:6" x14ac:dyDescent="0.2">
      <c r="A68" s="1">
        <v>40244</v>
      </c>
      <c r="B68">
        <v>66</v>
      </c>
      <c r="C68">
        <f>IF(B68&gt;'user input'!$C$6,0,IF('heat units'!H68&gt;1,1,'heat units'!H68))</f>
        <v>0</v>
      </c>
      <c r="D68">
        <f>IF(B68&gt;'user input'!$C$6,0,(C68/(C68+EXP('user input'!$C$15-'user input'!$C$14*C68))))</f>
        <v>0</v>
      </c>
      <c r="E68">
        <f>IF(C68&lt;'user input'!$C$12,(D68-D67)*'user input'!$C$17*(1-EXP(5*(F67-'user input'!$C$17))),F68-F67)</f>
        <v>0</v>
      </c>
      <c r="F68">
        <f>IF(C68&lt;'user input'!$C$12,IF(B68&gt;'user input'!$C$6,0,F67+E68),'user input'!$C$17*((1-C68)/(1-'user input'!$C$12)))</f>
        <v>0</v>
      </c>
    </row>
    <row r="69" spans="1:6" x14ac:dyDescent="0.2">
      <c r="A69" s="1">
        <v>40245</v>
      </c>
      <c r="B69">
        <v>67</v>
      </c>
      <c r="C69">
        <f>IF(B69&gt;'user input'!$C$6,0,IF('heat units'!H69&gt;1,1,'heat units'!H69))</f>
        <v>0</v>
      </c>
      <c r="D69">
        <f>IF(B69&gt;'user input'!$C$6,0,(C69/(C69+EXP('user input'!$C$15-'user input'!$C$14*C69))))</f>
        <v>0</v>
      </c>
      <c r="E69">
        <f>IF(C69&lt;'user input'!$C$12,(D69-D68)*'user input'!$C$17*(1-EXP(5*(F68-'user input'!$C$17))),F69-F68)</f>
        <v>0</v>
      </c>
      <c r="F69">
        <f>IF(C69&lt;'user input'!$C$12,IF(B69&gt;'user input'!$C$6,0,F68+E69),'user input'!$C$17*((1-C69)/(1-'user input'!$C$12)))</f>
        <v>0</v>
      </c>
    </row>
    <row r="70" spans="1:6" x14ac:dyDescent="0.2">
      <c r="A70" s="1">
        <v>40246</v>
      </c>
      <c r="B70">
        <v>68</v>
      </c>
      <c r="C70">
        <f>IF(B70&gt;'user input'!$C$6,0,IF('heat units'!H70&gt;1,1,'heat units'!H70))</f>
        <v>0</v>
      </c>
      <c r="D70">
        <f>IF(B70&gt;'user input'!$C$6,0,(C70/(C70+EXP('user input'!$C$15-'user input'!$C$14*C70))))</f>
        <v>0</v>
      </c>
      <c r="E70">
        <f>IF(C70&lt;'user input'!$C$12,(D70-D69)*'user input'!$C$17*(1-EXP(5*(F69-'user input'!$C$17))),F70-F69)</f>
        <v>0</v>
      </c>
      <c r="F70">
        <f>IF(C70&lt;'user input'!$C$12,IF(B70&gt;'user input'!$C$6,0,F69+E70),'user input'!$C$17*((1-C70)/(1-'user input'!$C$12)))</f>
        <v>0</v>
      </c>
    </row>
    <row r="71" spans="1:6" x14ac:dyDescent="0.2">
      <c r="A71" s="1">
        <v>40247</v>
      </c>
      <c r="B71">
        <v>69</v>
      </c>
      <c r="C71">
        <f>IF(B71&gt;'user input'!$C$6,0,IF('heat units'!H71&gt;1,1,'heat units'!H71))</f>
        <v>0</v>
      </c>
      <c r="D71">
        <f>IF(B71&gt;'user input'!$C$6,0,(C71/(C71+EXP('user input'!$C$15-'user input'!$C$14*C71))))</f>
        <v>0</v>
      </c>
      <c r="E71">
        <f>IF(C71&lt;'user input'!$C$12,(D71-D70)*'user input'!$C$17*(1-EXP(5*(F70-'user input'!$C$17))),F71-F70)</f>
        <v>0</v>
      </c>
      <c r="F71">
        <f>IF(C71&lt;'user input'!$C$12,IF(B71&gt;'user input'!$C$6,0,F70+E71),'user input'!$C$17*((1-C71)/(1-'user input'!$C$12)))</f>
        <v>0</v>
      </c>
    </row>
    <row r="72" spans="1:6" x14ac:dyDescent="0.2">
      <c r="A72" s="1">
        <v>40248</v>
      </c>
      <c r="B72">
        <v>70</v>
      </c>
      <c r="C72">
        <f>IF(B72&gt;'user input'!$C$6,0,IF('heat units'!H72&gt;1,1,'heat units'!H72))</f>
        <v>0</v>
      </c>
      <c r="D72">
        <f>IF(B72&gt;'user input'!$C$6,0,(C72/(C72+EXP('user input'!$C$15-'user input'!$C$14*C72))))</f>
        <v>0</v>
      </c>
      <c r="E72">
        <f>IF(C72&lt;'user input'!$C$12,(D72-D71)*'user input'!$C$17*(1-EXP(5*(F71-'user input'!$C$17))),F72-F71)</f>
        <v>0</v>
      </c>
      <c r="F72">
        <f>IF(C72&lt;'user input'!$C$12,IF(B72&gt;'user input'!$C$6,0,F71+E72),'user input'!$C$17*((1-C72)/(1-'user input'!$C$12)))</f>
        <v>0</v>
      </c>
    </row>
    <row r="73" spans="1:6" x14ac:dyDescent="0.2">
      <c r="A73" s="1">
        <v>40249</v>
      </c>
      <c r="B73">
        <v>71</v>
      </c>
      <c r="C73">
        <f>IF(B73&gt;'user input'!$C$6,0,IF('heat units'!H73&gt;1,1,'heat units'!H73))</f>
        <v>0</v>
      </c>
      <c r="D73">
        <f>IF(B73&gt;'user input'!$C$6,0,(C73/(C73+EXP('user input'!$C$15-'user input'!$C$14*C73))))</f>
        <v>0</v>
      </c>
      <c r="E73">
        <f>IF(C73&lt;'user input'!$C$12,(D73-D72)*'user input'!$C$17*(1-EXP(5*(F72-'user input'!$C$17))),F73-F72)</f>
        <v>0</v>
      </c>
      <c r="F73">
        <f>IF(C73&lt;'user input'!$C$12,IF(B73&gt;'user input'!$C$6,0,F72+E73),'user input'!$C$17*((1-C73)/(1-'user input'!$C$12)))</f>
        <v>0</v>
      </c>
    </row>
    <row r="74" spans="1:6" x14ac:dyDescent="0.2">
      <c r="A74" s="1">
        <v>40250</v>
      </c>
      <c r="B74">
        <v>72</v>
      </c>
      <c r="C74">
        <f>IF(B74&gt;'user input'!$C$6,0,IF('heat units'!H74&gt;1,1,'heat units'!H74))</f>
        <v>0</v>
      </c>
      <c r="D74">
        <f>IF(B74&gt;'user input'!$C$6,0,(C74/(C74+EXP('user input'!$C$15-'user input'!$C$14*C74))))</f>
        <v>0</v>
      </c>
      <c r="E74">
        <f>IF(C74&lt;'user input'!$C$12,(D74-D73)*'user input'!$C$17*(1-EXP(5*(F73-'user input'!$C$17))),F74-F73)</f>
        <v>0</v>
      </c>
      <c r="F74">
        <f>IF(C74&lt;'user input'!$C$12,IF(B74&gt;'user input'!$C$6,0,F73+E74),'user input'!$C$17*((1-C74)/(1-'user input'!$C$12)))</f>
        <v>0</v>
      </c>
    </row>
    <row r="75" spans="1:6" x14ac:dyDescent="0.2">
      <c r="A75" s="1">
        <v>40251</v>
      </c>
      <c r="B75">
        <v>73</v>
      </c>
      <c r="C75">
        <f>IF(B75&gt;'user input'!$C$6,0,IF('heat units'!H75&gt;1,1,'heat units'!H75))</f>
        <v>0</v>
      </c>
      <c r="D75">
        <f>IF(B75&gt;'user input'!$C$6,0,(C75/(C75+EXP('user input'!$C$15-'user input'!$C$14*C75))))</f>
        <v>0</v>
      </c>
      <c r="E75">
        <f>IF(C75&lt;'user input'!$C$12,(D75-D74)*'user input'!$C$17*(1-EXP(5*(F74-'user input'!$C$17))),F75-F74)</f>
        <v>0</v>
      </c>
      <c r="F75">
        <f>IF(C75&lt;'user input'!$C$12,IF(B75&gt;'user input'!$C$6,0,F74+E75),'user input'!$C$17*((1-C75)/(1-'user input'!$C$12)))</f>
        <v>0</v>
      </c>
    </row>
    <row r="76" spans="1:6" x14ac:dyDescent="0.2">
      <c r="A76" s="1">
        <v>40252</v>
      </c>
      <c r="B76">
        <v>74</v>
      </c>
      <c r="C76">
        <f>IF(B76&gt;'user input'!$C$6,0,IF('heat units'!H76&gt;1,1,'heat units'!H76))</f>
        <v>0</v>
      </c>
      <c r="D76">
        <f>IF(B76&gt;'user input'!$C$6,0,(C76/(C76+EXP('user input'!$C$15-'user input'!$C$14*C76))))</f>
        <v>0</v>
      </c>
      <c r="E76">
        <f>IF(C76&lt;'user input'!$C$12,(D76-D75)*'user input'!$C$17*(1-EXP(5*(F75-'user input'!$C$17))),F76-F75)</f>
        <v>0</v>
      </c>
      <c r="F76">
        <f>IF(C76&lt;'user input'!$C$12,IF(B76&gt;'user input'!$C$6,0,F75+E76),'user input'!$C$17*((1-C76)/(1-'user input'!$C$12)))</f>
        <v>0</v>
      </c>
    </row>
    <row r="77" spans="1:6" x14ac:dyDescent="0.2">
      <c r="A77" s="1">
        <v>40253</v>
      </c>
      <c r="B77">
        <v>75</v>
      </c>
      <c r="C77">
        <f>IF(B77&gt;'user input'!$C$6,0,IF('heat units'!H77&gt;1,1,'heat units'!H77))</f>
        <v>0</v>
      </c>
      <c r="D77">
        <f>IF(B77&gt;'user input'!$C$6,0,(C77/(C77+EXP('user input'!$C$15-'user input'!$C$14*C77))))</f>
        <v>0</v>
      </c>
      <c r="E77">
        <f>IF(C77&lt;'user input'!$C$12,(D77-D76)*'user input'!$C$17*(1-EXP(5*(F76-'user input'!$C$17))),F77-F76)</f>
        <v>0</v>
      </c>
      <c r="F77">
        <f>IF(C77&lt;'user input'!$C$12,IF(B77&gt;'user input'!$C$6,0,F76+E77),'user input'!$C$17*((1-C77)/(1-'user input'!$C$12)))</f>
        <v>0</v>
      </c>
    </row>
    <row r="78" spans="1:6" x14ac:dyDescent="0.2">
      <c r="A78" s="1">
        <v>40254</v>
      </c>
      <c r="B78">
        <v>76</v>
      </c>
      <c r="C78">
        <f>IF(B78&gt;'user input'!$C$6,0,IF('heat units'!H78&gt;1,1,'heat units'!H78))</f>
        <v>0</v>
      </c>
      <c r="D78">
        <f>IF(B78&gt;'user input'!$C$6,0,(C78/(C78+EXP('user input'!$C$15-'user input'!$C$14*C78))))</f>
        <v>0</v>
      </c>
      <c r="E78">
        <f>IF(C78&lt;'user input'!$C$12,(D78-D77)*'user input'!$C$17*(1-EXP(5*(F77-'user input'!$C$17))),F78-F77)</f>
        <v>0</v>
      </c>
      <c r="F78">
        <f>IF(C78&lt;'user input'!$C$12,IF(B78&gt;'user input'!$C$6,0,F77+E78),'user input'!$C$17*((1-C78)/(1-'user input'!$C$12)))</f>
        <v>0</v>
      </c>
    </row>
    <row r="79" spans="1:6" x14ac:dyDescent="0.2">
      <c r="A79" s="1">
        <v>40255</v>
      </c>
      <c r="B79">
        <v>77</v>
      </c>
      <c r="C79">
        <f>IF(B79&gt;'user input'!$C$6,0,IF('heat units'!H79&gt;1,1,'heat units'!H79))</f>
        <v>0</v>
      </c>
      <c r="D79">
        <f>IF(B79&gt;'user input'!$C$6,0,(C79/(C79+EXP('user input'!$C$15-'user input'!$C$14*C79))))</f>
        <v>0</v>
      </c>
      <c r="E79">
        <f>IF(C79&lt;'user input'!$C$12,(D79-D78)*'user input'!$C$17*(1-EXP(5*(F78-'user input'!$C$17))),F79-F78)</f>
        <v>0</v>
      </c>
      <c r="F79">
        <f>IF(C79&lt;'user input'!$C$12,IF(B79&gt;'user input'!$C$6,0,F78+E79),'user input'!$C$17*((1-C79)/(1-'user input'!$C$12)))</f>
        <v>0</v>
      </c>
    </row>
    <row r="80" spans="1:6" x14ac:dyDescent="0.2">
      <c r="A80" s="1">
        <v>40256</v>
      </c>
      <c r="B80">
        <v>78</v>
      </c>
      <c r="C80">
        <f>IF(B80&gt;'user input'!$C$6,0,IF('heat units'!H80&gt;1,1,'heat units'!H80))</f>
        <v>0</v>
      </c>
      <c r="D80">
        <f>IF(B80&gt;'user input'!$C$6,0,(C80/(C80+EXP('user input'!$C$15-'user input'!$C$14*C80))))</f>
        <v>0</v>
      </c>
      <c r="E80">
        <f>IF(C80&lt;'user input'!$C$12,(D80-D79)*'user input'!$C$17*(1-EXP(5*(F79-'user input'!$C$17))),F80-F79)</f>
        <v>0</v>
      </c>
      <c r="F80">
        <f>IF(C80&lt;'user input'!$C$12,IF(B80&gt;'user input'!$C$6,0,F79+E80),'user input'!$C$17*((1-C80)/(1-'user input'!$C$12)))</f>
        <v>0</v>
      </c>
    </row>
    <row r="81" spans="1:6" x14ac:dyDescent="0.2">
      <c r="A81" s="1">
        <v>40257</v>
      </c>
      <c r="B81">
        <v>79</v>
      </c>
      <c r="C81">
        <f>IF(B81&gt;'user input'!$C$6,0,IF('heat units'!H81&gt;1,1,'heat units'!H81))</f>
        <v>0</v>
      </c>
      <c r="D81">
        <f>IF(B81&gt;'user input'!$C$6,0,(C81/(C81+EXP('user input'!$C$15-'user input'!$C$14*C81))))</f>
        <v>0</v>
      </c>
      <c r="E81">
        <f>IF(C81&lt;'user input'!$C$12,(D81-D80)*'user input'!$C$17*(1-EXP(5*(F80-'user input'!$C$17))),F81-F80)</f>
        <v>0</v>
      </c>
      <c r="F81">
        <f>IF(C81&lt;'user input'!$C$12,IF(B81&gt;'user input'!$C$6,0,F80+E81),'user input'!$C$17*((1-C81)/(1-'user input'!$C$12)))</f>
        <v>0</v>
      </c>
    </row>
    <row r="82" spans="1:6" x14ac:dyDescent="0.2">
      <c r="A82" s="1">
        <v>40258</v>
      </c>
      <c r="B82">
        <v>80</v>
      </c>
      <c r="C82">
        <f>IF(B82&gt;'user input'!$C$6,0,IF('heat units'!H82&gt;1,1,'heat units'!H82))</f>
        <v>0</v>
      </c>
      <c r="D82">
        <f>IF(B82&gt;'user input'!$C$6,0,(C82/(C82+EXP('user input'!$C$15-'user input'!$C$14*C82))))</f>
        <v>0</v>
      </c>
      <c r="E82">
        <f>IF(C82&lt;'user input'!$C$12,(D82-D81)*'user input'!$C$17*(1-EXP(5*(F81-'user input'!$C$17))),F82-F81)</f>
        <v>0</v>
      </c>
      <c r="F82">
        <f>IF(C82&lt;'user input'!$C$12,IF(B82&gt;'user input'!$C$6,0,F81+E82),'user input'!$C$17*((1-C82)/(1-'user input'!$C$12)))</f>
        <v>0</v>
      </c>
    </row>
    <row r="83" spans="1:6" x14ac:dyDescent="0.2">
      <c r="A83" s="1">
        <v>40259</v>
      </c>
      <c r="B83">
        <v>81</v>
      </c>
      <c r="C83">
        <f>IF(B83&gt;'user input'!$C$6,0,IF('heat units'!H83&gt;1,1,'heat units'!H83))</f>
        <v>0</v>
      </c>
      <c r="D83">
        <f>IF(B83&gt;'user input'!$C$6,0,(C83/(C83+EXP('user input'!$C$15-'user input'!$C$14*C83))))</f>
        <v>0</v>
      </c>
      <c r="E83">
        <f>IF(C83&lt;'user input'!$C$12,(D83-D82)*'user input'!$C$17*(1-EXP(5*(F82-'user input'!$C$17))),F83-F82)</f>
        <v>0</v>
      </c>
      <c r="F83">
        <f>IF(C83&lt;'user input'!$C$12,IF(B83&gt;'user input'!$C$6,0,F82+E83),'user input'!$C$17*((1-C83)/(1-'user input'!$C$12)))</f>
        <v>0</v>
      </c>
    </row>
    <row r="84" spans="1:6" x14ac:dyDescent="0.2">
      <c r="A84" s="1">
        <v>40260</v>
      </c>
      <c r="B84">
        <v>82</v>
      </c>
      <c r="C84">
        <f>IF(B84&gt;'user input'!$C$6,0,IF('heat units'!H84&gt;1,1,'heat units'!H84))</f>
        <v>0</v>
      </c>
      <c r="D84">
        <f>IF(B84&gt;'user input'!$C$6,0,(C84/(C84+EXP('user input'!$C$15-'user input'!$C$14*C84))))</f>
        <v>0</v>
      </c>
      <c r="E84">
        <f>IF(C84&lt;'user input'!$C$12,(D84-D83)*'user input'!$C$17*(1-EXP(5*(F83-'user input'!$C$17))),F84-F83)</f>
        <v>0</v>
      </c>
      <c r="F84">
        <f>IF(C84&lt;'user input'!$C$12,IF(B84&gt;'user input'!$C$6,0,F83+E84),'user input'!$C$17*((1-C84)/(1-'user input'!$C$12)))</f>
        <v>0</v>
      </c>
    </row>
    <row r="85" spans="1:6" x14ac:dyDescent="0.2">
      <c r="A85" s="1">
        <v>40261</v>
      </c>
      <c r="B85">
        <v>83</v>
      </c>
      <c r="C85">
        <f>IF(B85&gt;'user input'!$C$6,0,IF('heat units'!H85&gt;1,1,'heat units'!H85))</f>
        <v>0</v>
      </c>
      <c r="D85">
        <f>IF(B85&gt;'user input'!$C$6,0,(C85/(C85+EXP('user input'!$C$15-'user input'!$C$14*C85))))</f>
        <v>0</v>
      </c>
      <c r="E85">
        <f>IF(C85&lt;'user input'!$C$12,(D85-D84)*'user input'!$C$17*(1-EXP(5*(F84-'user input'!$C$17))),F85-F84)</f>
        <v>0</v>
      </c>
      <c r="F85">
        <f>IF(C85&lt;'user input'!$C$12,IF(B85&gt;'user input'!$C$6,0,F84+E85),'user input'!$C$17*((1-C85)/(1-'user input'!$C$12)))</f>
        <v>0</v>
      </c>
    </row>
    <row r="86" spans="1:6" x14ac:dyDescent="0.2">
      <c r="A86" s="1">
        <v>40262</v>
      </c>
      <c r="B86">
        <v>84</v>
      </c>
      <c r="C86">
        <f>IF(B86&gt;'user input'!$C$6,0,IF('heat units'!H86&gt;1,1,'heat units'!H86))</f>
        <v>0</v>
      </c>
      <c r="D86">
        <f>IF(B86&gt;'user input'!$C$6,0,(C86/(C86+EXP('user input'!$C$15-'user input'!$C$14*C86))))</f>
        <v>0</v>
      </c>
      <c r="E86">
        <f>IF(C86&lt;'user input'!$C$12,(D86-D85)*'user input'!$C$17*(1-EXP(5*(F85-'user input'!$C$17))),F86-F85)</f>
        <v>0</v>
      </c>
      <c r="F86">
        <f>IF(C86&lt;'user input'!$C$12,IF(B86&gt;'user input'!$C$6,0,F85+E86),'user input'!$C$17*((1-C86)/(1-'user input'!$C$12)))</f>
        <v>0</v>
      </c>
    </row>
    <row r="87" spans="1:6" x14ac:dyDescent="0.2">
      <c r="A87" s="1">
        <v>40263</v>
      </c>
      <c r="B87">
        <v>85</v>
      </c>
      <c r="C87">
        <f>IF(B87&gt;'user input'!$C$6,0,IF('heat units'!H87&gt;1,1,'heat units'!H87))</f>
        <v>0</v>
      </c>
      <c r="D87">
        <f>IF(B87&gt;'user input'!$C$6,0,(C87/(C87+EXP('user input'!$C$15-'user input'!$C$14*C87))))</f>
        <v>0</v>
      </c>
      <c r="E87">
        <f>IF(C87&lt;'user input'!$C$12,(D87-D86)*'user input'!$C$17*(1-EXP(5*(F86-'user input'!$C$17))),F87-F86)</f>
        <v>0</v>
      </c>
      <c r="F87">
        <f>IF(C87&lt;'user input'!$C$12,IF(B87&gt;'user input'!$C$6,0,F86+E87),'user input'!$C$17*((1-C87)/(1-'user input'!$C$12)))</f>
        <v>0</v>
      </c>
    </row>
    <row r="88" spans="1:6" x14ac:dyDescent="0.2">
      <c r="A88" s="1">
        <v>40264</v>
      </c>
      <c r="B88">
        <v>86</v>
      </c>
      <c r="C88">
        <f>IF(B88&gt;'user input'!$C$6,0,IF('heat units'!H88&gt;1,1,'heat units'!H88))</f>
        <v>0</v>
      </c>
      <c r="D88">
        <f>IF(B88&gt;'user input'!$C$6,0,(C88/(C88+EXP('user input'!$C$15-'user input'!$C$14*C88))))</f>
        <v>0</v>
      </c>
      <c r="E88">
        <f>IF(C88&lt;'user input'!$C$12,(D88-D87)*'user input'!$C$17*(1-EXP(5*(F87-'user input'!$C$17))),F88-F87)</f>
        <v>0</v>
      </c>
      <c r="F88">
        <f>IF(C88&lt;'user input'!$C$12,IF(B88&gt;'user input'!$C$6,0,F87+E88),'user input'!$C$17*((1-C88)/(1-'user input'!$C$12)))</f>
        <v>0</v>
      </c>
    </row>
    <row r="89" spans="1:6" x14ac:dyDescent="0.2">
      <c r="A89" s="1">
        <v>40265</v>
      </c>
      <c r="B89">
        <v>87</v>
      </c>
      <c r="C89">
        <f>IF(B89&gt;'user input'!$C$6,0,IF('heat units'!H89&gt;1,1,'heat units'!H89))</f>
        <v>0</v>
      </c>
      <c r="D89">
        <f>IF(B89&gt;'user input'!$C$6,0,(C89/(C89+EXP('user input'!$C$15-'user input'!$C$14*C89))))</f>
        <v>0</v>
      </c>
      <c r="E89">
        <f>IF(C89&lt;'user input'!$C$12,(D89-D88)*'user input'!$C$17*(1-EXP(5*(F88-'user input'!$C$17))),F89-F88)</f>
        <v>0</v>
      </c>
      <c r="F89">
        <f>IF(C89&lt;'user input'!$C$12,IF(B89&gt;'user input'!$C$6,0,F88+E89),'user input'!$C$17*((1-C89)/(1-'user input'!$C$12)))</f>
        <v>0</v>
      </c>
    </row>
    <row r="90" spans="1:6" x14ac:dyDescent="0.2">
      <c r="A90" s="1">
        <v>40266</v>
      </c>
      <c r="B90">
        <v>88</v>
      </c>
      <c r="C90">
        <f>IF(B90&gt;'user input'!$C$6,0,IF('heat units'!H90&gt;1,1,'heat units'!H90))</f>
        <v>0</v>
      </c>
      <c r="D90">
        <f>IF(B90&gt;'user input'!$C$6,0,(C90/(C90+EXP('user input'!$C$15-'user input'!$C$14*C90))))</f>
        <v>0</v>
      </c>
      <c r="E90">
        <f>IF(C90&lt;'user input'!$C$12,(D90-D89)*'user input'!$C$17*(1-EXP(5*(F89-'user input'!$C$17))),F90-F89)</f>
        <v>0</v>
      </c>
      <c r="F90">
        <f>IF(C90&lt;'user input'!$C$12,IF(B90&gt;'user input'!$C$6,0,F89+E90),'user input'!$C$17*((1-C90)/(1-'user input'!$C$12)))</f>
        <v>0</v>
      </c>
    </row>
    <row r="91" spans="1:6" x14ac:dyDescent="0.2">
      <c r="A91" s="1">
        <v>40267</v>
      </c>
      <c r="B91">
        <v>89</v>
      </c>
      <c r="C91">
        <f>IF(B91&gt;'user input'!$C$6,0,IF('heat units'!H91&gt;1,1,'heat units'!H91))</f>
        <v>0</v>
      </c>
      <c r="D91">
        <f>IF(B91&gt;'user input'!$C$6,0,(C91/(C91+EXP('user input'!$C$15-'user input'!$C$14*C91))))</f>
        <v>0</v>
      </c>
      <c r="E91">
        <f>IF(C91&lt;'user input'!$C$12,(D91-D90)*'user input'!$C$17*(1-EXP(5*(F90-'user input'!$C$17))),F91-F90)</f>
        <v>0</v>
      </c>
      <c r="F91">
        <f>IF(C91&lt;'user input'!$C$12,IF(B91&gt;'user input'!$C$6,0,F90+E91),'user input'!$C$17*((1-C91)/(1-'user input'!$C$12)))</f>
        <v>0</v>
      </c>
    </row>
    <row r="92" spans="1:6" x14ac:dyDescent="0.2">
      <c r="A92" s="1">
        <v>40268</v>
      </c>
      <c r="B92">
        <v>90</v>
      </c>
      <c r="C92">
        <f>IF(B92&gt;'user input'!$C$6,0,IF('heat units'!H92&gt;1,1,'heat units'!H92))</f>
        <v>0</v>
      </c>
      <c r="D92">
        <f>IF(B92&gt;'user input'!$C$6,0,(C92/(C92+EXP('user input'!$C$15-'user input'!$C$14*C92))))</f>
        <v>0</v>
      </c>
      <c r="E92">
        <f>IF(C92&lt;'user input'!$C$12,(D92-D91)*'user input'!$C$17*(1-EXP(5*(F91-'user input'!$C$17))),F92-F91)</f>
        <v>0</v>
      </c>
      <c r="F92">
        <f>IF(C92&lt;'user input'!$C$12,IF(B92&gt;'user input'!$C$6,0,F91+E92),'user input'!$C$17*((1-C92)/(1-'user input'!$C$12)))</f>
        <v>0</v>
      </c>
    </row>
    <row r="93" spans="1:6" x14ac:dyDescent="0.2">
      <c r="A93" s="1">
        <v>40269</v>
      </c>
      <c r="B93">
        <v>91</v>
      </c>
      <c r="C93">
        <f>IF(B93&gt;'user input'!$C$6,0,IF('heat units'!H93&gt;1,1,'heat units'!H93))</f>
        <v>0</v>
      </c>
      <c r="D93">
        <f>IF(B93&gt;'user input'!$C$6,0,(C93/(C93+EXP('user input'!$C$15-'user input'!$C$14*C93))))</f>
        <v>0</v>
      </c>
      <c r="E93">
        <f>IF(C93&lt;'user input'!$C$12,(D93-D92)*'user input'!$C$17*(1-EXP(5*(F92-'user input'!$C$17))),F93-F92)</f>
        <v>0</v>
      </c>
      <c r="F93">
        <f>IF(C93&lt;'user input'!$C$12,IF(B93&gt;'user input'!$C$6,0,F92+E93),'user input'!$C$17*((1-C93)/(1-'user input'!$C$12)))</f>
        <v>0</v>
      </c>
    </row>
    <row r="94" spans="1:6" x14ac:dyDescent="0.2">
      <c r="A94" s="1">
        <v>40270</v>
      </c>
      <c r="B94">
        <v>92</v>
      </c>
      <c r="C94">
        <f>IF(B94&gt;'user input'!$C$6,0,IF('heat units'!H94&gt;1,1,'heat units'!H94))</f>
        <v>0</v>
      </c>
      <c r="D94">
        <f>IF(B94&gt;'user input'!$C$6,0,(C94/(C94+EXP('user input'!$C$15-'user input'!$C$14*C94))))</f>
        <v>0</v>
      </c>
      <c r="E94">
        <f>IF(C94&lt;'user input'!$C$12,(D94-D93)*'user input'!$C$17*(1-EXP(5*(F93-'user input'!$C$17))),F94-F93)</f>
        <v>0</v>
      </c>
      <c r="F94">
        <f>IF(C94&lt;'user input'!$C$12,IF(B94&gt;'user input'!$C$6,0,F93+E94),'user input'!$C$17*((1-C94)/(1-'user input'!$C$12)))</f>
        <v>0</v>
      </c>
    </row>
    <row r="95" spans="1:6" x14ac:dyDescent="0.2">
      <c r="A95" s="1">
        <v>40271</v>
      </c>
      <c r="B95">
        <v>93</v>
      </c>
      <c r="C95">
        <f>IF(B95&gt;'user input'!$C$6,0,IF('heat units'!H95&gt;1,1,'heat units'!H95))</f>
        <v>0</v>
      </c>
      <c r="D95">
        <f>IF(B95&gt;'user input'!$C$6,0,(C95/(C95+EXP('user input'!$C$15-'user input'!$C$14*C95))))</f>
        <v>0</v>
      </c>
      <c r="E95">
        <f>IF(C95&lt;'user input'!$C$12,(D95-D94)*'user input'!$C$17*(1-EXP(5*(F94-'user input'!$C$17))),F95-F94)</f>
        <v>0</v>
      </c>
      <c r="F95">
        <f>IF(C95&lt;'user input'!$C$12,IF(B95&gt;'user input'!$C$6,0,F94+E95),'user input'!$C$17*((1-C95)/(1-'user input'!$C$12)))</f>
        <v>0</v>
      </c>
    </row>
    <row r="96" spans="1:6" x14ac:dyDescent="0.2">
      <c r="A96" s="1">
        <v>40272</v>
      </c>
      <c r="B96">
        <v>94</v>
      </c>
      <c r="C96">
        <f>IF(B96&gt;'user input'!$C$6,0,IF('heat units'!H96&gt;1,1,'heat units'!H96))</f>
        <v>0</v>
      </c>
      <c r="D96">
        <f>IF(B96&gt;'user input'!$C$6,0,(C96/(C96+EXP('user input'!$C$15-'user input'!$C$14*C96))))</f>
        <v>0</v>
      </c>
      <c r="E96">
        <f>IF(C96&lt;'user input'!$C$12,(D96-D95)*'user input'!$C$17*(1-EXP(5*(F95-'user input'!$C$17))),F96-F95)</f>
        <v>0</v>
      </c>
      <c r="F96">
        <f>IF(C96&lt;'user input'!$C$12,IF(B96&gt;'user input'!$C$6,0,F95+E96),'user input'!$C$17*((1-C96)/(1-'user input'!$C$12)))</f>
        <v>0</v>
      </c>
    </row>
    <row r="97" spans="1:6" x14ac:dyDescent="0.2">
      <c r="A97" s="1">
        <v>40273</v>
      </c>
      <c r="B97">
        <v>95</v>
      </c>
      <c r="C97">
        <f>IF(B97&gt;'user input'!$C$6,0,IF('heat units'!H97&gt;1,1,'heat units'!H97))</f>
        <v>0</v>
      </c>
      <c r="D97">
        <f>IF(B97&gt;'user input'!$C$6,0,(C97/(C97+EXP('user input'!$C$15-'user input'!$C$14*C97))))</f>
        <v>0</v>
      </c>
      <c r="E97">
        <f>IF(C97&lt;'user input'!$C$12,(D97-D96)*'user input'!$C$17*(1-EXP(5*(F96-'user input'!$C$17))),F97-F96)</f>
        <v>0</v>
      </c>
      <c r="F97">
        <f>IF(C97&lt;'user input'!$C$12,IF(B97&gt;'user input'!$C$6,0,F96+E97),'user input'!$C$17*((1-C97)/(1-'user input'!$C$12)))</f>
        <v>0</v>
      </c>
    </row>
    <row r="98" spans="1:6" x14ac:dyDescent="0.2">
      <c r="A98" s="1">
        <v>40274</v>
      </c>
      <c r="B98">
        <v>96</v>
      </c>
      <c r="C98">
        <f>IF(B98&gt;'user input'!$C$6,0,IF('heat units'!H98&gt;1,1,'heat units'!H98))</f>
        <v>0</v>
      </c>
      <c r="D98">
        <f>IF(B98&gt;'user input'!$C$6,0,(C98/(C98+EXP('user input'!$C$15-'user input'!$C$14*C98))))</f>
        <v>0</v>
      </c>
      <c r="E98">
        <f>IF(C98&lt;'user input'!$C$12,(D98-D97)*'user input'!$C$17*(1-EXP(5*(F97-'user input'!$C$17))),F98-F97)</f>
        <v>0</v>
      </c>
      <c r="F98">
        <f>IF(C98&lt;'user input'!$C$12,IF(B98&gt;'user input'!$C$6,0,F97+E98),'user input'!$C$17*((1-C98)/(1-'user input'!$C$12)))</f>
        <v>0</v>
      </c>
    </row>
    <row r="99" spans="1:6" x14ac:dyDescent="0.2">
      <c r="A99" s="1">
        <v>40275</v>
      </c>
      <c r="B99">
        <v>97</v>
      </c>
      <c r="C99">
        <f>IF(B99&gt;'user input'!$C$6,0,IF('heat units'!H99&gt;1,1,'heat units'!H99))</f>
        <v>0</v>
      </c>
      <c r="D99">
        <f>IF(B99&gt;'user input'!$C$6,0,(C99/(C99+EXP('user input'!$C$15-'user input'!$C$14*C99))))</f>
        <v>0</v>
      </c>
      <c r="E99">
        <f>IF(C99&lt;'user input'!$C$12,(D99-D98)*'user input'!$C$17*(1-EXP(5*(F98-'user input'!$C$17))),F99-F98)</f>
        <v>0</v>
      </c>
      <c r="F99">
        <f>IF(C99&lt;'user input'!$C$12,IF(B99&gt;'user input'!$C$6,0,F98+E99),'user input'!$C$17*((1-C99)/(1-'user input'!$C$12)))</f>
        <v>0</v>
      </c>
    </row>
    <row r="100" spans="1:6" x14ac:dyDescent="0.2">
      <c r="A100" s="1">
        <v>40276</v>
      </c>
      <c r="B100">
        <v>98</v>
      </c>
      <c r="C100">
        <f>IF(B100&gt;'user input'!$C$6,0,IF('heat units'!H100&gt;1,1,'heat units'!H100))</f>
        <v>0</v>
      </c>
      <c r="D100">
        <f>IF(B100&gt;'user input'!$C$6,0,(C100/(C100+EXP('user input'!$C$15-'user input'!$C$14*C100))))</f>
        <v>0</v>
      </c>
      <c r="E100">
        <f>IF(C100&lt;'user input'!$C$12,(D100-D99)*'user input'!$C$17*(1-EXP(5*(F99-'user input'!$C$17))),F100-F99)</f>
        <v>0</v>
      </c>
      <c r="F100">
        <f>IF(C100&lt;'user input'!$C$12,IF(B100&gt;'user input'!$C$6,0,F99+E100),'user input'!$C$17*((1-C100)/(1-'user input'!$C$12)))</f>
        <v>0</v>
      </c>
    </row>
    <row r="101" spans="1:6" x14ac:dyDescent="0.2">
      <c r="A101" s="1">
        <v>40277</v>
      </c>
      <c r="B101">
        <v>99</v>
      </c>
      <c r="C101">
        <f>IF(B101&gt;'user input'!$C$6,0,IF('heat units'!H101&gt;1,1,'heat units'!H101))</f>
        <v>0</v>
      </c>
      <c r="D101">
        <f>IF(B101&gt;'user input'!$C$6,0,(C101/(C101+EXP('user input'!$C$15-'user input'!$C$14*C101))))</f>
        <v>0</v>
      </c>
      <c r="E101">
        <f>IF(C101&lt;'user input'!$C$12,(D101-D100)*'user input'!$C$17*(1-EXP(5*(F100-'user input'!$C$17))),F101-F100)</f>
        <v>0</v>
      </c>
      <c r="F101">
        <f>IF(C101&lt;'user input'!$C$12,IF(B101&gt;'user input'!$C$6,0,F100+E101),'user input'!$C$17*((1-C101)/(1-'user input'!$C$12)))</f>
        <v>0</v>
      </c>
    </row>
    <row r="102" spans="1:6" x14ac:dyDescent="0.2">
      <c r="A102" s="1">
        <v>40278</v>
      </c>
      <c r="B102">
        <v>100</v>
      </c>
      <c r="C102">
        <f>IF(B102&gt;'user input'!$C$6,0,IF('heat units'!H102&gt;1,1,'heat units'!H102))</f>
        <v>0</v>
      </c>
      <c r="D102">
        <f>IF(B102&gt;'user input'!$C$6,0,(C102/(C102+EXP('user input'!$C$15-'user input'!$C$14*C102))))</f>
        <v>0</v>
      </c>
      <c r="E102">
        <f>IF(C102&lt;'user input'!$C$12,(D102-D101)*'user input'!$C$17*(1-EXP(5*(F101-'user input'!$C$17))),F102-F101)</f>
        <v>0</v>
      </c>
      <c r="F102">
        <f>IF(C102&lt;'user input'!$C$12,IF(B102&gt;'user input'!$C$6,0,F101+E102),'user input'!$C$17*((1-C102)/(1-'user input'!$C$12)))</f>
        <v>0</v>
      </c>
    </row>
    <row r="103" spans="1:6" x14ac:dyDescent="0.2">
      <c r="A103" s="1">
        <v>40279</v>
      </c>
      <c r="B103">
        <v>101</v>
      </c>
      <c r="C103">
        <f>IF(B103&gt;'user input'!$C$6,0,IF('heat units'!H103&gt;1,1,'heat units'!H103))</f>
        <v>0</v>
      </c>
      <c r="D103">
        <f>IF(B103&gt;'user input'!$C$6,0,(C103/(C103+EXP('user input'!$C$15-'user input'!$C$14*C103))))</f>
        <v>0</v>
      </c>
      <c r="E103">
        <f>IF(C103&lt;'user input'!$C$12,(D103-D102)*'user input'!$C$17*(1-EXP(5*(F102-'user input'!$C$17))),F103-F102)</f>
        <v>0</v>
      </c>
      <c r="F103">
        <f>IF(C103&lt;'user input'!$C$12,IF(B103&gt;'user input'!$C$6,0,F102+E103),'user input'!$C$17*((1-C103)/(1-'user input'!$C$12)))</f>
        <v>0</v>
      </c>
    </row>
    <row r="104" spans="1:6" x14ac:dyDescent="0.2">
      <c r="A104" s="1">
        <v>40280</v>
      </c>
      <c r="B104">
        <v>102</v>
      </c>
      <c r="C104">
        <f>IF(B104&gt;'user input'!$C$6,0,IF('heat units'!H104&gt;1,1,'heat units'!H104))</f>
        <v>0</v>
      </c>
      <c r="D104">
        <f>IF(B104&gt;'user input'!$C$6,0,(C104/(C104+EXP('user input'!$C$15-'user input'!$C$14*C104))))</f>
        <v>0</v>
      </c>
      <c r="E104">
        <f>IF(C104&lt;'user input'!$C$12,(D104-D103)*'user input'!$C$17*(1-EXP(5*(F103-'user input'!$C$17))),F104-F103)</f>
        <v>0</v>
      </c>
      <c r="F104">
        <f>IF(C104&lt;'user input'!$C$12,IF(B104&gt;'user input'!$C$6,0,F103+E104),'user input'!$C$17*((1-C104)/(1-'user input'!$C$12)))</f>
        <v>0</v>
      </c>
    </row>
    <row r="105" spans="1:6" x14ac:dyDescent="0.2">
      <c r="A105" s="1">
        <v>40281</v>
      </c>
      <c r="B105">
        <v>103</v>
      </c>
      <c r="C105">
        <f>IF(B105&gt;'user input'!$C$6,0,IF('heat units'!H105&gt;1,1,'heat units'!H105))</f>
        <v>0</v>
      </c>
      <c r="D105">
        <f>IF(B105&gt;'user input'!$C$6,0,(C105/(C105+EXP('user input'!$C$15-'user input'!$C$14*C105))))</f>
        <v>0</v>
      </c>
      <c r="E105">
        <f>IF(C105&lt;'user input'!$C$12,(D105-D104)*'user input'!$C$17*(1-EXP(5*(F104-'user input'!$C$17))),F105-F104)</f>
        <v>0</v>
      </c>
      <c r="F105">
        <f>IF(C105&lt;'user input'!$C$12,IF(B105&gt;'user input'!$C$6,0,F104+E105),'user input'!$C$17*((1-C105)/(1-'user input'!$C$12)))</f>
        <v>0</v>
      </c>
    </row>
    <row r="106" spans="1:6" x14ac:dyDescent="0.2">
      <c r="A106" s="1">
        <v>40282</v>
      </c>
      <c r="B106">
        <v>104</v>
      </c>
      <c r="C106">
        <f>IF(B106&gt;'user input'!$C$6,0,IF('heat units'!H106&gt;1,1,'heat units'!H106))</f>
        <v>0</v>
      </c>
      <c r="D106">
        <f>IF(B106&gt;'user input'!$C$6,0,(C106/(C106+EXP('user input'!$C$15-'user input'!$C$14*C106))))</f>
        <v>0</v>
      </c>
      <c r="E106">
        <f>IF(C106&lt;'user input'!$C$12,(D106-D105)*'user input'!$C$17*(1-EXP(5*(F105-'user input'!$C$17))),F106-F105)</f>
        <v>0</v>
      </c>
      <c r="F106">
        <f>IF(C106&lt;'user input'!$C$12,IF(B106&gt;'user input'!$C$6,0,F105+E106),'user input'!$C$17*((1-C106)/(1-'user input'!$C$12)))</f>
        <v>0</v>
      </c>
    </row>
    <row r="107" spans="1:6" x14ac:dyDescent="0.2">
      <c r="A107" s="1">
        <v>40283</v>
      </c>
      <c r="B107">
        <v>105</v>
      </c>
      <c r="C107">
        <f>IF(B107&gt;'user input'!$C$6,0,IF('heat units'!H107&gt;1,1,'heat units'!H107))</f>
        <v>0</v>
      </c>
      <c r="D107">
        <f>IF(B107&gt;'user input'!$C$6,0,(C107/(C107+EXP('user input'!$C$15-'user input'!$C$14*C107))))</f>
        <v>0</v>
      </c>
      <c r="E107">
        <f>IF(C107&lt;'user input'!$C$12,(D107-D106)*'user input'!$C$17*(1-EXP(5*(F106-'user input'!$C$17))),F107-F106)</f>
        <v>0</v>
      </c>
      <c r="F107">
        <f>IF(C107&lt;'user input'!$C$12,IF(B107&gt;'user input'!$C$6,0,F106+E107),'user input'!$C$17*((1-C107)/(1-'user input'!$C$12)))</f>
        <v>0</v>
      </c>
    </row>
    <row r="108" spans="1:6" x14ac:dyDescent="0.2">
      <c r="A108" s="1">
        <v>40284</v>
      </c>
      <c r="B108">
        <v>106</v>
      </c>
      <c r="C108">
        <f>IF(B108&gt;'user input'!$C$6,0,IF('heat units'!H108&gt;1,1,'heat units'!H108))</f>
        <v>0</v>
      </c>
      <c r="D108">
        <f>IF(B108&gt;'user input'!$C$6,0,(C108/(C108+EXP('user input'!$C$15-'user input'!$C$14*C108))))</f>
        <v>0</v>
      </c>
      <c r="E108">
        <f>IF(C108&lt;'user input'!$C$12,(D108-D107)*'user input'!$C$17*(1-EXP(5*(F107-'user input'!$C$17))),F108-F107)</f>
        <v>0</v>
      </c>
      <c r="F108">
        <f>IF(C108&lt;'user input'!$C$12,IF(B108&gt;'user input'!$C$6,0,F107+E108),'user input'!$C$17*((1-C108)/(1-'user input'!$C$12)))</f>
        <v>0</v>
      </c>
    </row>
    <row r="109" spans="1:6" x14ac:dyDescent="0.2">
      <c r="A109" s="1">
        <v>40285</v>
      </c>
      <c r="B109">
        <v>107</v>
      </c>
      <c r="C109">
        <f>IF(B109&gt;'user input'!$C$6,0,IF('heat units'!H109&gt;1,1,'heat units'!H109))</f>
        <v>0</v>
      </c>
      <c r="D109">
        <f>IF(B109&gt;'user input'!$C$6,0,(C109/(C109+EXP('user input'!$C$15-'user input'!$C$14*C109))))</f>
        <v>0</v>
      </c>
      <c r="E109">
        <f>IF(C109&lt;'user input'!$C$12,(D109-D108)*'user input'!$C$17*(1-EXP(5*(F108-'user input'!$C$17))),F109-F108)</f>
        <v>0</v>
      </c>
      <c r="F109">
        <f>IF(C109&lt;'user input'!$C$12,IF(B109&gt;'user input'!$C$6,0,F108+E109),'user input'!$C$17*((1-C109)/(1-'user input'!$C$12)))</f>
        <v>0</v>
      </c>
    </row>
    <row r="110" spans="1:6" x14ac:dyDescent="0.2">
      <c r="A110" s="1">
        <v>40286</v>
      </c>
      <c r="B110">
        <v>108</v>
      </c>
      <c r="C110">
        <f>IF(B110&gt;'user input'!$C$6,0,IF('heat units'!H110&gt;1,1,'heat units'!H110))</f>
        <v>0</v>
      </c>
      <c r="D110">
        <f>IF(B110&gt;'user input'!$C$6,0,(C110/(C110+EXP('user input'!$C$15-'user input'!$C$14*C110))))</f>
        <v>0</v>
      </c>
      <c r="E110">
        <f>IF(C110&lt;'user input'!$C$12,(D110-D109)*'user input'!$C$17*(1-EXP(5*(F109-'user input'!$C$17))),F110-F109)</f>
        <v>0</v>
      </c>
      <c r="F110">
        <f>IF(C110&lt;'user input'!$C$12,IF(B110&gt;'user input'!$C$6,0,F109+E110),'user input'!$C$17*((1-C110)/(1-'user input'!$C$12)))</f>
        <v>0</v>
      </c>
    </row>
    <row r="111" spans="1:6" x14ac:dyDescent="0.2">
      <c r="A111" s="1">
        <v>40287</v>
      </c>
      <c r="B111">
        <v>109</v>
      </c>
      <c r="C111">
        <f>IF(B111&gt;'user input'!$C$6,0,IF('heat units'!H111&gt;1,1,'heat units'!H111))</f>
        <v>0</v>
      </c>
      <c r="D111">
        <f>IF(B111&gt;'user input'!$C$6,0,(C111/(C111+EXP('user input'!$C$15-'user input'!$C$14*C111))))</f>
        <v>0</v>
      </c>
      <c r="E111">
        <f>IF(C111&lt;'user input'!$C$12,(D111-D110)*'user input'!$C$17*(1-EXP(5*(F110-'user input'!$C$17))),F111-F110)</f>
        <v>0</v>
      </c>
      <c r="F111">
        <f>IF(C111&lt;'user input'!$C$12,IF(B111&gt;'user input'!$C$6,0,F110+E111),'user input'!$C$17*((1-C111)/(1-'user input'!$C$12)))</f>
        <v>0</v>
      </c>
    </row>
    <row r="112" spans="1:6" x14ac:dyDescent="0.2">
      <c r="A112" s="1">
        <v>40288</v>
      </c>
      <c r="B112">
        <v>110</v>
      </c>
      <c r="C112">
        <f>IF(B112&gt;'user input'!$C$6,0,IF('heat units'!H112&gt;1,1,'heat units'!H112))</f>
        <v>0</v>
      </c>
      <c r="D112">
        <f>IF(B112&gt;'user input'!$C$6,0,(C112/(C112+EXP('user input'!$C$15-'user input'!$C$14*C112))))</f>
        <v>0</v>
      </c>
      <c r="E112">
        <f>IF(C112&lt;'user input'!$C$12,(D112-D111)*'user input'!$C$17*(1-EXP(5*(F111-'user input'!$C$17))),F112-F111)</f>
        <v>0</v>
      </c>
      <c r="F112">
        <f>IF(C112&lt;'user input'!$C$12,IF(B112&gt;'user input'!$C$6,0,F111+E112),'user input'!$C$17*((1-C112)/(1-'user input'!$C$12)))</f>
        <v>0</v>
      </c>
    </row>
    <row r="113" spans="1:6" x14ac:dyDescent="0.2">
      <c r="A113" s="1">
        <v>40289</v>
      </c>
      <c r="B113">
        <v>111</v>
      </c>
      <c r="C113">
        <f>IF(B113&gt;'user input'!$C$6,0,IF('heat units'!H113&gt;1,1,'heat units'!H113))</f>
        <v>0</v>
      </c>
      <c r="D113">
        <f>IF(B113&gt;'user input'!$C$6,0,(C113/(C113+EXP('user input'!$C$15-'user input'!$C$14*C113))))</f>
        <v>0</v>
      </c>
      <c r="E113">
        <f>IF(C113&lt;'user input'!$C$12,(D113-D112)*'user input'!$C$17*(1-EXP(5*(F112-'user input'!$C$17))),F113-F112)</f>
        <v>0</v>
      </c>
      <c r="F113">
        <f>IF(C113&lt;'user input'!$C$12,IF(B113&gt;'user input'!$C$6,0,F112+E113),'user input'!$C$17*((1-C113)/(1-'user input'!$C$12)))</f>
        <v>0</v>
      </c>
    </row>
    <row r="114" spans="1:6" x14ac:dyDescent="0.2">
      <c r="A114" s="1">
        <v>40290</v>
      </c>
      <c r="B114">
        <v>112</v>
      </c>
      <c r="C114">
        <f>IF(B114&gt;'user input'!$C$6,0,IF('heat units'!H114&gt;1,1,'heat units'!H114))</f>
        <v>0</v>
      </c>
      <c r="D114">
        <f>IF(B114&gt;'user input'!$C$6,0,(C114/(C114+EXP('user input'!$C$15-'user input'!$C$14*C114))))</f>
        <v>0</v>
      </c>
      <c r="E114">
        <f>IF(C114&lt;'user input'!$C$12,(D114-D113)*'user input'!$C$17*(1-EXP(5*(F113-'user input'!$C$17))),F114-F113)</f>
        <v>0</v>
      </c>
      <c r="F114">
        <f>IF(C114&lt;'user input'!$C$12,IF(B114&gt;'user input'!$C$6,0,F113+E114),'user input'!$C$17*((1-C114)/(1-'user input'!$C$12)))</f>
        <v>0</v>
      </c>
    </row>
    <row r="115" spans="1:6" x14ac:dyDescent="0.2">
      <c r="A115" s="1">
        <v>40291</v>
      </c>
      <c r="B115">
        <v>113</v>
      </c>
      <c r="C115">
        <f>IF(B115&gt;'user input'!$C$6,0,IF('heat units'!H115&gt;1,1,'heat units'!H115))</f>
        <v>0</v>
      </c>
      <c r="D115">
        <f>IF(B115&gt;'user input'!$C$6,0,(C115/(C115+EXP('user input'!$C$15-'user input'!$C$14*C115))))</f>
        <v>0</v>
      </c>
      <c r="E115">
        <f>IF(C115&lt;'user input'!$C$12,(D115-D114)*'user input'!$C$17*(1-EXP(5*(F114-'user input'!$C$17))),F115-F114)</f>
        <v>0</v>
      </c>
      <c r="F115">
        <f>IF(C115&lt;'user input'!$C$12,IF(B115&gt;'user input'!$C$6,0,F114+E115),'user input'!$C$17*((1-C115)/(1-'user input'!$C$12)))</f>
        <v>0</v>
      </c>
    </row>
    <row r="116" spans="1:6" x14ac:dyDescent="0.2">
      <c r="A116" s="1">
        <v>40292</v>
      </c>
      <c r="B116">
        <v>114</v>
      </c>
      <c r="C116">
        <f>IF(B116&gt;'user input'!$C$6,0,IF('heat units'!H116&gt;1,1,'heat units'!H116))</f>
        <v>0</v>
      </c>
      <c r="D116">
        <f>IF(B116&gt;'user input'!$C$6,0,(C116/(C116+EXP('user input'!$C$15-'user input'!$C$14*C116))))</f>
        <v>0</v>
      </c>
      <c r="E116">
        <f>IF(C116&lt;'user input'!$C$12,(D116-D115)*'user input'!$C$17*(1-EXP(5*(F115-'user input'!$C$17))),F116-F115)</f>
        <v>0</v>
      </c>
      <c r="F116">
        <f>IF(C116&lt;'user input'!$C$12,IF(B116&gt;'user input'!$C$6,0,F115+E116),'user input'!$C$17*((1-C116)/(1-'user input'!$C$12)))</f>
        <v>0</v>
      </c>
    </row>
    <row r="117" spans="1:6" x14ac:dyDescent="0.2">
      <c r="A117" s="1">
        <v>40293</v>
      </c>
      <c r="B117">
        <v>115</v>
      </c>
      <c r="C117">
        <f>IF(B117&gt;'user input'!$C$6,0,IF('heat units'!H117&gt;1,1,'heat units'!H117))</f>
        <v>0</v>
      </c>
      <c r="D117">
        <f>IF(B117&gt;'user input'!$C$6,0,(C117/(C117+EXP('user input'!$C$15-'user input'!$C$14*C117))))</f>
        <v>0</v>
      </c>
      <c r="E117">
        <f>IF(C117&lt;'user input'!$C$12,(D117-D116)*'user input'!$C$17*(1-EXP(5*(F116-'user input'!$C$17))),F117-F116)</f>
        <v>0</v>
      </c>
      <c r="F117">
        <f>IF(C117&lt;'user input'!$C$12,IF(B117&gt;'user input'!$C$6,0,F116+E117),'user input'!$C$17*((1-C117)/(1-'user input'!$C$12)))</f>
        <v>0</v>
      </c>
    </row>
    <row r="118" spans="1:6" x14ac:dyDescent="0.2">
      <c r="A118" s="1">
        <v>40294</v>
      </c>
      <c r="B118">
        <v>116</v>
      </c>
      <c r="C118">
        <f>IF(B118&gt;'user input'!$C$6,0,IF('heat units'!H118&gt;1,1,'heat units'!H118))</f>
        <v>0</v>
      </c>
      <c r="D118">
        <f>IF(B118&gt;'user input'!$C$6,0,(C118/(C118+EXP('user input'!$C$15-'user input'!$C$14*C118))))</f>
        <v>0</v>
      </c>
      <c r="E118">
        <f>IF(C118&lt;'user input'!$C$12,(D118-D117)*'user input'!$C$17*(1-EXP(5*(F117-'user input'!$C$17))),F118-F117)</f>
        <v>0</v>
      </c>
      <c r="F118">
        <f>IF(C118&lt;'user input'!$C$12,IF(B118&gt;'user input'!$C$6,0,F117+E118),'user input'!$C$17*((1-C118)/(1-'user input'!$C$12)))</f>
        <v>0</v>
      </c>
    </row>
    <row r="119" spans="1:6" x14ac:dyDescent="0.2">
      <c r="A119" s="1">
        <v>40295</v>
      </c>
      <c r="B119">
        <v>117</v>
      </c>
      <c r="C119">
        <f>IF(B119&gt;'user input'!$C$6,0,IF('heat units'!H119&gt;1,1,'heat units'!H119))</f>
        <v>0</v>
      </c>
      <c r="D119">
        <f>IF(B119&gt;'user input'!$C$6,0,(C119/(C119+EXP('user input'!$C$15-'user input'!$C$14*C119))))</f>
        <v>0</v>
      </c>
      <c r="E119">
        <f>IF(C119&lt;'user input'!$C$12,(D119-D118)*'user input'!$C$17*(1-EXP(5*(F118-'user input'!$C$17))),F119-F118)</f>
        <v>0</v>
      </c>
      <c r="F119">
        <f>IF(C119&lt;'user input'!$C$12,IF(B119&gt;'user input'!$C$6,0,F118+E119),'user input'!$C$17*((1-C119)/(1-'user input'!$C$12)))</f>
        <v>0</v>
      </c>
    </row>
    <row r="120" spans="1:6" x14ac:dyDescent="0.2">
      <c r="A120" s="1">
        <v>40296</v>
      </c>
      <c r="B120">
        <v>118</v>
      </c>
      <c r="C120">
        <f>IF(B120&gt;'user input'!$C$6,0,IF('heat units'!H120&gt;1,1,'heat units'!H120))</f>
        <v>0</v>
      </c>
      <c r="D120">
        <f>IF(B120&gt;'user input'!$C$6,0,(C120/(C120+EXP('user input'!$C$15-'user input'!$C$14*C120))))</f>
        <v>0</v>
      </c>
      <c r="E120">
        <f>IF(C120&lt;'user input'!$C$12,(D120-D119)*'user input'!$C$17*(1-EXP(5*(F119-'user input'!$C$17))),F120-F119)</f>
        <v>0</v>
      </c>
      <c r="F120">
        <f>IF(C120&lt;'user input'!$C$12,IF(B120&gt;'user input'!$C$6,0,F119+E120),'user input'!$C$17*((1-C120)/(1-'user input'!$C$12)))</f>
        <v>0</v>
      </c>
    </row>
    <row r="121" spans="1:6" x14ac:dyDescent="0.2">
      <c r="A121" s="1">
        <v>40297</v>
      </c>
      <c r="B121">
        <v>119</v>
      </c>
      <c r="C121">
        <f>IF(B121&gt;'user input'!$C$6,0,IF('heat units'!H121&gt;1,1,'heat units'!H121))</f>
        <v>0</v>
      </c>
      <c r="D121">
        <f>IF(B121&gt;'user input'!$C$6,0,(C121/(C121+EXP('user input'!$C$15-'user input'!$C$14*C121))))</f>
        <v>0</v>
      </c>
      <c r="E121">
        <f>IF(C121&lt;'user input'!$C$12,(D121-D120)*'user input'!$C$17*(1-EXP(5*(F120-'user input'!$C$17))),F121-F120)</f>
        <v>0</v>
      </c>
      <c r="F121">
        <f>IF(C121&lt;'user input'!$C$12,IF(B121&gt;'user input'!$C$6,0,F120+E121),'user input'!$C$17*((1-C121)/(1-'user input'!$C$12)))</f>
        <v>0</v>
      </c>
    </row>
    <row r="122" spans="1:6" x14ac:dyDescent="0.2">
      <c r="A122" s="1">
        <v>40298</v>
      </c>
      <c r="B122">
        <v>120</v>
      </c>
      <c r="C122">
        <f>IF(B122&gt;'user input'!$C$6,0,IF('heat units'!H122&gt;1,1,'heat units'!H122))</f>
        <v>0</v>
      </c>
      <c r="D122">
        <f>IF(B122&gt;'user input'!$C$6,0,(C122/(C122+EXP('user input'!$C$15-'user input'!$C$14*C122))))</f>
        <v>0</v>
      </c>
      <c r="E122">
        <f>IF(C122&lt;'user input'!$C$12,(D122-D121)*'user input'!$C$17*(1-EXP(5*(F121-'user input'!$C$17))),F122-F121)</f>
        <v>0</v>
      </c>
      <c r="F122">
        <f>IF(C122&lt;'user input'!$C$12,IF(B122&gt;'user input'!$C$6,0,F121+E122),'user input'!$C$17*((1-C122)/(1-'user input'!$C$12)))</f>
        <v>0</v>
      </c>
    </row>
    <row r="123" spans="1:6" x14ac:dyDescent="0.2">
      <c r="A123" s="1">
        <v>40299</v>
      </c>
      <c r="B123">
        <v>121</v>
      </c>
      <c r="C123">
        <f>IF(B123&gt;'user input'!$C$6,0,IF('heat units'!H123&gt;1,1,'heat units'!H123))</f>
        <v>7.1759259259259259E-3</v>
      </c>
      <c r="D123">
        <f>IF(B123&gt;'user input'!$C$6,0,(C123/(C123+EXP('user input'!$C$15-'user input'!$C$14*C123))))</f>
        <v>3.7205155045476535E-4</v>
      </c>
      <c r="E123">
        <f>IF(C123&lt;'user input'!$C$12,(D123-D122)*'user input'!$C$17*(1-EXP(5*(F122-'user input'!$C$17))),F123-F122)</f>
        <v>1.1161543099299982E-3</v>
      </c>
      <c r="F123">
        <f>IF(C123&lt;'user input'!$C$12,IF(B123&gt;'user input'!$C$6,0,F122+E123),'user input'!$C$17*((1-C123)/(1-'user input'!$C$12)))</f>
        <v>1.1161543099299982E-3</v>
      </c>
    </row>
    <row r="124" spans="1:6" x14ac:dyDescent="0.2">
      <c r="A124" s="1">
        <v>40300</v>
      </c>
      <c r="B124">
        <v>122</v>
      </c>
      <c r="C124">
        <f>IF(B124&gt;'user input'!$C$6,0,IF('heat units'!H124&gt;1,1,'heat units'!H124))</f>
        <v>1.2037037037037037E-2</v>
      </c>
      <c r="D124">
        <f>IF(B124&gt;'user input'!$C$6,0,(C124/(C124+EXP('user input'!$C$15-'user input'!$C$14*C124))))</f>
        <v>6.6584912928468153E-4</v>
      </c>
      <c r="E124">
        <f>IF(C124&lt;'user input'!$C$12,(D124-D123)*'user input'!$C$17*(1-EXP(5*(F123-'user input'!$C$17))),F124-F123)</f>
        <v>8.8139246536077047E-4</v>
      </c>
      <c r="F124">
        <f>IF(C124&lt;'user input'!$C$12,IF(B124&gt;'user input'!$C$6,0,F123+E124),'user input'!$C$17*((1-C124)/(1-'user input'!$C$12)))</f>
        <v>1.9975467752907684E-3</v>
      </c>
    </row>
    <row r="125" spans="1:6" x14ac:dyDescent="0.2">
      <c r="A125" s="1">
        <v>40301</v>
      </c>
      <c r="B125">
        <v>123</v>
      </c>
      <c r="C125">
        <f>IF(B125&gt;'user input'!$C$6,0,IF('heat units'!H125&gt;1,1,'heat units'!H125))</f>
        <v>1.6898148148148148E-2</v>
      </c>
      <c r="D125">
        <f>IF(B125&gt;'user input'!$C$6,0,(C125/(C125+EXP('user input'!$C$15-'user input'!$C$14*C125))))</f>
        <v>9.9726374295443991E-4</v>
      </c>
      <c r="E125">
        <f>IF(C125&lt;'user input'!$C$12,(D125-D124)*'user input'!$C$17*(1-EXP(5*(F124-'user input'!$C$17))),F125-F124)</f>
        <v>9.942435338148722E-4</v>
      </c>
      <c r="F125">
        <f>IF(C125&lt;'user input'!$C$12,IF(B125&gt;'user input'!$C$6,0,F124+E125),'user input'!$C$17*((1-C125)/(1-'user input'!$C$12)))</f>
        <v>2.9917903091056406E-3</v>
      </c>
    </row>
    <row r="126" spans="1:6" x14ac:dyDescent="0.2">
      <c r="A126" s="1">
        <v>40302</v>
      </c>
      <c r="B126">
        <v>124</v>
      </c>
      <c r="C126">
        <f>IF(B126&gt;'user input'!$C$6,0,IF('heat units'!H126&gt;1,1,'heat units'!H126))</f>
        <v>2.060185185185185E-2</v>
      </c>
      <c r="D126">
        <f>IF(B126&gt;'user input'!$C$6,0,(C126/(C126+EXP('user input'!$C$15-'user input'!$C$14*C126))))</f>
        <v>1.2772793431278363E-3</v>
      </c>
      <c r="E126">
        <f>IF(C126&lt;'user input'!$C$12,(D126-D125)*'user input'!$C$17*(1-EXP(5*(F125-'user input'!$C$17))),F126-F125)</f>
        <v>8.4004653967499285E-4</v>
      </c>
      <c r="F126">
        <f>IF(C126&lt;'user input'!$C$12,IF(B126&gt;'user input'!$C$6,0,F125+E126),'user input'!$C$17*((1-C126)/(1-'user input'!$C$12)))</f>
        <v>3.8318368487806334E-3</v>
      </c>
    </row>
    <row r="127" spans="1:6" x14ac:dyDescent="0.2">
      <c r="A127" s="1">
        <v>40303</v>
      </c>
      <c r="B127">
        <v>125</v>
      </c>
      <c r="C127">
        <f>IF(B127&gt;'user input'!$C$6,0,IF('heat units'!H127&gt;1,1,'heat units'!H127))</f>
        <v>2.7314814814814816E-2</v>
      </c>
      <c r="D127">
        <f>IF(B127&gt;'user input'!$C$6,0,(C127/(C127+EXP('user input'!$C$15-'user input'!$C$14*C127))))</f>
        <v>1.8516206843445866E-3</v>
      </c>
      <c r="E127">
        <f>IF(C127&lt;'user input'!$C$12,(D127-D126)*'user input'!$C$17*(1-EXP(5*(F126-'user input'!$C$17))),F127-F126)</f>
        <v>1.7230234863774784E-3</v>
      </c>
      <c r="F127">
        <f>IF(C127&lt;'user input'!$C$12,IF(B127&gt;'user input'!$C$6,0,F126+E127),'user input'!$C$17*((1-C127)/(1-'user input'!$C$12)))</f>
        <v>5.5548603351581113E-3</v>
      </c>
    </row>
    <row r="128" spans="1:6" x14ac:dyDescent="0.2">
      <c r="A128" s="1">
        <v>40304</v>
      </c>
      <c r="B128">
        <v>126</v>
      </c>
      <c r="C128">
        <f>IF(B128&gt;'user input'!$C$6,0,IF('heat units'!H128&gt;1,1,'heat units'!H128))</f>
        <v>3.1018518518518518E-2</v>
      </c>
      <c r="D128">
        <f>IF(B128&gt;'user input'!$C$6,0,(C128/(C128+EXP('user input'!$C$15-'user input'!$C$14*C128))))</f>
        <v>2.2087667320615529E-3</v>
      </c>
      <c r="E128">
        <f>IF(C128&lt;'user input'!$C$12,(D128-D127)*'user input'!$C$17*(1-EXP(5*(F127-'user input'!$C$17))),F128-F127)</f>
        <v>1.0714378061647109E-3</v>
      </c>
      <c r="F128">
        <f>IF(C128&lt;'user input'!$C$12,IF(B128&gt;'user input'!$C$6,0,F127+E128),'user input'!$C$17*((1-C128)/(1-'user input'!$C$12)))</f>
        <v>6.6262981413228225E-3</v>
      </c>
    </row>
    <row r="129" spans="1:6" x14ac:dyDescent="0.2">
      <c r="A129" s="1">
        <v>40305</v>
      </c>
      <c r="B129">
        <v>127</v>
      </c>
      <c r="C129">
        <f>IF(B129&gt;'user input'!$C$6,0,IF('heat units'!H129&gt;1,1,'heat units'!H129))</f>
        <v>3.3564814814814818E-2</v>
      </c>
      <c r="D129">
        <f>IF(B129&gt;'user input'!$C$6,0,(C129/(C129+EXP('user input'!$C$15-'user input'!$C$14*C129))))</f>
        <v>2.4722963602983187E-3</v>
      </c>
      <c r="E129">
        <f>IF(C129&lt;'user input'!$C$12,(D129-D128)*'user input'!$C$17*(1-EXP(5*(F128-'user input'!$C$17))),F129-F128)</f>
        <v>7.905886347204915E-4</v>
      </c>
      <c r="F129">
        <f>IF(C129&lt;'user input'!$C$12,IF(B129&gt;'user input'!$C$6,0,F128+E129),'user input'!$C$17*((1-C129)/(1-'user input'!$C$12)))</f>
        <v>7.416886776043314E-3</v>
      </c>
    </row>
    <row r="130" spans="1:6" x14ac:dyDescent="0.2">
      <c r="A130" s="1">
        <v>40306</v>
      </c>
      <c r="B130">
        <v>128</v>
      </c>
      <c r="C130">
        <f>IF(B130&gt;'user input'!$C$6,0,IF('heat units'!H130&gt;1,1,'heat units'!H130))</f>
        <v>3.3564814814814818E-2</v>
      </c>
      <c r="D130">
        <f>IF(B130&gt;'user input'!$C$6,0,(C130/(C130+EXP('user input'!$C$15-'user input'!$C$14*C130))))</f>
        <v>2.4722963602983187E-3</v>
      </c>
      <c r="E130">
        <f>IF(C130&lt;'user input'!$C$12,(D130-D129)*'user input'!$C$17*(1-EXP(5*(F129-'user input'!$C$17))),F130-F129)</f>
        <v>0</v>
      </c>
      <c r="F130">
        <f>IF(C130&lt;'user input'!$C$12,IF(B130&gt;'user input'!$C$6,0,F129+E130),'user input'!$C$17*((1-C130)/(1-'user input'!$C$12)))</f>
        <v>7.416886776043314E-3</v>
      </c>
    </row>
    <row r="131" spans="1:6" x14ac:dyDescent="0.2">
      <c r="A131" s="1">
        <v>40307</v>
      </c>
      <c r="B131">
        <v>129</v>
      </c>
      <c r="C131">
        <f>IF(B131&gt;'user input'!$C$6,0,IF('heat units'!H131&gt;1,1,'heat units'!H131))</f>
        <v>3.3564814814814818E-2</v>
      </c>
      <c r="D131">
        <f>IF(B131&gt;'user input'!$C$6,0,(C131/(C131+EXP('user input'!$C$15-'user input'!$C$14*C131))))</f>
        <v>2.4722963602983187E-3</v>
      </c>
      <c r="E131">
        <f>IF(C131&lt;'user input'!$C$12,(D131-D130)*'user input'!$C$17*(1-EXP(5*(F130-'user input'!$C$17))),F131-F130)</f>
        <v>0</v>
      </c>
      <c r="F131">
        <f>IF(C131&lt;'user input'!$C$12,IF(B131&gt;'user input'!$C$6,0,F130+E131),'user input'!$C$17*((1-C131)/(1-'user input'!$C$12)))</f>
        <v>7.416886776043314E-3</v>
      </c>
    </row>
    <row r="132" spans="1:6" x14ac:dyDescent="0.2">
      <c r="A132" s="1">
        <v>40308</v>
      </c>
      <c r="B132">
        <v>130</v>
      </c>
      <c r="C132">
        <f>IF(B132&gt;'user input'!$C$6,0,IF('heat units'!H132&gt;1,1,'heat units'!H132))</f>
        <v>3.5416666666666666E-2</v>
      </c>
      <c r="D132">
        <f>IF(B132&gt;'user input'!$C$6,0,(C132/(C132+EXP('user input'!$C$15-'user input'!$C$14*C132))))</f>
        <v>2.6736313427568326E-3</v>
      </c>
      <c r="E132">
        <f>IF(C132&lt;'user input'!$C$12,(D132-D131)*'user input'!$C$17*(1-EXP(5*(F131-'user input'!$C$17))),F132-F131)</f>
        <v>6.040047556284294E-4</v>
      </c>
      <c r="F132">
        <f>IF(C132&lt;'user input'!$C$12,IF(B132&gt;'user input'!$C$6,0,F131+E132),'user input'!$C$17*((1-C132)/(1-'user input'!$C$12)))</f>
        <v>8.0208915316717436E-3</v>
      </c>
    </row>
    <row r="133" spans="1:6" x14ac:dyDescent="0.2">
      <c r="A133" s="1">
        <v>40309</v>
      </c>
      <c r="B133">
        <v>131</v>
      </c>
      <c r="C133">
        <f>IF(B133&gt;'user input'!$C$6,0,IF('heat units'!H133&gt;1,1,'heat units'!H133))</f>
        <v>3.7499999999999999E-2</v>
      </c>
      <c r="D133">
        <f>IF(B133&gt;'user input'!$C$6,0,(C133/(C133+EXP('user input'!$C$15-'user input'!$C$14*C133))))</f>
        <v>2.9102676620509195E-3</v>
      </c>
      <c r="E133">
        <f>IF(C133&lt;'user input'!$C$12,(D133-D132)*'user input'!$C$17*(1-EXP(5*(F132-'user input'!$C$17))),F133-F132)</f>
        <v>7.0990873183327018E-4</v>
      </c>
      <c r="F133">
        <f>IF(C133&lt;'user input'!$C$12,IF(B133&gt;'user input'!$C$6,0,F132+E133),'user input'!$C$17*((1-C133)/(1-'user input'!$C$12)))</f>
        <v>8.7308002635050133E-3</v>
      </c>
    </row>
    <row r="134" spans="1:6" x14ac:dyDescent="0.2">
      <c r="A134" s="1">
        <v>40310</v>
      </c>
      <c r="B134">
        <v>132</v>
      </c>
      <c r="C134">
        <f>IF(B134&gt;'user input'!$C$6,0,IF('heat units'!H134&gt;1,1,'heat units'!H134))</f>
        <v>3.9583333333333331E-2</v>
      </c>
      <c r="D134">
        <f>IF(B134&gt;'user input'!$C$6,0,(C134/(C134+EXP('user input'!$C$15-'user input'!$C$14*C134))))</f>
        <v>3.1580353097244327E-3</v>
      </c>
      <c r="E134">
        <f>IF(C134&lt;'user input'!$C$12,(D134-D133)*'user input'!$C$17*(1-EXP(5*(F133-'user input'!$C$17))),F134-F133)</f>
        <v>7.4330270549663956E-4</v>
      </c>
      <c r="F134">
        <f>IF(C134&lt;'user input'!$C$12,IF(B134&gt;'user input'!$C$6,0,F133+E134),'user input'!$C$17*((1-C134)/(1-'user input'!$C$12)))</f>
        <v>9.4741029690016531E-3</v>
      </c>
    </row>
    <row r="135" spans="1:6" x14ac:dyDescent="0.2">
      <c r="A135" s="1">
        <v>40311</v>
      </c>
      <c r="B135">
        <v>133</v>
      </c>
      <c r="C135">
        <f>IF(B135&gt;'user input'!$C$6,0,IF('heat units'!H135&gt;1,1,'heat units'!H135))</f>
        <v>3.9583333333333331E-2</v>
      </c>
      <c r="D135">
        <f>IF(B135&gt;'user input'!$C$6,0,(C135/(C135+EXP('user input'!$C$15-'user input'!$C$14*C135))))</f>
        <v>3.1580353097244327E-3</v>
      </c>
      <c r="E135">
        <f>IF(C135&lt;'user input'!$C$12,(D135-D134)*'user input'!$C$17*(1-EXP(5*(F134-'user input'!$C$17))),F135-F134)</f>
        <v>0</v>
      </c>
      <c r="F135">
        <f>IF(C135&lt;'user input'!$C$12,IF(B135&gt;'user input'!$C$6,0,F134+E135),'user input'!$C$17*((1-C135)/(1-'user input'!$C$12)))</f>
        <v>9.4741029690016531E-3</v>
      </c>
    </row>
    <row r="136" spans="1:6" x14ac:dyDescent="0.2">
      <c r="A136" s="1">
        <v>40312</v>
      </c>
      <c r="B136">
        <v>134</v>
      </c>
      <c r="C136">
        <f>IF(B136&gt;'user input'!$C$6,0,IF('heat units'!H136&gt;1,1,'heat units'!H136))</f>
        <v>4.3055555555555555E-2</v>
      </c>
      <c r="D136">
        <f>IF(B136&gt;'user input'!$C$6,0,(C136/(C136+EXP('user input'!$C$15-'user input'!$C$14*C136))))</f>
        <v>3.5968918727958469E-3</v>
      </c>
      <c r="E136">
        <f>IF(C136&lt;'user input'!$C$12,(D136-D135)*'user input'!$C$17*(1-EXP(5*(F135-'user input'!$C$17))),F136-F135)</f>
        <v>1.3165692669353469E-3</v>
      </c>
      <c r="F136">
        <f>IF(C136&lt;'user input'!$C$12,IF(B136&gt;'user input'!$C$6,0,F135+E136),'user input'!$C$17*((1-C136)/(1-'user input'!$C$12)))</f>
        <v>1.0790672235937E-2</v>
      </c>
    </row>
    <row r="137" spans="1:6" x14ac:dyDescent="0.2">
      <c r="A137" s="1">
        <v>40313</v>
      </c>
      <c r="B137">
        <v>135</v>
      </c>
      <c r="C137">
        <f>IF(B137&gt;'user input'!$C$6,0,IF('heat units'!H137&gt;1,1,'heat units'!H137))</f>
        <v>4.6527777777777772E-2</v>
      </c>
      <c r="D137">
        <f>IF(B137&gt;'user input'!$C$6,0,(C137/(C137+EXP('user input'!$C$15-'user input'!$C$14*C137))))</f>
        <v>4.0699499148028053E-3</v>
      </c>
      <c r="E137">
        <f>IF(C137&lt;'user input'!$C$12,(D137-D136)*'user input'!$C$17*(1-EXP(5*(F136-'user input'!$C$17))),F137-F136)</f>
        <v>1.4191736678261311E-3</v>
      </c>
      <c r="F137">
        <f>IF(C137&lt;'user input'!$C$12,IF(B137&gt;'user input'!$C$6,0,F136+E137),'user input'!$C$17*((1-C137)/(1-'user input'!$C$12)))</f>
        <v>1.2209845903763131E-2</v>
      </c>
    </row>
    <row r="138" spans="1:6" x14ac:dyDescent="0.2">
      <c r="A138" s="1">
        <v>40314</v>
      </c>
      <c r="B138">
        <v>136</v>
      </c>
      <c r="C138">
        <f>IF(B138&gt;'user input'!$C$6,0,IF('heat units'!H138&gt;1,1,'heat units'!H138))</f>
        <v>5.0462962962962959E-2</v>
      </c>
      <c r="D138">
        <f>IF(B138&gt;'user input'!$C$6,0,(C138/(C138+EXP('user input'!$C$15-'user input'!$C$14*C138))))</f>
        <v>4.6502093764950476E-3</v>
      </c>
      <c r="E138">
        <f>IF(C138&lt;'user input'!$C$12,(D138-D137)*'user input'!$C$17*(1-EXP(5*(F137-'user input'!$C$17))),F138-F137)</f>
        <v>1.7407778190465302E-3</v>
      </c>
      <c r="F138">
        <f>IF(C138&lt;'user input'!$C$12,IF(B138&gt;'user input'!$C$6,0,F137+E138),'user input'!$C$17*((1-C138)/(1-'user input'!$C$12)))</f>
        <v>1.3950623722809662E-2</v>
      </c>
    </row>
    <row r="139" spans="1:6" x14ac:dyDescent="0.2">
      <c r="A139" s="1">
        <v>40315</v>
      </c>
      <c r="B139">
        <v>137</v>
      </c>
      <c r="C139">
        <f>IF(B139&gt;'user input'!$C$6,0,IF('heat units'!H139&gt;1,1,'heat units'!H139))</f>
        <v>5.3935185185185176E-2</v>
      </c>
      <c r="D139">
        <f>IF(B139&gt;'user input'!$C$6,0,(C139/(C139+EXP('user input'!$C$15-'user input'!$C$14*C139))))</f>
        <v>5.2037348286695772E-3</v>
      </c>
      <c r="E139">
        <f>IF(C139&lt;'user input'!$C$12,(D139-D138)*'user input'!$C$17*(1-EXP(5*(F138-'user input'!$C$17))),F139-F138)</f>
        <v>1.6605758118516316E-3</v>
      </c>
      <c r="F139">
        <f>IF(C139&lt;'user input'!$C$12,IF(B139&gt;'user input'!$C$6,0,F138+E139),'user input'!$C$17*((1-C139)/(1-'user input'!$C$12)))</f>
        <v>1.5611199534661294E-2</v>
      </c>
    </row>
    <row r="140" spans="1:6" x14ac:dyDescent="0.2">
      <c r="A140" s="1">
        <v>40316</v>
      </c>
      <c r="B140">
        <v>138</v>
      </c>
      <c r="C140">
        <f>IF(B140&gt;'user input'!$C$6,0,IF('heat units'!H140&gt;1,1,'heat units'!H140))</f>
        <v>5.833333333333332E-2</v>
      </c>
      <c r="D140">
        <f>IF(B140&gt;'user input'!$C$6,0,(C140/(C140+EXP('user input'!$C$15-'user input'!$C$14*C140))))</f>
        <v>5.9647853875794948E-3</v>
      </c>
      <c r="E140">
        <f>IF(C140&lt;'user input'!$C$12,(D140-D139)*'user input'!$C$17*(1-EXP(5*(F139-'user input'!$C$17))),F140-F139)</f>
        <v>2.2831509216082722E-3</v>
      </c>
      <c r="F140">
        <f>IF(C140&lt;'user input'!$C$12,IF(B140&gt;'user input'!$C$6,0,F139+E140),'user input'!$C$17*((1-C140)/(1-'user input'!$C$12)))</f>
        <v>1.7894350456269567E-2</v>
      </c>
    </row>
    <row r="141" spans="1:6" x14ac:dyDescent="0.2">
      <c r="A141" s="1">
        <v>40317</v>
      </c>
      <c r="B141">
        <v>139</v>
      </c>
      <c r="C141">
        <f>IF(B141&gt;'user input'!$C$6,0,IF('heat units'!H141&gt;1,1,'heat units'!H141))</f>
        <v>6.3657407407407399E-2</v>
      </c>
      <c r="D141">
        <f>IF(B141&gt;'user input'!$C$6,0,(C141/(C141+EXP('user input'!$C$15-'user input'!$C$14*C141))))</f>
        <v>6.9828384670076486E-3</v>
      </c>
      <c r="E141">
        <f>IF(C141&lt;'user input'!$C$12,(D141-D140)*'user input'!$C$17*(1-EXP(5*(F140-'user input'!$C$17))),F141-F140)</f>
        <v>3.0541582165653043E-3</v>
      </c>
      <c r="F141">
        <f>IF(C141&lt;'user input'!$C$12,IF(B141&gt;'user input'!$C$6,0,F140+E141),'user input'!$C$17*((1-C141)/(1-'user input'!$C$12)))</f>
        <v>2.0948508672834872E-2</v>
      </c>
    </row>
    <row r="142" spans="1:6" x14ac:dyDescent="0.2">
      <c r="A142" s="1">
        <v>40318</v>
      </c>
      <c r="B142">
        <v>140</v>
      </c>
      <c r="C142">
        <f>IF(B142&gt;'user input'!$C$6,0,IF('heat units'!H142&gt;1,1,'heat units'!H142))</f>
        <v>7.0370370370370361E-2</v>
      </c>
      <c r="D142">
        <f>IF(B142&gt;'user input'!$C$6,0,(C142/(C142+EXP('user input'!$C$15-'user input'!$C$14*C142))))</f>
        <v>8.432615973843054E-3</v>
      </c>
      <c r="E142">
        <f>IF(C142&lt;'user input'!$C$12,(D142-D141)*'user input'!$C$17*(1-EXP(5*(F141-'user input'!$C$17))),F142-F141)</f>
        <v>4.3493310431184712E-3</v>
      </c>
      <c r="F142">
        <f>IF(C142&lt;'user input'!$C$12,IF(B142&gt;'user input'!$C$6,0,F141+E142),'user input'!$C$17*((1-C142)/(1-'user input'!$C$12)))</f>
        <v>2.5297839715953344E-2</v>
      </c>
    </row>
    <row r="143" spans="1:6" x14ac:dyDescent="0.2">
      <c r="A143" s="1">
        <v>40319</v>
      </c>
      <c r="B143">
        <v>141</v>
      </c>
      <c r="C143">
        <f>IF(B143&gt;'user input'!$C$6,0,IF('heat units'!H143&gt;1,1,'heat units'!H143))</f>
        <v>7.6851851851851838E-2</v>
      </c>
      <c r="D143">
        <f>IF(B143&gt;'user input'!$C$6,0,(C143/(C143+EXP('user input'!$C$15-'user input'!$C$14*C143))))</f>
        <v>1.0027805261973997E-2</v>
      </c>
      <c r="E143">
        <f>IF(C143&lt;'user input'!$C$12,(D143-D142)*'user input'!$C$17*(1-EXP(5*(F142-'user input'!$C$17))),F143-F142)</f>
        <v>4.7855662030861475E-3</v>
      </c>
      <c r="F143">
        <f>IF(C143&lt;'user input'!$C$12,IF(B143&gt;'user input'!$C$6,0,F142+E143),'user input'!$C$17*((1-C143)/(1-'user input'!$C$12)))</f>
        <v>3.0083405919039491E-2</v>
      </c>
    </row>
    <row r="144" spans="1:6" x14ac:dyDescent="0.2">
      <c r="A144" s="1">
        <v>40320</v>
      </c>
      <c r="B144">
        <v>142</v>
      </c>
      <c r="C144">
        <f>IF(B144&gt;'user input'!$C$6,0,IF('heat units'!H144&gt;1,1,'heat units'!H144))</f>
        <v>8.148148148148146E-2</v>
      </c>
      <c r="D144">
        <f>IF(B144&gt;'user input'!$C$6,0,(C144/(C144+EXP('user input'!$C$15-'user input'!$C$14*C144))))</f>
        <v>1.1297084162524318E-2</v>
      </c>
      <c r="E144">
        <f>IF(C144&lt;'user input'!$C$12,(D144-D143)*'user input'!$C$17*(1-EXP(5*(F143-'user input'!$C$17))),F144-F143)</f>
        <v>3.8078353477516329E-3</v>
      </c>
      <c r="F144">
        <f>IF(C144&lt;'user input'!$C$12,IF(B144&gt;'user input'!$C$6,0,F143+E144),'user input'!$C$17*((1-C144)/(1-'user input'!$C$12)))</f>
        <v>3.3891241266791126E-2</v>
      </c>
    </row>
    <row r="145" spans="1:6" x14ac:dyDescent="0.2">
      <c r="A145" s="1">
        <v>40321</v>
      </c>
      <c r="B145">
        <v>143</v>
      </c>
      <c r="C145">
        <f>IF(B145&gt;'user input'!$C$6,0,IF('heat units'!H145&gt;1,1,'heat units'!H145))</f>
        <v>8.9583333333333307E-2</v>
      </c>
      <c r="D145">
        <f>IF(B145&gt;'user input'!$C$6,0,(C145/(C145+EXP('user input'!$C$15-'user input'!$C$14*C145))))</f>
        <v>1.3807919373492654E-2</v>
      </c>
      <c r="E145">
        <f>IF(C145&lt;'user input'!$C$12,(D145-D144)*'user input'!$C$17*(1-EXP(5*(F144-'user input'!$C$17))),F145-F144)</f>
        <v>7.5325029031973892E-3</v>
      </c>
      <c r="F145">
        <f>IF(C145&lt;'user input'!$C$12,IF(B145&gt;'user input'!$C$6,0,F144+E145),'user input'!$C$17*((1-C145)/(1-'user input'!$C$12)))</f>
        <v>4.1423744169988515E-2</v>
      </c>
    </row>
    <row r="146" spans="1:6" x14ac:dyDescent="0.2">
      <c r="A146" s="1">
        <v>40322</v>
      </c>
      <c r="B146">
        <v>144</v>
      </c>
      <c r="C146">
        <f>IF(B146&gt;'user input'!$C$6,0,IF('heat units'!H146&gt;1,1,'heat units'!H146))</f>
        <v>0.10254629629629627</v>
      </c>
      <c r="D146">
        <f>IF(B146&gt;'user input'!$C$6,0,(C146/(C146+EXP('user input'!$C$15-'user input'!$C$14*C146))))</f>
        <v>1.8707450464994366E-2</v>
      </c>
      <c r="E146">
        <f>IF(C146&lt;'user input'!$C$12,(D146-D145)*'user input'!$C$17*(1-EXP(5*(F145-'user input'!$C$17))),F146-F145)</f>
        <v>1.4698587743436324E-2</v>
      </c>
      <c r="F146">
        <f>IF(C146&lt;'user input'!$C$12,IF(B146&gt;'user input'!$C$6,0,F145+E146),'user input'!$C$17*((1-C146)/(1-'user input'!$C$12)))</f>
        <v>5.612233191342484E-2</v>
      </c>
    </row>
    <row r="147" spans="1:6" x14ac:dyDescent="0.2">
      <c r="A147" s="1">
        <v>40323</v>
      </c>
      <c r="B147">
        <v>145</v>
      </c>
      <c r="C147">
        <f>IF(B147&gt;'user input'!$C$6,0,IF('heat units'!H147&gt;1,1,'heat units'!H147))</f>
        <v>0.11527777777777776</v>
      </c>
      <c r="D147">
        <f>IF(B147&gt;'user input'!$C$6,0,(C147/(C147+EXP('user input'!$C$15-'user input'!$C$14*C147))))</f>
        <v>2.4783003405073185E-2</v>
      </c>
      <c r="E147">
        <f>IF(C147&lt;'user input'!$C$12,(D147-D146)*'user input'!$C$17*(1-EXP(5*(F146-'user input'!$C$17))),F147-F146)</f>
        <v>1.822665143851028E-2</v>
      </c>
      <c r="F147">
        <f>IF(C147&lt;'user input'!$C$12,IF(B147&gt;'user input'!$C$6,0,F146+E147),'user input'!$C$17*((1-C147)/(1-'user input'!$C$12)))</f>
        <v>7.4348983351935127E-2</v>
      </c>
    </row>
    <row r="148" spans="1:6" x14ac:dyDescent="0.2">
      <c r="A148" s="1">
        <v>40324</v>
      </c>
      <c r="B148">
        <v>146</v>
      </c>
      <c r="C148">
        <f>IF(B148&gt;'user input'!$C$6,0,IF('heat units'!H148&gt;1,1,'heat units'!H148))</f>
        <v>0.12569444444444444</v>
      </c>
      <c r="D148">
        <f>IF(B148&gt;'user input'!$C$6,0,(C148/(C148+EXP('user input'!$C$15-'user input'!$C$14*C148))))</f>
        <v>3.0871583609003585E-2</v>
      </c>
      <c r="E148">
        <f>IF(C148&lt;'user input'!$C$12,(D148-D147)*'user input'!$C$17*(1-EXP(5*(F147-'user input'!$C$17))),F148-F147)</f>
        <v>1.8265732508399662E-2</v>
      </c>
      <c r="F148">
        <f>IF(C148&lt;'user input'!$C$12,IF(B148&gt;'user input'!$C$6,0,F147+E148),'user input'!$C$17*((1-C148)/(1-'user input'!$C$12)))</f>
        <v>9.261471586033479E-2</v>
      </c>
    </row>
    <row r="149" spans="1:6" x14ac:dyDescent="0.2">
      <c r="A149" s="1">
        <v>40325</v>
      </c>
      <c r="B149">
        <v>147</v>
      </c>
      <c r="C149">
        <f>IF(B149&gt;'user input'!$C$6,0,IF('heat units'!H149&gt;1,1,'heat units'!H149))</f>
        <v>0.13657407407407404</v>
      </c>
      <c r="D149">
        <f>IF(B149&gt;'user input'!$C$6,0,(C149/(C149+EXP('user input'!$C$15-'user input'!$C$14*C149))))</f>
        <v>3.8496935599785016E-2</v>
      </c>
      <c r="E149">
        <f>IF(C149&lt;'user input'!$C$12,(D149-D148)*'user input'!$C$17*(1-EXP(5*(F148-'user input'!$C$17))),F149-F148)</f>
        <v>2.2876044853126876E-2</v>
      </c>
      <c r="F149">
        <f>IF(C149&lt;'user input'!$C$12,IF(B149&gt;'user input'!$C$6,0,F148+E149),'user input'!$C$17*((1-C149)/(1-'user input'!$C$12)))</f>
        <v>0.11549076071346166</v>
      </c>
    </row>
    <row r="150" spans="1:6" x14ac:dyDescent="0.2">
      <c r="A150" s="1">
        <v>40326</v>
      </c>
      <c r="B150">
        <v>148</v>
      </c>
      <c r="C150">
        <f>IF(B150&gt;'user input'!$C$6,0,IF('heat units'!H150&gt;1,1,'heat units'!H150))</f>
        <v>0.14421296296296293</v>
      </c>
      <c r="D150">
        <f>IF(B150&gt;'user input'!$C$6,0,(C150/(C150+EXP('user input'!$C$15-'user input'!$C$14*C150))))</f>
        <v>4.4734460833163812E-2</v>
      </c>
      <c r="E150">
        <f>IF(C150&lt;'user input'!$C$12,(D150-D149)*'user input'!$C$17*(1-EXP(5*(F149-'user input'!$C$17))),F150-F149)</f>
        <v>1.8712565502457274E-2</v>
      </c>
      <c r="F150">
        <f>IF(C150&lt;'user input'!$C$12,IF(B150&gt;'user input'!$C$6,0,F149+E150),'user input'!$C$17*((1-C150)/(1-'user input'!$C$12)))</f>
        <v>0.13420332621591893</v>
      </c>
    </row>
    <row r="151" spans="1:6" x14ac:dyDescent="0.2">
      <c r="A151" s="1">
        <v>40327</v>
      </c>
      <c r="B151">
        <v>149</v>
      </c>
      <c r="C151">
        <f>IF(B151&gt;'user input'!$C$6,0,IF('heat units'!H151&gt;1,1,'heat units'!H151))</f>
        <v>0.15277777777777773</v>
      </c>
      <c r="D151">
        <f>IF(B151&gt;'user input'!$C$6,0,(C151/(C151+EXP('user input'!$C$15-'user input'!$C$14*C151))))</f>
        <v>5.2704609243262146E-2</v>
      </c>
      <c r="E151">
        <f>IF(C151&lt;'user input'!$C$12,(D151-D150)*'user input'!$C$17*(1-EXP(5*(F150-'user input'!$C$17))),F151-F150)</f>
        <v>2.3910430921954894E-2</v>
      </c>
      <c r="F151">
        <f>IF(C151&lt;'user input'!$C$12,IF(B151&gt;'user input'!$C$6,0,F150+E151),'user input'!$C$17*((1-C151)/(1-'user input'!$C$12)))</f>
        <v>0.15811375713787382</v>
      </c>
    </row>
    <row r="152" spans="1:6" x14ac:dyDescent="0.2">
      <c r="A152" s="1">
        <v>40328</v>
      </c>
      <c r="B152">
        <v>150</v>
      </c>
      <c r="C152">
        <f>IF(B152&gt;'user input'!$C$6,0,IF('heat units'!H152&gt;1,1,'heat units'!H152))</f>
        <v>0.16388888888888886</v>
      </c>
      <c r="D152">
        <f>IF(B152&gt;'user input'!$C$6,0,(C152/(C152+EXP('user input'!$C$15-'user input'!$C$14*C152))))</f>
        <v>6.4768383155333079E-2</v>
      </c>
      <c r="E152">
        <f>IF(C152&lt;'user input'!$C$12,(D152-D151)*'user input'!$C$17*(1-EXP(5*(F151-'user input'!$C$17))),F152-F151)</f>
        <v>3.619129732851166E-2</v>
      </c>
      <c r="F152">
        <f>IF(C152&lt;'user input'!$C$12,IF(B152&gt;'user input'!$C$6,0,F151+E152),'user input'!$C$17*((1-C152)/(1-'user input'!$C$12)))</f>
        <v>0.19430505446638546</v>
      </c>
    </row>
    <row r="153" spans="1:6" x14ac:dyDescent="0.2">
      <c r="A153" s="1">
        <v>40329</v>
      </c>
      <c r="B153">
        <v>151</v>
      </c>
      <c r="C153">
        <f>IF(B153&gt;'user input'!$C$6,0,IF('heat units'!H153&gt;1,1,'heat units'!H153))</f>
        <v>0.17523148148148146</v>
      </c>
      <c r="D153">
        <f>IF(B153&gt;'user input'!$C$6,0,(C153/(C153+EXP('user input'!$C$15-'user input'!$C$14*C153))))</f>
        <v>7.9348512490925158E-2</v>
      </c>
      <c r="E153">
        <f>IF(C153&lt;'user input'!$C$12,(D153-D152)*'user input'!$C$17*(1-EXP(5*(F152-'user input'!$C$17))),F153-F152)</f>
        <v>4.3740352656446636E-2</v>
      </c>
      <c r="F153">
        <f>IF(C153&lt;'user input'!$C$12,IF(B153&gt;'user input'!$C$6,0,F152+E153),'user input'!$C$17*((1-C153)/(1-'user input'!$C$12)))</f>
        <v>0.23804540712283209</v>
      </c>
    </row>
    <row r="154" spans="1:6" x14ac:dyDescent="0.2">
      <c r="A154" s="1">
        <v>40330</v>
      </c>
      <c r="B154">
        <v>152</v>
      </c>
      <c r="C154">
        <f>IF(B154&gt;'user input'!$C$6,0,IF('heat units'!H154&gt;1,1,'heat units'!H154))</f>
        <v>0.18217592592592591</v>
      </c>
      <c r="D154">
        <f>IF(B154&gt;'user input'!$C$6,0,(C154/(C154+EXP('user input'!$C$15-'user input'!$C$14*C154))))</f>
        <v>8.9527945040791299E-2</v>
      </c>
      <c r="E154">
        <f>IF(C154&lt;'user input'!$C$12,(D154-D153)*'user input'!$C$17*(1-EXP(5*(F153-'user input'!$C$17))),F154-F153)</f>
        <v>3.0538266935580809E-2</v>
      </c>
      <c r="F154">
        <f>IF(C154&lt;'user input'!$C$12,IF(B154&gt;'user input'!$C$6,0,F153+E154),'user input'!$C$17*((1-C154)/(1-'user input'!$C$12)))</f>
        <v>0.26858367405841288</v>
      </c>
    </row>
    <row r="155" spans="1:6" x14ac:dyDescent="0.2">
      <c r="A155" s="1">
        <v>40331</v>
      </c>
      <c r="B155">
        <v>153</v>
      </c>
      <c r="C155">
        <f>IF(B155&gt;'user input'!$C$6,0,IF('heat units'!H155&gt;1,1,'heat units'!H155))</f>
        <v>0.19166666666666665</v>
      </c>
      <c r="D155">
        <f>IF(B155&gt;'user input'!$C$6,0,(C155/(C155+EXP('user input'!$C$15-'user input'!$C$14*C155))))</f>
        <v>0.10511975158565784</v>
      </c>
      <c r="E155">
        <f>IF(C155&lt;'user input'!$C$12,(D155-D154)*'user input'!$C$17*(1-EXP(5*(F154-'user input'!$C$17))),F155-F154)</f>
        <v>4.6775364829306901E-2</v>
      </c>
      <c r="F155">
        <f>IF(C155&lt;'user input'!$C$12,IF(B155&gt;'user input'!$C$6,0,F154+E155),'user input'!$C$17*((1-C155)/(1-'user input'!$C$12)))</f>
        <v>0.31535903888771977</v>
      </c>
    </row>
    <row r="156" spans="1:6" x14ac:dyDescent="0.2">
      <c r="A156" s="1">
        <v>40332</v>
      </c>
      <c r="B156">
        <v>154</v>
      </c>
      <c r="C156">
        <f>IF(B156&gt;'user input'!$C$6,0,IF('heat units'!H156&gt;1,1,'heat units'!H156))</f>
        <v>0.19930555555555551</v>
      </c>
      <c r="D156">
        <f>IF(B156&gt;'user input'!$C$6,0,(C156/(C156+EXP('user input'!$C$15-'user input'!$C$14*C156))))</f>
        <v>0.11917578878900829</v>
      </c>
      <c r="E156">
        <f>IF(C156&lt;'user input'!$C$12,(D156-D155)*'user input'!$C$17*(1-EXP(5*(F155-'user input'!$C$17))),F156-F155)</f>
        <v>4.2168049184789017E-2</v>
      </c>
      <c r="F156">
        <f>IF(C156&lt;'user input'!$C$12,IF(B156&gt;'user input'!$C$6,0,F155+E156),'user input'!$C$17*((1-C156)/(1-'user input'!$C$12)))</f>
        <v>0.35752708807250877</v>
      </c>
    </row>
    <row r="157" spans="1:6" x14ac:dyDescent="0.2">
      <c r="A157" s="1">
        <v>40333</v>
      </c>
      <c r="B157">
        <v>155</v>
      </c>
      <c r="C157">
        <f>IF(B157&gt;'user input'!$C$6,0,IF('heat units'!H157&gt;1,1,'heat units'!H157))</f>
        <v>0.20624999999999999</v>
      </c>
      <c r="D157">
        <f>IF(B157&gt;'user input'!$C$6,0,(C157/(C157+EXP('user input'!$C$15-'user input'!$C$14*C157))))</f>
        <v>0.13318873737998921</v>
      </c>
      <c r="E157">
        <f>IF(C157&lt;'user input'!$C$12,(D157-D156)*'user input'!$C$17*(1-EXP(5*(F156-'user input'!$C$17))),F157-F156)</f>
        <v>4.2038768931809294E-2</v>
      </c>
      <c r="F157">
        <f>IF(C157&lt;'user input'!$C$12,IF(B157&gt;'user input'!$C$6,0,F156+E157),'user input'!$C$17*((1-C157)/(1-'user input'!$C$12)))</f>
        <v>0.39956585700431807</v>
      </c>
    </row>
    <row r="158" spans="1:6" x14ac:dyDescent="0.2">
      <c r="A158" s="1">
        <v>40334</v>
      </c>
      <c r="B158">
        <v>156</v>
      </c>
      <c r="C158">
        <f>IF(B158&gt;'user input'!$C$6,0,IF('heat units'!H158&gt;1,1,'heat units'!H158))</f>
        <v>0.21481481481481482</v>
      </c>
      <c r="D158">
        <f>IF(B158&gt;'user input'!$C$6,0,(C158/(C158+EXP('user input'!$C$15-'user input'!$C$14*C158))))</f>
        <v>0.15216469924647286</v>
      </c>
      <c r="E158">
        <f>IF(C158&lt;'user input'!$C$12,(D158-D157)*'user input'!$C$17*(1-EXP(5*(F157-'user input'!$C$17))),F158-F157)</f>
        <v>5.6927757202692539E-2</v>
      </c>
      <c r="F158">
        <f>IF(C158&lt;'user input'!$C$12,IF(B158&gt;'user input'!$C$6,0,F157+E158),'user input'!$C$17*((1-C158)/(1-'user input'!$C$12)))</f>
        <v>0.45649361420701062</v>
      </c>
    </row>
    <row r="159" spans="1:6" x14ac:dyDescent="0.2">
      <c r="A159" s="1">
        <v>40335</v>
      </c>
      <c r="B159">
        <v>157</v>
      </c>
      <c r="C159">
        <f>IF(B159&gt;'user input'!$C$6,0,IF('heat units'!H159&gt;1,1,'heat units'!H159))</f>
        <v>0.22199074074074071</v>
      </c>
      <c r="D159">
        <f>IF(B159&gt;'user input'!$C$6,0,(C159/(C159+EXP('user input'!$C$15-'user input'!$C$14*C159))))</f>
        <v>0.16955129981710659</v>
      </c>
      <c r="E159">
        <f>IF(C159&lt;'user input'!$C$12,(D159-D158)*'user input'!$C$17*(1-EXP(5*(F158-'user input'!$C$17))),F159-F158)</f>
        <v>5.2159645331619355E-2</v>
      </c>
      <c r="F159">
        <f>IF(C159&lt;'user input'!$C$12,IF(B159&gt;'user input'!$C$6,0,F158+E159),'user input'!$C$17*((1-C159)/(1-'user input'!$C$12)))</f>
        <v>0.50865325953862994</v>
      </c>
    </row>
    <row r="160" spans="1:6" x14ac:dyDescent="0.2">
      <c r="A160" s="1">
        <v>40336</v>
      </c>
      <c r="B160">
        <v>158</v>
      </c>
      <c r="C160">
        <f>IF(B160&gt;'user input'!$C$6,0,IF('heat units'!H160&gt;1,1,'heat units'!H160))</f>
        <v>0.22824074074074072</v>
      </c>
      <c r="D160">
        <f>IF(B160&gt;'user input'!$C$6,0,(C160/(C160+EXP('user input'!$C$15-'user input'!$C$14*C160))))</f>
        <v>0.18582252450840991</v>
      </c>
      <c r="E160">
        <f>IF(C160&lt;'user input'!$C$12,(D160-D159)*'user input'!$C$17*(1-EXP(5*(F159-'user input'!$C$17))),F160-F159)</f>
        <v>4.8813484118884566E-2</v>
      </c>
      <c r="F160">
        <f>IF(C160&lt;'user input'!$C$12,IF(B160&gt;'user input'!$C$6,0,F159+E160),'user input'!$C$17*((1-C160)/(1-'user input'!$C$12)))</f>
        <v>0.55746674365751447</v>
      </c>
    </row>
    <row r="161" spans="1:6" x14ac:dyDescent="0.2">
      <c r="A161" s="1">
        <v>40337</v>
      </c>
      <c r="B161">
        <v>159</v>
      </c>
      <c r="C161">
        <f>IF(B161&gt;'user input'!$C$6,0,IF('heat units'!H161&gt;1,1,'heat units'!H161))</f>
        <v>0.23449074074074072</v>
      </c>
      <c r="D161">
        <f>IF(B161&gt;'user input'!$C$6,0,(C161/(C161+EXP('user input'!$C$15-'user input'!$C$14*C161))))</f>
        <v>0.20315156715296148</v>
      </c>
      <c r="E161">
        <f>IF(C161&lt;'user input'!$C$12,(D161-D160)*'user input'!$C$17*(1-EXP(5*(F160-'user input'!$C$17))),F161-F160)</f>
        <v>5.198686970629799E-2</v>
      </c>
      <c r="F161">
        <f>IF(C161&lt;'user input'!$C$12,IF(B161&gt;'user input'!$C$6,0,F160+E161),'user input'!$C$17*((1-C161)/(1-'user input'!$C$12)))</f>
        <v>0.60945361336381243</v>
      </c>
    </row>
    <row r="162" spans="1:6" x14ac:dyDescent="0.2">
      <c r="A162" s="1">
        <v>40338</v>
      </c>
      <c r="B162">
        <v>160</v>
      </c>
      <c r="C162">
        <f>IF(B162&gt;'user input'!$C$6,0,IF('heat units'!H162&gt;1,1,'heat units'!H162))</f>
        <v>0.2384259259259259</v>
      </c>
      <c r="D162">
        <f>IF(B162&gt;'user input'!$C$6,0,(C162/(C162+EXP('user input'!$C$15-'user input'!$C$14*C162))))</f>
        <v>0.21460369712047483</v>
      </c>
      <c r="E162">
        <f>IF(C162&lt;'user input'!$C$12,(D162-D161)*'user input'!$C$17*(1-EXP(5*(F161-'user input'!$C$17))),F162-F161)</f>
        <v>3.4356168592049645E-2</v>
      </c>
      <c r="F162">
        <f>IF(C162&lt;'user input'!$C$12,IF(B162&gt;'user input'!$C$6,0,F161+E162),'user input'!$C$17*((1-C162)/(1-'user input'!$C$12)))</f>
        <v>0.64380978195586203</v>
      </c>
    </row>
    <row r="163" spans="1:6" x14ac:dyDescent="0.2">
      <c r="A163" s="1">
        <v>40339</v>
      </c>
      <c r="B163">
        <v>161</v>
      </c>
      <c r="C163">
        <f>IF(B163&gt;'user input'!$C$6,0,IF('heat units'!H163&gt;1,1,'heat units'!H163))</f>
        <v>0.24537037037037032</v>
      </c>
      <c r="D163">
        <f>IF(B163&gt;'user input'!$C$6,0,(C163/(C163+EXP('user input'!$C$15-'user input'!$C$14*C163))))</f>
        <v>0.23582067718470115</v>
      </c>
      <c r="E163">
        <f>IF(C163&lt;'user input'!$C$12,(D163-D162)*'user input'!$C$17*(1-EXP(5*(F162-'user input'!$C$17))),F163-F162)</f>
        <v>6.3650453334160695E-2</v>
      </c>
      <c r="F163">
        <f>IF(C163&lt;'user input'!$C$12,IF(B163&gt;'user input'!$C$6,0,F162+E163),'user input'!$C$17*((1-C163)/(1-'user input'!$C$12)))</f>
        <v>0.70746023529002278</v>
      </c>
    </row>
    <row r="164" spans="1:6" x14ac:dyDescent="0.2">
      <c r="A164" s="1">
        <v>40340</v>
      </c>
      <c r="B164">
        <v>162</v>
      </c>
      <c r="C164">
        <f>IF(B164&gt;'user input'!$C$6,0,IF('heat units'!H164&gt;1,1,'heat units'!H164))</f>
        <v>0.25162037037037033</v>
      </c>
      <c r="D164">
        <f>IF(B164&gt;'user input'!$C$6,0,(C164/(C164+EXP('user input'!$C$15-'user input'!$C$14*C164))))</f>
        <v>0.25598943079774339</v>
      </c>
      <c r="E164">
        <f>IF(C164&lt;'user input'!$C$12,(D164-D163)*'user input'!$C$17*(1-EXP(5*(F163-'user input'!$C$17))),F164-F163)</f>
        <v>6.0505624610115515E-2</v>
      </c>
      <c r="F164">
        <f>IF(C164&lt;'user input'!$C$12,IF(B164&gt;'user input'!$C$6,0,F163+E164),'user input'!$C$17*((1-C164)/(1-'user input'!$C$12)))</f>
        <v>0.76796585990013833</v>
      </c>
    </row>
    <row r="165" spans="1:6" x14ac:dyDescent="0.2">
      <c r="A165" s="1">
        <v>40341</v>
      </c>
      <c r="B165">
        <v>163</v>
      </c>
      <c r="C165">
        <f>IF(B165&gt;'user input'!$C$6,0,IF('heat units'!H165&gt;1,1,'heat units'!H165))</f>
        <v>0.26203703703703701</v>
      </c>
      <c r="D165">
        <f>IF(B165&gt;'user input'!$C$6,0,(C165/(C165+EXP('user input'!$C$15-'user input'!$C$14*C165))))</f>
        <v>0.29174521798759129</v>
      </c>
      <c r="E165">
        <f>IF(C165&lt;'user input'!$C$12,(D165-D164)*'user input'!$C$17*(1-EXP(5*(F164-'user input'!$C$17))),F165-F164)</f>
        <v>0.10726583517415202</v>
      </c>
      <c r="F165">
        <f>IF(C165&lt;'user input'!$C$12,IF(B165&gt;'user input'!$C$6,0,F164+E165),'user input'!$C$17*((1-C165)/(1-'user input'!$C$12)))</f>
        <v>0.87523169507429033</v>
      </c>
    </row>
    <row r="166" spans="1:6" x14ac:dyDescent="0.2">
      <c r="A166" s="1">
        <v>40342</v>
      </c>
      <c r="B166">
        <v>164</v>
      </c>
      <c r="C166">
        <f>IF(B166&gt;'user input'!$C$6,0,IF('heat units'!H166&gt;1,1,'heat units'!H166))</f>
        <v>0.27013888888888887</v>
      </c>
      <c r="D166">
        <f>IF(B166&gt;'user input'!$C$6,0,(C166/(C166+EXP('user input'!$C$15-'user input'!$C$14*C166))))</f>
        <v>0.32125163030955123</v>
      </c>
      <c r="E166">
        <f>IF(C166&lt;'user input'!$C$12,(D166-D165)*'user input'!$C$17*(1-EXP(5*(F165-'user input'!$C$17))),F166-F165)</f>
        <v>8.8517083381409109E-2</v>
      </c>
      <c r="F166">
        <f>IF(C166&lt;'user input'!$C$12,IF(B166&gt;'user input'!$C$6,0,F165+E166),'user input'!$C$17*((1-C166)/(1-'user input'!$C$12)))</f>
        <v>0.9637487784556994</v>
      </c>
    </row>
    <row r="167" spans="1:6" x14ac:dyDescent="0.2">
      <c r="A167" s="1">
        <v>40343</v>
      </c>
      <c r="B167">
        <v>165</v>
      </c>
      <c r="C167">
        <f>IF(B167&gt;'user input'!$C$6,0,IF('heat units'!H167&gt;1,1,'heat units'!H167))</f>
        <v>0.27847222222222218</v>
      </c>
      <c r="D167">
        <f>IF(B167&gt;'user input'!$C$6,0,(C167/(C167+EXP('user input'!$C$15-'user input'!$C$14*C167))))</f>
        <v>0.35294973821188386</v>
      </c>
      <c r="E167">
        <f>IF(C167&lt;'user input'!$C$12,(D167-D166)*'user input'!$C$17*(1-EXP(5*(F166-'user input'!$C$17))),F167-F166)</f>
        <v>9.509072214207645E-2</v>
      </c>
      <c r="F167">
        <f>IF(C167&lt;'user input'!$C$12,IF(B167&gt;'user input'!$C$6,0,F166+E167),'user input'!$C$17*((1-C167)/(1-'user input'!$C$12)))</f>
        <v>1.0588395005977758</v>
      </c>
    </row>
    <row r="168" spans="1:6" x14ac:dyDescent="0.2">
      <c r="A168" s="1">
        <v>40344</v>
      </c>
      <c r="B168">
        <v>166</v>
      </c>
      <c r="C168">
        <f>IF(B168&gt;'user input'!$C$6,0,IF('heat units'!H168&gt;1,1,'heat units'!H168))</f>
        <v>0.28495370370370365</v>
      </c>
      <c r="D168">
        <f>IF(B168&gt;'user input'!$C$6,0,(C168/(C168+EXP('user input'!$C$15-'user input'!$C$14*C168))))</f>
        <v>0.378402954569804</v>
      </c>
      <c r="E168">
        <f>IF(C168&lt;'user input'!$C$12,(D168-D167)*'user input'!$C$17*(1-EXP(5*(F167-'user input'!$C$17))),F168-F167)</f>
        <v>7.6354996562242664E-2</v>
      </c>
      <c r="F168">
        <f>IF(C168&lt;'user input'!$C$12,IF(B168&gt;'user input'!$C$6,0,F167+E168),'user input'!$C$17*((1-C168)/(1-'user input'!$C$12)))</f>
        <v>1.1351944971600185</v>
      </c>
    </row>
    <row r="169" spans="1:6" x14ac:dyDescent="0.2">
      <c r="A169" s="1">
        <v>40345</v>
      </c>
      <c r="B169">
        <v>167</v>
      </c>
      <c r="C169">
        <f>IF(B169&gt;'user input'!$C$6,0,IF('heat units'!H169&gt;1,1,'heat units'!H169))</f>
        <v>0.29212962962962957</v>
      </c>
      <c r="D169">
        <f>IF(B169&gt;'user input'!$C$6,0,(C169/(C169+EXP('user input'!$C$15-'user input'!$C$14*C169))))</f>
        <v>0.40723477836321881</v>
      </c>
      <c r="E169">
        <f>IF(C169&lt;'user input'!$C$12,(D169-D168)*'user input'!$C$17*(1-EXP(5*(F168-'user input'!$C$17))),F169-F168)</f>
        <v>8.6487751338098315E-2</v>
      </c>
      <c r="F169">
        <f>IF(C169&lt;'user input'!$C$12,IF(B169&gt;'user input'!$C$6,0,F168+E169),'user input'!$C$17*((1-C169)/(1-'user input'!$C$12)))</f>
        <v>1.2216822484981169</v>
      </c>
    </row>
    <row r="170" spans="1:6" x14ac:dyDescent="0.2">
      <c r="A170" s="1">
        <v>40346</v>
      </c>
      <c r="B170">
        <v>168</v>
      </c>
      <c r="C170">
        <f>IF(B170&gt;'user input'!$C$6,0,IF('heat units'!H170&gt;1,1,'heat units'!H170))</f>
        <v>0.30046296296296293</v>
      </c>
      <c r="D170">
        <f>IF(B170&gt;'user input'!$C$6,0,(C170/(C170+EXP('user input'!$C$15-'user input'!$C$14*C170))))</f>
        <v>0.44133733383163443</v>
      </c>
      <c r="E170">
        <f>IF(C170&lt;'user input'!$C$12,(D170-D169)*'user input'!$C$17*(1-EXP(5*(F169-'user input'!$C$17))),F170-F169)</f>
        <v>0.10229359491007629</v>
      </c>
      <c r="F170">
        <f>IF(C170&lt;'user input'!$C$12,IF(B170&gt;'user input'!$C$6,0,F169+E170),'user input'!$C$17*((1-C170)/(1-'user input'!$C$12)))</f>
        <v>1.3239758434081932</v>
      </c>
    </row>
    <row r="171" spans="1:6" x14ac:dyDescent="0.2">
      <c r="A171" s="1">
        <v>40347</v>
      </c>
      <c r="B171">
        <v>169</v>
      </c>
      <c r="C171">
        <f>IF(B171&gt;'user input'!$C$6,0,IF('heat units'!H171&gt;1,1,'heat units'!H171))</f>
        <v>0.31111111111111106</v>
      </c>
      <c r="D171">
        <f>IF(B171&gt;'user input'!$C$6,0,(C171/(C171+EXP('user input'!$C$15-'user input'!$C$14*C171))))</f>
        <v>0.48540901592090446</v>
      </c>
      <c r="E171">
        <f>IF(C171&lt;'user input'!$C$12,(D171-D170)*'user input'!$C$17*(1-EXP(5*(F170-'user input'!$C$17))),F171-F170)</f>
        <v>0.13218471848455804</v>
      </c>
      <c r="F171">
        <f>IF(C171&lt;'user input'!$C$12,IF(B171&gt;'user input'!$C$6,0,F170+E171),'user input'!$C$17*((1-C171)/(1-'user input'!$C$12)))</f>
        <v>1.4561605618927511</v>
      </c>
    </row>
    <row r="172" spans="1:6" x14ac:dyDescent="0.2">
      <c r="A172" s="1">
        <v>40348</v>
      </c>
      <c r="B172">
        <v>170</v>
      </c>
      <c r="C172">
        <f>IF(B172&gt;'user input'!$C$6,0,IF('heat units'!H172&gt;1,1,'heat units'!H172))</f>
        <v>0.32175925925925919</v>
      </c>
      <c r="D172">
        <f>IF(B172&gt;'user input'!$C$6,0,(C172/(C172+EXP('user input'!$C$15-'user input'!$C$14*C172))))</f>
        <v>0.52941678241208878</v>
      </c>
      <c r="E172">
        <f>IF(C172&lt;'user input'!$C$12,(D172-D171)*'user input'!$C$17*(1-EXP(5*(F171-'user input'!$C$17))),F172-F171)</f>
        <v>0.13196465246864283</v>
      </c>
      <c r="F172">
        <f>IF(C172&lt;'user input'!$C$12,IF(B172&gt;'user input'!$C$6,0,F171+E172),'user input'!$C$17*((1-C172)/(1-'user input'!$C$12)))</f>
        <v>1.588125214361394</v>
      </c>
    </row>
    <row r="173" spans="1:6" x14ac:dyDescent="0.2">
      <c r="A173" s="1">
        <v>40349</v>
      </c>
      <c r="B173">
        <v>171</v>
      </c>
      <c r="C173">
        <f>IF(B173&gt;'user input'!$C$6,0,IF('heat units'!H173&gt;1,1,'heat units'!H173))</f>
        <v>0.33101851851851843</v>
      </c>
      <c r="D173">
        <f>IF(B173&gt;'user input'!$C$6,0,(C173/(C173+EXP('user input'!$C$15-'user input'!$C$14*C173))))</f>
        <v>0.56712068613087785</v>
      </c>
      <c r="E173">
        <f>IF(C173&lt;'user input'!$C$12,(D173-D172)*'user input'!$C$17*(1-EXP(5*(F172-'user input'!$C$17))),F173-F172)</f>
        <v>0.11301451246233747</v>
      </c>
      <c r="F173">
        <f>IF(C173&lt;'user input'!$C$12,IF(B173&gt;'user input'!$C$6,0,F172+E173),'user input'!$C$17*((1-C173)/(1-'user input'!$C$12)))</f>
        <v>1.7011397268237314</v>
      </c>
    </row>
    <row r="174" spans="1:6" x14ac:dyDescent="0.2">
      <c r="A174" s="1">
        <v>40350</v>
      </c>
      <c r="B174">
        <v>172</v>
      </c>
      <c r="C174">
        <f>IF(B174&gt;'user input'!$C$6,0,IF('heat units'!H174&gt;1,1,'heat units'!H174))</f>
        <v>0.34050925925925918</v>
      </c>
      <c r="D174">
        <f>IF(B174&gt;'user input'!$C$6,0,(C174/(C174+EXP('user input'!$C$15-'user input'!$C$14*C174))))</f>
        <v>0.60477922290066655</v>
      </c>
      <c r="E174">
        <f>IF(C174&lt;'user input'!$C$12,(D174-D173)*'user input'!$C$17*(1-EXP(5*(F173-'user input'!$C$17))),F174-F173)</f>
        <v>0.1128047876616307</v>
      </c>
      <c r="F174">
        <f>IF(C174&lt;'user input'!$C$12,IF(B174&gt;'user input'!$C$6,0,F173+E174),'user input'!$C$17*((1-C174)/(1-'user input'!$C$12)))</f>
        <v>1.8139445144853621</v>
      </c>
    </row>
    <row r="175" spans="1:6" x14ac:dyDescent="0.2">
      <c r="A175" s="1">
        <v>40351</v>
      </c>
      <c r="B175">
        <v>173</v>
      </c>
      <c r="C175">
        <f>IF(B175&gt;'user input'!$C$6,0,IF('heat units'!H175&gt;1,1,'heat units'!H175))</f>
        <v>0.35046296296296292</v>
      </c>
      <c r="D175">
        <f>IF(B175&gt;'user input'!$C$6,0,(C175/(C175+EXP('user input'!$C$15-'user input'!$C$14*C175))))</f>
        <v>0.64278360524529721</v>
      </c>
      <c r="E175">
        <f>IF(C175&lt;'user input'!$C$12,(D175-D174)*'user input'!$C$17*(1-EXP(5*(F174-'user input'!$C$17))),F175-F174)</f>
        <v>0.11371012921317943</v>
      </c>
      <c r="F175">
        <f>IF(C175&lt;'user input'!$C$12,IF(B175&gt;'user input'!$C$6,0,F174+E175),'user input'!$C$17*((1-C175)/(1-'user input'!$C$12)))</f>
        <v>1.9276546436985416</v>
      </c>
    </row>
    <row r="176" spans="1:6" x14ac:dyDescent="0.2">
      <c r="A176" s="1">
        <v>40352</v>
      </c>
      <c r="B176">
        <v>174</v>
      </c>
      <c r="C176">
        <f>IF(B176&gt;'user input'!$C$6,0,IF('heat units'!H176&gt;1,1,'heat units'!H176))</f>
        <v>0.36249999999999993</v>
      </c>
      <c r="D176">
        <f>IF(B176&gt;'user input'!$C$6,0,(C176/(C176+EXP('user input'!$C$15-'user input'!$C$14*C176))))</f>
        <v>0.6861878577731827</v>
      </c>
      <c r="E176">
        <f>IF(C176&lt;'user input'!$C$12,(D176-D175)*'user input'!$C$17*(1-EXP(5*(F175-'user input'!$C$17))),F176-F175)</f>
        <v>0.12960169571812433</v>
      </c>
      <c r="F176">
        <f>IF(C176&lt;'user input'!$C$12,IF(B176&gt;'user input'!$C$6,0,F175+E176),'user input'!$C$17*((1-C176)/(1-'user input'!$C$12)))</f>
        <v>2.0572563394166661</v>
      </c>
    </row>
    <row r="177" spans="1:6" x14ac:dyDescent="0.2">
      <c r="A177" s="1">
        <v>40353</v>
      </c>
      <c r="B177">
        <v>175</v>
      </c>
      <c r="C177">
        <f>IF(B177&gt;'user input'!$C$6,0,IF('heat units'!H177&gt;1,1,'heat units'!H177))</f>
        <v>0.37222222222222218</v>
      </c>
      <c r="D177">
        <f>IF(B177&gt;'user input'!$C$6,0,(C177/(C177+EXP('user input'!$C$15-'user input'!$C$14*C177))))</f>
        <v>0.71888947966587302</v>
      </c>
      <c r="E177">
        <f>IF(C177&lt;'user input'!$C$12,(D177-D176)*'user input'!$C$17*(1-EXP(5*(F176-'user input'!$C$17))),F177-F176)</f>
        <v>9.7224731878772827E-2</v>
      </c>
      <c r="F177">
        <f>IF(C177&lt;'user input'!$C$12,IF(B177&gt;'user input'!$C$6,0,F176+E177),'user input'!$C$17*((1-C177)/(1-'user input'!$C$12)))</f>
        <v>2.154481071295439</v>
      </c>
    </row>
    <row r="178" spans="1:6" x14ac:dyDescent="0.2">
      <c r="A178" s="1">
        <v>40354</v>
      </c>
      <c r="B178">
        <v>176</v>
      </c>
      <c r="C178">
        <f>IF(B178&gt;'user input'!$C$6,0,IF('heat units'!H178&gt;1,1,'heat units'!H178))</f>
        <v>0.38171296296296298</v>
      </c>
      <c r="D178">
        <f>IF(B178&gt;'user input'!$C$6,0,(C178/(C178+EXP('user input'!$C$15-'user input'!$C$14*C178))))</f>
        <v>0.74860298757281329</v>
      </c>
      <c r="E178">
        <f>IF(C178&lt;'user input'!$C$12,(D178-D177)*'user input'!$C$17*(1-EXP(5*(F177-'user input'!$C$17))),F178-F177)</f>
        <v>8.7840192003302064E-2</v>
      </c>
      <c r="F178">
        <f>IF(C178&lt;'user input'!$C$12,IF(B178&gt;'user input'!$C$6,0,F177+E178),'user input'!$C$17*((1-C178)/(1-'user input'!$C$12)))</f>
        <v>2.242321263298741</v>
      </c>
    </row>
    <row r="179" spans="1:6" x14ac:dyDescent="0.2">
      <c r="A179" s="1">
        <v>40355</v>
      </c>
      <c r="B179">
        <v>177</v>
      </c>
      <c r="C179">
        <f>IF(B179&gt;'user input'!$C$6,0,IF('heat units'!H179&gt;1,1,'heat units'!H179))</f>
        <v>0.39212962962962961</v>
      </c>
      <c r="D179">
        <f>IF(B179&gt;'user input'!$C$6,0,(C179/(C179+EXP('user input'!$C$15-'user input'!$C$14*C179))))</f>
        <v>0.77860072620363463</v>
      </c>
      <c r="E179">
        <f>IF(C179&lt;'user input'!$C$12,(D179-D178)*'user input'!$C$17*(1-EXP(5*(F178-'user input'!$C$17))),F179-F178)</f>
        <v>8.7956496026361436E-2</v>
      </c>
      <c r="F179">
        <f>IF(C179&lt;'user input'!$C$12,IF(B179&gt;'user input'!$C$6,0,F178+E179),'user input'!$C$17*((1-C179)/(1-'user input'!$C$12)))</f>
        <v>2.3302777593251025</v>
      </c>
    </row>
    <row r="180" spans="1:6" x14ac:dyDescent="0.2">
      <c r="A180" s="1">
        <v>40356</v>
      </c>
      <c r="B180">
        <v>178</v>
      </c>
      <c r="C180">
        <f>IF(B180&gt;'user input'!$C$6,0,IF('heat units'!H180&gt;1,1,'heat units'!H180))</f>
        <v>0.40393518518518517</v>
      </c>
      <c r="D180">
        <f>IF(B180&gt;'user input'!$C$6,0,(C180/(C180+EXP('user input'!$C$15-'user input'!$C$14*C180))))</f>
        <v>0.8092609532944619</v>
      </c>
      <c r="E180">
        <f>IF(C180&lt;'user input'!$C$12,(D180-D179)*'user input'!$C$17*(1-EXP(5*(F179-'user input'!$C$17))),F180-F179)</f>
        <v>8.8749113605020094E-2</v>
      </c>
      <c r="F180">
        <f>IF(C180&lt;'user input'!$C$12,IF(B180&gt;'user input'!$C$6,0,F179+E180),'user input'!$C$17*((1-C180)/(1-'user input'!$C$12)))</f>
        <v>2.4190268729301225</v>
      </c>
    </row>
    <row r="181" spans="1:6" x14ac:dyDescent="0.2">
      <c r="A181" s="1">
        <v>40357</v>
      </c>
      <c r="B181">
        <v>179</v>
      </c>
      <c r="C181">
        <f>IF(B181&gt;'user input'!$C$6,0,IF('heat units'!H181&gt;1,1,'heat units'!H181))</f>
        <v>0.41435185185185186</v>
      </c>
      <c r="D181">
        <f>IF(B181&gt;'user input'!$C$6,0,(C181/(C181+EXP('user input'!$C$15-'user input'!$C$14*C181))))</f>
        <v>0.83342637287563748</v>
      </c>
      <c r="E181">
        <f>IF(C181&lt;'user input'!$C$12,(D181-D180)*'user input'!$C$17*(1-EXP(5*(F180-'user input'!$C$17))),F181-F180)</f>
        <v>6.8526642913973757E-2</v>
      </c>
      <c r="F181">
        <f>IF(C181&lt;'user input'!$C$12,IF(B181&gt;'user input'!$C$6,0,F180+E181),'user input'!$C$17*((1-C181)/(1-'user input'!$C$12)))</f>
        <v>2.4875535158440965</v>
      </c>
    </row>
    <row r="182" spans="1:6" x14ac:dyDescent="0.2">
      <c r="A182" s="1">
        <v>40358</v>
      </c>
      <c r="B182">
        <v>180</v>
      </c>
      <c r="C182">
        <f>IF(B182&gt;'user input'!$C$6,0,IF('heat units'!H182&gt;1,1,'heat units'!H182))</f>
        <v>0.42152777777777778</v>
      </c>
      <c r="D182">
        <f>IF(B182&gt;'user input'!$C$6,0,(C182/(C182+EXP('user input'!$C$15-'user input'!$C$14*C182))))</f>
        <v>0.84855740274351377</v>
      </c>
      <c r="E182">
        <f>IF(C182&lt;'user input'!$C$12,(D182-D181)*'user input'!$C$17*(1-EXP(5*(F181-'user input'!$C$17))),F182-F181)</f>
        <v>4.1891813646257881E-2</v>
      </c>
      <c r="F182">
        <f>IF(C182&lt;'user input'!$C$12,IF(B182&gt;'user input'!$C$6,0,F181+E182),'user input'!$C$17*((1-C182)/(1-'user input'!$C$12)))</f>
        <v>2.5294453294903545</v>
      </c>
    </row>
    <row r="183" spans="1:6" x14ac:dyDescent="0.2">
      <c r="A183" s="1">
        <v>40359</v>
      </c>
      <c r="B183">
        <v>181</v>
      </c>
      <c r="C183">
        <f>IF(B183&gt;'user input'!$C$6,0,IF('heat units'!H183&gt;1,1,'heat units'!H183))</f>
        <v>0.42708333333333331</v>
      </c>
      <c r="D183">
        <f>IF(B183&gt;'user input'!$C$6,0,(C183/(C183+EXP('user input'!$C$15-'user input'!$C$14*C183))))</f>
        <v>0.85945709967226258</v>
      </c>
      <c r="E183">
        <f>IF(C183&lt;'user input'!$C$12,(D183-D182)*'user input'!$C$17*(1-EXP(5*(F182-'user input'!$C$17))),F183-F182)</f>
        <v>2.9589242568968169E-2</v>
      </c>
      <c r="F183">
        <f>IF(C183&lt;'user input'!$C$12,IF(B183&gt;'user input'!$C$6,0,F182+E183),'user input'!$C$17*((1-C183)/(1-'user input'!$C$12)))</f>
        <v>2.5590345720593226</v>
      </c>
    </row>
    <row r="184" spans="1:6" x14ac:dyDescent="0.2">
      <c r="A184" s="1">
        <v>40360</v>
      </c>
      <c r="B184">
        <v>182</v>
      </c>
      <c r="C184">
        <f>IF(B184&gt;'user input'!$C$6,0,IF('heat units'!H184&gt;1,1,'heat units'!H184))</f>
        <v>0.43402777777777779</v>
      </c>
      <c r="D184">
        <f>IF(B184&gt;'user input'!$C$6,0,(C184/(C184+EXP('user input'!$C$15-'user input'!$C$14*C184))))</f>
        <v>0.87212415679038269</v>
      </c>
      <c r="E184">
        <f>IF(C184&lt;'user input'!$C$12,(D184-D183)*'user input'!$C$17*(1-EXP(5*(F183-'user input'!$C$17))),F184-F183)</f>
        <v>3.3810797963771122E-2</v>
      </c>
      <c r="F184">
        <f>IF(C184&lt;'user input'!$C$12,IF(B184&gt;'user input'!$C$6,0,F183+E184),'user input'!$C$17*((1-C184)/(1-'user input'!$C$12)))</f>
        <v>2.5928453700230936</v>
      </c>
    </row>
    <row r="185" spans="1:6" x14ac:dyDescent="0.2">
      <c r="A185" s="1">
        <v>40361</v>
      </c>
      <c r="B185">
        <v>183</v>
      </c>
      <c r="C185">
        <f>IF(B185&gt;'user input'!$C$6,0,IF('heat units'!H185&gt;1,1,'heat units'!H185))</f>
        <v>0.44166666666666665</v>
      </c>
      <c r="D185">
        <f>IF(B185&gt;'user input'!$C$6,0,(C185/(C185+EXP('user input'!$C$15-'user input'!$C$14*C185))))</f>
        <v>0.88488935362313226</v>
      </c>
      <c r="E185">
        <f>IF(C185&lt;'user input'!$C$12,(D185-D184)*'user input'!$C$17*(1-EXP(5*(F184-'user input'!$C$17))),F185-F184)</f>
        <v>3.3294971976765467E-2</v>
      </c>
      <c r="F185">
        <f>IF(C185&lt;'user input'!$C$12,IF(B185&gt;'user input'!$C$6,0,F184+E185),'user input'!$C$17*((1-C185)/(1-'user input'!$C$12)))</f>
        <v>2.626140341999859</v>
      </c>
    </row>
    <row r="186" spans="1:6" x14ac:dyDescent="0.2">
      <c r="A186" s="1">
        <v>40362</v>
      </c>
      <c r="B186">
        <v>184</v>
      </c>
      <c r="C186">
        <f>IF(B186&gt;'user input'!$C$6,0,IF('heat units'!H186&gt;1,1,'heat units'!H186))</f>
        <v>0.45046296296296295</v>
      </c>
      <c r="D186">
        <f>IF(B186&gt;'user input'!$C$6,0,(C186/(C186+EXP('user input'!$C$15-'user input'!$C$14*C186))))</f>
        <v>0.89816789063157298</v>
      </c>
      <c r="E186">
        <f>IF(C186&lt;'user input'!$C$12,(D186-D185)*'user input'!$C$17*(1-EXP(5*(F185-'user input'!$C$17))),F186-F185)</f>
        <v>3.3691691045641591E-2</v>
      </c>
      <c r="F186">
        <f>IF(C186&lt;'user input'!$C$12,IF(B186&gt;'user input'!$C$6,0,F185+E186),'user input'!$C$17*((1-C186)/(1-'user input'!$C$12)))</f>
        <v>2.6598320330455008</v>
      </c>
    </row>
    <row r="187" spans="1:6" x14ac:dyDescent="0.2">
      <c r="A187" s="1">
        <v>40363</v>
      </c>
      <c r="B187">
        <v>185</v>
      </c>
      <c r="C187">
        <f>IF(B187&gt;'user input'!$C$6,0,IF('heat units'!H187&gt;1,1,'heat units'!H187))</f>
        <v>0.46250000000000002</v>
      </c>
      <c r="D187">
        <f>IF(B187&gt;'user input'!$C$6,0,(C187/(C187+EXP('user input'!$C$15-'user input'!$C$14*C187))))</f>
        <v>0.91408171602163035</v>
      </c>
      <c r="E187">
        <f>IF(C187&lt;'user input'!$C$12,(D187-D186)*'user input'!$C$17*(1-EXP(5*(F186-'user input'!$C$17))),F187-F186)</f>
        <v>3.9027216672110343E-2</v>
      </c>
      <c r="F187">
        <f>IF(C187&lt;'user input'!$C$12,IF(B187&gt;'user input'!$C$6,0,F186+E187),'user input'!$C$17*((1-C187)/(1-'user input'!$C$12)))</f>
        <v>2.6988592497176112</v>
      </c>
    </row>
    <row r="188" spans="1:6" x14ac:dyDescent="0.2">
      <c r="A188" s="1">
        <v>40364</v>
      </c>
      <c r="B188">
        <v>186</v>
      </c>
      <c r="C188">
        <f>IF(B188&gt;'user input'!$C$6,0,IF('heat units'!H188&gt;1,1,'heat units'!H188))</f>
        <v>0.47546296296296298</v>
      </c>
      <c r="D188">
        <f>IF(B188&gt;'user input'!$C$6,0,(C188/(C188+EXP('user input'!$C$15-'user input'!$C$14*C188))))</f>
        <v>0.92861992416648853</v>
      </c>
      <c r="E188">
        <f>IF(C188&lt;'user input'!$C$12,(D188-D187)*'user input'!$C$17*(1-EXP(5*(F187-'user input'!$C$17))),F188-F187)</f>
        <v>3.3938235715092954E-2</v>
      </c>
      <c r="F188">
        <f>IF(C188&lt;'user input'!$C$12,IF(B188&gt;'user input'!$C$6,0,F187+E188),'user input'!$C$17*((1-C188)/(1-'user input'!$C$12)))</f>
        <v>2.732797485432704</v>
      </c>
    </row>
    <row r="189" spans="1:6" x14ac:dyDescent="0.2">
      <c r="A189" s="1">
        <v>40365</v>
      </c>
      <c r="B189">
        <v>187</v>
      </c>
      <c r="C189">
        <f>IF(B189&gt;'user input'!$C$6,0,IF('heat units'!H189&gt;1,1,'heat units'!H189))</f>
        <v>0.48703703703703705</v>
      </c>
      <c r="D189">
        <f>IF(B189&gt;'user input'!$C$6,0,(C189/(C189+EXP('user input'!$C$15-'user input'!$C$14*C189))))</f>
        <v>0.93961083294890924</v>
      </c>
      <c r="E189">
        <f>IF(C189&lt;'user input'!$C$12,(D189-D188)*'user input'!$C$17*(1-EXP(5*(F188-'user input'!$C$17))),F189-F188)</f>
        <v>2.4304465532646525E-2</v>
      </c>
      <c r="F189">
        <f>IF(C189&lt;'user input'!$C$12,IF(B189&gt;'user input'!$C$6,0,F188+E189),'user input'!$C$17*((1-C189)/(1-'user input'!$C$12)))</f>
        <v>2.7571019509653505</v>
      </c>
    </row>
    <row r="190" spans="1:6" x14ac:dyDescent="0.2">
      <c r="A190" s="1">
        <v>40366</v>
      </c>
      <c r="B190">
        <v>188</v>
      </c>
      <c r="C190">
        <f>IF(B190&gt;'user input'!$C$6,0,IF('heat units'!H190&gt;1,1,'heat units'!H190))</f>
        <v>0.4993055555555555</v>
      </c>
      <c r="D190">
        <f>IF(B190&gt;'user input'!$C$6,0,(C190/(C190+EXP('user input'!$C$15-'user input'!$C$14*C190))))</f>
        <v>0.94949000078101764</v>
      </c>
      <c r="E190">
        <f>IF(C190&lt;'user input'!$C$12,(D190-D189)*'user input'!$C$17*(1-EXP(5*(F189-'user input'!$C$17))),F190-F189)</f>
        <v>2.083927561407637E-2</v>
      </c>
      <c r="F190">
        <f>IF(C190&lt;'user input'!$C$12,IF(B190&gt;'user input'!$C$6,0,F189+E190),'user input'!$C$17*((1-C190)/(1-'user input'!$C$12)))</f>
        <v>2.777941226579427</v>
      </c>
    </row>
    <row r="191" spans="1:6" x14ac:dyDescent="0.2">
      <c r="A191" s="1">
        <v>40367</v>
      </c>
      <c r="B191">
        <v>189</v>
      </c>
      <c r="C191">
        <f>IF(B191&gt;'user input'!$C$6,0,IF('heat units'!H191&gt;1,1,'heat units'!H191))</f>
        <v>0.51134259259259263</v>
      </c>
      <c r="D191">
        <f>IF(B191&gt;'user input'!$C$6,0,(C191/(C191+EXP('user input'!$C$15-'user input'!$C$14*C191))))</f>
        <v>0.95765739551541296</v>
      </c>
      <c r="E191">
        <f>IF(C191&lt;'user input'!$C$12,(D191-D190)*'user input'!$C$17*(1-EXP(5*(F190-'user input'!$C$17))),F191-F190)</f>
        <v>1.6429642436170826E-2</v>
      </c>
      <c r="F191">
        <f>IF(C191&lt;'user input'!$C$12,IF(B191&gt;'user input'!$C$6,0,F190+E191),'user input'!$C$17*((1-C191)/(1-'user input'!$C$12)))</f>
        <v>2.7943708690155979</v>
      </c>
    </row>
    <row r="192" spans="1:6" x14ac:dyDescent="0.2">
      <c r="A192" s="1">
        <v>40368</v>
      </c>
      <c r="B192">
        <v>190</v>
      </c>
      <c r="C192">
        <f>IF(B192&gt;'user input'!$C$6,0,IF('heat units'!H192&gt;1,1,'heat units'!H192))</f>
        <v>0.52222222222222214</v>
      </c>
      <c r="D192">
        <f>IF(B192&gt;'user input'!$C$6,0,(C192/(C192+EXP('user input'!$C$15-'user input'!$C$14*C192))))</f>
        <v>0.96392378292198155</v>
      </c>
      <c r="E192">
        <f>IF(C192&lt;'user input'!$C$12,(D192-D191)*'user input'!$C$17*(1-EXP(5*(F191-'user input'!$C$17))),F192-F191)</f>
        <v>1.2075273597856222E-2</v>
      </c>
      <c r="F192">
        <f>IF(C192&lt;'user input'!$C$12,IF(B192&gt;'user input'!$C$6,0,F191+E192),'user input'!$C$17*((1-C192)/(1-'user input'!$C$12)))</f>
        <v>2.8064461426134542</v>
      </c>
    </row>
    <row r="193" spans="1:6" x14ac:dyDescent="0.2">
      <c r="A193" s="1">
        <v>40369</v>
      </c>
      <c r="B193">
        <v>191</v>
      </c>
      <c r="C193">
        <f>IF(B193&gt;'user input'!$C$6,0,IF('heat units'!H193&gt;1,1,'heat units'!H193))</f>
        <v>0.53287037037037033</v>
      </c>
      <c r="D193">
        <f>IF(B193&gt;'user input'!$C$6,0,(C193/(C193+EXP('user input'!$C$15-'user input'!$C$14*C193))))</f>
        <v>0.96917423523815327</v>
      </c>
      <c r="E193">
        <f>IF(C193&lt;'user input'!$C$12,(D193-D192)*'user input'!$C$17*(1-EXP(5*(F192-'user input'!$C$17))),F193-F192)</f>
        <v>9.7669500860137204E-3</v>
      </c>
      <c r="F193">
        <f>IF(C193&lt;'user input'!$C$12,IF(B193&gt;'user input'!$C$6,0,F192+E193),'user input'!$C$17*((1-C193)/(1-'user input'!$C$12)))</f>
        <v>2.816213092699468</v>
      </c>
    </row>
    <row r="194" spans="1:6" x14ac:dyDescent="0.2">
      <c r="A194" s="1">
        <v>40370</v>
      </c>
      <c r="B194">
        <v>192</v>
      </c>
      <c r="C194">
        <f>IF(B194&gt;'user input'!$C$6,0,IF('heat units'!H194&gt;1,1,'heat units'!H194))</f>
        <v>0.54351851851851862</v>
      </c>
      <c r="D194">
        <f>IF(B194&gt;'user input'!$C$6,0,(C194/(C194+EXP('user input'!$C$15-'user input'!$C$14*C194))))</f>
        <v>0.97367117561731331</v>
      </c>
      <c r="E194">
        <f>IF(C194&lt;'user input'!$C$12,(D194-D193)*'user input'!$C$17*(1-EXP(5*(F193-'user input'!$C$17))),F194-F193)</f>
        <v>8.1087406778771361E-3</v>
      </c>
      <c r="F194">
        <f>IF(C194&lt;'user input'!$C$12,IF(B194&gt;'user input'!$C$6,0,F193+E194),'user input'!$C$17*((1-C194)/(1-'user input'!$C$12)))</f>
        <v>2.8243218333773452</v>
      </c>
    </row>
    <row r="195" spans="1:6" x14ac:dyDescent="0.2">
      <c r="A195" s="1">
        <v>40371</v>
      </c>
      <c r="B195">
        <v>193</v>
      </c>
      <c r="C195">
        <f>IF(B195&gt;'user input'!$C$6,0,IF('heat units'!H195&gt;1,1,'heat units'!H195))</f>
        <v>0.55347222222222225</v>
      </c>
      <c r="D195">
        <f>IF(B195&gt;'user input'!$C$6,0,(C195/(C195+EXP('user input'!$C$15-'user input'!$C$14*C195))))</f>
        <v>0.97728586629804615</v>
      </c>
      <c r="E195">
        <f>IF(C195&lt;'user input'!$C$12,(D195-D194)*'user input'!$C$17*(1-EXP(5*(F194-'user input'!$C$17))),F195-F194)</f>
        <v>6.3388925100979644E-3</v>
      </c>
      <c r="F195">
        <f>IF(C195&lt;'user input'!$C$12,IF(B195&gt;'user input'!$C$6,0,F194+E195),'user input'!$C$17*((1-C195)/(1-'user input'!$C$12)))</f>
        <v>2.830660725887443</v>
      </c>
    </row>
    <row r="196" spans="1:6" x14ac:dyDescent="0.2">
      <c r="A196" s="1">
        <v>40372</v>
      </c>
      <c r="B196">
        <v>194</v>
      </c>
      <c r="C196">
        <f>IF(B196&gt;'user input'!$C$6,0,IF('heat units'!H196&gt;1,1,'heat units'!H196))</f>
        <v>0.56273148148148155</v>
      </c>
      <c r="D196">
        <f>IF(B196&gt;'user input'!$C$6,0,(C196/(C196+EXP('user input'!$C$15-'user input'!$C$14*C196))))</f>
        <v>0.98020480185820125</v>
      </c>
      <c r="E196">
        <f>IF(C196&lt;'user input'!$C$12,(D196-D195)*'user input'!$C$17*(1-EXP(5*(F195-'user input'!$C$17))),F196-F195)</f>
        <v>5.0016315111974874E-3</v>
      </c>
      <c r="F196">
        <f>IF(C196&lt;'user input'!$C$12,IF(B196&gt;'user input'!$C$6,0,F195+E196),'user input'!$C$17*((1-C196)/(1-'user input'!$C$12)))</f>
        <v>2.8356623573986406</v>
      </c>
    </row>
    <row r="197" spans="1:6" x14ac:dyDescent="0.2">
      <c r="A197" s="1">
        <v>40373</v>
      </c>
      <c r="B197">
        <v>195</v>
      </c>
      <c r="C197">
        <f>IF(B197&gt;'user input'!$C$6,0,IF('heat units'!H197&gt;1,1,'heat units'!H197))</f>
        <v>0.57453703703703707</v>
      </c>
      <c r="D197">
        <f>IF(B197&gt;'user input'!$C$6,0,(C197/(C197+EXP('user input'!$C$15-'user input'!$C$14*C197))))</f>
        <v>0.98339172911452388</v>
      </c>
      <c r="E197">
        <f>IF(C197&lt;'user input'!$C$12,(D197-D196)*'user input'!$C$17*(1-EXP(5*(F196-'user input'!$C$17))),F197-F196)</f>
        <v>5.3570136859207073E-3</v>
      </c>
      <c r="F197">
        <f>IF(C197&lt;'user input'!$C$12,IF(B197&gt;'user input'!$C$6,0,F196+E197),'user input'!$C$17*((1-C197)/(1-'user input'!$C$12)))</f>
        <v>2.8410193710845615</v>
      </c>
    </row>
    <row r="198" spans="1:6" x14ac:dyDescent="0.2">
      <c r="A198" s="1">
        <v>40374</v>
      </c>
      <c r="B198">
        <v>196</v>
      </c>
      <c r="C198">
        <f>IF(B198&gt;'user input'!$C$6,0,IF('heat units'!H198&gt;1,1,'heat units'!H198))</f>
        <v>0.58680555555555547</v>
      </c>
      <c r="D198">
        <f>IF(B198&gt;'user input'!$C$6,0,(C198/(C198+EXP('user input'!$C$15-'user input'!$C$14*C198))))</f>
        <v>0.986162723601828</v>
      </c>
      <c r="E198">
        <f>IF(C198&lt;'user input'!$C$12,(D198-D197)*'user input'!$C$17*(1-EXP(5*(F197-'user input'!$C$17))),F198-F197)</f>
        <v>4.5586325126514846E-3</v>
      </c>
      <c r="F198">
        <f>IF(C198&lt;'user input'!$C$12,IF(B198&gt;'user input'!$C$6,0,F197+E198),'user input'!$C$17*((1-C198)/(1-'user input'!$C$12)))</f>
        <v>2.8455780035972129</v>
      </c>
    </row>
    <row r="199" spans="1:6" x14ac:dyDescent="0.2">
      <c r="A199" s="1">
        <v>40375</v>
      </c>
      <c r="B199">
        <v>197</v>
      </c>
      <c r="C199">
        <f>IF(B199&gt;'user input'!$C$6,0,IF('heat units'!H199&gt;1,1,'heat units'!H199))</f>
        <v>0.59675925925925921</v>
      </c>
      <c r="D199">
        <f>IF(B199&gt;'user input'!$C$6,0,(C199/(C199+EXP('user input'!$C$15-'user input'!$C$14*C199))))</f>
        <v>0.98806779468943651</v>
      </c>
      <c r="E199">
        <f>IF(C199&lt;'user input'!$C$12,(D199-D198)*'user input'!$C$17*(1-EXP(5*(F198-'user input'!$C$17))),F199-F198)</f>
        <v>3.0745724208681943E-3</v>
      </c>
      <c r="F199">
        <f>IF(C199&lt;'user input'!$C$12,IF(B199&gt;'user input'!$C$6,0,F198+E199),'user input'!$C$17*((1-C199)/(1-'user input'!$C$12)))</f>
        <v>2.8486525760180812</v>
      </c>
    </row>
    <row r="200" spans="1:6" x14ac:dyDescent="0.2">
      <c r="A200" s="1">
        <v>40376</v>
      </c>
      <c r="B200">
        <v>198</v>
      </c>
      <c r="C200">
        <f>IF(B200&gt;'user input'!$C$6,0,IF('heat units'!H200&gt;1,1,'heat units'!H200))</f>
        <v>0.60879629629629628</v>
      </c>
      <c r="D200">
        <f>IF(B200&gt;'user input'!$C$6,0,(C200/(C200+EXP('user input'!$C$15-'user input'!$C$14*C200))))</f>
        <v>0.99002453609876284</v>
      </c>
      <c r="E200">
        <f>IF(C200&lt;'user input'!$C$12,(D200-D199)*'user input'!$C$17*(1-EXP(5*(F199-'user input'!$C$17))),F200-F199)</f>
        <v>3.115945200958572E-3</v>
      </c>
      <c r="F200">
        <f>IF(C200&lt;'user input'!$C$12,IF(B200&gt;'user input'!$C$6,0,F199+E200),'user input'!$C$17*((1-C200)/(1-'user input'!$C$12)))</f>
        <v>2.8517685212190398</v>
      </c>
    </row>
    <row r="201" spans="1:6" x14ac:dyDescent="0.2">
      <c r="A201" s="1">
        <v>40377</v>
      </c>
      <c r="B201">
        <v>199</v>
      </c>
      <c r="C201">
        <f>IF(B201&gt;'user input'!$C$6,0,IF('heat units'!H201&gt;1,1,'heat units'!H201))</f>
        <v>0.62129629629629624</v>
      </c>
      <c r="D201">
        <f>IF(B201&gt;'user input'!$C$6,0,(C201/(C201+EXP('user input'!$C$15-'user input'!$C$14*C201))))</f>
        <v>0.99171709126221508</v>
      </c>
      <c r="E201">
        <f>IF(C201&lt;'user input'!$C$12,(D201-D200)*'user input'!$C$17*(1-EXP(5*(F200-'user input'!$C$17))),F201-F200)</f>
        <v>2.6578429357969344E-3</v>
      </c>
      <c r="F201">
        <f>IF(C201&lt;'user input'!$C$12,IF(B201&gt;'user input'!$C$6,0,F200+E201),'user input'!$C$17*((1-C201)/(1-'user input'!$C$12)))</f>
        <v>2.8544263641548366</v>
      </c>
    </row>
    <row r="202" spans="1:6" x14ac:dyDescent="0.2">
      <c r="A202" s="1">
        <v>40378</v>
      </c>
      <c r="B202">
        <v>200</v>
      </c>
      <c r="C202">
        <f>IF(B202&gt;'user input'!$C$6,0,IF('heat units'!H202&gt;1,1,'heat units'!H202))</f>
        <v>0.63263888888888886</v>
      </c>
      <c r="D202">
        <f>IF(B202&gt;'user input'!$C$6,0,(C202/(C202+EXP('user input'!$C$15-'user input'!$C$14*C202))))</f>
        <v>0.99300236624901628</v>
      </c>
      <c r="E202">
        <f>IF(C202&lt;'user input'!$C$12,(D202-D201)*'user input'!$C$17*(1-EXP(5*(F201-'user input'!$C$17))),F202-F201)</f>
        <v>1.9937027653421299E-3</v>
      </c>
      <c r="F202">
        <f>IF(C202&lt;'user input'!$C$12,IF(B202&gt;'user input'!$C$6,0,F201+E202),'user input'!$C$17*((1-C202)/(1-'user input'!$C$12)))</f>
        <v>2.8564200669201787</v>
      </c>
    </row>
    <row r="203" spans="1:6" x14ac:dyDescent="0.2">
      <c r="A203" s="1">
        <v>40379</v>
      </c>
      <c r="B203">
        <v>201</v>
      </c>
      <c r="C203">
        <f>IF(B203&gt;'user input'!$C$6,0,IF('heat units'!H203&gt;1,1,'heat units'!H203))</f>
        <v>0.64328703703703705</v>
      </c>
      <c r="D203">
        <f>IF(B203&gt;'user input'!$C$6,0,(C203/(C203+EXP('user input'!$C$15-'user input'!$C$14*C203))))</f>
        <v>0.994026212434857</v>
      </c>
      <c r="E203">
        <f>IF(C203&lt;'user input'!$C$12,(D203-D202)*'user input'!$C$17*(1-EXP(5*(F202-'user input'!$C$17))),F203-F202)</f>
        <v>1.5733167706408933E-3</v>
      </c>
      <c r="F203">
        <f>IF(C203&lt;'user input'!$C$12,IF(B203&gt;'user input'!$C$6,0,F202+E203),'user input'!$C$17*((1-C203)/(1-'user input'!$C$12)))</f>
        <v>2.8579933836908196</v>
      </c>
    </row>
    <row r="204" spans="1:6" x14ac:dyDescent="0.2">
      <c r="A204" s="1">
        <v>40380</v>
      </c>
      <c r="B204">
        <v>202</v>
      </c>
      <c r="C204">
        <f>IF(B204&gt;'user input'!$C$6,0,IF('heat units'!H204&gt;1,1,'heat units'!H204))</f>
        <v>0.65462962962962967</v>
      </c>
      <c r="D204">
        <f>IF(B204&gt;'user input'!$C$6,0,(C204/(C204+EXP('user input'!$C$15-'user input'!$C$14*C204))))</f>
        <v>0.99495192102242092</v>
      </c>
      <c r="E204">
        <f>IF(C204&lt;'user input'!$C$12,(D204-D203)*'user input'!$C$17*(1-EXP(5*(F203-'user input'!$C$17))),F204-F203)</f>
        <v>1.4118131632435151E-3</v>
      </c>
      <c r="F204">
        <f>IF(C204&lt;'user input'!$C$12,IF(B204&gt;'user input'!$C$6,0,F203+E204),'user input'!$C$17*((1-C204)/(1-'user input'!$C$12)))</f>
        <v>2.859405196854063</v>
      </c>
    </row>
    <row r="205" spans="1:6" x14ac:dyDescent="0.2">
      <c r="A205" s="1">
        <v>40381</v>
      </c>
      <c r="B205">
        <v>203</v>
      </c>
      <c r="C205">
        <f>IF(B205&gt;'user input'!$C$6,0,IF('heat units'!H205&gt;1,1,'heat units'!H205))</f>
        <v>0.66550925925925919</v>
      </c>
      <c r="D205">
        <f>IF(B205&gt;'user input'!$C$6,0,(C205/(C205+EXP('user input'!$C$15-'user input'!$C$14*C205))))</f>
        <v>0.99570413931410418</v>
      </c>
      <c r="E205">
        <f>IF(C205&lt;'user input'!$C$12,(D205-D204)*'user input'!$C$17*(1-EXP(5*(F204-'user input'!$C$17))),F205-F204)</f>
        <v>1.1393610238641984E-3</v>
      </c>
      <c r="F205">
        <f>IF(C205&lt;'user input'!$C$12,IF(B205&gt;'user input'!$C$6,0,F204+E205),'user input'!$C$17*((1-C205)/(1-'user input'!$C$12)))</f>
        <v>2.8605445578779274</v>
      </c>
    </row>
    <row r="206" spans="1:6" x14ac:dyDescent="0.2">
      <c r="A206" s="1">
        <v>40382</v>
      </c>
      <c r="B206">
        <v>204</v>
      </c>
      <c r="C206">
        <f>IF(B206&gt;'user input'!$C$6,0,IF('heat units'!H206&gt;1,1,'heat units'!H206))</f>
        <v>0.67638888888888882</v>
      </c>
      <c r="D206">
        <f>IF(B206&gt;'user input'!$C$6,0,(C206/(C206+EXP('user input'!$C$15-'user input'!$C$14*C206))))</f>
        <v>0.99634370717660248</v>
      </c>
      <c r="E206">
        <f>IF(C206&lt;'user input'!$C$12,(D206-D205)*'user input'!$C$17*(1-EXP(5*(F205-'user input'!$C$17))),F206-F205)</f>
        <v>9.6330577483389824E-4</v>
      </c>
      <c r="F206">
        <f>IF(C206&lt;'user input'!$C$12,IF(B206&gt;'user input'!$C$6,0,F205+E206),'user input'!$C$17*((1-C206)/(1-'user input'!$C$12)))</f>
        <v>2.8615078636527613</v>
      </c>
    </row>
    <row r="207" spans="1:6" x14ac:dyDescent="0.2">
      <c r="A207" s="1">
        <v>40383</v>
      </c>
      <c r="B207">
        <v>205</v>
      </c>
      <c r="C207">
        <f>IF(B207&gt;'user input'!$C$6,0,IF('heat units'!H207&gt;1,1,'heat units'!H207))</f>
        <v>0.68819444444444433</v>
      </c>
      <c r="D207">
        <f>IF(B207&gt;'user input'!$C$6,0,(C207/(C207+EXP('user input'!$C$15-'user input'!$C$14*C207))))</f>
        <v>0.99692989401404908</v>
      </c>
      <c r="E207">
        <f>IF(C207&lt;'user input'!$C$12,(D207-D206)*'user input'!$C$17*(1-EXP(5*(F206-'user input'!$C$17))),F207-F206)</f>
        <v>8.7867642406699224E-4</v>
      </c>
      <c r="F207">
        <f>IF(C207&lt;'user input'!$C$12,IF(B207&gt;'user input'!$C$6,0,F206+E207),'user input'!$C$17*((1-C207)/(1-'user input'!$C$12)))</f>
        <v>2.8623865400768285</v>
      </c>
    </row>
    <row r="208" spans="1:6" x14ac:dyDescent="0.2">
      <c r="A208" s="1">
        <v>40384</v>
      </c>
      <c r="B208">
        <v>206</v>
      </c>
      <c r="C208">
        <f>IF(B208&gt;'user input'!$C$6,0,IF('heat units'!H208&gt;1,1,'heat units'!H208))</f>
        <v>0.69884259259259263</v>
      </c>
      <c r="D208">
        <f>IF(B208&gt;'user input'!$C$6,0,(C208/(C208+EXP('user input'!$C$15-'user input'!$C$14*C208))))</f>
        <v>0.99737711124657102</v>
      </c>
      <c r="E208">
        <f>IF(C208&lt;'user input'!$C$12,(D208-D207)*'user input'!$C$17*(1-EXP(5*(F207-'user input'!$C$17))),F208-F207)</f>
        <v>6.6740946326775043E-4</v>
      </c>
      <c r="F208">
        <f>IF(C208&lt;'user input'!$C$12,IF(B208&gt;'user input'!$C$6,0,F207+E208),'user input'!$C$17*((1-C208)/(1-'user input'!$C$12)))</f>
        <v>2.8630539495400962</v>
      </c>
    </row>
    <row r="209" spans="1:6" x14ac:dyDescent="0.2">
      <c r="A209" s="1">
        <v>40385</v>
      </c>
      <c r="B209">
        <v>207</v>
      </c>
      <c r="C209">
        <f>IF(B209&gt;'user input'!$C$6,0,IF('heat units'!H209&gt;1,1,'heat units'!H209))</f>
        <v>0.70810185185185182</v>
      </c>
      <c r="D209">
        <f>IF(B209&gt;'user input'!$C$6,0,(C209/(C209+EXP('user input'!$C$15-'user input'!$C$14*C209))))</f>
        <v>0.99771238296267883</v>
      </c>
      <c r="E209">
        <f>IF(C209&lt;'user input'!$C$12,(D209-D208)*'user input'!$C$17*(1-EXP(5*(F208-'user input'!$C$17))),F209-F208)</f>
        <v>4.9865677293942751E-4</v>
      </c>
      <c r="F209">
        <f>IF(C209&lt;'user input'!$C$12,IF(B209&gt;'user input'!$C$6,0,F208+E209),'user input'!$C$17*((1-C209)/(1-'user input'!$C$12)))</f>
        <v>2.8635526063130357</v>
      </c>
    </row>
    <row r="210" spans="1:6" x14ac:dyDescent="0.2">
      <c r="A210" s="1">
        <v>40386</v>
      </c>
      <c r="B210">
        <v>208</v>
      </c>
      <c r="C210">
        <f>IF(B210&gt;'user input'!$C$6,0,IF('heat units'!H210&gt;1,1,'heat units'!H210))</f>
        <v>0.71851851851851845</v>
      </c>
      <c r="D210">
        <f>IF(B210&gt;'user input'!$C$6,0,(C210/(C210+EXP('user input'!$C$15-'user input'!$C$14*C210))))</f>
        <v>0.99803831838556234</v>
      </c>
      <c r="E210">
        <f>IF(C210&lt;'user input'!$C$12,(D210-D209)*'user input'!$C$17*(1-EXP(5*(F209-'user input'!$C$17))),F210-F209)</f>
        <v>4.8353989357398743E-4</v>
      </c>
      <c r="F210">
        <f>IF(C210&lt;'user input'!$C$12,IF(B210&gt;'user input'!$C$6,0,F209+E210),'user input'!$C$17*((1-C210)/(1-'user input'!$C$12)))</f>
        <v>2.8640361462066095</v>
      </c>
    </row>
    <row r="211" spans="1:6" x14ac:dyDescent="0.2">
      <c r="A211" s="1">
        <v>40387</v>
      </c>
      <c r="B211">
        <v>209</v>
      </c>
      <c r="C211">
        <f>IF(B211&gt;'user input'!$C$6,0,IF('heat units'!H211&gt;1,1,'heat units'!H211))</f>
        <v>0.73101851851851851</v>
      </c>
      <c r="D211">
        <f>IF(B211&gt;'user input'!$C$6,0,(C211/(C211+EXP('user input'!$C$15-'user input'!$C$14*C211))))</f>
        <v>0.99836838979551279</v>
      </c>
      <c r="E211">
        <f>IF(C211&lt;'user input'!$C$12,(D211-D210)*'user input'!$C$17*(1-EXP(5*(F210-'user input'!$C$17))),F211-F210)</f>
        <v>4.8846420131947615E-4</v>
      </c>
      <c r="F211">
        <f>IF(C211&lt;'user input'!$C$12,IF(B211&gt;'user input'!$C$6,0,F210+E211),'user input'!$C$17*((1-C211)/(1-'user input'!$C$12)))</f>
        <v>2.8645246104079289</v>
      </c>
    </row>
    <row r="212" spans="1:6" x14ac:dyDescent="0.2">
      <c r="A212" s="1">
        <v>40388</v>
      </c>
      <c r="B212">
        <v>210</v>
      </c>
      <c r="C212">
        <f>IF(B212&gt;'user input'!$C$6,0,IF('heat units'!H212&gt;1,1,'heat units'!H212))</f>
        <v>0.74050925925925926</v>
      </c>
      <c r="D212">
        <f>IF(B212&gt;'user input'!$C$6,0,(C212/(C212+EXP('user input'!$C$15-'user input'!$C$14*C212))))</f>
        <v>0.9985811547231298</v>
      </c>
      <c r="E212">
        <f>IF(C212&lt;'user input'!$C$12,(D212-D211)*'user input'!$C$17*(1-EXP(5*(F211-'user input'!$C$17))),F212-F211)</f>
        <v>3.1407446736903959E-4</v>
      </c>
      <c r="F212">
        <f>IF(C212&lt;'user input'!$C$12,IF(B212&gt;'user input'!$C$6,0,F211+E212),'user input'!$C$17*((1-C212)/(1-'user input'!$C$12)))</f>
        <v>2.864838684875298</v>
      </c>
    </row>
    <row r="213" spans="1:6" x14ac:dyDescent="0.2">
      <c r="A213" s="1">
        <v>40389</v>
      </c>
      <c r="B213">
        <v>211</v>
      </c>
      <c r="C213">
        <f>IF(B213&gt;'user input'!$C$6,0,IF('heat units'!H213&gt;1,1,'heat units'!H213))</f>
        <v>0.75</v>
      </c>
      <c r="D213">
        <f>IF(B213&gt;'user input'!$C$6,0,(C213/(C213+EXP('user input'!$C$15-'user input'!$C$14*C213))))</f>
        <v>0.99876600655684933</v>
      </c>
      <c r="E213">
        <f>IF(C213&lt;'user input'!$C$12,(D213-D212)*'user input'!$C$17*(1-EXP(5*(F212-'user input'!$C$17))),F213-F212)</f>
        <v>2.7242765639856571E-4</v>
      </c>
      <c r="F213">
        <f>IF(C213&lt;'user input'!$C$12,IF(B213&gt;'user input'!$C$6,0,F212+E213),'user input'!$C$17*((1-C213)/(1-'user input'!$C$12)))</f>
        <v>2.8651111125316966</v>
      </c>
    </row>
    <row r="214" spans="1:6" x14ac:dyDescent="0.2">
      <c r="A214" s="1">
        <v>40390</v>
      </c>
      <c r="B214">
        <v>212</v>
      </c>
      <c r="C214">
        <f>IF(B214&gt;'user input'!$C$6,0,IF('heat units'!H214&gt;1,1,'heat units'!H214))</f>
        <v>0.75856481481481486</v>
      </c>
      <c r="D214">
        <f>IF(B214&gt;'user input'!$C$6,0,(C214/(C214+EXP('user input'!$C$15-'user input'!$C$14*C214))))</f>
        <v>0.99891193289386015</v>
      </c>
      <c r="E214">
        <f>IF(C214&lt;'user input'!$C$12,(D214-D213)*'user input'!$C$17*(1-EXP(5*(F213-'user input'!$C$17))),F214-F213)</f>
        <v>2.1475714855071065E-4</v>
      </c>
      <c r="F214">
        <f>IF(C214&lt;'user input'!$C$12,IF(B214&gt;'user input'!$C$6,0,F213+E214),'user input'!$C$17*((1-C214)/(1-'user input'!$C$12)))</f>
        <v>2.8653258696802473</v>
      </c>
    </row>
    <row r="215" spans="1:6" x14ac:dyDescent="0.2">
      <c r="A215" s="1">
        <v>40391</v>
      </c>
      <c r="B215">
        <v>213</v>
      </c>
      <c r="C215">
        <f>IF(B215&gt;'user input'!$C$6,0,IF('heat units'!H215&gt;1,1,'heat units'!H215))</f>
        <v>0.76944444444444449</v>
      </c>
      <c r="D215">
        <f>IF(B215&gt;'user input'!$C$6,0,(C215/(C215+EXP('user input'!$C$15-'user input'!$C$14*C215))))</f>
        <v>0.99907253996902379</v>
      </c>
      <c r="E215">
        <f>IF(C215&lt;'user input'!$C$12,(D215-D214)*'user input'!$C$17*(1-EXP(5*(F214-'user input'!$C$17))),F215-F214)</f>
        <v>2.3609881352004805E-4</v>
      </c>
      <c r="F215">
        <f>IF(C215&lt;'user input'!$C$12,IF(B215&gt;'user input'!$C$6,0,F214+E215),'user input'!$C$17*((1-C215)/(1-'user input'!$C$12)))</f>
        <v>2.8655619684937674</v>
      </c>
    </row>
    <row r="216" spans="1:6" x14ac:dyDescent="0.2">
      <c r="A216" s="1">
        <v>40392</v>
      </c>
      <c r="B216">
        <v>214</v>
      </c>
      <c r="C216">
        <f>IF(B216&gt;'user input'!$C$6,0,IF('heat units'!H216&gt;1,1,'heat units'!H216))</f>
        <v>0.78055555555555567</v>
      </c>
      <c r="D216">
        <f>IF(B216&gt;'user input'!$C$6,0,(C216/(C216+EXP('user input'!$C$15-'user input'!$C$14*C216))))</f>
        <v>0.99921197883554314</v>
      </c>
      <c r="E216">
        <f>IF(C216&lt;'user input'!$C$12,(D216-D215)*'user input'!$C$17*(1-EXP(5*(F215-'user input'!$C$17))),F216-F215)</f>
        <v>2.0472871109848204E-4</v>
      </c>
      <c r="F216">
        <f>IF(C216&lt;'user input'!$C$12,IF(B216&gt;'user input'!$C$6,0,F215+E216),'user input'!$C$17*((1-C216)/(1-'user input'!$C$12)))</f>
        <v>2.8657666972048661</v>
      </c>
    </row>
    <row r="217" spans="1:6" x14ac:dyDescent="0.2">
      <c r="A217" s="1">
        <v>40393</v>
      </c>
      <c r="B217">
        <v>215</v>
      </c>
      <c r="C217">
        <f>IF(B217&gt;'user input'!$C$6,0,IF('heat units'!H217&gt;1,1,'heat units'!H217))</f>
        <v>0.79166666666666674</v>
      </c>
      <c r="D217">
        <f>IF(B217&gt;'user input'!$C$6,0,(C217/(C217+EXP('user input'!$C$15-'user input'!$C$14*C217))))</f>
        <v>0.99933033222648571</v>
      </c>
      <c r="E217">
        <f>IF(C217&lt;'user input'!$C$12,(D217-D216)*'user input'!$C$17*(1-EXP(5*(F216-'user input'!$C$17))),F217-F216)</f>
        <v>1.7358465401021457E-4</v>
      </c>
      <c r="F217">
        <f>IF(C217&lt;'user input'!$C$12,IF(B217&gt;'user input'!$C$6,0,F216+E217),'user input'!$C$17*((1-C217)/(1-'user input'!$C$12)))</f>
        <v>2.8659402818588764</v>
      </c>
    </row>
    <row r="218" spans="1:6" x14ac:dyDescent="0.2">
      <c r="A218" s="1">
        <v>40394</v>
      </c>
      <c r="B218">
        <v>216</v>
      </c>
      <c r="C218">
        <f>IF(B218&gt;'user input'!$C$6,0,IF('heat units'!H218&gt;1,1,'heat units'!H218))</f>
        <v>0.80439814814814825</v>
      </c>
      <c r="D218">
        <f>IF(B218&gt;'user input'!$C$6,0,(C218/(C218+EXP('user input'!$C$15-'user input'!$C$14*C218))))</f>
        <v>0.99944413517160269</v>
      </c>
      <c r="E218">
        <f>IF(C218&lt;'user input'!$C$12,(D218-D217)*'user input'!$C$17*(1-EXP(5*(F217-'user input'!$C$17))),F218-F217)</f>
        <v>1.6675916232520048E-4</v>
      </c>
      <c r="F218">
        <f>IF(C218&lt;'user input'!$C$12,IF(B218&gt;'user input'!$C$6,0,F217+E218),'user input'!$C$17*((1-C218)/(1-'user input'!$C$12)))</f>
        <v>2.8661070410212015</v>
      </c>
    </row>
    <row r="219" spans="1:6" x14ac:dyDescent="0.2">
      <c r="A219" s="1">
        <v>40395</v>
      </c>
      <c r="B219">
        <v>217</v>
      </c>
      <c r="C219">
        <f>IF(B219&gt;'user input'!$C$6,0,IF('heat units'!H219&gt;1,1,'heat units'!H219))</f>
        <v>0.81620370370370376</v>
      </c>
      <c r="D219">
        <f>IF(B219&gt;'user input'!$C$6,0,(C219/(C219+EXP('user input'!$C$15-'user input'!$C$14*C219))))</f>
        <v>0.99953220925491226</v>
      </c>
      <c r="E219">
        <f>IF(C219&lt;'user input'!$C$12,(D219-D218)*'user input'!$C$17*(1-EXP(5*(F218-'user input'!$C$17))),F219-F218)</f>
        <v>1.2894507653545592E-4</v>
      </c>
      <c r="F219">
        <f>IF(C219&lt;'user input'!$C$12,IF(B219&gt;'user input'!$C$6,0,F218+E219),'user input'!$C$17*((1-C219)/(1-'user input'!$C$12)))</f>
        <v>2.8662359860977369</v>
      </c>
    </row>
    <row r="220" spans="1:6" x14ac:dyDescent="0.2">
      <c r="A220" s="1">
        <v>40396</v>
      </c>
      <c r="B220">
        <v>218</v>
      </c>
      <c r="C220">
        <f>IF(B220&gt;'user input'!$C$6,0,IF('heat units'!H220&gt;1,1,'heat units'!H220))</f>
        <v>0.82569444444444462</v>
      </c>
      <c r="D220">
        <f>IF(B220&gt;'user input'!$C$6,0,(C220/(C220+EXP('user input'!$C$15-'user input'!$C$14*C220))))</f>
        <v>0.9995927272859545</v>
      </c>
      <c r="E220">
        <f>IF(C220&lt;'user input'!$C$12,(D220-D219)*'user input'!$C$17*(1-EXP(5*(F219-'user input'!$C$17))),F220-F219)</f>
        <v>8.8541622814156291E-5</v>
      </c>
      <c r="F220">
        <f>IF(C220&lt;'user input'!$C$12,IF(B220&gt;'user input'!$C$6,0,F219+E220),'user input'!$C$17*((1-C220)/(1-'user input'!$C$12)))</f>
        <v>2.8663245277205509</v>
      </c>
    </row>
    <row r="221" spans="1:6" x14ac:dyDescent="0.2">
      <c r="A221" s="1">
        <v>40397</v>
      </c>
      <c r="B221">
        <v>219</v>
      </c>
      <c r="C221">
        <f>IF(B221&gt;'user input'!$C$6,0,IF('heat units'!H221&gt;1,1,'heat units'!H221))</f>
        <v>0.83472222222222237</v>
      </c>
      <c r="D221">
        <f>IF(B221&gt;'user input'!$C$6,0,(C221/(C221+EXP('user input'!$C$15-'user input'!$C$14*C221))))</f>
        <v>0.99964297055525275</v>
      </c>
      <c r="E221">
        <f>IF(C221&lt;'user input'!$C$12,(D221-D220)*'user input'!$C$17*(1-EXP(5*(F220-'user input'!$C$17))),F221-F220)</f>
        <v>7.3474816985902644E-5</v>
      </c>
      <c r="F221">
        <f>IF(C221&lt;'user input'!$C$12,IF(B221&gt;'user input'!$C$6,0,F220+E221),'user input'!$C$17*((1-C221)/(1-'user input'!$C$12)))</f>
        <v>2.8663980025375366</v>
      </c>
    </row>
    <row r="222" spans="1:6" x14ac:dyDescent="0.2">
      <c r="A222" s="1">
        <v>40398</v>
      </c>
      <c r="B222">
        <v>220</v>
      </c>
      <c r="C222">
        <f>IF(B222&gt;'user input'!$C$6,0,IF('heat units'!H222&gt;1,1,'heat units'!H222))</f>
        <v>0.84629629629629644</v>
      </c>
      <c r="D222">
        <f>IF(B222&gt;'user input'!$C$6,0,(C222/(C222+EXP('user input'!$C$15-'user input'!$C$14*C222))))</f>
        <v>0.99969837665410033</v>
      </c>
      <c r="E222">
        <f>IF(C222&lt;'user input'!$C$12,(D222-D221)*'user input'!$C$17*(1-EXP(5*(F221-'user input'!$C$17))),F222-F221)</f>
        <v>8.0993538706900176E-5</v>
      </c>
      <c r="F222">
        <f>IF(C222&lt;'user input'!$C$12,IF(B222&gt;'user input'!$C$6,0,F221+E222),'user input'!$C$17*((1-C222)/(1-'user input'!$C$12)))</f>
        <v>2.8664789960762436</v>
      </c>
    </row>
    <row r="223" spans="1:6" x14ac:dyDescent="0.2">
      <c r="A223" s="1">
        <v>40399</v>
      </c>
      <c r="B223">
        <v>221</v>
      </c>
      <c r="C223">
        <f>IF(B223&gt;'user input'!$C$6,0,IF('heat units'!H223&gt;1,1,'heat units'!H223))</f>
        <v>0.85879629629629639</v>
      </c>
      <c r="D223">
        <f>IF(B223&gt;'user input'!$C$6,0,(C223/(C223+EXP('user input'!$C$15-'user input'!$C$14*C223))))</f>
        <v>0.99974854879325714</v>
      </c>
      <c r="E223">
        <f>IF(C223&lt;'user input'!$C$12,(D223-D222)*'user input'!$C$17*(1-EXP(5*(F222-'user input'!$C$17))),F223-F222)</f>
        <v>7.3311191797563336E-5</v>
      </c>
      <c r="F223">
        <f>IF(C223&lt;'user input'!$C$12,IF(B223&gt;'user input'!$C$6,0,F222+E223),'user input'!$C$17*((1-C223)/(1-'user input'!$C$12)))</f>
        <v>2.8665523072680412</v>
      </c>
    </row>
    <row r="224" spans="1:6" x14ac:dyDescent="0.2">
      <c r="A224" s="1">
        <v>40400</v>
      </c>
      <c r="B224">
        <v>222</v>
      </c>
      <c r="C224">
        <f>IF(B224&gt;'user input'!$C$6,0,IF('heat units'!H224&gt;1,1,'heat units'!H224))</f>
        <v>0.87199074074074079</v>
      </c>
      <c r="D224">
        <f>IF(B224&gt;'user input'!$C$6,0,(C224/(C224+EXP('user input'!$C$15-'user input'!$C$14*C224))))</f>
        <v>0.9997924375370737</v>
      </c>
      <c r="E224">
        <f>IF(C224&lt;'user input'!$C$12,(D224-D223)*'user input'!$C$17*(1-EXP(5*(F223-'user input'!$C$17))),F224-F223)</f>
        <v>6.4105176479694787E-5</v>
      </c>
      <c r="F224">
        <f>IF(C224&lt;'user input'!$C$12,IF(B224&gt;'user input'!$C$6,0,F223+E224),'user input'!$C$17*((1-C224)/(1-'user input'!$C$12)))</f>
        <v>2.8666164124445208</v>
      </c>
    </row>
    <row r="225" spans="1:6" x14ac:dyDescent="0.2">
      <c r="A225" s="1">
        <v>40401</v>
      </c>
      <c r="B225">
        <v>223</v>
      </c>
      <c r="C225">
        <f>IF(B225&gt;'user input'!$C$6,0,IF('heat units'!H225&gt;1,1,'heat units'!H225))</f>
        <v>0.88518518518518519</v>
      </c>
      <c r="D225">
        <f>IF(B225&gt;'user input'!$C$6,0,(C225/(C225+EXP('user input'!$C$15-'user input'!$C$14*C225))))</f>
        <v>0.99982862794325866</v>
      </c>
      <c r="E225">
        <f>IF(C225&lt;'user input'!$C$12,(D225-D224)*'user input'!$C$17*(1-EXP(5*(F224-'user input'!$C$17))),F225-F224)</f>
        <v>5.2842900990249503E-5</v>
      </c>
      <c r="F225">
        <f>IF(C225&lt;'user input'!$C$12,IF(B225&gt;'user input'!$C$6,0,F224+E225),'user input'!$C$17*((1-C225)/(1-'user input'!$C$12)))</f>
        <v>2.8666692553455109</v>
      </c>
    </row>
    <row r="226" spans="1:6" x14ac:dyDescent="0.2">
      <c r="A226" s="1">
        <v>40402</v>
      </c>
      <c r="B226">
        <v>224</v>
      </c>
      <c r="C226">
        <f>IF(B226&gt;'user input'!$C$6,0,IF('heat units'!H226&gt;1,1,'heat units'!H226))</f>
        <v>0.89814814814814814</v>
      </c>
      <c r="D226">
        <f>IF(B226&gt;'user input'!$C$6,0,(C226/(C226+EXP('user input'!$C$15-'user input'!$C$14*C226))))</f>
        <v>0.99985800197091246</v>
      </c>
      <c r="E226">
        <f>IF(C226&lt;'user input'!$C$12,(D226-D225)*'user input'!$C$17*(1-EXP(5*(F225-'user input'!$C$17))),F226-F225)</f>
        <v>4.2878111397428864E-5</v>
      </c>
      <c r="F226">
        <f>IF(C226&lt;'user input'!$C$12,IF(B226&gt;'user input'!$C$6,0,F225+E226),'user input'!$C$17*((1-C226)/(1-'user input'!$C$12)))</f>
        <v>2.8667121334569083</v>
      </c>
    </row>
    <row r="227" spans="1:6" x14ac:dyDescent="0.2">
      <c r="A227" s="1">
        <v>40403</v>
      </c>
      <c r="B227">
        <v>225</v>
      </c>
      <c r="C227">
        <f>IF(B227&gt;'user input'!$C$6,0,IF('heat units'!H227&gt;1,1,'heat units'!H227))</f>
        <v>0.9111111111111112</v>
      </c>
      <c r="D227">
        <f>IF(B227&gt;'user input'!$C$6,0,(C227/(C227+EXP('user input'!$C$15-'user input'!$C$14*C227))))</f>
        <v>0.99988231722404919</v>
      </c>
      <c r="E227">
        <f>IF(C227&lt;'user input'!$C$12,(D227-D226)*'user input'!$C$17*(1-EXP(5*(F226-'user input'!$C$17))),F227-F226)</f>
        <v>-0.20004546679024404</v>
      </c>
      <c r="F227">
        <f>IF(C227&lt;'user input'!$C$12,IF(B227&gt;'user input'!$C$6,0,F226+E227),'user input'!$C$17*((1-C227)/(1-'user input'!$C$12)))</f>
        <v>2.6666666666666643</v>
      </c>
    </row>
    <row r="228" spans="1:6" x14ac:dyDescent="0.2">
      <c r="A228" s="1">
        <v>40404</v>
      </c>
      <c r="B228">
        <v>226</v>
      </c>
      <c r="C228">
        <f>IF(B228&gt;'user input'!$C$6,0,IF('heat units'!H228&gt;1,1,'heat units'!H228))</f>
        <v>0.92199074074074094</v>
      </c>
      <c r="D228">
        <f>IF(B228&gt;'user input'!$C$6,0,(C228/(C228+EXP('user input'!$C$15-'user input'!$C$14*C228))))</f>
        <v>0.9998994645075725</v>
      </c>
      <c r="E228">
        <f>IF(C228&lt;'user input'!$C$12,(D228-D227)*'user input'!$C$17*(1-EXP(5*(F227-'user input'!$C$17))),F228-F227)</f>
        <v>-0.32638888888889195</v>
      </c>
      <c r="F228">
        <f>IF(C228&lt;'user input'!$C$12,IF(B228&gt;'user input'!$C$6,0,F227+E228),'user input'!$C$17*((1-C228)/(1-'user input'!$C$12)))</f>
        <v>2.3402777777777724</v>
      </c>
    </row>
    <row r="229" spans="1:6" x14ac:dyDescent="0.2">
      <c r="A229" s="1">
        <v>40405</v>
      </c>
      <c r="B229">
        <v>227</v>
      </c>
      <c r="C229">
        <f>IF(B229&gt;'user input'!$C$6,0,IF('heat units'!H229&gt;1,1,'heat units'!H229))</f>
        <v>0.93333333333333357</v>
      </c>
      <c r="D229">
        <f>IF(B229&gt;'user input'!$C$6,0,(C229/(C229+EXP('user input'!$C$15-'user input'!$C$14*C229))))</f>
        <v>0.99991467451503668</v>
      </c>
      <c r="E229">
        <f>IF(C229&lt;'user input'!$C$12,(D229-D228)*'user input'!$C$17*(1-EXP(5*(F228-'user input'!$C$17))),F229-F228)</f>
        <v>-0.34027777777777901</v>
      </c>
      <c r="F229">
        <f>IF(C229&lt;'user input'!$C$12,IF(B229&gt;'user input'!$C$6,0,F228+E229),'user input'!$C$17*((1-C229)/(1-'user input'!$C$12)))</f>
        <v>1.9999999999999933</v>
      </c>
    </row>
    <row r="230" spans="1:6" x14ac:dyDescent="0.2">
      <c r="A230" s="1">
        <v>40406</v>
      </c>
      <c r="B230">
        <v>228</v>
      </c>
      <c r="C230">
        <f>IF(B230&gt;'user input'!$C$6,0,IF('heat units'!H230&gt;1,1,'heat units'!H230))</f>
        <v>0.94143518518518532</v>
      </c>
      <c r="D230">
        <f>IF(B230&gt;'user input'!$C$6,0,(C230/(C230+EXP('user input'!$C$15-'user input'!$C$14*C230))))</f>
        <v>0.99992410182556712</v>
      </c>
      <c r="E230">
        <f>IF(C230&lt;'user input'!$C$12,(D230-D229)*'user input'!$C$17*(1-EXP(5*(F229-'user input'!$C$17))),F230-F229)</f>
        <v>-0.24305555555555269</v>
      </c>
      <c r="F230">
        <f>IF(C230&lt;'user input'!$C$12,IF(B230&gt;'user input'!$C$6,0,F229+E230),'user input'!$C$17*((1-C230)/(1-'user input'!$C$12)))</f>
        <v>1.7569444444444406</v>
      </c>
    </row>
    <row r="231" spans="1:6" x14ac:dyDescent="0.2">
      <c r="A231" s="1">
        <v>40407</v>
      </c>
      <c r="B231">
        <v>229</v>
      </c>
      <c r="C231">
        <f>IF(B231&gt;'user input'!$C$6,0,IF('heat units'!H231&gt;1,1,'heat units'!H231))</f>
        <v>0.94976851851851862</v>
      </c>
      <c r="D231">
        <f>IF(B231&gt;'user input'!$C$6,0,(C231/(C231+EXP('user input'!$C$15-'user input'!$C$14*C231))))</f>
        <v>0.99993270788342881</v>
      </c>
      <c r="E231">
        <f>IF(C231&lt;'user input'!$C$12,(D231-D230)*'user input'!$C$17*(1-EXP(5*(F230-'user input'!$C$17))),F231-F230)</f>
        <v>-0.24999999999999911</v>
      </c>
      <c r="F231">
        <f>IF(C231&lt;'user input'!$C$12,IF(B231&gt;'user input'!$C$6,0,F230+E231),'user input'!$C$17*((1-C231)/(1-'user input'!$C$12)))</f>
        <v>1.5069444444444415</v>
      </c>
    </row>
    <row r="232" spans="1:6" x14ac:dyDescent="0.2">
      <c r="A232" s="1">
        <v>40408</v>
      </c>
      <c r="B232">
        <v>230</v>
      </c>
      <c r="C232">
        <f>IF(B232&gt;'user input'!$C$6,0,IF('heat units'!H232&gt;1,1,'heat units'!H232))</f>
        <v>0.95671296296296304</v>
      </c>
      <c r="D232">
        <f>IF(B232&gt;'user input'!$C$6,0,(C232/(C232+EXP('user input'!$C$15-'user input'!$C$14*C232))))</f>
        <v>0.99993912577075417</v>
      </c>
      <c r="E232">
        <f>IF(C232&lt;'user input'!$C$12,(D232-D231)*'user input'!$C$17*(1-EXP(5*(F231-'user input'!$C$17))),F232-F231)</f>
        <v>-0.20833333333333259</v>
      </c>
      <c r="F232">
        <f>IF(C232&lt;'user input'!$C$12,IF(B232&gt;'user input'!$C$6,0,F231+E232),'user input'!$C$17*((1-C232)/(1-'user input'!$C$12)))</f>
        <v>1.2986111111111089</v>
      </c>
    </row>
    <row r="233" spans="1:6" x14ac:dyDescent="0.2">
      <c r="A233" s="1">
        <v>40409</v>
      </c>
      <c r="B233">
        <v>231</v>
      </c>
      <c r="C233">
        <f>IF(B233&gt;'user input'!$C$6,0,IF('heat units'!H233&gt;1,1,'heat units'!H233))</f>
        <v>0.96620370370370379</v>
      </c>
      <c r="D233">
        <f>IF(B233&gt;'user input'!$C$6,0,(C233/(C233+EXP('user input'!$C$15-'user input'!$C$14*C233))))</f>
        <v>0.99994691424293058</v>
      </c>
      <c r="E233">
        <f>IF(C233&lt;'user input'!$C$12,(D233-D232)*'user input'!$C$17*(1-EXP(5*(F232-'user input'!$C$17))),F233-F232)</f>
        <v>-0.28472222222222232</v>
      </c>
      <c r="F233">
        <f>IF(C233&lt;'user input'!$C$12,IF(B233&gt;'user input'!$C$6,0,F232+E233),'user input'!$C$17*((1-C233)/(1-'user input'!$C$12)))</f>
        <v>1.0138888888888866</v>
      </c>
    </row>
    <row r="234" spans="1:6" x14ac:dyDescent="0.2">
      <c r="A234" s="1">
        <v>40410</v>
      </c>
      <c r="B234">
        <v>232</v>
      </c>
      <c r="C234">
        <f>IF(B234&gt;'user input'!$C$6,0,IF('heat units'!H234&gt;1,1,'heat units'!H234))</f>
        <v>0.97731481481481486</v>
      </c>
      <c r="D234">
        <f>IF(B234&gt;'user input'!$C$6,0,(C234/(C234+EXP('user input'!$C$15-'user input'!$C$14*C234))))</f>
        <v>0.99995477024206136</v>
      </c>
      <c r="E234">
        <f>IF(C234&lt;'user input'!$C$12,(D234-D233)*'user input'!$C$17*(1-EXP(5*(F233-'user input'!$C$17))),F234-F233)</f>
        <v>-0.33333333333333215</v>
      </c>
      <c r="F234">
        <f>IF(C234&lt;'user input'!$C$12,IF(B234&gt;'user input'!$C$6,0,F233+E234),'user input'!$C$17*((1-C234)/(1-'user input'!$C$12)))</f>
        <v>0.68055555555555447</v>
      </c>
    </row>
    <row r="235" spans="1:6" x14ac:dyDescent="0.2">
      <c r="A235" s="1">
        <v>40411</v>
      </c>
      <c r="B235">
        <v>233</v>
      </c>
      <c r="C235">
        <f>IF(B235&gt;'user input'!$C$6,0,IF('heat units'!H235&gt;1,1,'heat units'!H235))</f>
        <v>0.98981481481481481</v>
      </c>
      <c r="D235">
        <f>IF(B235&gt;'user input'!$C$6,0,(C235/(C235+EXP('user input'!$C$15-'user input'!$C$14*C235))))</f>
        <v>0.99996222167224169</v>
      </c>
      <c r="E235">
        <f>IF(C235&lt;'user input'!$C$12,(D235-D234)*'user input'!$C$17*(1-EXP(5*(F234-'user input'!$C$17))),F235-F234)</f>
        <v>-0.37499999999999878</v>
      </c>
      <c r="F235">
        <f>IF(C235&lt;'user input'!$C$12,IF(B235&gt;'user input'!$C$6,0,F234+E235),'user input'!$C$17*((1-C235)/(1-'user input'!$C$12)))</f>
        <v>0.30555555555555569</v>
      </c>
    </row>
    <row r="236" spans="1:6" x14ac:dyDescent="0.2">
      <c r="A236" s="1">
        <v>40412</v>
      </c>
      <c r="B236">
        <v>234</v>
      </c>
      <c r="C236">
        <f>IF(B236&gt;'user input'!$C$6,0,IF('heat units'!H236&gt;1,1,'heat units'!H236))</f>
        <v>1</v>
      </c>
      <c r="D236">
        <f>IF(B236&gt;'user input'!$C$6,0,(C236/(C236+EXP('user input'!$C$15-'user input'!$C$14*C236))))</f>
        <v>0.99996737202265329</v>
      </c>
      <c r="E236">
        <f>IF(C236&lt;'user input'!$C$12,(D236-D235)*'user input'!$C$17*(1-EXP(5*(F235-'user input'!$C$17))),F236-F235)</f>
        <v>-0.30555555555555569</v>
      </c>
      <c r="F236">
        <f>IF(C236&lt;'user input'!$C$12,IF(B236&gt;'user input'!$C$6,0,F235+E236),'user input'!$C$17*((1-C236)/(1-'user input'!$C$12)))</f>
        <v>0</v>
      </c>
    </row>
    <row r="237" spans="1:6" x14ac:dyDescent="0.2">
      <c r="A237" s="1">
        <v>40413</v>
      </c>
      <c r="B237">
        <v>235</v>
      </c>
      <c r="C237">
        <f>IF(B237&gt;'user input'!$C$6,0,IF('heat units'!H237&gt;1,1,'heat units'!H237))</f>
        <v>1</v>
      </c>
      <c r="D237">
        <f>IF(B237&gt;'user input'!$C$6,0,(C237/(C237+EXP('user input'!$C$15-'user input'!$C$14*C237))))</f>
        <v>0.99996737202265329</v>
      </c>
      <c r="E237">
        <f>IF(C237&lt;'user input'!$C$12,(D237-D236)*'user input'!$C$17*(1-EXP(5*(F236-'user input'!$C$17))),F237-F236)</f>
        <v>0</v>
      </c>
      <c r="F237">
        <f>IF(C237&lt;'user input'!$C$12,IF(B237&gt;'user input'!$C$6,0,F236+E237),'user input'!$C$17*((1-C237)/(1-'user input'!$C$12)))</f>
        <v>0</v>
      </c>
    </row>
    <row r="238" spans="1:6" x14ac:dyDescent="0.2">
      <c r="A238" s="1">
        <v>40414</v>
      </c>
      <c r="B238">
        <v>236</v>
      </c>
      <c r="C238">
        <f>IF(B238&gt;'user input'!$C$6,0,IF('heat units'!H238&gt;1,1,'heat units'!H238))</f>
        <v>1</v>
      </c>
      <c r="D238">
        <f>IF(B238&gt;'user input'!$C$6,0,(C238/(C238+EXP('user input'!$C$15-'user input'!$C$14*C238))))</f>
        <v>0.99996737202265329</v>
      </c>
      <c r="E238">
        <f>IF(C238&lt;'user input'!$C$12,(D238-D237)*'user input'!$C$17*(1-EXP(5*(F237-'user input'!$C$17))),F238-F237)</f>
        <v>0</v>
      </c>
      <c r="F238">
        <f>IF(C238&lt;'user input'!$C$12,IF(B238&gt;'user input'!$C$6,0,F237+E238),'user input'!$C$17*((1-C238)/(1-'user input'!$C$12)))</f>
        <v>0</v>
      </c>
    </row>
    <row r="239" spans="1:6" x14ac:dyDescent="0.2">
      <c r="A239" s="1">
        <v>40415</v>
      </c>
      <c r="B239">
        <v>237</v>
      </c>
      <c r="C239">
        <f>IF(B239&gt;'user input'!$C$6,0,IF('heat units'!H239&gt;1,1,'heat units'!H239))</f>
        <v>1</v>
      </c>
      <c r="D239">
        <f>IF(B239&gt;'user input'!$C$6,0,(C239/(C239+EXP('user input'!$C$15-'user input'!$C$14*C239))))</f>
        <v>0.99996737202265329</v>
      </c>
      <c r="E239">
        <f>IF(C239&lt;'user input'!$C$12,(D239-D238)*'user input'!$C$17*(1-EXP(5*(F238-'user input'!$C$17))),F239-F238)</f>
        <v>0</v>
      </c>
      <c r="F239">
        <f>IF(C239&lt;'user input'!$C$12,IF(B239&gt;'user input'!$C$6,0,F238+E239),'user input'!$C$17*((1-C239)/(1-'user input'!$C$12)))</f>
        <v>0</v>
      </c>
    </row>
    <row r="240" spans="1:6" x14ac:dyDescent="0.2">
      <c r="A240" s="1">
        <v>40416</v>
      </c>
      <c r="B240">
        <v>238</v>
      </c>
      <c r="C240">
        <f>IF(B240&gt;'user input'!$C$6,0,IF('heat units'!H240&gt;1,1,'heat units'!H240))</f>
        <v>1</v>
      </c>
      <c r="D240">
        <f>IF(B240&gt;'user input'!$C$6,0,(C240/(C240+EXP('user input'!$C$15-'user input'!$C$14*C240))))</f>
        <v>0.99996737202265329</v>
      </c>
      <c r="E240">
        <f>IF(C240&lt;'user input'!$C$12,(D240-D239)*'user input'!$C$17*(1-EXP(5*(F239-'user input'!$C$17))),F240-F239)</f>
        <v>0</v>
      </c>
      <c r="F240">
        <f>IF(C240&lt;'user input'!$C$12,IF(B240&gt;'user input'!$C$6,0,F239+E240),'user input'!$C$17*((1-C240)/(1-'user input'!$C$12)))</f>
        <v>0</v>
      </c>
    </row>
    <row r="241" spans="1:6" x14ac:dyDescent="0.2">
      <c r="A241" s="1">
        <v>40417</v>
      </c>
      <c r="B241">
        <v>239</v>
      </c>
      <c r="C241">
        <f>IF(B241&gt;'user input'!$C$6,0,IF('heat units'!H241&gt;1,1,'heat units'!H241))</f>
        <v>1</v>
      </c>
      <c r="D241">
        <f>IF(B241&gt;'user input'!$C$6,0,(C241/(C241+EXP('user input'!$C$15-'user input'!$C$14*C241))))</f>
        <v>0.99996737202265329</v>
      </c>
      <c r="E241">
        <f>IF(C241&lt;'user input'!$C$12,(D241-D240)*'user input'!$C$17*(1-EXP(5*(F240-'user input'!$C$17))),F241-F240)</f>
        <v>0</v>
      </c>
      <c r="F241">
        <f>IF(C241&lt;'user input'!$C$12,IF(B241&gt;'user input'!$C$6,0,F240+E241),'user input'!$C$17*((1-C241)/(1-'user input'!$C$12)))</f>
        <v>0</v>
      </c>
    </row>
    <row r="242" spans="1:6" x14ac:dyDescent="0.2">
      <c r="A242" s="1">
        <v>40418</v>
      </c>
      <c r="B242">
        <v>240</v>
      </c>
      <c r="C242">
        <f>IF(B242&gt;'user input'!$C$6,0,IF('heat units'!H242&gt;1,1,'heat units'!H242))</f>
        <v>1</v>
      </c>
      <c r="D242">
        <f>IF(B242&gt;'user input'!$C$6,0,(C242/(C242+EXP('user input'!$C$15-'user input'!$C$14*C242))))</f>
        <v>0.99996737202265329</v>
      </c>
      <c r="E242">
        <f>IF(C242&lt;'user input'!$C$12,(D242-D241)*'user input'!$C$17*(1-EXP(5*(F241-'user input'!$C$17))),F242-F241)</f>
        <v>0</v>
      </c>
      <c r="F242">
        <f>IF(C242&lt;'user input'!$C$12,IF(B242&gt;'user input'!$C$6,0,F241+E242),'user input'!$C$17*((1-C242)/(1-'user input'!$C$12)))</f>
        <v>0</v>
      </c>
    </row>
    <row r="243" spans="1:6" x14ac:dyDescent="0.2">
      <c r="A243" s="1">
        <v>40419</v>
      </c>
      <c r="B243">
        <v>241</v>
      </c>
      <c r="C243">
        <f>IF(B243&gt;'user input'!$C$6,0,IF('heat units'!H243&gt;1,1,'heat units'!H243))</f>
        <v>1</v>
      </c>
      <c r="D243">
        <f>IF(B243&gt;'user input'!$C$6,0,(C243/(C243+EXP('user input'!$C$15-'user input'!$C$14*C243))))</f>
        <v>0.99996737202265329</v>
      </c>
      <c r="E243">
        <f>IF(C243&lt;'user input'!$C$12,(D243-D242)*'user input'!$C$17*(1-EXP(5*(F242-'user input'!$C$17))),F243-F242)</f>
        <v>0</v>
      </c>
      <c r="F243">
        <f>IF(C243&lt;'user input'!$C$12,IF(B243&gt;'user input'!$C$6,0,F242+E243),'user input'!$C$17*((1-C243)/(1-'user input'!$C$12)))</f>
        <v>0</v>
      </c>
    </row>
    <row r="244" spans="1:6" x14ac:dyDescent="0.2">
      <c r="A244" s="1">
        <v>40420</v>
      </c>
      <c r="B244">
        <v>242</v>
      </c>
      <c r="C244">
        <f>IF(B244&gt;'user input'!$C$6,0,IF('heat units'!H244&gt;1,1,'heat units'!H244))</f>
        <v>1</v>
      </c>
      <c r="D244">
        <f>IF(B244&gt;'user input'!$C$6,0,(C244/(C244+EXP('user input'!$C$15-'user input'!$C$14*C244))))</f>
        <v>0.99996737202265329</v>
      </c>
      <c r="E244">
        <f>IF(C244&lt;'user input'!$C$12,(D244-D243)*'user input'!$C$17*(1-EXP(5*(F243-'user input'!$C$17))),F244-F243)</f>
        <v>0</v>
      </c>
      <c r="F244">
        <f>IF(C244&lt;'user input'!$C$12,IF(B244&gt;'user input'!$C$6,0,F243+E244),'user input'!$C$17*((1-C244)/(1-'user input'!$C$12)))</f>
        <v>0</v>
      </c>
    </row>
    <row r="245" spans="1:6" x14ac:dyDescent="0.2">
      <c r="A245" s="1">
        <v>40421</v>
      </c>
      <c r="B245">
        <v>243</v>
      </c>
      <c r="C245">
        <f>IF(B245&gt;'user input'!$C$6,0,IF('heat units'!H245&gt;1,1,'heat units'!H245))</f>
        <v>1</v>
      </c>
      <c r="D245">
        <f>IF(B245&gt;'user input'!$C$6,0,(C245/(C245+EXP('user input'!$C$15-'user input'!$C$14*C245))))</f>
        <v>0.99996737202265329</v>
      </c>
      <c r="E245">
        <f>IF(C245&lt;'user input'!$C$12,(D245-D244)*'user input'!$C$17*(1-EXP(5*(F244-'user input'!$C$17))),F245-F244)</f>
        <v>0</v>
      </c>
      <c r="F245">
        <f>IF(C245&lt;'user input'!$C$12,IF(B245&gt;'user input'!$C$6,0,F244+E245),'user input'!$C$17*((1-C245)/(1-'user input'!$C$12)))</f>
        <v>0</v>
      </c>
    </row>
    <row r="246" spans="1:6" x14ac:dyDescent="0.2">
      <c r="A246" s="1">
        <v>40422</v>
      </c>
      <c r="B246">
        <v>244</v>
      </c>
      <c r="C246">
        <f>IF(B246&gt;'user input'!$C$6,0,IF('heat units'!H246&gt;1,1,'heat units'!H246))</f>
        <v>1</v>
      </c>
      <c r="D246">
        <f>IF(B246&gt;'user input'!$C$6,0,(C246/(C246+EXP('user input'!$C$15-'user input'!$C$14*C246))))</f>
        <v>0.99996737202265329</v>
      </c>
      <c r="E246">
        <f>IF(C246&lt;'user input'!$C$12,(D246-D245)*'user input'!$C$17*(1-EXP(5*(F245-'user input'!$C$17))),F246-F245)</f>
        <v>0</v>
      </c>
      <c r="F246">
        <f>IF(C246&lt;'user input'!$C$12,IF(B246&gt;'user input'!$C$6,0,F245+E246),'user input'!$C$17*((1-C246)/(1-'user input'!$C$12)))</f>
        <v>0</v>
      </c>
    </row>
    <row r="247" spans="1:6" x14ac:dyDescent="0.2">
      <c r="A247" s="1">
        <v>40423</v>
      </c>
      <c r="B247">
        <v>245</v>
      </c>
      <c r="C247">
        <f>IF(B247&gt;'user input'!$C$6,0,IF('heat units'!H247&gt;1,1,'heat units'!H247))</f>
        <v>1</v>
      </c>
      <c r="D247">
        <f>IF(B247&gt;'user input'!$C$6,0,(C247/(C247+EXP('user input'!$C$15-'user input'!$C$14*C247))))</f>
        <v>0.99996737202265329</v>
      </c>
      <c r="E247">
        <f>IF(C247&lt;'user input'!$C$12,(D247-D246)*'user input'!$C$17*(1-EXP(5*(F246-'user input'!$C$17))),F247-F246)</f>
        <v>0</v>
      </c>
      <c r="F247">
        <f>IF(C247&lt;'user input'!$C$12,IF(B247&gt;'user input'!$C$6,0,F246+E247),'user input'!$C$17*((1-C247)/(1-'user input'!$C$12)))</f>
        <v>0</v>
      </c>
    </row>
    <row r="248" spans="1:6" x14ac:dyDescent="0.2">
      <c r="A248" s="1">
        <v>40424</v>
      </c>
      <c r="B248">
        <v>246</v>
      </c>
      <c r="C248">
        <f>IF(B248&gt;'user input'!$C$6,0,IF('heat units'!H248&gt;1,1,'heat units'!H248))</f>
        <v>1</v>
      </c>
      <c r="D248">
        <f>IF(B248&gt;'user input'!$C$6,0,(C248/(C248+EXP('user input'!$C$15-'user input'!$C$14*C248))))</f>
        <v>0.99996737202265329</v>
      </c>
      <c r="E248">
        <f>IF(C248&lt;'user input'!$C$12,(D248-D247)*'user input'!$C$17*(1-EXP(5*(F247-'user input'!$C$17))),F248-F247)</f>
        <v>0</v>
      </c>
      <c r="F248">
        <f>IF(C248&lt;'user input'!$C$12,IF(B248&gt;'user input'!$C$6,0,F247+E248),'user input'!$C$17*((1-C248)/(1-'user input'!$C$12)))</f>
        <v>0</v>
      </c>
    </row>
    <row r="249" spans="1:6" x14ac:dyDescent="0.2">
      <c r="A249" s="1">
        <v>40425</v>
      </c>
      <c r="B249">
        <v>247</v>
      </c>
      <c r="C249">
        <f>IF(B249&gt;'user input'!$C$6,0,IF('heat units'!H249&gt;1,1,'heat units'!H249))</f>
        <v>1</v>
      </c>
      <c r="D249">
        <f>IF(B249&gt;'user input'!$C$6,0,(C249/(C249+EXP('user input'!$C$15-'user input'!$C$14*C249))))</f>
        <v>0.99996737202265329</v>
      </c>
      <c r="E249">
        <f>IF(C249&lt;'user input'!$C$12,(D249-D248)*'user input'!$C$17*(1-EXP(5*(F248-'user input'!$C$17))),F249-F248)</f>
        <v>0</v>
      </c>
      <c r="F249">
        <f>IF(C249&lt;'user input'!$C$12,IF(B249&gt;'user input'!$C$6,0,F248+E249),'user input'!$C$17*((1-C249)/(1-'user input'!$C$12)))</f>
        <v>0</v>
      </c>
    </row>
    <row r="250" spans="1:6" x14ac:dyDescent="0.2">
      <c r="A250" s="1">
        <v>40426</v>
      </c>
      <c r="B250">
        <v>248</v>
      </c>
      <c r="C250">
        <f>IF(B250&gt;'user input'!$C$6,0,IF('heat units'!H250&gt;1,1,'heat units'!H250))</f>
        <v>1</v>
      </c>
      <c r="D250">
        <f>IF(B250&gt;'user input'!$C$6,0,(C250/(C250+EXP('user input'!$C$15-'user input'!$C$14*C250))))</f>
        <v>0.99996737202265329</v>
      </c>
      <c r="E250">
        <f>IF(C250&lt;'user input'!$C$12,(D250-D249)*'user input'!$C$17*(1-EXP(5*(F249-'user input'!$C$17))),F250-F249)</f>
        <v>0</v>
      </c>
      <c r="F250">
        <f>IF(C250&lt;'user input'!$C$12,IF(B250&gt;'user input'!$C$6,0,F249+E250),'user input'!$C$17*((1-C250)/(1-'user input'!$C$12)))</f>
        <v>0</v>
      </c>
    </row>
    <row r="251" spans="1:6" x14ac:dyDescent="0.2">
      <c r="A251" s="1">
        <v>40427</v>
      </c>
      <c r="B251">
        <v>249</v>
      </c>
      <c r="C251">
        <f>IF(B251&gt;'user input'!$C$6,0,IF('heat units'!H251&gt;1,1,'heat units'!H251))</f>
        <v>1</v>
      </c>
      <c r="D251">
        <f>IF(B251&gt;'user input'!$C$6,0,(C251/(C251+EXP('user input'!$C$15-'user input'!$C$14*C251))))</f>
        <v>0.99996737202265329</v>
      </c>
      <c r="E251">
        <f>IF(C251&lt;'user input'!$C$12,(D251-D250)*'user input'!$C$17*(1-EXP(5*(F250-'user input'!$C$17))),F251-F250)</f>
        <v>0</v>
      </c>
      <c r="F251">
        <f>IF(C251&lt;'user input'!$C$12,IF(B251&gt;'user input'!$C$6,0,F250+E251),'user input'!$C$17*((1-C251)/(1-'user input'!$C$12)))</f>
        <v>0</v>
      </c>
    </row>
    <row r="252" spans="1:6" x14ac:dyDescent="0.2">
      <c r="A252" s="1">
        <v>40428</v>
      </c>
      <c r="B252">
        <v>250</v>
      </c>
      <c r="C252">
        <f>IF(B252&gt;'user input'!$C$6,0,IF('heat units'!H252&gt;1,1,'heat units'!H252))</f>
        <v>1</v>
      </c>
      <c r="D252">
        <f>IF(B252&gt;'user input'!$C$6,0,(C252/(C252+EXP('user input'!$C$15-'user input'!$C$14*C252))))</f>
        <v>0.99996737202265329</v>
      </c>
      <c r="E252">
        <f>IF(C252&lt;'user input'!$C$12,(D252-D251)*'user input'!$C$17*(1-EXP(5*(F251-'user input'!$C$17))),F252-F251)</f>
        <v>0</v>
      </c>
      <c r="F252">
        <f>IF(C252&lt;'user input'!$C$12,IF(B252&gt;'user input'!$C$6,0,F251+E252),'user input'!$C$17*((1-C252)/(1-'user input'!$C$12)))</f>
        <v>0</v>
      </c>
    </row>
    <row r="253" spans="1:6" x14ac:dyDescent="0.2">
      <c r="A253" s="1">
        <v>40429</v>
      </c>
      <c r="B253">
        <v>251</v>
      </c>
      <c r="C253">
        <f>IF(B253&gt;'user input'!$C$6,0,IF('heat units'!H253&gt;1,1,'heat units'!H253))</f>
        <v>1</v>
      </c>
      <c r="D253">
        <f>IF(B253&gt;'user input'!$C$6,0,(C253/(C253+EXP('user input'!$C$15-'user input'!$C$14*C253))))</f>
        <v>0.99996737202265329</v>
      </c>
      <c r="E253">
        <f>IF(C253&lt;'user input'!$C$12,(D253-D252)*'user input'!$C$17*(1-EXP(5*(F252-'user input'!$C$17))),F253-F252)</f>
        <v>0</v>
      </c>
      <c r="F253">
        <f>IF(C253&lt;'user input'!$C$12,IF(B253&gt;'user input'!$C$6,0,F252+E253),'user input'!$C$17*((1-C253)/(1-'user input'!$C$12)))</f>
        <v>0</v>
      </c>
    </row>
    <row r="254" spans="1:6" x14ac:dyDescent="0.2">
      <c r="A254" s="1">
        <v>40430</v>
      </c>
      <c r="B254">
        <v>252</v>
      </c>
      <c r="C254">
        <f>IF(B254&gt;'user input'!$C$6,0,IF('heat units'!H254&gt;1,1,'heat units'!H254))</f>
        <v>1</v>
      </c>
      <c r="D254">
        <f>IF(B254&gt;'user input'!$C$6,0,(C254/(C254+EXP('user input'!$C$15-'user input'!$C$14*C254))))</f>
        <v>0.99996737202265329</v>
      </c>
      <c r="E254">
        <f>IF(C254&lt;'user input'!$C$12,(D254-D253)*'user input'!$C$17*(1-EXP(5*(F253-'user input'!$C$17))),F254-F253)</f>
        <v>0</v>
      </c>
      <c r="F254">
        <f>IF(C254&lt;'user input'!$C$12,IF(B254&gt;'user input'!$C$6,0,F253+E254),'user input'!$C$17*((1-C254)/(1-'user input'!$C$12)))</f>
        <v>0</v>
      </c>
    </row>
    <row r="255" spans="1:6" x14ac:dyDescent="0.2">
      <c r="A255" s="1">
        <v>40431</v>
      </c>
      <c r="B255">
        <v>253</v>
      </c>
      <c r="C255">
        <f>IF(B255&gt;'user input'!$C$6,0,IF('heat units'!H255&gt;1,1,'heat units'!H255))</f>
        <v>1</v>
      </c>
      <c r="D255">
        <f>IF(B255&gt;'user input'!$C$6,0,(C255/(C255+EXP('user input'!$C$15-'user input'!$C$14*C255))))</f>
        <v>0.99996737202265329</v>
      </c>
      <c r="E255">
        <f>IF(C255&lt;'user input'!$C$12,(D255-D254)*'user input'!$C$17*(1-EXP(5*(F254-'user input'!$C$17))),F255-F254)</f>
        <v>0</v>
      </c>
      <c r="F255">
        <f>IF(C255&lt;'user input'!$C$12,IF(B255&gt;'user input'!$C$6,0,F254+E255),'user input'!$C$17*((1-C255)/(1-'user input'!$C$12)))</f>
        <v>0</v>
      </c>
    </row>
    <row r="256" spans="1:6" x14ac:dyDescent="0.2">
      <c r="A256" s="1">
        <v>40432</v>
      </c>
      <c r="B256">
        <v>254</v>
      </c>
      <c r="C256">
        <f>IF(B256&gt;'user input'!$C$6,0,IF('heat units'!H256&gt;1,1,'heat units'!H256))</f>
        <v>1</v>
      </c>
      <c r="D256">
        <f>IF(B256&gt;'user input'!$C$6,0,(C256/(C256+EXP('user input'!$C$15-'user input'!$C$14*C256))))</f>
        <v>0.99996737202265329</v>
      </c>
      <c r="E256">
        <f>IF(C256&lt;'user input'!$C$12,(D256-D255)*'user input'!$C$17*(1-EXP(5*(F255-'user input'!$C$17))),F256-F255)</f>
        <v>0</v>
      </c>
      <c r="F256">
        <f>IF(C256&lt;'user input'!$C$12,IF(B256&gt;'user input'!$C$6,0,F255+E256),'user input'!$C$17*((1-C256)/(1-'user input'!$C$12)))</f>
        <v>0</v>
      </c>
    </row>
    <row r="257" spans="1:6" x14ac:dyDescent="0.2">
      <c r="A257" s="1">
        <v>40433</v>
      </c>
      <c r="B257">
        <v>255</v>
      </c>
      <c r="C257">
        <f>IF(B257&gt;'user input'!$C$6,0,IF('heat units'!H257&gt;1,1,'heat units'!H257))</f>
        <v>1</v>
      </c>
      <c r="D257">
        <f>IF(B257&gt;'user input'!$C$6,0,(C257/(C257+EXP('user input'!$C$15-'user input'!$C$14*C257))))</f>
        <v>0.99996737202265329</v>
      </c>
      <c r="E257">
        <f>IF(C257&lt;'user input'!$C$12,(D257-D256)*'user input'!$C$17*(1-EXP(5*(F256-'user input'!$C$17))),F257-F256)</f>
        <v>0</v>
      </c>
      <c r="F257">
        <f>IF(C257&lt;'user input'!$C$12,IF(B257&gt;'user input'!$C$6,0,F256+E257),'user input'!$C$17*((1-C257)/(1-'user input'!$C$12)))</f>
        <v>0</v>
      </c>
    </row>
    <row r="258" spans="1:6" x14ac:dyDescent="0.2">
      <c r="A258" s="1">
        <v>40434</v>
      </c>
      <c r="B258">
        <v>256</v>
      </c>
      <c r="C258">
        <f>IF(B258&gt;'user input'!$C$6,0,IF('heat units'!H258&gt;1,1,'heat units'!H258))</f>
        <v>1</v>
      </c>
      <c r="D258">
        <f>IF(B258&gt;'user input'!$C$6,0,(C258/(C258+EXP('user input'!$C$15-'user input'!$C$14*C258))))</f>
        <v>0.99996737202265329</v>
      </c>
      <c r="E258">
        <f>IF(C258&lt;'user input'!$C$12,(D258-D257)*'user input'!$C$17*(1-EXP(5*(F257-'user input'!$C$17))),F258-F257)</f>
        <v>0</v>
      </c>
      <c r="F258">
        <f>IF(C258&lt;'user input'!$C$12,IF(B258&gt;'user input'!$C$6,0,F257+E258),'user input'!$C$17*((1-C258)/(1-'user input'!$C$12)))</f>
        <v>0</v>
      </c>
    </row>
    <row r="259" spans="1:6" x14ac:dyDescent="0.2">
      <c r="A259" s="1">
        <v>40435</v>
      </c>
      <c r="B259">
        <v>257</v>
      </c>
      <c r="C259">
        <f>IF(B259&gt;'user input'!$C$6,0,IF('heat units'!H259&gt;1,1,'heat units'!H259))</f>
        <v>1</v>
      </c>
      <c r="D259">
        <f>IF(B259&gt;'user input'!$C$6,0,(C259/(C259+EXP('user input'!$C$15-'user input'!$C$14*C259))))</f>
        <v>0.99996737202265329</v>
      </c>
      <c r="E259">
        <f>IF(C259&lt;'user input'!$C$12,(D259-D258)*'user input'!$C$17*(1-EXP(5*(F258-'user input'!$C$17))),F259-F258)</f>
        <v>0</v>
      </c>
      <c r="F259">
        <f>IF(C259&lt;'user input'!$C$12,IF(B259&gt;'user input'!$C$6,0,F258+E259),'user input'!$C$17*((1-C259)/(1-'user input'!$C$12)))</f>
        <v>0</v>
      </c>
    </row>
    <row r="260" spans="1:6" x14ac:dyDescent="0.2">
      <c r="A260" s="1">
        <v>40436</v>
      </c>
      <c r="B260">
        <v>258</v>
      </c>
      <c r="C260">
        <f>IF(B260&gt;'user input'!$C$6,0,IF('heat units'!H260&gt;1,1,'heat units'!H260))</f>
        <v>1</v>
      </c>
      <c r="D260">
        <f>IF(B260&gt;'user input'!$C$6,0,(C260/(C260+EXP('user input'!$C$15-'user input'!$C$14*C260))))</f>
        <v>0.99996737202265329</v>
      </c>
      <c r="E260">
        <f>IF(C260&lt;'user input'!$C$12,(D260-D259)*'user input'!$C$17*(1-EXP(5*(F259-'user input'!$C$17))),F260-F259)</f>
        <v>0</v>
      </c>
      <c r="F260">
        <f>IF(C260&lt;'user input'!$C$12,IF(B260&gt;'user input'!$C$6,0,F259+E260),'user input'!$C$17*((1-C260)/(1-'user input'!$C$12)))</f>
        <v>0</v>
      </c>
    </row>
    <row r="261" spans="1:6" x14ac:dyDescent="0.2">
      <c r="A261" s="1">
        <v>40437</v>
      </c>
      <c r="B261">
        <v>259</v>
      </c>
      <c r="C261">
        <f>IF(B261&gt;'user input'!$C$6,0,IF('heat units'!H261&gt;1,1,'heat units'!H261))</f>
        <v>1</v>
      </c>
      <c r="D261">
        <f>IF(B261&gt;'user input'!$C$6,0,(C261/(C261+EXP('user input'!$C$15-'user input'!$C$14*C261))))</f>
        <v>0.99996737202265329</v>
      </c>
      <c r="E261">
        <f>IF(C261&lt;'user input'!$C$12,(D261-D260)*'user input'!$C$17*(1-EXP(5*(F260-'user input'!$C$17))),F261-F260)</f>
        <v>0</v>
      </c>
      <c r="F261">
        <f>IF(C261&lt;'user input'!$C$12,IF(B261&gt;'user input'!$C$6,0,F260+E261),'user input'!$C$17*((1-C261)/(1-'user input'!$C$12)))</f>
        <v>0</v>
      </c>
    </row>
    <row r="262" spans="1:6" x14ac:dyDescent="0.2">
      <c r="A262" s="1">
        <v>40438</v>
      </c>
      <c r="B262">
        <v>260</v>
      </c>
      <c r="C262">
        <f>IF(B262&gt;'user input'!$C$6,0,IF('heat units'!H262&gt;1,1,'heat units'!H262))</f>
        <v>1</v>
      </c>
      <c r="D262">
        <f>IF(B262&gt;'user input'!$C$6,0,(C262/(C262+EXP('user input'!$C$15-'user input'!$C$14*C262))))</f>
        <v>0.99996737202265329</v>
      </c>
      <c r="E262">
        <f>IF(C262&lt;'user input'!$C$12,(D262-D261)*'user input'!$C$17*(1-EXP(5*(F261-'user input'!$C$17))),F262-F261)</f>
        <v>0</v>
      </c>
      <c r="F262">
        <f>IF(C262&lt;'user input'!$C$12,IF(B262&gt;'user input'!$C$6,0,F261+E262),'user input'!$C$17*((1-C262)/(1-'user input'!$C$12)))</f>
        <v>0</v>
      </c>
    </row>
    <row r="263" spans="1:6" x14ac:dyDescent="0.2">
      <c r="A263" s="1">
        <v>40439</v>
      </c>
      <c r="B263">
        <v>261</v>
      </c>
      <c r="C263">
        <f>IF(B263&gt;'user input'!$C$6,0,IF('heat units'!H263&gt;1,1,'heat units'!H263))</f>
        <v>1</v>
      </c>
      <c r="D263">
        <f>IF(B263&gt;'user input'!$C$6,0,(C263/(C263+EXP('user input'!$C$15-'user input'!$C$14*C263))))</f>
        <v>0.99996737202265329</v>
      </c>
      <c r="E263">
        <f>IF(C263&lt;'user input'!$C$12,(D263-D262)*'user input'!$C$17*(1-EXP(5*(F262-'user input'!$C$17))),F263-F262)</f>
        <v>0</v>
      </c>
      <c r="F263">
        <f>IF(C263&lt;'user input'!$C$12,IF(B263&gt;'user input'!$C$6,0,F262+E263),'user input'!$C$17*((1-C263)/(1-'user input'!$C$12)))</f>
        <v>0</v>
      </c>
    </row>
    <row r="264" spans="1:6" x14ac:dyDescent="0.2">
      <c r="A264" s="1">
        <v>40440</v>
      </c>
      <c r="B264">
        <v>262</v>
      </c>
      <c r="C264">
        <f>IF(B264&gt;'user input'!$C$6,0,IF('heat units'!H264&gt;1,1,'heat units'!H264))</f>
        <v>1</v>
      </c>
      <c r="D264">
        <f>IF(B264&gt;'user input'!$C$6,0,(C264/(C264+EXP('user input'!$C$15-'user input'!$C$14*C264))))</f>
        <v>0.99996737202265329</v>
      </c>
      <c r="E264">
        <f>IF(C264&lt;'user input'!$C$12,(D264-D263)*'user input'!$C$17*(1-EXP(5*(F263-'user input'!$C$17))),F264-F263)</f>
        <v>0</v>
      </c>
      <c r="F264">
        <f>IF(C264&lt;'user input'!$C$12,IF(B264&gt;'user input'!$C$6,0,F263+E264),'user input'!$C$17*((1-C264)/(1-'user input'!$C$12)))</f>
        <v>0</v>
      </c>
    </row>
    <row r="265" spans="1:6" x14ac:dyDescent="0.2">
      <c r="A265" s="1">
        <v>40441</v>
      </c>
      <c r="B265">
        <v>263</v>
      </c>
      <c r="C265">
        <f>IF(B265&gt;'user input'!$C$6,0,IF('heat units'!H265&gt;1,1,'heat units'!H265))</f>
        <v>1</v>
      </c>
      <c r="D265">
        <f>IF(B265&gt;'user input'!$C$6,0,(C265/(C265+EXP('user input'!$C$15-'user input'!$C$14*C265))))</f>
        <v>0.99996737202265329</v>
      </c>
      <c r="E265">
        <f>IF(C265&lt;'user input'!$C$12,(D265-D264)*'user input'!$C$17*(1-EXP(5*(F264-'user input'!$C$17))),F265-F264)</f>
        <v>0</v>
      </c>
      <c r="F265">
        <f>IF(C265&lt;'user input'!$C$12,IF(B265&gt;'user input'!$C$6,0,F264+E265),'user input'!$C$17*((1-C265)/(1-'user input'!$C$12)))</f>
        <v>0</v>
      </c>
    </row>
    <row r="266" spans="1:6" x14ac:dyDescent="0.2">
      <c r="A266" s="1">
        <v>40442</v>
      </c>
      <c r="B266">
        <v>264</v>
      </c>
      <c r="C266">
        <f>IF(B266&gt;'user input'!$C$6,0,IF('heat units'!H266&gt;1,1,'heat units'!H266))</f>
        <v>1</v>
      </c>
      <c r="D266">
        <f>IF(B266&gt;'user input'!$C$6,0,(C266/(C266+EXP('user input'!$C$15-'user input'!$C$14*C266))))</f>
        <v>0.99996737202265329</v>
      </c>
      <c r="E266">
        <f>IF(C266&lt;'user input'!$C$12,(D266-D265)*'user input'!$C$17*(1-EXP(5*(F265-'user input'!$C$17))),F266-F265)</f>
        <v>0</v>
      </c>
      <c r="F266">
        <f>IF(C266&lt;'user input'!$C$12,IF(B266&gt;'user input'!$C$6,0,F265+E266),'user input'!$C$17*((1-C266)/(1-'user input'!$C$12)))</f>
        <v>0</v>
      </c>
    </row>
    <row r="267" spans="1:6" x14ac:dyDescent="0.2">
      <c r="A267" s="1">
        <v>40443</v>
      </c>
      <c r="B267">
        <v>265</v>
      </c>
      <c r="C267">
        <f>IF(B267&gt;'user input'!$C$6,0,IF('heat units'!H267&gt;1,1,'heat units'!H267))</f>
        <v>1</v>
      </c>
      <c r="D267">
        <f>IF(B267&gt;'user input'!$C$6,0,(C267/(C267+EXP('user input'!$C$15-'user input'!$C$14*C267))))</f>
        <v>0.99996737202265329</v>
      </c>
      <c r="E267">
        <f>IF(C267&lt;'user input'!$C$12,(D267-D266)*'user input'!$C$17*(1-EXP(5*(F266-'user input'!$C$17))),F267-F266)</f>
        <v>0</v>
      </c>
      <c r="F267">
        <f>IF(C267&lt;'user input'!$C$12,IF(B267&gt;'user input'!$C$6,0,F266+E267),'user input'!$C$17*((1-C267)/(1-'user input'!$C$12)))</f>
        <v>0</v>
      </c>
    </row>
    <row r="268" spans="1:6" x14ac:dyDescent="0.2">
      <c r="A268" s="1">
        <v>40444</v>
      </c>
      <c r="B268">
        <v>266</v>
      </c>
      <c r="C268">
        <f>IF(B268&gt;'user input'!$C$6,0,IF('heat units'!H268&gt;1,1,'heat units'!H268))</f>
        <v>1</v>
      </c>
      <c r="D268">
        <f>IF(B268&gt;'user input'!$C$6,0,(C268/(C268+EXP('user input'!$C$15-'user input'!$C$14*C268))))</f>
        <v>0.99996737202265329</v>
      </c>
      <c r="E268">
        <f>IF(C268&lt;'user input'!$C$12,(D268-D267)*'user input'!$C$17*(1-EXP(5*(F267-'user input'!$C$17))),F268-F267)</f>
        <v>0</v>
      </c>
      <c r="F268">
        <f>IF(C268&lt;'user input'!$C$12,IF(B268&gt;'user input'!$C$6,0,F267+E268),'user input'!$C$17*((1-C268)/(1-'user input'!$C$12)))</f>
        <v>0</v>
      </c>
    </row>
    <row r="269" spans="1:6" x14ac:dyDescent="0.2">
      <c r="A269" s="1">
        <v>40445</v>
      </c>
      <c r="B269">
        <v>267</v>
      </c>
      <c r="C269">
        <f>IF(B269&gt;'user input'!$C$6,0,IF('heat units'!H269&gt;1,1,'heat units'!H269))</f>
        <v>1</v>
      </c>
      <c r="D269">
        <f>IF(B269&gt;'user input'!$C$6,0,(C269/(C269+EXP('user input'!$C$15-'user input'!$C$14*C269))))</f>
        <v>0.99996737202265329</v>
      </c>
      <c r="E269">
        <f>IF(C269&lt;'user input'!$C$12,(D269-D268)*'user input'!$C$17*(1-EXP(5*(F268-'user input'!$C$17))),F269-F268)</f>
        <v>0</v>
      </c>
      <c r="F269">
        <f>IF(C269&lt;'user input'!$C$12,IF(B269&gt;'user input'!$C$6,0,F268+E269),'user input'!$C$17*((1-C269)/(1-'user input'!$C$12)))</f>
        <v>0</v>
      </c>
    </row>
    <row r="270" spans="1:6" x14ac:dyDescent="0.2">
      <c r="A270" s="1">
        <v>40446</v>
      </c>
      <c r="B270">
        <v>268</v>
      </c>
      <c r="C270">
        <f>IF(B270&gt;'user input'!$C$6,0,IF('heat units'!H270&gt;1,1,'heat units'!H270))</f>
        <v>1</v>
      </c>
      <c r="D270">
        <f>IF(B270&gt;'user input'!$C$6,0,(C270/(C270+EXP('user input'!$C$15-'user input'!$C$14*C270))))</f>
        <v>0.99996737202265329</v>
      </c>
      <c r="E270">
        <f>IF(C270&lt;'user input'!$C$12,(D270-D269)*'user input'!$C$17*(1-EXP(5*(F269-'user input'!$C$17))),F270-F269)</f>
        <v>0</v>
      </c>
      <c r="F270">
        <f>IF(C270&lt;'user input'!$C$12,IF(B270&gt;'user input'!$C$6,0,F269+E270),'user input'!$C$17*((1-C270)/(1-'user input'!$C$12)))</f>
        <v>0</v>
      </c>
    </row>
    <row r="271" spans="1:6" x14ac:dyDescent="0.2">
      <c r="A271" s="1">
        <v>40447</v>
      </c>
      <c r="B271">
        <v>269</v>
      </c>
      <c r="C271">
        <f>IF(B271&gt;'user input'!$C$6,0,IF('heat units'!H271&gt;1,1,'heat units'!H271))</f>
        <v>1</v>
      </c>
      <c r="D271">
        <f>IF(B271&gt;'user input'!$C$6,0,(C271/(C271+EXP('user input'!$C$15-'user input'!$C$14*C271))))</f>
        <v>0.99996737202265329</v>
      </c>
      <c r="E271">
        <f>IF(C271&lt;'user input'!$C$12,(D271-D270)*'user input'!$C$17*(1-EXP(5*(F270-'user input'!$C$17))),F271-F270)</f>
        <v>0</v>
      </c>
      <c r="F271">
        <f>IF(C271&lt;'user input'!$C$12,IF(B271&gt;'user input'!$C$6,0,F270+E271),'user input'!$C$17*((1-C271)/(1-'user input'!$C$12)))</f>
        <v>0</v>
      </c>
    </row>
    <row r="272" spans="1:6" x14ac:dyDescent="0.2">
      <c r="A272" s="1">
        <v>40448</v>
      </c>
      <c r="B272">
        <v>270</v>
      </c>
      <c r="C272">
        <f>IF(B272&gt;'user input'!$C$6,0,IF('heat units'!H272&gt;1,1,'heat units'!H272))</f>
        <v>1</v>
      </c>
      <c r="D272">
        <f>IF(B272&gt;'user input'!$C$6,0,(C272/(C272+EXP('user input'!$C$15-'user input'!$C$14*C272))))</f>
        <v>0.99996737202265329</v>
      </c>
      <c r="E272">
        <f>IF(C272&lt;'user input'!$C$12,(D272-D271)*'user input'!$C$17*(1-EXP(5*(F271-'user input'!$C$17))),F272-F271)</f>
        <v>0</v>
      </c>
      <c r="F272">
        <f>IF(C272&lt;'user input'!$C$12,IF(B272&gt;'user input'!$C$6,0,F271+E272),'user input'!$C$17*((1-C272)/(1-'user input'!$C$12)))</f>
        <v>0</v>
      </c>
    </row>
    <row r="273" spans="1:6" x14ac:dyDescent="0.2">
      <c r="A273" s="1">
        <v>40449</v>
      </c>
      <c r="B273">
        <v>271</v>
      </c>
      <c r="C273">
        <f>IF(B273&gt;'user input'!$C$6,0,IF('heat units'!H273&gt;1,1,'heat units'!H273))</f>
        <v>1</v>
      </c>
      <c r="D273">
        <f>IF(B273&gt;'user input'!$C$6,0,(C273/(C273+EXP('user input'!$C$15-'user input'!$C$14*C273))))</f>
        <v>0.99996737202265329</v>
      </c>
      <c r="E273">
        <f>IF(C273&lt;'user input'!$C$12,(D273-D272)*'user input'!$C$17*(1-EXP(5*(F272-'user input'!$C$17))),F273-F272)</f>
        <v>0</v>
      </c>
      <c r="F273">
        <f>IF(C273&lt;'user input'!$C$12,IF(B273&gt;'user input'!$C$6,0,F272+E273),'user input'!$C$17*((1-C273)/(1-'user input'!$C$12)))</f>
        <v>0</v>
      </c>
    </row>
    <row r="274" spans="1:6" x14ac:dyDescent="0.2">
      <c r="A274" s="1">
        <v>40450</v>
      </c>
      <c r="B274">
        <v>272</v>
      </c>
      <c r="C274">
        <f>IF(B274&gt;'user input'!$C$6,0,IF('heat units'!H274&gt;1,1,'heat units'!H274))</f>
        <v>1</v>
      </c>
      <c r="D274">
        <f>IF(B274&gt;'user input'!$C$6,0,(C274/(C274+EXP('user input'!$C$15-'user input'!$C$14*C274))))</f>
        <v>0.99996737202265329</v>
      </c>
      <c r="E274">
        <f>IF(C274&lt;'user input'!$C$12,(D274-D273)*'user input'!$C$17*(1-EXP(5*(F273-'user input'!$C$17))),F274-F273)</f>
        <v>0</v>
      </c>
      <c r="F274">
        <f>IF(C274&lt;'user input'!$C$12,IF(B274&gt;'user input'!$C$6,0,F273+E274),'user input'!$C$17*((1-C274)/(1-'user input'!$C$12)))</f>
        <v>0</v>
      </c>
    </row>
    <row r="275" spans="1:6" x14ac:dyDescent="0.2">
      <c r="A275" s="1">
        <v>40451</v>
      </c>
      <c r="B275">
        <v>273</v>
      </c>
      <c r="C275">
        <f>IF(B275&gt;'user input'!$C$6,0,IF('heat units'!H275&gt;1,1,'heat units'!H275))</f>
        <v>1</v>
      </c>
      <c r="D275">
        <f>IF(B275&gt;'user input'!$C$6,0,(C275/(C275+EXP('user input'!$C$15-'user input'!$C$14*C275))))</f>
        <v>0.99996737202265329</v>
      </c>
      <c r="E275">
        <f>IF(C275&lt;'user input'!$C$12,(D275-D274)*'user input'!$C$17*(1-EXP(5*(F274-'user input'!$C$17))),F275-F274)</f>
        <v>0</v>
      </c>
      <c r="F275">
        <f>IF(C275&lt;'user input'!$C$12,IF(B275&gt;'user input'!$C$6,0,F274+E275),'user input'!$C$17*((1-C275)/(1-'user input'!$C$12)))</f>
        <v>0</v>
      </c>
    </row>
    <row r="276" spans="1:6" x14ac:dyDescent="0.2">
      <c r="A276" s="1">
        <v>40452</v>
      </c>
      <c r="B276">
        <v>274</v>
      </c>
      <c r="C276">
        <f>IF(B276&gt;'user input'!$C$6,0,IF('heat units'!H276&gt;1,1,'heat units'!H276))</f>
        <v>1</v>
      </c>
      <c r="D276">
        <f>IF(B276&gt;'user input'!$C$6,0,(C276/(C276+EXP('user input'!$C$15-'user input'!$C$14*C276))))</f>
        <v>0.99996737202265329</v>
      </c>
      <c r="E276">
        <f>IF(C276&lt;'user input'!$C$12,(D276-D275)*'user input'!$C$17*(1-EXP(5*(F275-'user input'!$C$17))),F276-F275)</f>
        <v>0</v>
      </c>
      <c r="F276">
        <f>IF(C276&lt;'user input'!$C$12,IF(B276&gt;'user input'!$C$6,0,F275+E276),'user input'!$C$17*((1-C276)/(1-'user input'!$C$12)))</f>
        <v>0</v>
      </c>
    </row>
    <row r="277" spans="1:6" x14ac:dyDescent="0.2">
      <c r="A277" s="1">
        <v>40453</v>
      </c>
      <c r="B277">
        <v>275</v>
      </c>
      <c r="C277">
        <f>IF(B277&gt;'user input'!$C$6,0,IF('heat units'!H277&gt;1,1,'heat units'!H277))</f>
        <v>1</v>
      </c>
      <c r="D277">
        <f>IF(B277&gt;'user input'!$C$6,0,(C277/(C277+EXP('user input'!$C$15-'user input'!$C$14*C277))))</f>
        <v>0.99996737202265329</v>
      </c>
      <c r="E277">
        <f>IF(C277&lt;'user input'!$C$12,(D277-D276)*'user input'!$C$17*(1-EXP(5*(F276-'user input'!$C$17))),F277-F276)</f>
        <v>0</v>
      </c>
      <c r="F277">
        <f>IF(C277&lt;'user input'!$C$12,IF(B277&gt;'user input'!$C$6,0,F276+E277),'user input'!$C$17*((1-C277)/(1-'user input'!$C$12)))</f>
        <v>0</v>
      </c>
    </row>
    <row r="278" spans="1:6" x14ac:dyDescent="0.2">
      <c r="A278" s="1">
        <v>40454</v>
      </c>
      <c r="B278">
        <v>276</v>
      </c>
      <c r="C278">
        <f>IF(B278&gt;'user input'!$C$6,0,IF('heat units'!H278&gt;1,1,'heat units'!H278))</f>
        <v>1</v>
      </c>
      <c r="D278">
        <f>IF(B278&gt;'user input'!$C$6,0,(C278/(C278+EXP('user input'!$C$15-'user input'!$C$14*C278))))</f>
        <v>0.99996737202265329</v>
      </c>
      <c r="E278">
        <f>IF(C278&lt;'user input'!$C$12,(D278-D277)*'user input'!$C$17*(1-EXP(5*(F277-'user input'!$C$17))),F278-F277)</f>
        <v>0</v>
      </c>
      <c r="F278">
        <f>IF(C278&lt;'user input'!$C$12,IF(B278&gt;'user input'!$C$6,0,F277+E278),'user input'!$C$17*((1-C278)/(1-'user input'!$C$12)))</f>
        <v>0</v>
      </c>
    </row>
    <row r="279" spans="1:6" x14ac:dyDescent="0.2">
      <c r="A279" s="1">
        <v>40455</v>
      </c>
      <c r="B279">
        <v>277</v>
      </c>
      <c r="C279">
        <f>IF(B279&gt;'user input'!$C$6,0,IF('heat units'!H279&gt;1,1,'heat units'!H279))</f>
        <v>1</v>
      </c>
      <c r="D279">
        <f>IF(B279&gt;'user input'!$C$6,0,(C279/(C279+EXP('user input'!$C$15-'user input'!$C$14*C279))))</f>
        <v>0.99996737202265329</v>
      </c>
      <c r="E279">
        <f>IF(C279&lt;'user input'!$C$12,(D279-D278)*'user input'!$C$17*(1-EXP(5*(F278-'user input'!$C$17))),F279-F278)</f>
        <v>0</v>
      </c>
      <c r="F279">
        <f>IF(C279&lt;'user input'!$C$12,IF(B279&gt;'user input'!$C$6,0,F278+E279),'user input'!$C$17*((1-C279)/(1-'user input'!$C$12)))</f>
        <v>0</v>
      </c>
    </row>
    <row r="280" spans="1:6" x14ac:dyDescent="0.2">
      <c r="A280" s="1">
        <v>40456</v>
      </c>
      <c r="B280">
        <v>278</v>
      </c>
      <c r="C280">
        <f>IF(B280&gt;'user input'!$C$6,0,IF('heat units'!H280&gt;1,1,'heat units'!H280))</f>
        <v>1</v>
      </c>
      <c r="D280">
        <f>IF(B280&gt;'user input'!$C$6,0,(C280/(C280+EXP('user input'!$C$15-'user input'!$C$14*C280))))</f>
        <v>0.99996737202265329</v>
      </c>
      <c r="E280">
        <f>IF(C280&lt;'user input'!$C$12,(D280-D279)*'user input'!$C$17*(1-EXP(5*(F279-'user input'!$C$17))),F280-F279)</f>
        <v>0</v>
      </c>
      <c r="F280">
        <f>IF(C280&lt;'user input'!$C$12,IF(B280&gt;'user input'!$C$6,0,F279+E280),'user input'!$C$17*((1-C280)/(1-'user input'!$C$12)))</f>
        <v>0</v>
      </c>
    </row>
    <row r="281" spans="1:6" x14ac:dyDescent="0.2">
      <c r="A281" s="1">
        <v>40457</v>
      </c>
      <c r="B281">
        <v>279</v>
      </c>
      <c r="C281">
        <f>IF(B281&gt;'user input'!$C$6,0,IF('heat units'!H281&gt;1,1,'heat units'!H281))</f>
        <v>1</v>
      </c>
      <c r="D281">
        <f>IF(B281&gt;'user input'!$C$6,0,(C281/(C281+EXP('user input'!$C$15-'user input'!$C$14*C281))))</f>
        <v>0.99996737202265329</v>
      </c>
      <c r="E281">
        <f>IF(C281&lt;'user input'!$C$12,(D281-D280)*'user input'!$C$17*(1-EXP(5*(F280-'user input'!$C$17))),F281-F280)</f>
        <v>0</v>
      </c>
      <c r="F281">
        <f>IF(C281&lt;'user input'!$C$12,IF(B281&gt;'user input'!$C$6,0,F280+E281),'user input'!$C$17*((1-C281)/(1-'user input'!$C$12)))</f>
        <v>0</v>
      </c>
    </row>
    <row r="282" spans="1:6" x14ac:dyDescent="0.2">
      <c r="A282" s="1">
        <v>40458</v>
      </c>
      <c r="B282">
        <v>280</v>
      </c>
      <c r="C282">
        <f>IF(B282&gt;'user input'!$C$6,0,IF('heat units'!H282&gt;1,1,'heat units'!H282))</f>
        <v>1</v>
      </c>
      <c r="D282">
        <f>IF(B282&gt;'user input'!$C$6,0,(C282/(C282+EXP('user input'!$C$15-'user input'!$C$14*C282))))</f>
        <v>0.99996737202265329</v>
      </c>
      <c r="E282">
        <f>IF(C282&lt;'user input'!$C$12,(D282-D281)*'user input'!$C$17*(1-EXP(5*(F281-'user input'!$C$17))),F282-F281)</f>
        <v>0</v>
      </c>
      <c r="F282">
        <f>IF(C282&lt;'user input'!$C$12,IF(B282&gt;'user input'!$C$6,0,F281+E282),'user input'!$C$17*((1-C282)/(1-'user input'!$C$12)))</f>
        <v>0</v>
      </c>
    </row>
    <row r="283" spans="1:6" x14ac:dyDescent="0.2">
      <c r="A283" s="1">
        <v>40459</v>
      </c>
      <c r="B283">
        <v>281</v>
      </c>
      <c r="C283">
        <f>IF(B283&gt;'user input'!$C$6,0,IF('heat units'!H283&gt;1,1,'heat units'!H283))</f>
        <v>1</v>
      </c>
      <c r="D283">
        <f>IF(B283&gt;'user input'!$C$6,0,(C283/(C283+EXP('user input'!$C$15-'user input'!$C$14*C283))))</f>
        <v>0.99996737202265329</v>
      </c>
      <c r="E283">
        <f>IF(C283&lt;'user input'!$C$12,(D283-D282)*'user input'!$C$17*(1-EXP(5*(F282-'user input'!$C$17))),F283-F282)</f>
        <v>0</v>
      </c>
      <c r="F283">
        <f>IF(C283&lt;'user input'!$C$12,IF(B283&gt;'user input'!$C$6,0,F282+E283),'user input'!$C$17*((1-C283)/(1-'user input'!$C$12)))</f>
        <v>0</v>
      </c>
    </row>
    <row r="284" spans="1:6" x14ac:dyDescent="0.2">
      <c r="A284" s="1">
        <v>40460</v>
      </c>
      <c r="B284">
        <v>282</v>
      </c>
      <c r="C284">
        <f>IF(B284&gt;'user input'!$C$6,0,IF('heat units'!H284&gt;1,1,'heat units'!H284))</f>
        <v>1</v>
      </c>
      <c r="D284">
        <f>IF(B284&gt;'user input'!$C$6,0,(C284/(C284+EXP('user input'!$C$15-'user input'!$C$14*C284))))</f>
        <v>0.99996737202265329</v>
      </c>
      <c r="E284">
        <f>IF(C284&lt;'user input'!$C$12,(D284-D283)*'user input'!$C$17*(1-EXP(5*(F283-'user input'!$C$17))),F284-F283)</f>
        <v>0</v>
      </c>
      <c r="F284">
        <f>IF(C284&lt;'user input'!$C$12,IF(B284&gt;'user input'!$C$6,0,F283+E284),'user input'!$C$17*((1-C284)/(1-'user input'!$C$12)))</f>
        <v>0</v>
      </c>
    </row>
    <row r="285" spans="1:6" x14ac:dyDescent="0.2">
      <c r="A285" s="1">
        <v>40461</v>
      </c>
      <c r="B285">
        <v>283</v>
      </c>
      <c r="C285">
        <f>IF(B285&gt;'user input'!$C$6,0,IF('heat units'!H285&gt;1,1,'heat units'!H285))</f>
        <v>1</v>
      </c>
      <c r="D285">
        <f>IF(B285&gt;'user input'!$C$6,0,(C285/(C285+EXP('user input'!$C$15-'user input'!$C$14*C285))))</f>
        <v>0.99996737202265329</v>
      </c>
      <c r="E285">
        <f>IF(C285&lt;'user input'!$C$12,(D285-D284)*'user input'!$C$17*(1-EXP(5*(F284-'user input'!$C$17))),F285-F284)</f>
        <v>0</v>
      </c>
      <c r="F285">
        <f>IF(C285&lt;'user input'!$C$12,IF(B285&gt;'user input'!$C$6,0,F284+E285),'user input'!$C$17*((1-C285)/(1-'user input'!$C$12)))</f>
        <v>0</v>
      </c>
    </row>
    <row r="286" spans="1:6" x14ac:dyDescent="0.2">
      <c r="A286" s="1">
        <v>40462</v>
      </c>
      <c r="B286">
        <v>284</v>
      </c>
      <c r="C286">
        <f>IF(B286&gt;'user input'!$C$6,0,IF('heat units'!H286&gt;1,1,'heat units'!H286))</f>
        <v>1</v>
      </c>
      <c r="D286">
        <f>IF(B286&gt;'user input'!$C$6,0,(C286/(C286+EXP('user input'!$C$15-'user input'!$C$14*C286))))</f>
        <v>0.99996737202265329</v>
      </c>
      <c r="E286">
        <f>IF(C286&lt;'user input'!$C$12,(D286-D285)*'user input'!$C$17*(1-EXP(5*(F285-'user input'!$C$17))),F286-F285)</f>
        <v>0</v>
      </c>
      <c r="F286">
        <f>IF(C286&lt;'user input'!$C$12,IF(B286&gt;'user input'!$C$6,0,F285+E286),'user input'!$C$17*((1-C286)/(1-'user input'!$C$12)))</f>
        <v>0</v>
      </c>
    </row>
    <row r="287" spans="1:6" x14ac:dyDescent="0.2">
      <c r="A287" s="1">
        <v>40463</v>
      </c>
      <c r="B287">
        <v>285</v>
      </c>
      <c r="C287">
        <f>IF(B287&gt;'user input'!$C$6,0,IF('heat units'!H287&gt;1,1,'heat units'!H287))</f>
        <v>1</v>
      </c>
      <c r="D287">
        <f>IF(B287&gt;'user input'!$C$6,0,(C287/(C287+EXP('user input'!$C$15-'user input'!$C$14*C287))))</f>
        <v>0.99996737202265329</v>
      </c>
      <c r="E287">
        <f>IF(C287&lt;'user input'!$C$12,(D287-D286)*'user input'!$C$17*(1-EXP(5*(F286-'user input'!$C$17))),F287-F286)</f>
        <v>0</v>
      </c>
      <c r="F287">
        <f>IF(C287&lt;'user input'!$C$12,IF(B287&gt;'user input'!$C$6,0,F286+E287),'user input'!$C$17*((1-C287)/(1-'user input'!$C$12)))</f>
        <v>0</v>
      </c>
    </row>
    <row r="288" spans="1:6" x14ac:dyDescent="0.2">
      <c r="A288" s="1">
        <v>40464</v>
      </c>
      <c r="B288">
        <v>286</v>
      </c>
      <c r="C288">
        <f>IF(B288&gt;'user input'!$C$6,0,IF('heat units'!H288&gt;1,1,'heat units'!H288))</f>
        <v>1</v>
      </c>
      <c r="D288">
        <f>IF(B288&gt;'user input'!$C$6,0,(C288/(C288+EXP('user input'!$C$15-'user input'!$C$14*C288))))</f>
        <v>0.99996737202265329</v>
      </c>
      <c r="E288">
        <f>IF(C288&lt;'user input'!$C$12,(D288-D287)*'user input'!$C$17*(1-EXP(5*(F287-'user input'!$C$17))),F288-F287)</f>
        <v>0</v>
      </c>
      <c r="F288">
        <f>IF(C288&lt;'user input'!$C$12,IF(B288&gt;'user input'!$C$6,0,F287+E288),'user input'!$C$17*((1-C288)/(1-'user input'!$C$12)))</f>
        <v>0</v>
      </c>
    </row>
    <row r="289" spans="1:6" x14ac:dyDescent="0.2">
      <c r="A289" s="1">
        <v>40465</v>
      </c>
      <c r="B289">
        <v>287</v>
      </c>
      <c r="C289">
        <f>IF(B289&gt;'user input'!$C$6,0,IF('heat units'!H289&gt;1,1,'heat units'!H289))</f>
        <v>1</v>
      </c>
      <c r="D289">
        <f>IF(B289&gt;'user input'!$C$6,0,(C289/(C289+EXP('user input'!$C$15-'user input'!$C$14*C289))))</f>
        <v>0.99996737202265329</v>
      </c>
      <c r="E289">
        <f>IF(C289&lt;'user input'!$C$12,(D289-D288)*'user input'!$C$17*(1-EXP(5*(F288-'user input'!$C$17))),F289-F288)</f>
        <v>0</v>
      </c>
      <c r="F289">
        <f>IF(C289&lt;'user input'!$C$12,IF(B289&gt;'user input'!$C$6,0,F288+E289),'user input'!$C$17*((1-C289)/(1-'user input'!$C$12)))</f>
        <v>0</v>
      </c>
    </row>
    <row r="290" spans="1:6" x14ac:dyDescent="0.2">
      <c r="A290" s="1">
        <v>40466</v>
      </c>
      <c r="B290">
        <v>288</v>
      </c>
      <c r="C290">
        <f>IF(B290&gt;'user input'!$C$6,0,IF('heat units'!H290&gt;1,1,'heat units'!H290))</f>
        <v>1</v>
      </c>
      <c r="D290">
        <f>IF(B290&gt;'user input'!$C$6,0,(C290/(C290+EXP('user input'!$C$15-'user input'!$C$14*C290))))</f>
        <v>0.99996737202265329</v>
      </c>
      <c r="E290">
        <f>IF(C290&lt;'user input'!$C$12,(D290-D289)*'user input'!$C$17*(1-EXP(5*(F289-'user input'!$C$17))),F290-F289)</f>
        <v>0</v>
      </c>
      <c r="F290">
        <f>IF(C290&lt;'user input'!$C$12,IF(B290&gt;'user input'!$C$6,0,F289+E290),'user input'!$C$17*((1-C290)/(1-'user input'!$C$12)))</f>
        <v>0</v>
      </c>
    </row>
    <row r="291" spans="1:6" x14ac:dyDescent="0.2">
      <c r="A291" s="1">
        <v>40467</v>
      </c>
      <c r="B291">
        <v>289</v>
      </c>
      <c r="C291">
        <f>IF(B291&gt;'user input'!$C$6,0,IF('heat units'!H291&gt;1,1,'heat units'!H291))</f>
        <v>1</v>
      </c>
      <c r="D291">
        <f>IF(B291&gt;'user input'!$C$6,0,(C291/(C291+EXP('user input'!$C$15-'user input'!$C$14*C291))))</f>
        <v>0.99996737202265329</v>
      </c>
      <c r="E291">
        <f>IF(C291&lt;'user input'!$C$12,(D291-D290)*'user input'!$C$17*(1-EXP(5*(F290-'user input'!$C$17))),F291-F290)</f>
        <v>0</v>
      </c>
      <c r="F291">
        <f>IF(C291&lt;'user input'!$C$12,IF(B291&gt;'user input'!$C$6,0,F290+E291),'user input'!$C$17*((1-C291)/(1-'user input'!$C$12)))</f>
        <v>0</v>
      </c>
    </row>
    <row r="292" spans="1:6" x14ac:dyDescent="0.2">
      <c r="A292" s="1">
        <v>40468</v>
      </c>
      <c r="B292">
        <v>290</v>
      </c>
      <c r="C292">
        <f>IF(B292&gt;'user input'!$C$6,0,IF('heat units'!H292&gt;1,1,'heat units'!H292))</f>
        <v>1</v>
      </c>
      <c r="D292">
        <f>IF(B292&gt;'user input'!$C$6,0,(C292/(C292+EXP('user input'!$C$15-'user input'!$C$14*C292))))</f>
        <v>0.99996737202265329</v>
      </c>
      <c r="E292">
        <f>IF(C292&lt;'user input'!$C$12,(D292-D291)*'user input'!$C$17*(1-EXP(5*(F291-'user input'!$C$17))),F292-F291)</f>
        <v>0</v>
      </c>
      <c r="F292">
        <f>IF(C292&lt;'user input'!$C$12,IF(B292&gt;'user input'!$C$6,0,F291+E292),'user input'!$C$17*((1-C292)/(1-'user input'!$C$12)))</f>
        <v>0</v>
      </c>
    </row>
    <row r="293" spans="1:6" x14ac:dyDescent="0.2">
      <c r="A293" s="1">
        <v>40469</v>
      </c>
      <c r="B293">
        <v>291</v>
      </c>
      <c r="C293">
        <f>IF(B293&gt;'user input'!$C$6,0,IF('heat units'!H293&gt;1,1,'heat units'!H293))</f>
        <v>1</v>
      </c>
      <c r="D293">
        <f>IF(B293&gt;'user input'!$C$6,0,(C293/(C293+EXP('user input'!$C$15-'user input'!$C$14*C293))))</f>
        <v>0.99996737202265329</v>
      </c>
      <c r="E293">
        <f>IF(C293&lt;'user input'!$C$12,(D293-D292)*'user input'!$C$17*(1-EXP(5*(F292-'user input'!$C$17))),F293-F292)</f>
        <v>0</v>
      </c>
      <c r="F293">
        <f>IF(C293&lt;'user input'!$C$12,IF(B293&gt;'user input'!$C$6,0,F292+E293),'user input'!$C$17*((1-C293)/(1-'user input'!$C$12)))</f>
        <v>0</v>
      </c>
    </row>
    <row r="294" spans="1:6" x14ac:dyDescent="0.2">
      <c r="A294" s="1">
        <v>40470</v>
      </c>
      <c r="B294">
        <v>292</v>
      </c>
      <c r="C294">
        <f>IF(B294&gt;'user input'!$C$6,0,IF('heat units'!H294&gt;1,1,'heat units'!H294))</f>
        <v>1</v>
      </c>
      <c r="D294">
        <f>IF(B294&gt;'user input'!$C$6,0,(C294/(C294+EXP('user input'!$C$15-'user input'!$C$14*C294))))</f>
        <v>0.99996737202265329</v>
      </c>
      <c r="E294">
        <f>IF(C294&lt;'user input'!$C$12,(D294-D293)*'user input'!$C$17*(1-EXP(5*(F293-'user input'!$C$17))),F294-F293)</f>
        <v>0</v>
      </c>
      <c r="F294">
        <f>IF(C294&lt;'user input'!$C$12,IF(B294&gt;'user input'!$C$6,0,F293+E294),'user input'!$C$17*((1-C294)/(1-'user input'!$C$12)))</f>
        <v>0</v>
      </c>
    </row>
    <row r="295" spans="1:6" x14ac:dyDescent="0.2">
      <c r="A295" s="1">
        <v>40471</v>
      </c>
      <c r="B295">
        <v>293</v>
      </c>
      <c r="C295">
        <f>IF(B295&gt;'user input'!$C$6,0,IF('heat units'!H295&gt;1,1,'heat units'!H295))</f>
        <v>1</v>
      </c>
      <c r="D295">
        <f>IF(B295&gt;'user input'!$C$6,0,(C295/(C295+EXP('user input'!$C$15-'user input'!$C$14*C295))))</f>
        <v>0.99996737202265329</v>
      </c>
      <c r="E295">
        <f>IF(C295&lt;'user input'!$C$12,(D295-D294)*'user input'!$C$17*(1-EXP(5*(F294-'user input'!$C$17))),F295-F294)</f>
        <v>0</v>
      </c>
      <c r="F295">
        <f>IF(C295&lt;'user input'!$C$12,IF(B295&gt;'user input'!$C$6,0,F294+E295),'user input'!$C$17*((1-C295)/(1-'user input'!$C$12)))</f>
        <v>0</v>
      </c>
    </row>
    <row r="296" spans="1:6" x14ac:dyDescent="0.2">
      <c r="A296" s="1">
        <v>40472</v>
      </c>
      <c r="B296">
        <v>294</v>
      </c>
      <c r="C296">
        <f>IF(B296&gt;'user input'!$C$6,0,IF('heat units'!H296&gt;1,1,'heat units'!H296))</f>
        <v>1</v>
      </c>
      <c r="D296">
        <f>IF(B296&gt;'user input'!$C$6,0,(C296/(C296+EXP('user input'!$C$15-'user input'!$C$14*C296))))</f>
        <v>0.99996737202265329</v>
      </c>
      <c r="E296">
        <f>IF(C296&lt;'user input'!$C$12,(D296-D295)*'user input'!$C$17*(1-EXP(5*(F295-'user input'!$C$17))),F296-F295)</f>
        <v>0</v>
      </c>
      <c r="F296">
        <f>IF(C296&lt;'user input'!$C$12,IF(B296&gt;'user input'!$C$6,0,F295+E296),'user input'!$C$17*((1-C296)/(1-'user input'!$C$12)))</f>
        <v>0</v>
      </c>
    </row>
    <row r="297" spans="1:6" x14ac:dyDescent="0.2">
      <c r="A297" s="1">
        <v>40473</v>
      </c>
      <c r="B297">
        <v>295</v>
      </c>
      <c r="C297">
        <f>IF(B297&gt;'user input'!$C$6,0,IF('heat units'!H297&gt;1,1,'heat units'!H297))</f>
        <v>1</v>
      </c>
      <c r="D297">
        <f>IF(B297&gt;'user input'!$C$6,0,(C297/(C297+EXP('user input'!$C$15-'user input'!$C$14*C297))))</f>
        <v>0.99996737202265329</v>
      </c>
      <c r="E297">
        <f>IF(C297&lt;'user input'!$C$12,(D297-D296)*'user input'!$C$17*(1-EXP(5*(F296-'user input'!$C$17))),F297-F296)</f>
        <v>0</v>
      </c>
      <c r="F297">
        <f>IF(C297&lt;'user input'!$C$12,IF(B297&gt;'user input'!$C$6,0,F296+E297),'user input'!$C$17*((1-C297)/(1-'user input'!$C$12)))</f>
        <v>0</v>
      </c>
    </row>
    <row r="298" spans="1:6" x14ac:dyDescent="0.2">
      <c r="A298" s="1">
        <v>40474</v>
      </c>
      <c r="B298">
        <v>296</v>
      </c>
      <c r="C298">
        <f>IF(B298&gt;'user input'!$C$6,0,IF('heat units'!H298&gt;1,1,'heat units'!H298))</f>
        <v>1</v>
      </c>
      <c r="D298">
        <f>IF(B298&gt;'user input'!$C$6,0,(C298/(C298+EXP('user input'!$C$15-'user input'!$C$14*C298))))</f>
        <v>0.99996737202265329</v>
      </c>
      <c r="E298">
        <f>IF(C298&lt;'user input'!$C$12,(D298-D297)*'user input'!$C$17*(1-EXP(5*(F297-'user input'!$C$17))),F298-F297)</f>
        <v>0</v>
      </c>
      <c r="F298">
        <f>IF(C298&lt;'user input'!$C$12,IF(B298&gt;'user input'!$C$6,0,F297+E298),'user input'!$C$17*((1-C298)/(1-'user input'!$C$12)))</f>
        <v>0</v>
      </c>
    </row>
    <row r="299" spans="1:6" x14ac:dyDescent="0.2">
      <c r="A299" s="1">
        <v>40475</v>
      </c>
      <c r="B299">
        <v>297</v>
      </c>
      <c r="C299">
        <f>IF(B299&gt;'user input'!$C$6,0,IF('heat units'!H299&gt;1,1,'heat units'!H299))</f>
        <v>1</v>
      </c>
      <c r="D299">
        <f>IF(B299&gt;'user input'!$C$6,0,(C299/(C299+EXP('user input'!$C$15-'user input'!$C$14*C299))))</f>
        <v>0.99996737202265329</v>
      </c>
      <c r="E299">
        <f>IF(C299&lt;'user input'!$C$12,(D299-D298)*'user input'!$C$17*(1-EXP(5*(F298-'user input'!$C$17))),F299-F298)</f>
        <v>0</v>
      </c>
      <c r="F299">
        <f>IF(C299&lt;'user input'!$C$12,IF(B299&gt;'user input'!$C$6,0,F298+E299),'user input'!$C$17*((1-C299)/(1-'user input'!$C$12)))</f>
        <v>0</v>
      </c>
    </row>
    <row r="300" spans="1:6" x14ac:dyDescent="0.2">
      <c r="A300" s="1">
        <v>40476</v>
      </c>
      <c r="B300">
        <v>298</v>
      </c>
      <c r="C300">
        <f>IF(B300&gt;'user input'!$C$6,0,IF('heat units'!H300&gt;1,1,'heat units'!H300))</f>
        <v>1</v>
      </c>
      <c r="D300">
        <f>IF(B300&gt;'user input'!$C$6,0,(C300/(C300+EXP('user input'!$C$15-'user input'!$C$14*C300))))</f>
        <v>0.99996737202265329</v>
      </c>
      <c r="E300">
        <f>IF(C300&lt;'user input'!$C$12,(D300-D299)*'user input'!$C$17*(1-EXP(5*(F299-'user input'!$C$17))),F300-F299)</f>
        <v>0</v>
      </c>
      <c r="F300">
        <f>IF(C300&lt;'user input'!$C$12,IF(B300&gt;'user input'!$C$6,0,F299+E300),'user input'!$C$17*((1-C300)/(1-'user input'!$C$12)))</f>
        <v>0</v>
      </c>
    </row>
    <row r="301" spans="1:6" x14ac:dyDescent="0.2">
      <c r="A301" s="1">
        <v>40477</v>
      </c>
      <c r="B301">
        <v>299</v>
      </c>
      <c r="C301">
        <f>IF(B301&gt;'user input'!$C$6,0,IF('heat units'!H301&gt;1,1,'heat units'!H301))</f>
        <v>1</v>
      </c>
      <c r="D301">
        <f>IF(B301&gt;'user input'!$C$6,0,(C301/(C301+EXP('user input'!$C$15-'user input'!$C$14*C301))))</f>
        <v>0.99996737202265329</v>
      </c>
      <c r="E301">
        <f>IF(C301&lt;'user input'!$C$12,(D301-D300)*'user input'!$C$17*(1-EXP(5*(F300-'user input'!$C$17))),F301-F300)</f>
        <v>0</v>
      </c>
      <c r="F301">
        <f>IF(C301&lt;'user input'!$C$12,IF(B301&gt;'user input'!$C$6,0,F300+E301),'user input'!$C$17*((1-C301)/(1-'user input'!$C$12)))</f>
        <v>0</v>
      </c>
    </row>
    <row r="302" spans="1:6" x14ac:dyDescent="0.2">
      <c r="A302" s="1">
        <v>40478</v>
      </c>
      <c r="B302">
        <v>300</v>
      </c>
      <c r="C302">
        <f>IF(B302&gt;'user input'!$C$6,0,IF('heat units'!H302&gt;1,1,'heat units'!H302))</f>
        <v>1</v>
      </c>
      <c r="D302">
        <f>IF(B302&gt;'user input'!$C$6,0,(C302/(C302+EXP('user input'!$C$15-'user input'!$C$14*C302))))</f>
        <v>0.99996737202265329</v>
      </c>
      <c r="E302">
        <f>IF(C302&lt;'user input'!$C$12,(D302-D301)*'user input'!$C$17*(1-EXP(5*(F301-'user input'!$C$17))),F302-F301)</f>
        <v>0</v>
      </c>
      <c r="F302">
        <f>IF(C302&lt;'user input'!$C$12,IF(B302&gt;'user input'!$C$6,0,F301+E302),'user input'!$C$17*((1-C302)/(1-'user input'!$C$12)))</f>
        <v>0</v>
      </c>
    </row>
    <row r="303" spans="1:6" x14ac:dyDescent="0.2">
      <c r="A303" s="1">
        <v>40479</v>
      </c>
      <c r="B303">
        <v>301</v>
      </c>
      <c r="C303">
        <f>IF(B303&gt;'user input'!$C$6,0,IF('heat units'!H303&gt;1,1,'heat units'!H303))</f>
        <v>1</v>
      </c>
      <c r="D303">
        <f>IF(B303&gt;'user input'!$C$6,0,(C303/(C303+EXP('user input'!$C$15-'user input'!$C$14*C303))))</f>
        <v>0.99996737202265329</v>
      </c>
      <c r="E303">
        <f>IF(C303&lt;'user input'!$C$12,(D303-D302)*'user input'!$C$17*(1-EXP(5*(F302-'user input'!$C$17))),F303-F302)</f>
        <v>0</v>
      </c>
      <c r="F303">
        <f>IF(C303&lt;'user input'!$C$12,IF(B303&gt;'user input'!$C$6,0,F302+E303),'user input'!$C$17*((1-C303)/(1-'user input'!$C$12)))</f>
        <v>0</v>
      </c>
    </row>
    <row r="304" spans="1:6" x14ac:dyDescent="0.2">
      <c r="A304" s="1">
        <v>40480</v>
      </c>
      <c r="B304">
        <v>302</v>
      </c>
      <c r="C304">
        <f>IF(B304&gt;'user input'!$C$6,0,IF('heat units'!H304&gt;1,1,'heat units'!H304))</f>
        <v>1</v>
      </c>
      <c r="D304">
        <f>IF(B304&gt;'user input'!$C$6,0,(C304/(C304+EXP('user input'!$C$15-'user input'!$C$14*C304))))</f>
        <v>0.99996737202265329</v>
      </c>
      <c r="E304">
        <f>IF(C304&lt;'user input'!$C$12,(D304-D303)*'user input'!$C$17*(1-EXP(5*(F303-'user input'!$C$17))),F304-F303)</f>
        <v>0</v>
      </c>
      <c r="F304">
        <f>IF(C304&lt;'user input'!$C$12,IF(B304&gt;'user input'!$C$6,0,F303+E304),'user input'!$C$17*((1-C304)/(1-'user input'!$C$12)))</f>
        <v>0</v>
      </c>
    </row>
    <row r="305" spans="1:6" x14ac:dyDescent="0.2">
      <c r="A305" s="1">
        <v>40481</v>
      </c>
      <c r="B305">
        <v>303</v>
      </c>
      <c r="C305">
        <f>IF(B305&gt;'user input'!$C$6,0,IF('heat units'!H305&gt;1,1,'heat units'!H305))</f>
        <v>1</v>
      </c>
      <c r="D305">
        <f>IF(B305&gt;'user input'!$C$6,0,(C305/(C305+EXP('user input'!$C$15-'user input'!$C$14*C305))))</f>
        <v>0.99996737202265329</v>
      </c>
      <c r="E305">
        <f>IF(C305&lt;'user input'!$C$12,(D305-D304)*'user input'!$C$17*(1-EXP(5*(F304-'user input'!$C$17))),F305-F304)</f>
        <v>0</v>
      </c>
      <c r="F305">
        <f>IF(C305&lt;'user input'!$C$12,IF(B305&gt;'user input'!$C$6,0,F304+E305),'user input'!$C$17*((1-C305)/(1-'user input'!$C$12)))</f>
        <v>0</v>
      </c>
    </row>
    <row r="306" spans="1:6" x14ac:dyDescent="0.2">
      <c r="A306" s="1">
        <v>40482</v>
      </c>
      <c r="B306">
        <v>304</v>
      </c>
      <c r="C306">
        <f>IF(B306&gt;'user input'!$C$6,0,IF('heat units'!H306&gt;1,1,'heat units'!H306))</f>
        <v>1</v>
      </c>
      <c r="D306">
        <f>IF(B306&gt;'user input'!$C$6,0,(C306/(C306+EXP('user input'!$C$15-'user input'!$C$14*C306))))</f>
        <v>0.99996737202265329</v>
      </c>
      <c r="E306">
        <f>IF(C306&lt;'user input'!$C$12,(D306-D305)*'user input'!$C$17*(1-EXP(5*(F305-'user input'!$C$17))),F306-F305)</f>
        <v>0</v>
      </c>
      <c r="F306">
        <f>IF(C306&lt;'user input'!$C$12,IF(B306&gt;'user input'!$C$6,0,F305+E306),'user input'!$C$17*((1-C306)/(1-'user input'!$C$12)))</f>
        <v>0</v>
      </c>
    </row>
    <row r="307" spans="1:6" x14ac:dyDescent="0.2">
      <c r="A307" s="1">
        <v>40483</v>
      </c>
      <c r="B307">
        <v>305</v>
      </c>
      <c r="C307">
        <f>IF(B307&gt;'user input'!$C$6,0,IF('heat units'!H307&gt;1,1,'heat units'!H307))</f>
        <v>1</v>
      </c>
      <c r="D307">
        <f>IF(B307&gt;'user input'!$C$6,0,(C307/(C307+EXP('user input'!$C$15-'user input'!$C$14*C307))))</f>
        <v>0.99996737202265329</v>
      </c>
      <c r="E307">
        <f>IF(C307&lt;'user input'!$C$12,(D307-D306)*'user input'!$C$17*(1-EXP(5*(F306-'user input'!$C$17))),F307-F306)</f>
        <v>0</v>
      </c>
      <c r="F307">
        <f>IF(C307&lt;'user input'!$C$12,IF(B307&gt;'user input'!$C$6,0,F306+E307),'user input'!$C$17*((1-C307)/(1-'user input'!$C$12)))</f>
        <v>0</v>
      </c>
    </row>
    <row r="308" spans="1:6" x14ac:dyDescent="0.2">
      <c r="A308" s="1">
        <v>40484</v>
      </c>
      <c r="B308">
        <v>306</v>
      </c>
      <c r="C308">
        <f>IF(B308&gt;'user input'!$C$6,0,IF('heat units'!H308&gt;1,1,'heat units'!H308))</f>
        <v>1</v>
      </c>
      <c r="D308">
        <f>IF(B308&gt;'user input'!$C$6,0,(C308/(C308+EXP('user input'!$C$15-'user input'!$C$14*C308))))</f>
        <v>0.99996737202265329</v>
      </c>
      <c r="E308">
        <f>IF(C308&lt;'user input'!$C$12,(D308-D307)*'user input'!$C$17*(1-EXP(5*(F307-'user input'!$C$17))),F308-F307)</f>
        <v>0</v>
      </c>
      <c r="F308">
        <f>IF(C308&lt;'user input'!$C$12,IF(B308&gt;'user input'!$C$6,0,F307+E308),'user input'!$C$17*((1-C308)/(1-'user input'!$C$12)))</f>
        <v>0</v>
      </c>
    </row>
    <row r="309" spans="1:6" x14ac:dyDescent="0.2">
      <c r="A309" s="1">
        <v>40485</v>
      </c>
      <c r="B309">
        <v>307</v>
      </c>
      <c r="C309">
        <f>IF(B309&gt;'user input'!$C$6,0,IF('heat units'!H309&gt;1,1,'heat units'!H309))</f>
        <v>1</v>
      </c>
      <c r="D309">
        <f>IF(B309&gt;'user input'!$C$6,0,(C309/(C309+EXP('user input'!$C$15-'user input'!$C$14*C309))))</f>
        <v>0.99996737202265329</v>
      </c>
      <c r="E309">
        <f>IF(C309&lt;'user input'!$C$12,(D309-D308)*'user input'!$C$17*(1-EXP(5*(F308-'user input'!$C$17))),F309-F308)</f>
        <v>0</v>
      </c>
      <c r="F309">
        <f>IF(C309&lt;'user input'!$C$12,IF(B309&gt;'user input'!$C$6,0,F308+E309),'user input'!$C$17*((1-C309)/(1-'user input'!$C$12)))</f>
        <v>0</v>
      </c>
    </row>
    <row r="310" spans="1:6" x14ac:dyDescent="0.2">
      <c r="A310" s="1">
        <v>40486</v>
      </c>
      <c r="B310">
        <v>308</v>
      </c>
      <c r="C310">
        <f>IF(B310&gt;'user input'!$C$6,0,IF('heat units'!H310&gt;1,1,'heat units'!H310))</f>
        <v>1</v>
      </c>
      <c r="D310">
        <f>IF(B310&gt;'user input'!$C$6,0,(C310/(C310+EXP('user input'!$C$15-'user input'!$C$14*C310))))</f>
        <v>0.99996737202265329</v>
      </c>
      <c r="E310">
        <f>IF(C310&lt;'user input'!$C$12,(D310-D309)*'user input'!$C$17*(1-EXP(5*(F309-'user input'!$C$17))),F310-F309)</f>
        <v>0</v>
      </c>
      <c r="F310">
        <f>IF(C310&lt;'user input'!$C$12,IF(B310&gt;'user input'!$C$6,0,F309+E310),'user input'!$C$17*((1-C310)/(1-'user input'!$C$12)))</f>
        <v>0</v>
      </c>
    </row>
    <row r="311" spans="1:6" x14ac:dyDescent="0.2">
      <c r="A311" s="1">
        <v>40487</v>
      </c>
      <c r="B311">
        <v>309</v>
      </c>
      <c r="C311">
        <f>IF(B311&gt;'user input'!$C$6,0,IF('heat units'!H311&gt;1,1,'heat units'!H311))</f>
        <v>1</v>
      </c>
      <c r="D311">
        <f>IF(B311&gt;'user input'!$C$6,0,(C311/(C311+EXP('user input'!$C$15-'user input'!$C$14*C311))))</f>
        <v>0.99996737202265329</v>
      </c>
      <c r="E311">
        <f>IF(C311&lt;'user input'!$C$12,(D311-D310)*'user input'!$C$17*(1-EXP(5*(F310-'user input'!$C$17))),F311-F310)</f>
        <v>0</v>
      </c>
      <c r="F311">
        <f>IF(C311&lt;'user input'!$C$12,IF(B311&gt;'user input'!$C$6,0,F310+E311),'user input'!$C$17*((1-C311)/(1-'user input'!$C$12)))</f>
        <v>0</v>
      </c>
    </row>
    <row r="312" spans="1:6" x14ac:dyDescent="0.2">
      <c r="A312" s="1">
        <v>40488</v>
      </c>
      <c r="B312">
        <v>310</v>
      </c>
      <c r="C312">
        <f>IF(B312&gt;'user input'!$C$6,0,IF('heat units'!H312&gt;1,1,'heat units'!H312))</f>
        <v>1</v>
      </c>
      <c r="D312">
        <f>IF(B312&gt;'user input'!$C$6,0,(C312/(C312+EXP('user input'!$C$15-'user input'!$C$14*C312))))</f>
        <v>0.99996737202265329</v>
      </c>
      <c r="E312">
        <f>IF(C312&lt;'user input'!$C$12,(D312-D311)*'user input'!$C$17*(1-EXP(5*(F311-'user input'!$C$17))),F312-F311)</f>
        <v>0</v>
      </c>
      <c r="F312">
        <f>IF(C312&lt;'user input'!$C$12,IF(B312&gt;'user input'!$C$6,0,F311+E312),'user input'!$C$17*((1-C312)/(1-'user input'!$C$12)))</f>
        <v>0</v>
      </c>
    </row>
    <row r="313" spans="1:6" x14ac:dyDescent="0.2">
      <c r="A313" s="1">
        <v>40489</v>
      </c>
      <c r="B313">
        <v>311</v>
      </c>
      <c r="C313">
        <f>IF(B313&gt;'user input'!$C$6,0,IF('heat units'!H313&gt;1,1,'heat units'!H313))</f>
        <v>1</v>
      </c>
      <c r="D313">
        <f>IF(B313&gt;'user input'!$C$6,0,(C313/(C313+EXP('user input'!$C$15-'user input'!$C$14*C313))))</f>
        <v>0.99996737202265329</v>
      </c>
      <c r="E313">
        <f>IF(C313&lt;'user input'!$C$12,(D313-D312)*'user input'!$C$17*(1-EXP(5*(F312-'user input'!$C$17))),F313-F312)</f>
        <v>0</v>
      </c>
      <c r="F313">
        <f>IF(C313&lt;'user input'!$C$12,IF(B313&gt;'user input'!$C$6,0,F312+E313),'user input'!$C$17*((1-C313)/(1-'user input'!$C$12)))</f>
        <v>0</v>
      </c>
    </row>
    <row r="314" spans="1:6" x14ac:dyDescent="0.2">
      <c r="A314" s="1">
        <v>40490</v>
      </c>
      <c r="B314">
        <v>312</v>
      </c>
      <c r="C314">
        <f>IF(B314&gt;'user input'!$C$6,0,IF('heat units'!H314&gt;1,1,'heat units'!H314))</f>
        <v>1</v>
      </c>
      <c r="D314">
        <f>IF(B314&gt;'user input'!$C$6,0,(C314/(C314+EXP('user input'!$C$15-'user input'!$C$14*C314))))</f>
        <v>0.99996737202265329</v>
      </c>
      <c r="E314">
        <f>IF(C314&lt;'user input'!$C$12,(D314-D313)*'user input'!$C$17*(1-EXP(5*(F313-'user input'!$C$17))),F314-F313)</f>
        <v>0</v>
      </c>
      <c r="F314">
        <f>IF(C314&lt;'user input'!$C$12,IF(B314&gt;'user input'!$C$6,0,F313+E314),'user input'!$C$17*((1-C314)/(1-'user input'!$C$12)))</f>
        <v>0</v>
      </c>
    </row>
    <row r="315" spans="1:6" x14ac:dyDescent="0.2">
      <c r="A315" s="1">
        <v>40491</v>
      </c>
      <c r="B315">
        <v>313</v>
      </c>
      <c r="C315">
        <f>IF(B315&gt;'user input'!$C$6,0,IF('heat units'!H315&gt;1,1,'heat units'!H315))</f>
        <v>1</v>
      </c>
      <c r="D315">
        <f>IF(B315&gt;'user input'!$C$6,0,(C315/(C315+EXP('user input'!$C$15-'user input'!$C$14*C315))))</f>
        <v>0.99996737202265329</v>
      </c>
      <c r="E315">
        <f>IF(C315&lt;'user input'!$C$12,(D315-D314)*'user input'!$C$17*(1-EXP(5*(F314-'user input'!$C$17))),F315-F314)</f>
        <v>0</v>
      </c>
      <c r="F315">
        <f>IF(C315&lt;'user input'!$C$12,IF(B315&gt;'user input'!$C$6,0,F314+E315),'user input'!$C$17*((1-C315)/(1-'user input'!$C$12)))</f>
        <v>0</v>
      </c>
    </row>
    <row r="316" spans="1:6" x14ac:dyDescent="0.2">
      <c r="A316" s="1">
        <v>40492</v>
      </c>
      <c r="B316">
        <v>314</v>
      </c>
      <c r="C316">
        <f>IF(B316&gt;'user input'!$C$6,0,IF('heat units'!H316&gt;1,1,'heat units'!H316))</f>
        <v>1</v>
      </c>
      <c r="D316">
        <f>IF(B316&gt;'user input'!$C$6,0,(C316/(C316+EXP('user input'!$C$15-'user input'!$C$14*C316))))</f>
        <v>0.99996737202265329</v>
      </c>
      <c r="E316">
        <f>IF(C316&lt;'user input'!$C$12,(D316-D315)*'user input'!$C$17*(1-EXP(5*(F315-'user input'!$C$17))),F316-F315)</f>
        <v>0</v>
      </c>
      <c r="F316">
        <f>IF(C316&lt;'user input'!$C$12,IF(B316&gt;'user input'!$C$6,0,F315+E316),'user input'!$C$17*((1-C316)/(1-'user input'!$C$12)))</f>
        <v>0</v>
      </c>
    </row>
    <row r="317" spans="1:6" x14ac:dyDescent="0.2">
      <c r="A317" s="1">
        <v>40493</v>
      </c>
      <c r="B317">
        <v>315</v>
      </c>
      <c r="C317">
        <f>IF(B317&gt;'user input'!$C$6,0,IF('heat units'!H317&gt;1,1,'heat units'!H317))</f>
        <v>1</v>
      </c>
      <c r="D317">
        <f>IF(B317&gt;'user input'!$C$6,0,(C317/(C317+EXP('user input'!$C$15-'user input'!$C$14*C317))))</f>
        <v>0.99996737202265329</v>
      </c>
      <c r="E317">
        <f>IF(C317&lt;'user input'!$C$12,(D317-D316)*'user input'!$C$17*(1-EXP(5*(F316-'user input'!$C$17))),F317-F316)</f>
        <v>0</v>
      </c>
      <c r="F317">
        <f>IF(C317&lt;'user input'!$C$12,IF(B317&gt;'user input'!$C$6,0,F316+E317),'user input'!$C$17*((1-C317)/(1-'user input'!$C$12)))</f>
        <v>0</v>
      </c>
    </row>
    <row r="318" spans="1:6" x14ac:dyDescent="0.2">
      <c r="A318" s="1">
        <v>40494</v>
      </c>
      <c r="B318">
        <v>316</v>
      </c>
      <c r="C318">
        <f>IF(B318&gt;'user input'!$C$6,0,IF('heat units'!H318&gt;1,1,'heat units'!H318))</f>
        <v>1</v>
      </c>
      <c r="D318">
        <f>IF(B318&gt;'user input'!$C$6,0,(C318/(C318+EXP('user input'!$C$15-'user input'!$C$14*C318))))</f>
        <v>0.99996737202265329</v>
      </c>
      <c r="E318">
        <f>IF(C318&lt;'user input'!$C$12,(D318-D317)*'user input'!$C$17*(1-EXP(5*(F317-'user input'!$C$17))),F318-F317)</f>
        <v>0</v>
      </c>
      <c r="F318">
        <f>IF(C318&lt;'user input'!$C$12,IF(B318&gt;'user input'!$C$6,0,F317+E318),'user input'!$C$17*((1-C318)/(1-'user input'!$C$12)))</f>
        <v>0</v>
      </c>
    </row>
    <row r="319" spans="1:6" x14ac:dyDescent="0.2">
      <c r="A319" s="1">
        <v>40495</v>
      </c>
      <c r="B319">
        <v>317</v>
      </c>
      <c r="C319">
        <f>IF(B319&gt;'user input'!$C$6,0,IF('heat units'!H319&gt;1,1,'heat units'!H319))</f>
        <v>1</v>
      </c>
      <c r="D319">
        <f>IF(B319&gt;'user input'!$C$6,0,(C319/(C319+EXP('user input'!$C$15-'user input'!$C$14*C319))))</f>
        <v>0.99996737202265329</v>
      </c>
      <c r="E319">
        <f>IF(C319&lt;'user input'!$C$12,(D319-D318)*'user input'!$C$17*(1-EXP(5*(F318-'user input'!$C$17))),F319-F318)</f>
        <v>0</v>
      </c>
      <c r="F319">
        <f>IF(C319&lt;'user input'!$C$12,IF(B319&gt;'user input'!$C$6,0,F318+E319),'user input'!$C$17*((1-C319)/(1-'user input'!$C$12)))</f>
        <v>0</v>
      </c>
    </row>
    <row r="320" spans="1:6" x14ac:dyDescent="0.2">
      <c r="A320" s="1">
        <v>40496</v>
      </c>
      <c r="B320">
        <v>318</v>
      </c>
      <c r="C320">
        <f>IF(B320&gt;'user input'!$C$6,0,IF('heat units'!H320&gt;1,1,'heat units'!H320))</f>
        <v>1</v>
      </c>
      <c r="D320">
        <f>IF(B320&gt;'user input'!$C$6,0,(C320/(C320+EXP('user input'!$C$15-'user input'!$C$14*C320))))</f>
        <v>0.99996737202265329</v>
      </c>
      <c r="E320">
        <f>IF(C320&lt;'user input'!$C$12,(D320-D319)*'user input'!$C$17*(1-EXP(5*(F319-'user input'!$C$17))),F320-F319)</f>
        <v>0</v>
      </c>
      <c r="F320">
        <f>IF(C320&lt;'user input'!$C$12,IF(B320&gt;'user input'!$C$6,0,F319+E320),'user input'!$C$17*((1-C320)/(1-'user input'!$C$12)))</f>
        <v>0</v>
      </c>
    </row>
    <row r="321" spans="1:6" x14ac:dyDescent="0.2">
      <c r="A321" s="1">
        <v>40497</v>
      </c>
      <c r="B321">
        <v>319</v>
      </c>
      <c r="C321">
        <f>IF(B321&gt;'user input'!$C$6,0,IF('heat units'!H321&gt;1,1,'heat units'!H321))</f>
        <v>1</v>
      </c>
      <c r="D321">
        <f>IF(B321&gt;'user input'!$C$6,0,(C321/(C321+EXP('user input'!$C$15-'user input'!$C$14*C321))))</f>
        <v>0.99996737202265329</v>
      </c>
      <c r="E321">
        <f>IF(C321&lt;'user input'!$C$12,(D321-D320)*'user input'!$C$17*(1-EXP(5*(F320-'user input'!$C$17))),F321-F320)</f>
        <v>0</v>
      </c>
      <c r="F321">
        <f>IF(C321&lt;'user input'!$C$12,IF(B321&gt;'user input'!$C$6,0,F320+E321),'user input'!$C$17*((1-C321)/(1-'user input'!$C$12)))</f>
        <v>0</v>
      </c>
    </row>
    <row r="322" spans="1:6" x14ac:dyDescent="0.2">
      <c r="A322" s="1">
        <v>40498</v>
      </c>
      <c r="B322">
        <v>320</v>
      </c>
      <c r="C322">
        <f>IF(B322&gt;'user input'!$C$6,0,IF('heat units'!H322&gt;1,1,'heat units'!H322))</f>
        <v>0</v>
      </c>
      <c r="D322">
        <f>IF(B322&gt;'user input'!$C$6,0,(C322/(C322+EXP('user input'!$C$15-'user input'!$C$14*C322))))</f>
        <v>0</v>
      </c>
      <c r="E322">
        <f>IF(C322&lt;'user input'!$C$12,(D322-D321)*'user input'!$C$17*(1-EXP(5*(F321-'user input'!$C$17))),F322-F321)</f>
        <v>-2.9999011983909414</v>
      </c>
      <c r="F322">
        <f>IF(C322&lt;'user input'!$C$12,IF(B322&gt;'user input'!$C$6,0,F321+E322),'user input'!$C$17*((1-C322)/(1-'user input'!$C$12)))</f>
        <v>0</v>
      </c>
    </row>
    <row r="323" spans="1:6" x14ac:dyDescent="0.2">
      <c r="A323" s="1">
        <v>40499</v>
      </c>
      <c r="B323">
        <v>321</v>
      </c>
      <c r="C323">
        <f>IF(B323&gt;'user input'!$C$6,0,IF('heat units'!H323&gt;1,1,'heat units'!H323))</f>
        <v>0</v>
      </c>
      <c r="D323">
        <f>IF(B323&gt;'user input'!$C$6,0,(C323/(C323+EXP('user input'!$C$15-'user input'!$C$14*C323))))</f>
        <v>0</v>
      </c>
      <c r="E323">
        <f>IF(C323&lt;'user input'!$C$12,(D323-D322)*'user input'!$C$17*(1-EXP(5*(F322-'user input'!$C$17))),F323-F322)</f>
        <v>0</v>
      </c>
      <c r="F323">
        <f>IF(C323&lt;'user input'!$C$12,IF(B323&gt;'user input'!$C$6,0,F322+E323),'user input'!$C$17*((1-C323)/(1-'user input'!$C$12)))</f>
        <v>0</v>
      </c>
    </row>
    <row r="324" spans="1:6" x14ac:dyDescent="0.2">
      <c r="A324" s="1">
        <v>40500</v>
      </c>
      <c r="B324">
        <v>322</v>
      </c>
      <c r="C324">
        <f>IF(B324&gt;'user input'!$C$6,0,IF('heat units'!H324&gt;1,1,'heat units'!H324))</f>
        <v>0</v>
      </c>
      <c r="D324">
        <f>IF(B324&gt;'user input'!$C$6,0,(C324/(C324+EXP('user input'!$C$15-'user input'!$C$14*C324))))</f>
        <v>0</v>
      </c>
      <c r="E324">
        <f>IF(C324&lt;'user input'!$C$12,(D324-D323)*'user input'!$C$17*(1-EXP(5*(F323-'user input'!$C$17))),F324-F323)</f>
        <v>0</v>
      </c>
      <c r="F324">
        <f>IF(C324&lt;'user input'!$C$12,IF(B324&gt;'user input'!$C$6,0,F323+E324),'user input'!$C$17*((1-C324)/(1-'user input'!$C$12)))</f>
        <v>0</v>
      </c>
    </row>
    <row r="325" spans="1:6" x14ac:dyDescent="0.2">
      <c r="A325" s="1">
        <v>40501</v>
      </c>
      <c r="B325">
        <v>323</v>
      </c>
      <c r="C325">
        <f>IF(B325&gt;'user input'!$C$6,0,IF('heat units'!H325&gt;1,1,'heat units'!H325))</f>
        <v>0</v>
      </c>
      <c r="D325">
        <f>IF(B325&gt;'user input'!$C$6,0,(C325/(C325+EXP('user input'!$C$15-'user input'!$C$14*C325))))</f>
        <v>0</v>
      </c>
      <c r="E325">
        <f>IF(C325&lt;'user input'!$C$12,(D325-D324)*'user input'!$C$17*(1-EXP(5*(F324-'user input'!$C$17))),F325-F324)</f>
        <v>0</v>
      </c>
      <c r="F325">
        <f>IF(C325&lt;'user input'!$C$12,IF(B325&gt;'user input'!$C$6,0,F324+E325),'user input'!$C$17*((1-C325)/(1-'user input'!$C$12)))</f>
        <v>0</v>
      </c>
    </row>
    <row r="326" spans="1:6" x14ac:dyDescent="0.2">
      <c r="A326" s="1">
        <v>40502</v>
      </c>
      <c r="B326">
        <v>324</v>
      </c>
      <c r="C326">
        <f>IF(B326&gt;'user input'!$C$6,0,IF('heat units'!H326&gt;1,1,'heat units'!H326))</f>
        <v>0</v>
      </c>
      <c r="D326">
        <f>IF(B326&gt;'user input'!$C$6,0,(C326/(C326+EXP('user input'!$C$15-'user input'!$C$14*C326))))</f>
        <v>0</v>
      </c>
      <c r="E326">
        <f>IF(C326&lt;'user input'!$C$12,(D326-D325)*'user input'!$C$17*(1-EXP(5*(F325-'user input'!$C$17))),F326-F325)</f>
        <v>0</v>
      </c>
      <c r="F326">
        <f>IF(C326&lt;'user input'!$C$12,IF(B326&gt;'user input'!$C$6,0,F325+E326),'user input'!$C$17*((1-C326)/(1-'user input'!$C$12)))</f>
        <v>0</v>
      </c>
    </row>
    <row r="327" spans="1:6" x14ac:dyDescent="0.2">
      <c r="A327" s="1">
        <v>40503</v>
      </c>
      <c r="B327">
        <v>325</v>
      </c>
      <c r="C327">
        <f>IF(B327&gt;'user input'!$C$6,0,IF('heat units'!H327&gt;1,1,'heat units'!H327))</f>
        <v>0</v>
      </c>
      <c r="D327">
        <f>IF(B327&gt;'user input'!$C$6,0,(C327/(C327+EXP('user input'!$C$15-'user input'!$C$14*C327))))</f>
        <v>0</v>
      </c>
      <c r="E327">
        <f>IF(C327&lt;'user input'!$C$12,(D327-D326)*'user input'!$C$17*(1-EXP(5*(F326-'user input'!$C$17))),F327-F326)</f>
        <v>0</v>
      </c>
      <c r="F327">
        <f>IF(C327&lt;'user input'!$C$12,IF(B327&gt;'user input'!$C$6,0,F326+E327),'user input'!$C$17*((1-C327)/(1-'user input'!$C$12)))</f>
        <v>0</v>
      </c>
    </row>
    <row r="328" spans="1:6" x14ac:dyDescent="0.2">
      <c r="A328" s="1">
        <v>40504</v>
      </c>
      <c r="B328">
        <v>326</v>
      </c>
      <c r="C328">
        <f>IF(B328&gt;'user input'!$C$6,0,IF('heat units'!H328&gt;1,1,'heat units'!H328))</f>
        <v>0</v>
      </c>
      <c r="D328">
        <f>IF(B328&gt;'user input'!$C$6,0,(C328/(C328+EXP('user input'!$C$15-'user input'!$C$14*C328))))</f>
        <v>0</v>
      </c>
      <c r="E328">
        <f>IF(C328&lt;'user input'!$C$12,(D328-D327)*'user input'!$C$17*(1-EXP(5*(F327-'user input'!$C$17))),F328-F327)</f>
        <v>0</v>
      </c>
      <c r="F328">
        <f>IF(C328&lt;'user input'!$C$12,IF(B328&gt;'user input'!$C$6,0,F327+E328),'user input'!$C$17*((1-C328)/(1-'user input'!$C$12)))</f>
        <v>0</v>
      </c>
    </row>
    <row r="329" spans="1:6" x14ac:dyDescent="0.2">
      <c r="A329" s="1">
        <v>40505</v>
      </c>
      <c r="B329">
        <v>327</v>
      </c>
      <c r="C329">
        <f>IF(B329&gt;'user input'!$C$6,0,IF('heat units'!H329&gt;1,1,'heat units'!H329))</f>
        <v>0</v>
      </c>
      <c r="D329">
        <f>IF(B329&gt;'user input'!$C$6,0,(C329/(C329+EXP('user input'!$C$15-'user input'!$C$14*C329))))</f>
        <v>0</v>
      </c>
      <c r="E329">
        <f>IF(C329&lt;'user input'!$C$12,(D329-D328)*'user input'!$C$17*(1-EXP(5*(F328-'user input'!$C$17))),F329-F328)</f>
        <v>0</v>
      </c>
      <c r="F329">
        <f>IF(C329&lt;'user input'!$C$12,IF(B329&gt;'user input'!$C$6,0,F328+E329),'user input'!$C$17*((1-C329)/(1-'user input'!$C$12)))</f>
        <v>0</v>
      </c>
    </row>
    <row r="330" spans="1:6" x14ac:dyDescent="0.2">
      <c r="A330" s="1">
        <v>40506</v>
      </c>
      <c r="B330">
        <v>328</v>
      </c>
      <c r="C330">
        <f>IF(B330&gt;'user input'!$C$6,0,IF('heat units'!H330&gt;1,1,'heat units'!H330))</f>
        <v>0</v>
      </c>
      <c r="D330">
        <f>IF(B330&gt;'user input'!$C$6,0,(C330/(C330+EXP('user input'!$C$15-'user input'!$C$14*C330))))</f>
        <v>0</v>
      </c>
      <c r="E330">
        <f>IF(C330&lt;'user input'!$C$12,(D330-D329)*'user input'!$C$17*(1-EXP(5*(F329-'user input'!$C$17))),F330-F329)</f>
        <v>0</v>
      </c>
      <c r="F330">
        <f>IF(C330&lt;'user input'!$C$12,IF(B330&gt;'user input'!$C$6,0,F329+E330),'user input'!$C$17*((1-C330)/(1-'user input'!$C$12)))</f>
        <v>0</v>
      </c>
    </row>
    <row r="331" spans="1:6" x14ac:dyDescent="0.2">
      <c r="A331" s="1">
        <v>40507</v>
      </c>
      <c r="B331">
        <v>329</v>
      </c>
      <c r="C331">
        <f>IF(B331&gt;'user input'!$C$6,0,IF('heat units'!H331&gt;1,1,'heat units'!H331))</f>
        <v>0</v>
      </c>
      <c r="D331">
        <f>IF(B331&gt;'user input'!$C$6,0,(C331/(C331+EXP('user input'!$C$15-'user input'!$C$14*C331))))</f>
        <v>0</v>
      </c>
      <c r="E331">
        <f>IF(C331&lt;'user input'!$C$12,(D331-D330)*'user input'!$C$17*(1-EXP(5*(F330-'user input'!$C$17))),F331-F330)</f>
        <v>0</v>
      </c>
      <c r="F331">
        <f>IF(C331&lt;'user input'!$C$12,IF(B331&gt;'user input'!$C$6,0,F330+E331),'user input'!$C$17*((1-C331)/(1-'user input'!$C$12)))</f>
        <v>0</v>
      </c>
    </row>
    <row r="332" spans="1:6" x14ac:dyDescent="0.2">
      <c r="A332" s="1">
        <v>40508</v>
      </c>
      <c r="B332">
        <v>330</v>
      </c>
      <c r="C332">
        <f>IF(B332&gt;'user input'!$C$6,0,IF('heat units'!H332&gt;1,1,'heat units'!H332))</f>
        <v>0</v>
      </c>
      <c r="D332">
        <f>IF(B332&gt;'user input'!$C$6,0,(C332/(C332+EXP('user input'!$C$15-'user input'!$C$14*C332))))</f>
        <v>0</v>
      </c>
      <c r="E332">
        <f>IF(C332&lt;'user input'!$C$12,(D332-D331)*'user input'!$C$17*(1-EXP(5*(F331-'user input'!$C$17))),F332-F331)</f>
        <v>0</v>
      </c>
      <c r="F332">
        <f>IF(C332&lt;'user input'!$C$12,IF(B332&gt;'user input'!$C$6,0,F331+E332),'user input'!$C$17*((1-C332)/(1-'user input'!$C$12)))</f>
        <v>0</v>
      </c>
    </row>
    <row r="333" spans="1:6" x14ac:dyDescent="0.2">
      <c r="A333" s="1">
        <v>40509</v>
      </c>
      <c r="B333">
        <v>331</v>
      </c>
      <c r="C333">
        <f>IF(B333&gt;'user input'!$C$6,0,IF('heat units'!H333&gt;1,1,'heat units'!H333))</f>
        <v>0</v>
      </c>
      <c r="D333">
        <f>IF(B333&gt;'user input'!$C$6,0,(C333/(C333+EXP('user input'!$C$15-'user input'!$C$14*C333))))</f>
        <v>0</v>
      </c>
      <c r="E333">
        <f>IF(C333&lt;'user input'!$C$12,(D333-D332)*'user input'!$C$17*(1-EXP(5*(F332-'user input'!$C$17))),F333-F332)</f>
        <v>0</v>
      </c>
      <c r="F333">
        <f>IF(C333&lt;'user input'!$C$12,IF(B333&gt;'user input'!$C$6,0,F332+E333),'user input'!$C$17*((1-C333)/(1-'user input'!$C$12)))</f>
        <v>0</v>
      </c>
    </row>
    <row r="334" spans="1:6" x14ac:dyDescent="0.2">
      <c r="A334" s="1">
        <v>40510</v>
      </c>
      <c r="B334">
        <v>332</v>
      </c>
      <c r="C334">
        <f>IF(B334&gt;'user input'!$C$6,0,IF('heat units'!H334&gt;1,1,'heat units'!H334))</f>
        <v>0</v>
      </c>
      <c r="D334">
        <f>IF(B334&gt;'user input'!$C$6,0,(C334/(C334+EXP('user input'!$C$15-'user input'!$C$14*C334))))</f>
        <v>0</v>
      </c>
      <c r="E334">
        <f>IF(C334&lt;'user input'!$C$12,(D334-D333)*'user input'!$C$17*(1-EXP(5*(F333-'user input'!$C$17))),F334-F333)</f>
        <v>0</v>
      </c>
      <c r="F334">
        <f>IF(C334&lt;'user input'!$C$12,IF(B334&gt;'user input'!$C$6,0,F333+E334),'user input'!$C$17*((1-C334)/(1-'user input'!$C$12)))</f>
        <v>0</v>
      </c>
    </row>
    <row r="335" spans="1:6" x14ac:dyDescent="0.2">
      <c r="A335" s="1">
        <v>40511</v>
      </c>
      <c r="B335">
        <v>333</v>
      </c>
      <c r="C335">
        <f>IF(B335&gt;'user input'!$C$6,0,IF('heat units'!H335&gt;1,1,'heat units'!H335))</f>
        <v>0</v>
      </c>
      <c r="D335">
        <f>IF(B335&gt;'user input'!$C$6,0,(C335/(C335+EXP('user input'!$C$15-'user input'!$C$14*C335))))</f>
        <v>0</v>
      </c>
      <c r="E335">
        <f>IF(C335&lt;'user input'!$C$12,(D335-D334)*'user input'!$C$17*(1-EXP(5*(F334-'user input'!$C$17))),F335-F334)</f>
        <v>0</v>
      </c>
      <c r="F335">
        <f>IF(C335&lt;'user input'!$C$12,IF(B335&gt;'user input'!$C$6,0,F334+E335),'user input'!$C$17*((1-C335)/(1-'user input'!$C$12)))</f>
        <v>0</v>
      </c>
    </row>
    <row r="336" spans="1:6" x14ac:dyDescent="0.2">
      <c r="A336" s="1">
        <v>40512</v>
      </c>
      <c r="B336">
        <v>334</v>
      </c>
      <c r="C336">
        <f>IF(B336&gt;'user input'!$C$6,0,IF('heat units'!H336&gt;1,1,'heat units'!H336))</f>
        <v>0</v>
      </c>
      <c r="D336">
        <f>IF(B336&gt;'user input'!$C$6,0,(C336/(C336+EXP('user input'!$C$15-'user input'!$C$14*C336))))</f>
        <v>0</v>
      </c>
      <c r="E336">
        <f>IF(C336&lt;'user input'!$C$12,(D336-D335)*'user input'!$C$17*(1-EXP(5*(F335-'user input'!$C$17))),F336-F335)</f>
        <v>0</v>
      </c>
      <c r="F336">
        <f>IF(C336&lt;'user input'!$C$12,IF(B336&gt;'user input'!$C$6,0,F335+E336),'user input'!$C$17*((1-C336)/(1-'user input'!$C$12)))</f>
        <v>0</v>
      </c>
    </row>
    <row r="337" spans="1:6" x14ac:dyDescent="0.2">
      <c r="A337" s="1">
        <v>40513</v>
      </c>
      <c r="B337">
        <v>335</v>
      </c>
      <c r="C337">
        <f>IF(B337&gt;'user input'!$C$6,0,IF('heat units'!H337&gt;1,1,'heat units'!H337))</f>
        <v>0</v>
      </c>
      <c r="D337">
        <f>IF(B337&gt;'user input'!$C$6,0,(C337/(C337+EXP('user input'!$C$15-'user input'!$C$14*C337))))</f>
        <v>0</v>
      </c>
      <c r="E337">
        <f>IF(C337&lt;'user input'!$C$12,(D337-D336)*'user input'!$C$17*(1-EXP(5*(F336-'user input'!$C$17))),F337-F336)</f>
        <v>0</v>
      </c>
      <c r="F337">
        <f>IF(C337&lt;'user input'!$C$12,IF(B337&gt;'user input'!$C$6,0,F336+E337),'user input'!$C$17*((1-C337)/(1-'user input'!$C$12)))</f>
        <v>0</v>
      </c>
    </row>
    <row r="338" spans="1:6" x14ac:dyDescent="0.2">
      <c r="A338" s="1">
        <v>40514</v>
      </c>
      <c r="B338">
        <v>336</v>
      </c>
      <c r="C338">
        <f>IF(B338&gt;'user input'!$C$6,0,IF('heat units'!H338&gt;1,1,'heat units'!H338))</f>
        <v>0</v>
      </c>
      <c r="D338">
        <f>IF(B338&gt;'user input'!$C$6,0,(C338/(C338+EXP('user input'!$C$15-'user input'!$C$14*C338))))</f>
        <v>0</v>
      </c>
      <c r="E338">
        <f>IF(C338&lt;'user input'!$C$12,(D338-D337)*'user input'!$C$17*(1-EXP(5*(F337-'user input'!$C$17))),F338-F337)</f>
        <v>0</v>
      </c>
      <c r="F338">
        <f>IF(C338&lt;'user input'!$C$12,IF(B338&gt;'user input'!$C$6,0,F337+E338),'user input'!$C$17*((1-C338)/(1-'user input'!$C$12)))</f>
        <v>0</v>
      </c>
    </row>
    <row r="339" spans="1:6" x14ac:dyDescent="0.2">
      <c r="A339" s="1">
        <v>40515</v>
      </c>
      <c r="B339">
        <v>337</v>
      </c>
      <c r="C339">
        <f>IF(B339&gt;'user input'!$C$6,0,IF('heat units'!H339&gt;1,1,'heat units'!H339))</f>
        <v>0</v>
      </c>
      <c r="D339">
        <f>IF(B339&gt;'user input'!$C$6,0,(C339/(C339+EXP('user input'!$C$15-'user input'!$C$14*C339))))</f>
        <v>0</v>
      </c>
      <c r="E339">
        <f>IF(C339&lt;'user input'!$C$12,(D339-D338)*'user input'!$C$17*(1-EXP(5*(F338-'user input'!$C$17))),F339-F338)</f>
        <v>0</v>
      </c>
      <c r="F339">
        <f>IF(C339&lt;'user input'!$C$12,IF(B339&gt;'user input'!$C$6,0,F338+E339),'user input'!$C$17*((1-C339)/(1-'user input'!$C$12)))</f>
        <v>0</v>
      </c>
    </row>
    <row r="340" spans="1:6" x14ac:dyDescent="0.2">
      <c r="A340" s="1">
        <v>40516</v>
      </c>
      <c r="B340">
        <v>338</v>
      </c>
      <c r="C340">
        <f>IF(B340&gt;'user input'!$C$6,0,IF('heat units'!H340&gt;1,1,'heat units'!H340))</f>
        <v>0</v>
      </c>
      <c r="D340">
        <f>IF(B340&gt;'user input'!$C$6,0,(C340/(C340+EXP('user input'!$C$15-'user input'!$C$14*C340))))</f>
        <v>0</v>
      </c>
      <c r="E340">
        <f>IF(C340&lt;'user input'!$C$12,(D340-D339)*'user input'!$C$17*(1-EXP(5*(F339-'user input'!$C$17))),F340-F339)</f>
        <v>0</v>
      </c>
      <c r="F340">
        <f>IF(C340&lt;'user input'!$C$12,IF(B340&gt;'user input'!$C$6,0,F339+E340),'user input'!$C$17*((1-C340)/(1-'user input'!$C$12)))</f>
        <v>0</v>
      </c>
    </row>
    <row r="341" spans="1:6" x14ac:dyDescent="0.2">
      <c r="A341" s="1">
        <v>40517</v>
      </c>
      <c r="B341">
        <v>339</v>
      </c>
      <c r="C341">
        <f>IF(B341&gt;'user input'!$C$6,0,IF('heat units'!H341&gt;1,1,'heat units'!H341))</f>
        <v>0</v>
      </c>
      <c r="D341">
        <f>IF(B341&gt;'user input'!$C$6,0,(C341/(C341+EXP('user input'!$C$15-'user input'!$C$14*C341))))</f>
        <v>0</v>
      </c>
      <c r="E341">
        <f>IF(C341&lt;'user input'!$C$12,(D341-D340)*'user input'!$C$17*(1-EXP(5*(F340-'user input'!$C$17))),F341-F340)</f>
        <v>0</v>
      </c>
      <c r="F341">
        <f>IF(C341&lt;'user input'!$C$12,IF(B341&gt;'user input'!$C$6,0,F340+E341),'user input'!$C$17*((1-C341)/(1-'user input'!$C$12)))</f>
        <v>0</v>
      </c>
    </row>
    <row r="342" spans="1:6" x14ac:dyDescent="0.2">
      <c r="A342" s="1">
        <v>40518</v>
      </c>
      <c r="B342">
        <v>340</v>
      </c>
      <c r="C342">
        <f>IF(B342&gt;'user input'!$C$6,0,IF('heat units'!H342&gt;1,1,'heat units'!H342))</f>
        <v>0</v>
      </c>
      <c r="D342">
        <f>IF(B342&gt;'user input'!$C$6,0,(C342/(C342+EXP('user input'!$C$15-'user input'!$C$14*C342))))</f>
        <v>0</v>
      </c>
      <c r="E342">
        <f>IF(C342&lt;'user input'!$C$12,(D342-D341)*'user input'!$C$17*(1-EXP(5*(F341-'user input'!$C$17))),F342-F341)</f>
        <v>0</v>
      </c>
      <c r="F342">
        <f>IF(C342&lt;'user input'!$C$12,IF(B342&gt;'user input'!$C$6,0,F341+E342),'user input'!$C$17*((1-C342)/(1-'user input'!$C$12)))</f>
        <v>0</v>
      </c>
    </row>
    <row r="343" spans="1:6" x14ac:dyDescent="0.2">
      <c r="A343" s="1">
        <v>40519</v>
      </c>
      <c r="B343">
        <v>341</v>
      </c>
      <c r="C343">
        <f>IF(B343&gt;'user input'!$C$6,0,IF('heat units'!H343&gt;1,1,'heat units'!H343))</f>
        <v>0</v>
      </c>
      <c r="D343">
        <f>IF(B343&gt;'user input'!$C$6,0,(C343/(C343+EXP('user input'!$C$15-'user input'!$C$14*C343))))</f>
        <v>0</v>
      </c>
      <c r="E343">
        <f>IF(C343&lt;'user input'!$C$12,(D343-D342)*'user input'!$C$17*(1-EXP(5*(F342-'user input'!$C$17))),F343-F342)</f>
        <v>0</v>
      </c>
      <c r="F343">
        <f>IF(C343&lt;'user input'!$C$12,IF(B343&gt;'user input'!$C$6,0,F342+E343),'user input'!$C$17*((1-C343)/(1-'user input'!$C$12)))</f>
        <v>0</v>
      </c>
    </row>
    <row r="344" spans="1:6" x14ac:dyDescent="0.2">
      <c r="A344" s="1">
        <v>40520</v>
      </c>
      <c r="B344">
        <v>342</v>
      </c>
      <c r="C344">
        <f>IF(B344&gt;'user input'!$C$6,0,IF('heat units'!H344&gt;1,1,'heat units'!H344))</f>
        <v>0</v>
      </c>
      <c r="D344">
        <f>IF(B344&gt;'user input'!$C$6,0,(C344/(C344+EXP('user input'!$C$15-'user input'!$C$14*C344))))</f>
        <v>0</v>
      </c>
      <c r="E344">
        <f>IF(C344&lt;'user input'!$C$12,(D344-D343)*'user input'!$C$17*(1-EXP(5*(F343-'user input'!$C$17))),F344-F343)</f>
        <v>0</v>
      </c>
      <c r="F344">
        <f>IF(C344&lt;'user input'!$C$12,IF(B344&gt;'user input'!$C$6,0,F343+E344),'user input'!$C$17*((1-C344)/(1-'user input'!$C$12)))</f>
        <v>0</v>
      </c>
    </row>
    <row r="345" spans="1:6" x14ac:dyDescent="0.2">
      <c r="A345" s="1">
        <v>40521</v>
      </c>
      <c r="B345">
        <v>343</v>
      </c>
      <c r="C345">
        <f>IF(B345&gt;'user input'!$C$6,0,IF('heat units'!H345&gt;1,1,'heat units'!H345))</f>
        <v>0</v>
      </c>
      <c r="D345">
        <f>IF(B345&gt;'user input'!$C$6,0,(C345/(C345+EXP('user input'!$C$15-'user input'!$C$14*C345))))</f>
        <v>0</v>
      </c>
      <c r="E345">
        <f>IF(C345&lt;'user input'!$C$12,(D345-D344)*'user input'!$C$17*(1-EXP(5*(F344-'user input'!$C$17))),F345-F344)</f>
        <v>0</v>
      </c>
      <c r="F345">
        <f>IF(C345&lt;'user input'!$C$12,IF(B345&gt;'user input'!$C$6,0,F344+E345),'user input'!$C$17*((1-C345)/(1-'user input'!$C$12)))</f>
        <v>0</v>
      </c>
    </row>
    <row r="346" spans="1:6" x14ac:dyDescent="0.2">
      <c r="A346" s="1">
        <v>40522</v>
      </c>
      <c r="B346">
        <v>344</v>
      </c>
      <c r="C346">
        <f>IF(B346&gt;'user input'!$C$6,0,IF('heat units'!H346&gt;1,1,'heat units'!H346))</f>
        <v>0</v>
      </c>
      <c r="D346">
        <f>IF(B346&gt;'user input'!$C$6,0,(C346/(C346+EXP('user input'!$C$15-'user input'!$C$14*C346))))</f>
        <v>0</v>
      </c>
      <c r="E346">
        <f>IF(C346&lt;'user input'!$C$12,(D346-D345)*'user input'!$C$17*(1-EXP(5*(F345-'user input'!$C$17))),F346-F345)</f>
        <v>0</v>
      </c>
      <c r="F346">
        <f>IF(C346&lt;'user input'!$C$12,IF(B346&gt;'user input'!$C$6,0,F345+E346),'user input'!$C$17*((1-C346)/(1-'user input'!$C$12)))</f>
        <v>0</v>
      </c>
    </row>
    <row r="347" spans="1:6" x14ac:dyDescent="0.2">
      <c r="A347" s="1">
        <v>40523</v>
      </c>
      <c r="B347">
        <v>345</v>
      </c>
      <c r="C347">
        <f>IF(B347&gt;'user input'!$C$6,0,IF('heat units'!H347&gt;1,1,'heat units'!H347))</f>
        <v>0</v>
      </c>
      <c r="D347">
        <f>IF(B347&gt;'user input'!$C$6,0,(C347/(C347+EXP('user input'!$C$15-'user input'!$C$14*C347))))</f>
        <v>0</v>
      </c>
      <c r="E347">
        <f>IF(C347&lt;'user input'!$C$12,(D347-D346)*'user input'!$C$17*(1-EXP(5*(F346-'user input'!$C$17))),F347-F346)</f>
        <v>0</v>
      </c>
      <c r="F347">
        <f>IF(C347&lt;'user input'!$C$12,IF(B347&gt;'user input'!$C$6,0,F346+E347),'user input'!$C$17*((1-C347)/(1-'user input'!$C$12)))</f>
        <v>0</v>
      </c>
    </row>
    <row r="348" spans="1:6" x14ac:dyDescent="0.2">
      <c r="A348" s="1">
        <v>40524</v>
      </c>
      <c r="B348">
        <v>346</v>
      </c>
      <c r="C348">
        <f>IF(B348&gt;'user input'!$C$6,0,IF('heat units'!H348&gt;1,1,'heat units'!H348))</f>
        <v>0</v>
      </c>
      <c r="D348">
        <f>IF(B348&gt;'user input'!$C$6,0,(C348/(C348+EXP('user input'!$C$15-'user input'!$C$14*C348))))</f>
        <v>0</v>
      </c>
      <c r="E348">
        <f>IF(C348&lt;'user input'!$C$12,(D348-D347)*'user input'!$C$17*(1-EXP(5*(F347-'user input'!$C$17))),F348-F347)</f>
        <v>0</v>
      </c>
      <c r="F348">
        <f>IF(C348&lt;'user input'!$C$12,IF(B348&gt;'user input'!$C$6,0,F347+E348),'user input'!$C$17*((1-C348)/(1-'user input'!$C$12)))</f>
        <v>0</v>
      </c>
    </row>
    <row r="349" spans="1:6" x14ac:dyDescent="0.2">
      <c r="A349" s="1">
        <v>40525</v>
      </c>
      <c r="B349">
        <v>347</v>
      </c>
      <c r="C349">
        <f>IF(B349&gt;'user input'!$C$6,0,IF('heat units'!H349&gt;1,1,'heat units'!H349))</f>
        <v>0</v>
      </c>
      <c r="D349">
        <f>IF(B349&gt;'user input'!$C$6,0,(C349/(C349+EXP('user input'!$C$15-'user input'!$C$14*C349))))</f>
        <v>0</v>
      </c>
      <c r="E349">
        <f>IF(C349&lt;'user input'!$C$12,(D349-D348)*'user input'!$C$17*(1-EXP(5*(F348-'user input'!$C$17))),F349-F348)</f>
        <v>0</v>
      </c>
      <c r="F349">
        <f>IF(C349&lt;'user input'!$C$12,IF(B349&gt;'user input'!$C$6,0,F348+E349),'user input'!$C$17*((1-C349)/(1-'user input'!$C$12)))</f>
        <v>0</v>
      </c>
    </row>
    <row r="350" spans="1:6" x14ac:dyDescent="0.2">
      <c r="A350" s="1">
        <v>40526</v>
      </c>
      <c r="B350">
        <v>348</v>
      </c>
      <c r="C350">
        <f>IF(B350&gt;'user input'!$C$6,0,IF('heat units'!H350&gt;1,1,'heat units'!H350))</f>
        <v>0</v>
      </c>
      <c r="D350">
        <f>IF(B350&gt;'user input'!$C$6,0,(C350/(C350+EXP('user input'!$C$15-'user input'!$C$14*C350))))</f>
        <v>0</v>
      </c>
      <c r="E350">
        <f>IF(C350&lt;'user input'!$C$12,(D350-D349)*'user input'!$C$17*(1-EXP(5*(F349-'user input'!$C$17))),F350-F349)</f>
        <v>0</v>
      </c>
      <c r="F350">
        <f>IF(C350&lt;'user input'!$C$12,IF(B350&gt;'user input'!$C$6,0,F349+E350),'user input'!$C$17*((1-C350)/(1-'user input'!$C$12)))</f>
        <v>0</v>
      </c>
    </row>
    <row r="351" spans="1:6" x14ac:dyDescent="0.2">
      <c r="A351" s="1">
        <v>40527</v>
      </c>
      <c r="B351">
        <v>349</v>
      </c>
      <c r="C351">
        <f>IF(B351&gt;'user input'!$C$6,0,IF('heat units'!H351&gt;1,1,'heat units'!H351))</f>
        <v>0</v>
      </c>
      <c r="D351">
        <f>IF(B351&gt;'user input'!$C$6,0,(C351/(C351+EXP('user input'!$C$15-'user input'!$C$14*C351))))</f>
        <v>0</v>
      </c>
      <c r="E351">
        <f>IF(C351&lt;'user input'!$C$12,(D351-D350)*'user input'!$C$17*(1-EXP(5*(F350-'user input'!$C$17))),F351-F350)</f>
        <v>0</v>
      </c>
      <c r="F351">
        <f>IF(C351&lt;'user input'!$C$12,IF(B351&gt;'user input'!$C$6,0,F350+E351),'user input'!$C$17*((1-C351)/(1-'user input'!$C$12)))</f>
        <v>0</v>
      </c>
    </row>
    <row r="352" spans="1:6" x14ac:dyDescent="0.2">
      <c r="A352" s="1">
        <v>40528</v>
      </c>
      <c r="B352">
        <v>350</v>
      </c>
      <c r="C352">
        <f>IF(B352&gt;'user input'!$C$6,0,IF('heat units'!H352&gt;1,1,'heat units'!H352))</f>
        <v>0</v>
      </c>
      <c r="D352">
        <f>IF(B352&gt;'user input'!$C$6,0,(C352/(C352+EXP('user input'!$C$15-'user input'!$C$14*C352))))</f>
        <v>0</v>
      </c>
      <c r="E352">
        <f>IF(C352&lt;'user input'!$C$12,(D352-D351)*'user input'!$C$17*(1-EXP(5*(F351-'user input'!$C$17))),F352-F351)</f>
        <v>0</v>
      </c>
      <c r="F352">
        <f>IF(C352&lt;'user input'!$C$12,IF(B352&gt;'user input'!$C$6,0,F351+E352),'user input'!$C$17*((1-C352)/(1-'user input'!$C$12)))</f>
        <v>0</v>
      </c>
    </row>
    <row r="353" spans="1:6" x14ac:dyDescent="0.2">
      <c r="A353" s="1">
        <v>40529</v>
      </c>
      <c r="B353">
        <v>351</v>
      </c>
      <c r="C353">
        <f>IF(B353&gt;'user input'!$C$6,0,IF('heat units'!H353&gt;1,1,'heat units'!H353))</f>
        <v>0</v>
      </c>
      <c r="D353">
        <f>IF(B353&gt;'user input'!$C$6,0,(C353/(C353+EXP('user input'!$C$15-'user input'!$C$14*C353))))</f>
        <v>0</v>
      </c>
      <c r="E353">
        <f>IF(C353&lt;'user input'!$C$12,(D353-D352)*'user input'!$C$17*(1-EXP(5*(F352-'user input'!$C$17))),F353-F352)</f>
        <v>0</v>
      </c>
      <c r="F353">
        <f>IF(C353&lt;'user input'!$C$12,IF(B353&gt;'user input'!$C$6,0,F352+E353),'user input'!$C$17*((1-C353)/(1-'user input'!$C$12)))</f>
        <v>0</v>
      </c>
    </row>
    <row r="354" spans="1:6" x14ac:dyDescent="0.2">
      <c r="A354" s="1">
        <v>40530</v>
      </c>
      <c r="B354">
        <v>352</v>
      </c>
      <c r="C354">
        <f>IF(B354&gt;'user input'!$C$6,0,IF('heat units'!H354&gt;1,1,'heat units'!H354))</f>
        <v>0</v>
      </c>
      <c r="D354">
        <f>IF(B354&gt;'user input'!$C$6,0,(C354/(C354+EXP('user input'!$C$15-'user input'!$C$14*C354))))</f>
        <v>0</v>
      </c>
      <c r="E354">
        <f>IF(C354&lt;'user input'!$C$12,(D354-D353)*'user input'!$C$17*(1-EXP(5*(F353-'user input'!$C$17))),F354-F353)</f>
        <v>0</v>
      </c>
      <c r="F354">
        <f>IF(C354&lt;'user input'!$C$12,IF(B354&gt;'user input'!$C$6,0,F353+E354),'user input'!$C$17*((1-C354)/(1-'user input'!$C$12)))</f>
        <v>0</v>
      </c>
    </row>
    <row r="355" spans="1:6" x14ac:dyDescent="0.2">
      <c r="A355" s="1">
        <v>40531</v>
      </c>
      <c r="B355">
        <v>353</v>
      </c>
      <c r="C355">
        <f>IF(B355&gt;'user input'!$C$6,0,IF('heat units'!H355&gt;1,1,'heat units'!H355))</f>
        <v>0</v>
      </c>
      <c r="D355">
        <f>IF(B355&gt;'user input'!$C$6,0,(C355/(C355+EXP('user input'!$C$15-'user input'!$C$14*C355))))</f>
        <v>0</v>
      </c>
      <c r="E355">
        <f>IF(C355&lt;'user input'!$C$12,(D355-D354)*'user input'!$C$17*(1-EXP(5*(F354-'user input'!$C$17))),F355-F354)</f>
        <v>0</v>
      </c>
      <c r="F355">
        <f>IF(C355&lt;'user input'!$C$12,IF(B355&gt;'user input'!$C$6,0,F354+E355),'user input'!$C$17*((1-C355)/(1-'user input'!$C$12)))</f>
        <v>0</v>
      </c>
    </row>
    <row r="356" spans="1:6" x14ac:dyDescent="0.2">
      <c r="A356" s="1">
        <v>40532</v>
      </c>
      <c r="B356">
        <v>354</v>
      </c>
      <c r="C356">
        <f>IF(B356&gt;'user input'!$C$6,0,IF('heat units'!H356&gt;1,1,'heat units'!H356))</f>
        <v>0</v>
      </c>
      <c r="D356">
        <f>IF(B356&gt;'user input'!$C$6,0,(C356/(C356+EXP('user input'!$C$15-'user input'!$C$14*C356))))</f>
        <v>0</v>
      </c>
      <c r="E356">
        <f>IF(C356&lt;'user input'!$C$12,(D356-D355)*'user input'!$C$17*(1-EXP(5*(F355-'user input'!$C$17))),F356-F355)</f>
        <v>0</v>
      </c>
      <c r="F356">
        <f>IF(C356&lt;'user input'!$C$12,IF(B356&gt;'user input'!$C$6,0,F355+E356),'user input'!$C$17*((1-C356)/(1-'user input'!$C$12)))</f>
        <v>0</v>
      </c>
    </row>
    <row r="357" spans="1:6" x14ac:dyDescent="0.2">
      <c r="A357" s="1">
        <v>40533</v>
      </c>
      <c r="B357">
        <v>355</v>
      </c>
      <c r="C357">
        <f>IF(B357&gt;'user input'!$C$6,0,IF('heat units'!H357&gt;1,1,'heat units'!H357))</f>
        <v>0</v>
      </c>
      <c r="D357">
        <f>IF(B357&gt;'user input'!$C$6,0,(C357/(C357+EXP('user input'!$C$15-'user input'!$C$14*C357))))</f>
        <v>0</v>
      </c>
      <c r="E357">
        <f>IF(C357&lt;'user input'!$C$12,(D357-D356)*'user input'!$C$17*(1-EXP(5*(F356-'user input'!$C$17))),F357-F356)</f>
        <v>0</v>
      </c>
      <c r="F357">
        <f>IF(C357&lt;'user input'!$C$12,IF(B357&gt;'user input'!$C$6,0,F356+E357),'user input'!$C$17*((1-C357)/(1-'user input'!$C$12)))</f>
        <v>0</v>
      </c>
    </row>
    <row r="358" spans="1:6" x14ac:dyDescent="0.2">
      <c r="A358" s="1">
        <v>40534</v>
      </c>
      <c r="B358">
        <v>356</v>
      </c>
      <c r="C358">
        <f>IF(B358&gt;'user input'!$C$6,0,IF('heat units'!H358&gt;1,1,'heat units'!H358))</f>
        <v>0</v>
      </c>
      <c r="D358">
        <f>IF(B358&gt;'user input'!$C$6,0,(C358/(C358+EXP('user input'!$C$15-'user input'!$C$14*C358))))</f>
        <v>0</v>
      </c>
      <c r="E358">
        <f>IF(C358&lt;'user input'!$C$12,(D358-D357)*'user input'!$C$17*(1-EXP(5*(F357-'user input'!$C$17))),F358-F357)</f>
        <v>0</v>
      </c>
      <c r="F358">
        <f>IF(C358&lt;'user input'!$C$12,IF(B358&gt;'user input'!$C$6,0,F357+E358),'user input'!$C$17*((1-C358)/(1-'user input'!$C$12)))</f>
        <v>0</v>
      </c>
    </row>
    <row r="359" spans="1:6" x14ac:dyDescent="0.2">
      <c r="A359" s="1">
        <v>40535</v>
      </c>
      <c r="B359">
        <v>357</v>
      </c>
      <c r="C359">
        <f>IF(B359&gt;'user input'!$C$6,0,IF('heat units'!H359&gt;1,1,'heat units'!H359))</f>
        <v>0</v>
      </c>
      <c r="D359">
        <f>IF(B359&gt;'user input'!$C$6,0,(C359/(C359+EXP('user input'!$C$15-'user input'!$C$14*C359))))</f>
        <v>0</v>
      </c>
      <c r="E359">
        <f>IF(C359&lt;'user input'!$C$12,(D359-D358)*'user input'!$C$17*(1-EXP(5*(F358-'user input'!$C$17))),F359-F358)</f>
        <v>0</v>
      </c>
      <c r="F359">
        <f>IF(C359&lt;'user input'!$C$12,IF(B359&gt;'user input'!$C$6,0,F358+E359),'user input'!$C$17*((1-C359)/(1-'user input'!$C$12)))</f>
        <v>0</v>
      </c>
    </row>
    <row r="360" spans="1:6" x14ac:dyDescent="0.2">
      <c r="A360" s="1">
        <v>40536</v>
      </c>
      <c r="B360">
        <v>358</v>
      </c>
      <c r="C360">
        <f>IF(B360&gt;'user input'!$C$6,0,IF('heat units'!H360&gt;1,1,'heat units'!H360))</f>
        <v>0</v>
      </c>
      <c r="D360">
        <f>IF(B360&gt;'user input'!$C$6,0,(C360/(C360+EXP('user input'!$C$15-'user input'!$C$14*C360))))</f>
        <v>0</v>
      </c>
      <c r="E360">
        <f>IF(C360&lt;'user input'!$C$12,(D360-D359)*'user input'!$C$17*(1-EXP(5*(F359-'user input'!$C$17))),F360-F359)</f>
        <v>0</v>
      </c>
      <c r="F360">
        <f>IF(C360&lt;'user input'!$C$12,IF(B360&gt;'user input'!$C$6,0,F359+E360),'user input'!$C$17*((1-C360)/(1-'user input'!$C$12)))</f>
        <v>0</v>
      </c>
    </row>
    <row r="361" spans="1:6" x14ac:dyDescent="0.2">
      <c r="A361" s="1">
        <v>40537</v>
      </c>
      <c r="B361">
        <v>359</v>
      </c>
      <c r="C361">
        <f>IF(B361&gt;'user input'!$C$6,0,IF('heat units'!H361&gt;1,1,'heat units'!H361))</f>
        <v>0</v>
      </c>
      <c r="D361">
        <f>IF(B361&gt;'user input'!$C$6,0,(C361/(C361+EXP('user input'!$C$15-'user input'!$C$14*C361))))</f>
        <v>0</v>
      </c>
      <c r="E361">
        <f>IF(C361&lt;'user input'!$C$12,(D361-D360)*'user input'!$C$17*(1-EXP(5*(F360-'user input'!$C$17))),F361-F360)</f>
        <v>0</v>
      </c>
      <c r="F361">
        <f>IF(C361&lt;'user input'!$C$12,IF(B361&gt;'user input'!$C$6,0,F360+E361),'user input'!$C$17*((1-C361)/(1-'user input'!$C$12)))</f>
        <v>0</v>
      </c>
    </row>
    <row r="362" spans="1:6" x14ac:dyDescent="0.2">
      <c r="A362" s="1">
        <v>40538</v>
      </c>
      <c r="B362">
        <v>360</v>
      </c>
      <c r="C362">
        <f>IF(B362&gt;'user input'!$C$6,0,IF('heat units'!H362&gt;1,1,'heat units'!H362))</f>
        <v>0</v>
      </c>
      <c r="D362">
        <f>IF(B362&gt;'user input'!$C$6,0,(C362/(C362+EXP('user input'!$C$15-'user input'!$C$14*C362))))</f>
        <v>0</v>
      </c>
      <c r="E362">
        <f>IF(C362&lt;'user input'!$C$12,(D362-D361)*'user input'!$C$17*(1-EXP(5*(F361-'user input'!$C$17))),F362-F361)</f>
        <v>0</v>
      </c>
      <c r="F362">
        <f>IF(C362&lt;'user input'!$C$12,IF(B362&gt;'user input'!$C$6,0,F361+E362),'user input'!$C$17*((1-C362)/(1-'user input'!$C$12)))</f>
        <v>0</v>
      </c>
    </row>
    <row r="363" spans="1:6" x14ac:dyDescent="0.2">
      <c r="A363" s="1">
        <v>40539</v>
      </c>
      <c r="B363">
        <v>361</v>
      </c>
      <c r="C363">
        <f>IF(B363&gt;'user input'!$C$6,0,IF('heat units'!H363&gt;1,1,'heat units'!H363))</f>
        <v>0</v>
      </c>
      <c r="D363">
        <f>IF(B363&gt;'user input'!$C$6,0,(C363/(C363+EXP('user input'!$C$15-'user input'!$C$14*C363))))</f>
        <v>0</v>
      </c>
      <c r="E363">
        <f>IF(C363&lt;'user input'!$C$12,(D363-D362)*'user input'!$C$17*(1-EXP(5*(F362-'user input'!$C$17))),F363-F362)</f>
        <v>0</v>
      </c>
      <c r="F363">
        <f>IF(C363&lt;'user input'!$C$12,IF(B363&gt;'user input'!$C$6,0,F362+E363),'user input'!$C$17*((1-C363)/(1-'user input'!$C$12)))</f>
        <v>0</v>
      </c>
    </row>
    <row r="364" spans="1:6" x14ac:dyDescent="0.2">
      <c r="A364" s="1">
        <v>40540</v>
      </c>
      <c r="B364">
        <v>362</v>
      </c>
      <c r="C364">
        <f>IF(B364&gt;'user input'!$C$6,0,IF('heat units'!H364&gt;1,1,'heat units'!H364))</f>
        <v>0</v>
      </c>
      <c r="D364">
        <f>IF(B364&gt;'user input'!$C$6,0,(C364/(C364+EXP('user input'!$C$15-'user input'!$C$14*C364))))</f>
        <v>0</v>
      </c>
      <c r="E364">
        <f>IF(C364&lt;'user input'!$C$12,(D364-D363)*'user input'!$C$17*(1-EXP(5*(F363-'user input'!$C$17))),F364-F363)</f>
        <v>0</v>
      </c>
      <c r="F364">
        <f>IF(C364&lt;'user input'!$C$12,IF(B364&gt;'user input'!$C$6,0,F363+E364),'user input'!$C$17*((1-C364)/(1-'user input'!$C$12)))</f>
        <v>0</v>
      </c>
    </row>
    <row r="365" spans="1:6" x14ac:dyDescent="0.2">
      <c r="A365" s="1">
        <v>40541</v>
      </c>
      <c r="B365">
        <v>363</v>
      </c>
      <c r="C365">
        <f>IF(B365&gt;'user input'!$C$6,0,IF('heat units'!H365&gt;1,1,'heat units'!H365))</f>
        <v>0</v>
      </c>
      <c r="D365">
        <f>IF(B365&gt;'user input'!$C$6,0,(C365/(C365+EXP('user input'!$C$15-'user input'!$C$14*C365))))</f>
        <v>0</v>
      </c>
      <c r="E365">
        <f>IF(C365&lt;'user input'!$C$12,(D365-D364)*'user input'!$C$17*(1-EXP(5*(F364-'user input'!$C$17))),F365-F364)</f>
        <v>0</v>
      </c>
      <c r="F365">
        <f>IF(C365&lt;'user input'!$C$12,IF(B365&gt;'user input'!$C$6,0,F364+E365),'user input'!$C$17*((1-C365)/(1-'user input'!$C$12)))</f>
        <v>0</v>
      </c>
    </row>
    <row r="366" spans="1:6" x14ac:dyDescent="0.2">
      <c r="A366" s="1">
        <v>40542</v>
      </c>
      <c r="B366">
        <v>364</v>
      </c>
      <c r="C366">
        <f>IF(B366&gt;'user input'!$C$6,0,IF('heat units'!H366&gt;1,1,'heat units'!H366))</f>
        <v>0</v>
      </c>
      <c r="D366">
        <f>IF(B366&gt;'user input'!$C$6,0,(C366/(C366+EXP('user input'!$C$15-'user input'!$C$14*C366))))</f>
        <v>0</v>
      </c>
      <c r="E366">
        <f>IF(C366&lt;'user input'!$C$12,(D366-D365)*'user input'!$C$17*(1-EXP(5*(F365-'user input'!$C$17))),F366-F365)</f>
        <v>0</v>
      </c>
      <c r="F366">
        <f>IF(C366&lt;'user input'!$C$12,IF(B366&gt;'user input'!$C$6,0,F365+E366),'user input'!$C$17*((1-C366)/(1-'user input'!$C$12)))</f>
        <v>0</v>
      </c>
    </row>
    <row r="367" spans="1:6" x14ac:dyDescent="0.2">
      <c r="A367" s="1">
        <v>40543</v>
      </c>
      <c r="B367">
        <v>365</v>
      </c>
      <c r="C367">
        <f>IF(B367&gt;'user input'!$C$6,0,IF('heat units'!H367&gt;1,1,'heat units'!H367))</f>
        <v>0</v>
      </c>
      <c r="D367">
        <f>IF(B367&gt;'user input'!$C$6,0,(C367/(C367+EXP('user input'!$C$15-'user input'!$C$14*C367))))</f>
        <v>0</v>
      </c>
      <c r="E367">
        <f>IF(C367&lt;'user input'!$C$12,(D367-D366)*'user input'!$C$17*(1-EXP(5*(F366-'user input'!$C$17))),F367-F366)</f>
        <v>0</v>
      </c>
      <c r="F367">
        <f>IF(C367&lt;'user input'!$C$12,IF(B367&gt;'user input'!$C$6,0,F366+E367),'user input'!$C$17*((1-C367)/(1-'user input'!$C$12)))</f>
        <v>0</v>
      </c>
    </row>
    <row r="368" spans="1:6" x14ac:dyDescent="0.2">
      <c r="A368" s="1">
        <v>40544</v>
      </c>
      <c r="B368">
        <v>1</v>
      </c>
      <c r="C368">
        <f>IF(B368&gt;'user input'!$C$6,0,IF('heat units'!H368&gt;1,1,'heat units'!H368))</f>
        <v>0</v>
      </c>
      <c r="D368">
        <f>IF(B368&gt;'user input'!$C$6,0,(C368/(C368+EXP('user input'!$C$15-'user input'!$C$14*C368))))</f>
        <v>0</v>
      </c>
      <c r="E368">
        <f>IF(C368&lt;'user input'!$C$12,(D368-D367)*'user input'!$C$17*(1-EXP(5*(F367-'user input'!$C$17))),F368-F367)</f>
        <v>0</v>
      </c>
      <c r="F368">
        <f>IF(C368&lt;'user input'!$C$12,IF(B368&gt;'user input'!$C$6,0,F367+E368),'user input'!$C$17*((1-C368)/(1-'user input'!$C$12)))</f>
        <v>0</v>
      </c>
    </row>
    <row r="369" spans="1:6" x14ac:dyDescent="0.2">
      <c r="A369" s="1">
        <v>40545</v>
      </c>
      <c r="B369">
        <v>2</v>
      </c>
      <c r="C369">
        <f>IF(B369&gt;'user input'!$C$6,0,IF('heat units'!H369&gt;1,1,'heat units'!H369))</f>
        <v>0</v>
      </c>
      <c r="D369">
        <f>IF(B369&gt;'user input'!$C$6,0,(C369/(C369+EXP('user input'!$C$15-'user input'!$C$14*C369))))</f>
        <v>0</v>
      </c>
      <c r="E369">
        <f>IF(C369&lt;'user input'!$C$12,(D369-D368)*'user input'!$C$17*(1-EXP(5*(F368-'user input'!$C$17))),F369-F368)</f>
        <v>0</v>
      </c>
      <c r="F369">
        <f>IF(C369&lt;'user input'!$C$12,IF(B369&gt;'user input'!$C$6,0,F368+E369),'user input'!$C$17*((1-C369)/(1-'user input'!$C$12)))</f>
        <v>0</v>
      </c>
    </row>
    <row r="370" spans="1:6" x14ac:dyDescent="0.2">
      <c r="A370" s="1">
        <v>40546</v>
      </c>
      <c r="B370">
        <v>3</v>
      </c>
      <c r="C370">
        <f>IF(B370&gt;'user input'!$C$6,0,IF('heat units'!H370&gt;1,1,'heat units'!H370))</f>
        <v>0</v>
      </c>
      <c r="D370">
        <f>IF(B370&gt;'user input'!$C$6,0,(C370/(C370+EXP('user input'!$C$15-'user input'!$C$14*C370))))</f>
        <v>0</v>
      </c>
      <c r="E370">
        <f>IF(C370&lt;'user input'!$C$12,(D370-D369)*'user input'!$C$17*(1-EXP(5*(F369-'user input'!$C$17))),F370-F369)</f>
        <v>0</v>
      </c>
      <c r="F370">
        <f>IF(C370&lt;'user input'!$C$12,IF(B370&gt;'user input'!$C$6,0,F369+E370),'user input'!$C$17*((1-C370)/(1-'user input'!$C$12)))</f>
        <v>0</v>
      </c>
    </row>
    <row r="371" spans="1:6" x14ac:dyDescent="0.2">
      <c r="A371" s="1">
        <v>40547</v>
      </c>
      <c r="B371">
        <v>4</v>
      </c>
      <c r="C371">
        <f>IF(B371&gt;'user input'!$C$6,0,IF('heat units'!H371&gt;1,1,'heat units'!H371))</f>
        <v>0</v>
      </c>
      <c r="D371">
        <f>IF(B371&gt;'user input'!$C$6,0,(C371/(C371+EXP('user input'!$C$15-'user input'!$C$14*C371))))</f>
        <v>0</v>
      </c>
      <c r="E371">
        <f>IF(C371&lt;'user input'!$C$12,(D371-D370)*'user input'!$C$17*(1-EXP(5*(F370-'user input'!$C$17))),F371-F370)</f>
        <v>0</v>
      </c>
      <c r="F371">
        <f>IF(C371&lt;'user input'!$C$12,IF(B371&gt;'user input'!$C$6,0,F370+E371),'user input'!$C$17*((1-C371)/(1-'user input'!$C$12)))</f>
        <v>0</v>
      </c>
    </row>
    <row r="372" spans="1:6" x14ac:dyDescent="0.2">
      <c r="A372" s="1">
        <v>40548</v>
      </c>
      <c r="B372">
        <v>5</v>
      </c>
      <c r="C372">
        <f>IF(B372&gt;'user input'!$C$6,0,IF('heat units'!H372&gt;1,1,'heat units'!H372))</f>
        <v>0</v>
      </c>
      <c r="D372">
        <f>IF(B372&gt;'user input'!$C$6,0,(C372/(C372+EXP('user input'!$C$15-'user input'!$C$14*C372))))</f>
        <v>0</v>
      </c>
      <c r="E372">
        <f>IF(C372&lt;'user input'!$C$12,(D372-D371)*'user input'!$C$17*(1-EXP(5*(F371-'user input'!$C$17))),F372-F371)</f>
        <v>0</v>
      </c>
      <c r="F372">
        <f>IF(C372&lt;'user input'!$C$12,IF(B372&gt;'user input'!$C$6,0,F371+E372),'user input'!$C$17*((1-C372)/(1-'user input'!$C$12)))</f>
        <v>0</v>
      </c>
    </row>
    <row r="373" spans="1:6" x14ac:dyDescent="0.2">
      <c r="A373" s="1">
        <v>40549</v>
      </c>
      <c r="B373">
        <v>6</v>
      </c>
      <c r="C373">
        <f>IF(B373&gt;'user input'!$C$6,0,IF('heat units'!H373&gt;1,1,'heat units'!H373))</f>
        <v>0</v>
      </c>
      <c r="D373">
        <f>IF(B373&gt;'user input'!$C$6,0,(C373/(C373+EXP('user input'!$C$15-'user input'!$C$14*C373))))</f>
        <v>0</v>
      </c>
      <c r="E373">
        <f>IF(C373&lt;'user input'!$C$12,(D373-D372)*'user input'!$C$17*(1-EXP(5*(F372-'user input'!$C$17))),F373-F372)</f>
        <v>0</v>
      </c>
      <c r="F373">
        <f>IF(C373&lt;'user input'!$C$12,IF(B373&gt;'user input'!$C$6,0,F372+E373),'user input'!$C$17*((1-C373)/(1-'user input'!$C$12)))</f>
        <v>0</v>
      </c>
    </row>
    <row r="374" spans="1:6" x14ac:dyDescent="0.2">
      <c r="A374" s="1">
        <v>40550</v>
      </c>
      <c r="B374">
        <v>7</v>
      </c>
      <c r="C374">
        <f>IF(B374&gt;'user input'!$C$6,0,IF('heat units'!H374&gt;1,1,'heat units'!H374))</f>
        <v>0</v>
      </c>
      <c r="D374">
        <f>IF(B374&gt;'user input'!$C$6,0,(C374/(C374+EXP('user input'!$C$15-'user input'!$C$14*C374))))</f>
        <v>0</v>
      </c>
      <c r="E374">
        <f>IF(C374&lt;'user input'!$C$12,(D374-D373)*'user input'!$C$17*(1-EXP(5*(F373-'user input'!$C$17))),F374-F373)</f>
        <v>0</v>
      </c>
      <c r="F374">
        <f>IF(C374&lt;'user input'!$C$12,IF(B374&gt;'user input'!$C$6,0,F373+E374),'user input'!$C$17*((1-C374)/(1-'user input'!$C$12)))</f>
        <v>0</v>
      </c>
    </row>
    <row r="375" spans="1:6" x14ac:dyDescent="0.2">
      <c r="A375" s="1">
        <v>40551</v>
      </c>
      <c r="B375">
        <v>8</v>
      </c>
      <c r="C375">
        <f>IF(B375&gt;'user input'!$C$6,0,IF('heat units'!H375&gt;1,1,'heat units'!H375))</f>
        <v>0</v>
      </c>
      <c r="D375">
        <f>IF(B375&gt;'user input'!$C$6,0,(C375/(C375+EXP('user input'!$C$15-'user input'!$C$14*C375))))</f>
        <v>0</v>
      </c>
      <c r="E375">
        <f>IF(C375&lt;'user input'!$C$12,(D375-D374)*'user input'!$C$17*(1-EXP(5*(F374-'user input'!$C$17))),F375-F374)</f>
        <v>0</v>
      </c>
      <c r="F375">
        <f>IF(C375&lt;'user input'!$C$12,IF(B375&gt;'user input'!$C$6,0,F374+E375),'user input'!$C$17*((1-C375)/(1-'user input'!$C$12)))</f>
        <v>0</v>
      </c>
    </row>
    <row r="376" spans="1:6" x14ac:dyDescent="0.2">
      <c r="A376" s="1">
        <v>40552</v>
      </c>
      <c r="B376">
        <v>9</v>
      </c>
      <c r="C376">
        <f>IF(B376&gt;'user input'!$C$6,0,IF('heat units'!H376&gt;1,1,'heat units'!H376))</f>
        <v>0</v>
      </c>
      <c r="D376">
        <f>IF(B376&gt;'user input'!$C$6,0,(C376/(C376+EXP('user input'!$C$15-'user input'!$C$14*C376))))</f>
        <v>0</v>
      </c>
      <c r="E376">
        <f>IF(C376&lt;'user input'!$C$12,(D376-D375)*'user input'!$C$17*(1-EXP(5*(F375-'user input'!$C$17))),F376-F375)</f>
        <v>0</v>
      </c>
      <c r="F376">
        <f>IF(C376&lt;'user input'!$C$12,IF(B376&gt;'user input'!$C$6,0,F375+E376),'user input'!$C$17*((1-C376)/(1-'user input'!$C$12)))</f>
        <v>0</v>
      </c>
    </row>
    <row r="377" spans="1:6" x14ac:dyDescent="0.2">
      <c r="A377" s="1">
        <v>40553</v>
      </c>
      <c r="B377">
        <v>10</v>
      </c>
      <c r="C377">
        <f>IF(B377&gt;'user input'!$C$6,0,IF('heat units'!H377&gt;1,1,'heat units'!H377))</f>
        <v>0</v>
      </c>
      <c r="D377">
        <f>IF(B377&gt;'user input'!$C$6,0,(C377/(C377+EXP('user input'!$C$15-'user input'!$C$14*C377))))</f>
        <v>0</v>
      </c>
      <c r="E377">
        <f>IF(C377&lt;'user input'!$C$12,(D377-D376)*'user input'!$C$17*(1-EXP(5*(F376-'user input'!$C$17))),F377-F376)</f>
        <v>0</v>
      </c>
      <c r="F377">
        <f>IF(C377&lt;'user input'!$C$12,IF(B377&gt;'user input'!$C$6,0,F376+E377),'user input'!$C$17*((1-C377)/(1-'user input'!$C$12)))</f>
        <v>0</v>
      </c>
    </row>
    <row r="378" spans="1:6" x14ac:dyDescent="0.2">
      <c r="A378" s="1">
        <v>40554</v>
      </c>
      <c r="B378">
        <v>11</v>
      </c>
      <c r="C378">
        <f>IF(B378&gt;'user input'!$C$6,0,IF('heat units'!H378&gt;1,1,'heat units'!H378))</f>
        <v>0</v>
      </c>
      <c r="D378">
        <f>IF(B378&gt;'user input'!$C$6,0,(C378/(C378+EXP('user input'!$C$15-'user input'!$C$14*C378))))</f>
        <v>0</v>
      </c>
      <c r="E378">
        <f>IF(C378&lt;'user input'!$C$12,(D378-D377)*'user input'!$C$17*(1-EXP(5*(F377-'user input'!$C$17))),F378-F377)</f>
        <v>0</v>
      </c>
      <c r="F378">
        <f>IF(C378&lt;'user input'!$C$12,IF(B378&gt;'user input'!$C$6,0,F377+E378),'user input'!$C$17*((1-C378)/(1-'user input'!$C$12)))</f>
        <v>0</v>
      </c>
    </row>
    <row r="379" spans="1:6" x14ac:dyDescent="0.2">
      <c r="A379" s="1">
        <v>40555</v>
      </c>
      <c r="B379">
        <v>12</v>
      </c>
      <c r="C379">
        <f>IF(B379&gt;'user input'!$C$6,0,IF('heat units'!H379&gt;1,1,'heat units'!H379))</f>
        <v>0</v>
      </c>
      <c r="D379">
        <f>IF(B379&gt;'user input'!$C$6,0,(C379/(C379+EXP('user input'!$C$15-'user input'!$C$14*C379))))</f>
        <v>0</v>
      </c>
      <c r="E379">
        <f>IF(C379&lt;'user input'!$C$12,(D379-D378)*'user input'!$C$17*(1-EXP(5*(F378-'user input'!$C$17))),F379-F378)</f>
        <v>0</v>
      </c>
      <c r="F379">
        <f>IF(C379&lt;'user input'!$C$12,IF(B379&gt;'user input'!$C$6,0,F378+E379),'user input'!$C$17*((1-C379)/(1-'user input'!$C$12)))</f>
        <v>0</v>
      </c>
    </row>
    <row r="380" spans="1:6" x14ac:dyDescent="0.2">
      <c r="A380" s="1">
        <v>40556</v>
      </c>
      <c r="B380">
        <v>13</v>
      </c>
      <c r="C380">
        <f>IF(B380&gt;'user input'!$C$6,0,IF('heat units'!H380&gt;1,1,'heat units'!H380))</f>
        <v>0</v>
      </c>
      <c r="D380">
        <f>IF(B380&gt;'user input'!$C$6,0,(C380/(C380+EXP('user input'!$C$15-'user input'!$C$14*C380))))</f>
        <v>0</v>
      </c>
      <c r="E380">
        <f>IF(C380&lt;'user input'!$C$12,(D380-D379)*'user input'!$C$17*(1-EXP(5*(F379-'user input'!$C$17))),F380-F379)</f>
        <v>0</v>
      </c>
      <c r="F380">
        <f>IF(C380&lt;'user input'!$C$12,IF(B380&gt;'user input'!$C$6,0,F379+E380),'user input'!$C$17*((1-C380)/(1-'user input'!$C$12)))</f>
        <v>0</v>
      </c>
    </row>
    <row r="381" spans="1:6" x14ac:dyDescent="0.2">
      <c r="A381" s="1">
        <v>40557</v>
      </c>
      <c r="B381">
        <v>14</v>
      </c>
      <c r="C381">
        <f>IF(B381&gt;'user input'!$C$6,0,IF('heat units'!H381&gt;1,1,'heat units'!H381))</f>
        <v>0</v>
      </c>
      <c r="D381">
        <f>IF(B381&gt;'user input'!$C$6,0,(C381/(C381+EXP('user input'!$C$15-'user input'!$C$14*C381))))</f>
        <v>0</v>
      </c>
      <c r="E381">
        <f>IF(C381&lt;'user input'!$C$12,(D381-D380)*'user input'!$C$17*(1-EXP(5*(F380-'user input'!$C$17))),F381-F380)</f>
        <v>0</v>
      </c>
      <c r="F381">
        <f>IF(C381&lt;'user input'!$C$12,IF(B381&gt;'user input'!$C$6,0,F380+E381),'user input'!$C$17*((1-C381)/(1-'user input'!$C$12)))</f>
        <v>0</v>
      </c>
    </row>
    <row r="382" spans="1:6" x14ac:dyDescent="0.2">
      <c r="A382" s="1">
        <v>40558</v>
      </c>
      <c r="B382">
        <v>15</v>
      </c>
      <c r="C382">
        <f>IF(B382&gt;'user input'!$C$6,0,IF('heat units'!H382&gt;1,1,'heat units'!H382))</f>
        <v>0</v>
      </c>
      <c r="D382">
        <f>IF(B382&gt;'user input'!$C$6,0,(C382/(C382+EXP('user input'!$C$15-'user input'!$C$14*C382))))</f>
        <v>0</v>
      </c>
      <c r="E382">
        <f>IF(C382&lt;'user input'!$C$12,(D382-D381)*'user input'!$C$17*(1-EXP(5*(F381-'user input'!$C$17))),F382-F381)</f>
        <v>0</v>
      </c>
      <c r="F382">
        <f>IF(C382&lt;'user input'!$C$12,IF(B382&gt;'user input'!$C$6,0,F381+E382),'user input'!$C$17*((1-C382)/(1-'user input'!$C$12)))</f>
        <v>0</v>
      </c>
    </row>
    <row r="383" spans="1:6" x14ac:dyDescent="0.2">
      <c r="A383" s="1">
        <v>40559</v>
      </c>
      <c r="B383">
        <v>16</v>
      </c>
      <c r="C383">
        <f>IF(B383&gt;'user input'!$C$6,0,IF('heat units'!H383&gt;1,1,'heat units'!H383))</f>
        <v>0</v>
      </c>
      <c r="D383">
        <f>IF(B383&gt;'user input'!$C$6,0,(C383/(C383+EXP('user input'!$C$15-'user input'!$C$14*C383))))</f>
        <v>0</v>
      </c>
      <c r="E383">
        <f>IF(C383&lt;'user input'!$C$12,(D383-D382)*'user input'!$C$17*(1-EXP(5*(F382-'user input'!$C$17))),F383-F382)</f>
        <v>0</v>
      </c>
      <c r="F383">
        <f>IF(C383&lt;'user input'!$C$12,IF(B383&gt;'user input'!$C$6,0,F382+E383),'user input'!$C$17*((1-C383)/(1-'user input'!$C$12)))</f>
        <v>0</v>
      </c>
    </row>
    <row r="384" spans="1:6" x14ac:dyDescent="0.2">
      <c r="A384" s="1">
        <v>40560</v>
      </c>
      <c r="B384">
        <v>17</v>
      </c>
      <c r="C384">
        <f>IF(B384&gt;'user input'!$C$6,0,IF('heat units'!H384&gt;1,1,'heat units'!H384))</f>
        <v>0</v>
      </c>
      <c r="D384">
        <f>IF(B384&gt;'user input'!$C$6,0,(C384/(C384+EXP('user input'!$C$15-'user input'!$C$14*C384))))</f>
        <v>0</v>
      </c>
      <c r="E384">
        <f>IF(C384&lt;'user input'!$C$12,(D384-D383)*'user input'!$C$17*(1-EXP(5*(F383-'user input'!$C$17))),F384-F383)</f>
        <v>0</v>
      </c>
      <c r="F384">
        <f>IF(C384&lt;'user input'!$C$12,IF(B384&gt;'user input'!$C$6,0,F383+E384),'user input'!$C$17*((1-C384)/(1-'user input'!$C$12)))</f>
        <v>0</v>
      </c>
    </row>
    <row r="385" spans="1:6" x14ac:dyDescent="0.2">
      <c r="A385" s="1">
        <v>40561</v>
      </c>
      <c r="B385">
        <v>18</v>
      </c>
      <c r="C385">
        <f>IF(B385&gt;'user input'!$C$6,0,IF('heat units'!H385&gt;1,1,'heat units'!H385))</f>
        <v>0</v>
      </c>
      <c r="D385">
        <f>IF(B385&gt;'user input'!$C$6,0,(C385/(C385+EXP('user input'!$C$15-'user input'!$C$14*C385))))</f>
        <v>0</v>
      </c>
      <c r="E385">
        <f>IF(C385&lt;'user input'!$C$12,(D385-D384)*'user input'!$C$17*(1-EXP(5*(F384-'user input'!$C$17))),F385-F384)</f>
        <v>0</v>
      </c>
      <c r="F385">
        <f>IF(C385&lt;'user input'!$C$12,IF(B385&gt;'user input'!$C$6,0,F384+E385),'user input'!$C$17*((1-C385)/(1-'user input'!$C$12)))</f>
        <v>0</v>
      </c>
    </row>
    <row r="386" spans="1:6" x14ac:dyDescent="0.2">
      <c r="A386" s="1">
        <v>40562</v>
      </c>
      <c r="B386">
        <v>19</v>
      </c>
      <c r="C386">
        <f>IF(B386&gt;'user input'!$C$6,0,IF('heat units'!H386&gt;1,1,'heat units'!H386))</f>
        <v>0</v>
      </c>
      <c r="D386">
        <f>IF(B386&gt;'user input'!$C$6,0,(C386/(C386+EXP('user input'!$C$15-'user input'!$C$14*C386))))</f>
        <v>0</v>
      </c>
      <c r="E386">
        <f>IF(C386&lt;'user input'!$C$12,(D386-D385)*'user input'!$C$17*(1-EXP(5*(F385-'user input'!$C$17))),F386-F385)</f>
        <v>0</v>
      </c>
      <c r="F386">
        <f>IF(C386&lt;'user input'!$C$12,IF(B386&gt;'user input'!$C$6,0,F385+E386),'user input'!$C$17*((1-C386)/(1-'user input'!$C$12)))</f>
        <v>0</v>
      </c>
    </row>
    <row r="387" spans="1:6" x14ac:dyDescent="0.2">
      <c r="A387" s="1">
        <v>40563</v>
      </c>
      <c r="B387">
        <v>20</v>
      </c>
      <c r="C387">
        <f>IF(B387&gt;'user input'!$C$6,0,IF('heat units'!H387&gt;1,1,'heat units'!H387))</f>
        <v>0</v>
      </c>
      <c r="D387">
        <f>IF(B387&gt;'user input'!$C$6,0,(C387/(C387+EXP('user input'!$C$15-'user input'!$C$14*C387))))</f>
        <v>0</v>
      </c>
      <c r="E387">
        <f>IF(C387&lt;'user input'!$C$12,(D387-D386)*'user input'!$C$17*(1-EXP(5*(F386-'user input'!$C$17))),F387-F386)</f>
        <v>0</v>
      </c>
      <c r="F387">
        <f>IF(C387&lt;'user input'!$C$12,IF(B387&gt;'user input'!$C$6,0,F386+E387),'user input'!$C$17*((1-C387)/(1-'user input'!$C$12)))</f>
        <v>0</v>
      </c>
    </row>
    <row r="388" spans="1:6" x14ac:dyDescent="0.2">
      <c r="A388" s="1">
        <v>40564</v>
      </c>
      <c r="B388">
        <v>21</v>
      </c>
      <c r="C388">
        <f>IF(B388&gt;'user input'!$C$6,0,IF('heat units'!H388&gt;1,1,'heat units'!H388))</f>
        <v>0</v>
      </c>
      <c r="D388">
        <f>IF(B388&gt;'user input'!$C$6,0,(C388/(C388+EXP('user input'!$C$15-'user input'!$C$14*C388))))</f>
        <v>0</v>
      </c>
      <c r="E388">
        <f>IF(C388&lt;'user input'!$C$12,(D388-D387)*'user input'!$C$17*(1-EXP(5*(F387-'user input'!$C$17))),F388-F387)</f>
        <v>0</v>
      </c>
      <c r="F388">
        <f>IF(C388&lt;'user input'!$C$12,IF(B388&gt;'user input'!$C$6,0,F387+E388),'user input'!$C$17*((1-C388)/(1-'user input'!$C$12)))</f>
        <v>0</v>
      </c>
    </row>
    <row r="389" spans="1:6" x14ac:dyDescent="0.2">
      <c r="A389" s="1">
        <v>40565</v>
      </c>
      <c r="B389">
        <v>22</v>
      </c>
      <c r="C389">
        <f>IF(B389&gt;'user input'!$C$6,0,IF('heat units'!H389&gt;1,1,'heat units'!H389))</f>
        <v>0</v>
      </c>
      <c r="D389">
        <f>IF(B389&gt;'user input'!$C$6,0,(C389/(C389+EXP('user input'!$C$15-'user input'!$C$14*C389))))</f>
        <v>0</v>
      </c>
      <c r="E389">
        <f>IF(C389&lt;'user input'!$C$12,(D389-D388)*'user input'!$C$17*(1-EXP(5*(F388-'user input'!$C$17))),F389-F388)</f>
        <v>0</v>
      </c>
      <c r="F389">
        <f>IF(C389&lt;'user input'!$C$12,IF(B389&gt;'user input'!$C$6,0,F388+E389),'user input'!$C$17*((1-C389)/(1-'user input'!$C$12)))</f>
        <v>0</v>
      </c>
    </row>
    <row r="390" spans="1:6" x14ac:dyDescent="0.2">
      <c r="A390" s="1">
        <v>40566</v>
      </c>
      <c r="B390">
        <v>23</v>
      </c>
      <c r="C390">
        <f>IF(B390&gt;'user input'!$C$6,0,IF('heat units'!H390&gt;1,1,'heat units'!H390))</f>
        <v>0</v>
      </c>
      <c r="D390">
        <f>IF(B390&gt;'user input'!$C$6,0,(C390/(C390+EXP('user input'!$C$15-'user input'!$C$14*C390))))</f>
        <v>0</v>
      </c>
      <c r="E390">
        <f>IF(C390&lt;'user input'!$C$12,(D390-D389)*'user input'!$C$17*(1-EXP(5*(F389-'user input'!$C$17))),F390-F389)</f>
        <v>0</v>
      </c>
      <c r="F390">
        <f>IF(C390&lt;'user input'!$C$12,IF(B390&gt;'user input'!$C$6,0,F389+E390),'user input'!$C$17*((1-C390)/(1-'user input'!$C$12)))</f>
        <v>0</v>
      </c>
    </row>
    <row r="391" spans="1:6" x14ac:dyDescent="0.2">
      <c r="A391" s="1">
        <v>40567</v>
      </c>
      <c r="B391">
        <v>24</v>
      </c>
      <c r="C391">
        <f>IF(B391&gt;'user input'!$C$6,0,IF('heat units'!H391&gt;1,1,'heat units'!H391))</f>
        <v>0</v>
      </c>
      <c r="D391">
        <f>IF(B391&gt;'user input'!$C$6,0,(C391/(C391+EXP('user input'!$C$15-'user input'!$C$14*C391))))</f>
        <v>0</v>
      </c>
      <c r="E391">
        <f>IF(C391&lt;'user input'!$C$12,(D391-D390)*'user input'!$C$17*(1-EXP(5*(F390-'user input'!$C$17))),F391-F390)</f>
        <v>0</v>
      </c>
      <c r="F391">
        <f>IF(C391&lt;'user input'!$C$12,IF(B391&gt;'user input'!$C$6,0,F390+E391),'user input'!$C$17*((1-C391)/(1-'user input'!$C$12)))</f>
        <v>0</v>
      </c>
    </row>
    <row r="392" spans="1:6" x14ac:dyDescent="0.2">
      <c r="A392" s="1">
        <v>40568</v>
      </c>
      <c r="B392">
        <v>25</v>
      </c>
      <c r="C392">
        <f>IF(B392&gt;'user input'!$C$6,0,IF('heat units'!H392&gt;1,1,'heat units'!H392))</f>
        <v>0</v>
      </c>
      <c r="D392">
        <f>IF(B392&gt;'user input'!$C$6,0,(C392/(C392+EXP('user input'!$C$15-'user input'!$C$14*C392))))</f>
        <v>0</v>
      </c>
      <c r="E392">
        <f>IF(C392&lt;'user input'!$C$12,(D392-D391)*'user input'!$C$17*(1-EXP(5*(F391-'user input'!$C$17))),F392-F391)</f>
        <v>0</v>
      </c>
      <c r="F392">
        <f>IF(C392&lt;'user input'!$C$12,IF(B392&gt;'user input'!$C$6,0,F391+E392),'user input'!$C$17*((1-C392)/(1-'user input'!$C$12)))</f>
        <v>0</v>
      </c>
    </row>
    <row r="393" spans="1:6" x14ac:dyDescent="0.2">
      <c r="A393" s="1">
        <v>40569</v>
      </c>
      <c r="B393">
        <v>26</v>
      </c>
      <c r="C393">
        <f>IF(B393&gt;'user input'!$C$6,0,IF('heat units'!H393&gt;1,1,'heat units'!H393))</f>
        <v>0</v>
      </c>
      <c r="D393">
        <f>IF(B393&gt;'user input'!$C$6,0,(C393/(C393+EXP('user input'!$C$15-'user input'!$C$14*C393))))</f>
        <v>0</v>
      </c>
      <c r="E393">
        <f>IF(C393&lt;'user input'!$C$12,(D393-D392)*'user input'!$C$17*(1-EXP(5*(F392-'user input'!$C$17))),F393-F392)</f>
        <v>0</v>
      </c>
      <c r="F393">
        <f>IF(C393&lt;'user input'!$C$12,IF(B393&gt;'user input'!$C$6,0,F392+E393),'user input'!$C$17*((1-C393)/(1-'user input'!$C$12)))</f>
        <v>0</v>
      </c>
    </row>
    <row r="394" spans="1:6" x14ac:dyDescent="0.2">
      <c r="A394" s="1">
        <v>40570</v>
      </c>
      <c r="B394">
        <v>27</v>
      </c>
      <c r="C394">
        <f>IF(B394&gt;'user input'!$C$6,0,IF('heat units'!H394&gt;1,1,'heat units'!H394))</f>
        <v>0</v>
      </c>
      <c r="D394">
        <f>IF(B394&gt;'user input'!$C$6,0,(C394/(C394+EXP('user input'!$C$15-'user input'!$C$14*C394))))</f>
        <v>0</v>
      </c>
      <c r="E394">
        <f>IF(C394&lt;'user input'!$C$12,(D394-D393)*'user input'!$C$17*(1-EXP(5*(F393-'user input'!$C$17))),F394-F393)</f>
        <v>0</v>
      </c>
      <c r="F394">
        <f>IF(C394&lt;'user input'!$C$12,IF(B394&gt;'user input'!$C$6,0,F393+E394),'user input'!$C$17*((1-C394)/(1-'user input'!$C$12)))</f>
        <v>0</v>
      </c>
    </row>
    <row r="395" spans="1:6" x14ac:dyDescent="0.2">
      <c r="A395" s="1">
        <v>40571</v>
      </c>
      <c r="B395">
        <v>28</v>
      </c>
      <c r="C395">
        <f>IF(B395&gt;'user input'!$C$6,0,IF('heat units'!H395&gt;1,1,'heat units'!H395))</f>
        <v>0</v>
      </c>
      <c r="D395">
        <f>IF(B395&gt;'user input'!$C$6,0,(C395/(C395+EXP('user input'!$C$15-'user input'!$C$14*C395))))</f>
        <v>0</v>
      </c>
      <c r="E395">
        <f>IF(C395&lt;'user input'!$C$12,(D395-D394)*'user input'!$C$17*(1-EXP(5*(F394-'user input'!$C$17))),F395-F394)</f>
        <v>0</v>
      </c>
      <c r="F395">
        <f>IF(C395&lt;'user input'!$C$12,IF(B395&gt;'user input'!$C$6,0,F394+E395),'user input'!$C$17*((1-C395)/(1-'user input'!$C$12)))</f>
        <v>0</v>
      </c>
    </row>
    <row r="396" spans="1:6" x14ac:dyDescent="0.2">
      <c r="A396" s="1">
        <v>40572</v>
      </c>
      <c r="B396">
        <v>29</v>
      </c>
      <c r="C396">
        <f>IF(B396&gt;'user input'!$C$6,0,IF('heat units'!H396&gt;1,1,'heat units'!H396))</f>
        <v>0</v>
      </c>
      <c r="D396">
        <f>IF(B396&gt;'user input'!$C$6,0,(C396/(C396+EXP('user input'!$C$15-'user input'!$C$14*C396))))</f>
        <v>0</v>
      </c>
      <c r="E396">
        <f>IF(C396&lt;'user input'!$C$12,(D396-D395)*'user input'!$C$17*(1-EXP(5*(F395-'user input'!$C$17))),F396-F395)</f>
        <v>0</v>
      </c>
      <c r="F396">
        <f>IF(C396&lt;'user input'!$C$12,IF(B396&gt;'user input'!$C$6,0,F395+E396),'user input'!$C$17*((1-C396)/(1-'user input'!$C$12)))</f>
        <v>0</v>
      </c>
    </row>
    <row r="397" spans="1:6" x14ac:dyDescent="0.2">
      <c r="A397" s="1">
        <v>40573</v>
      </c>
      <c r="B397">
        <v>30</v>
      </c>
      <c r="C397">
        <f>IF(B397&gt;'user input'!$C$6,0,IF('heat units'!H397&gt;1,1,'heat units'!H397))</f>
        <v>0</v>
      </c>
      <c r="D397">
        <f>IF(B397&gt;'user input'!$C$6,0,(C397/(C397+EXP('user input'!$C$15-'user input'!$C$14*C397))))</f>
        <v>0</v>
      </c>
      <c r="E397">
        <f>IF(C397&lt;'user input'!$C$12,(D397-D396)*'user input'!$C$17*(1-EXP(5*(F396-'user input'!$C$17))),F397-F396)</f>
        <v>0</v>
      </c>
      <c r="F397">
        <f>IF(C397&lt;'user input'!$C$12,IF(B397&gt;'user input'!$C$6,0,F396+E397),'user input'!$C$17*((1-C397)/(1-'user input'!$C$12)))</f>
        <v>0</v>
      </c>
    </row>
    <row r="398" spans="1:6" x14ac:dyDescent="0.2">
      <c r="A398" s="1">
        <v>40574</v>
      </c>
      <c r="B398">
        <v>31</v>
      </c>
      <c r="C398">
        <f>IF(B398&gt;'user input'!$C$6,0,IF('heat units'!H398&gt;1,1,'heat units'!H398))</f>
        <v>0</v>
      </c>
      <c r="D398">
        <f>IF(B398&gt;'user input'!$C$6,0,(C398/(C398+EXP('user input'!$C$15-'user input'!$C$14*C398))))</f>
        <v>0</v>
      </c>
      <c r="E398">
        <f>IF(C398&lt;'user input'!$C$12,(D398-D397)*'user input'!$C$17*(1-EXP(5*(F397-'user input'!$C$17))),F398-F397)</f>
        <v>0</v>
      </c>
      <c r="F398">
        <f>IF(C398&lt;'user input'!$C$12,IF(B398&gt;'user input'!$C$6,0,F397+E398),'user input'!$C$17*((1-C398)/(1-'user input'!$C$12)))</f>
        <v>0</v>
      </c>
    </row>
    <row r="399" spans="1:6" x14ac:dyDescent="0.2">
      <c r="A399" s="1">
        <v>40575</v>
      </c>
      <c r="B399">
        <v>32</v>
      </c>
      <c r="C399">
        <f>IF(B399&gt;'user input'!$C$6,0,IF('heat units'!H399&gt;1,1,'heat units'!H399))</f>
        <v>0</v>
      </c>
      <c r="D399">
        <f>IF(B399&gt;'user input'!$C$6,0,(C399/(C399+EXP('user input'!$C$15-'user input'!$C$14*C399))))</f>
        <v>0</v>
      </c>
      <c r="E399">
        <f>IF(C399&lt;'user input'!$C$12,(D399-D398)*'user input'!$C$17*(1-EXP(5*(F398-'user input'!$C$17))),F399-F398)</f>
        <v>0</v>
      </c>
      <c r="F399">
        <f>IF(C399&lt;'user input'!$C$12,IF(B399&gt;'user input'!$C$6,0,F398+E399),'user input'!$C$17*((1-C399)/(1-'user input'!$C$12)))</f>
        <v>0</v>
      </c>
    </row>
    <row r="400" spans="1:6" x14ac:dyDescent="0.2">
      <c r="A400" s="1">
        <v>40576</v>
      </c>
      <c r="B400">
        <v>33</v>
      </c>
      <c r="C400">
        <f>IF(B400&gt;'user input'!$C$6,0,IF('heat units'!H400&gt;1,1,'heat units'!H400))</f>
        <v>0</v>
      </c>
      <c r="D400">
        <f>IF(B400&gt;'user input'!$C$6,0,(C400/(C400+EXP('user input'!$C$15-'user input'!$C$14*C400))))</f>
        <v>0</v>
      </c>
      <c r="E400">
        <f>IF(C400&lt;'user input'!$C$12,(D400-D399)*'user input'!$C$17*(1-EXP(5*(F399-'user input'!$C$17))),F400-F399)</f>
        <v>0</v>
      </c>
      <c r="F400">
        <f>IF(C400&lt;'user input'!$C$12,IF(B400&gt;'user input'!$C$6,0,F399+E400),'user input'!$C$17*((1-C400)/(1-'user input'!$C$12)))</f>
        <v>0</v>
      </c>
    </row>
    <row r="401" spans="1:6" x14ac:dyDescent="0.2">
      <c r="A401" s="1">
        <v>40577</v>
      </c>
      <c r="B401">
        <v>34</v>
      </c>
      <c r="C401">
        <f>IF(B401&gt;'user input'!$C$6,0,IF('heat units'!H401&gt;1,1,'heat units'!H401))</f>
        <v>0</v>
      </c>
      <c r="D401">
        <f>IF(B401&gt;'user input'!$C$6,0,(C401/(C401+EXP('user input'!$C$15-'user input'!$C$14*C401))))</f>
        <v>0</v>
      </c>
      <c r="E401">
        <f>IF(C401&lt;'user input'!$C$12,(D401-D400)*'user input'!$C$17*(1-EXP(5*(F400-'user input'!$C$17))),F401-F400)</f>
        <v>0</v>
      </c>
      <c r="F401">
        <f>IF(C401&lt;'user input'!$C$12,IF(B401&gt;'user input'!$C$6,0,F400+E401),'user input'!$C$17*((1-C401)/(1-'user input'!$C$12)))</f>
        <v>0</v>
      </c>
    </row>
    <row r="402" spans="1:6" x14ac:dyDescent="0.2">
      <c r="A402" s="1">
        <v>40578</v>
      </c>
      <c r="B402">
        <v>35</v>
      </c>
      <c r="C402">
        <f>IF(B402&gt;'user input'!$C$6,0,IF('heat units'!H402&gt;1,1,'heat units'!H402))</f>
        <v>0</v>
      </c>
      <c r="D402">
        <f>IF(B402&gt;'user input'!$C$6,0,(C402/(C402+EXP('user input'!$C$15-'user input'!$C$14*C402))))</f>
        <v>0</v>
      </c>
      <c r="E402">
        <f>IF(C402&lt;'user input'!$C$12,(D402-D401)*'user input'!$C$17*(1-EXP(5*(F401-'user input'!$C$17))),F402-F401)</f>
        <v>0</v>
      </c>
      <c r="F402">
        <f>IF(C402&lt;'user input'!$C$12,IF(B402&gt;'user input'!$C$6,0,F401+E402),'user input'!$C$17*((1-C402)/(1-'user input'!$C$12)))</f>
        <v>0</v>
      </c>
    </row>
    <row r="403" spans="1:6" x14ac:dyDescent="0.2">
      <c r="A403" s="1">
        <v>40579</v>
      </c>
      <c r="B403">
        <v>36</v>
      </c>
      <c r="C403">
        <f>IF(B403&gt;'user input'!$C$6,0,IF('heat units'!H403&gt;1,1,'heat units'!H403))</f>
        <v>0</v>
      </c>
      <c r="D403">
        <f>IF(B403&gt;'user input'!$C$6,0,(C403/(C403+EXP('user input'!$C$15-'user input'!$C$14*C403))))</f>
        <v>0</v>
      </c>
      <c r="E403">
        <f>IF(C403&lt;'user input'!$C$12,(D403-D402)*'user input'!$C$17*(1-EXP(5*(F402-'user input'!$C$17))),F403-F402)</f>
        <v>0</v>
      </c>
      <c r="F403">
        <f>IF(C403&lt;'user input'!$C$12,IF(B403&gt;'user input'!$C$6,0,F402+E403),'user input'!$C$17*((1-C403)/(1-'user input'!$C$12)))</f>
        <v>0</v>
      </c>
    </row>
    <row r="404" spans="1:6" x14ac:dyDescent="0.2">
      <c r="A404" s="1">
        <v>40580</v>
      </c>
      <c r="B404">
        <v>37</v>
      </c>
      <c r="C404">
        <f>IF(B404&gt;'user input'!$C$6,0,IF('heat units'!H404&gt;1,1,'heat units'!H404))</f>
        <v>0</v>
      </c>
      <c r="D404">
        <f>IF(B404&gt;'user input'!$C$6,0,(C404/(C404+EXP('user input'!$C$15-'user input'!$C$14*C404))))</f>
        <v>0</v>
      </c>
      <c r="E404">
        <f>IF(C404&lt;'user input'!$C$12,(D404-D403)*'user input'!$C$17*(1-EXP(5*(F403-'user input'!$C$17))),F404-F403)</f>
        <v>0</v>
      </c>
      <c r="F404">
        <f>IF(C404&lt;'user input'!$C$12,IF(B404&gt;'user input'!$C$6,0,F403+E404),'user input'!$C$17*((1-C404)/(1-'user input'!$C$12)))</f>
        <v>0</v>
      </c>
    </row>
    <row r="405" spans="1:6" x14ac:dyDescent="0.2">
      <c r="A405" s="1">
        <v>40581</v>
      </c>
      <c r="B405">
        <v>38</v>
      </c>
      <c r="C405">
        <f>IF(B405&gt;'user input'!$C$6,0,IF('heat units'!H405&gt;1,1,'heat units'!H405))</f>
        <v>0</v>
      </c>
      <c r="D405">
        <f>IF(B405&gt;'user input'!$C$6,0,(C405/(C405+EXP('user input'!$C$15-'user input'!$C$14*C405))))</f>
        <v>0</v>
      </c>
      <c r="E405">
        <f>IF(C405&lt;'user input'!$C$12,(D405-D404)*'user input'!$C$17*(1-EXP(5*(F404-'user input'!$C$17))),F405-F404)</f>
        <v>0</v>
      </c>
      <c r="F405">
        <f>IF(C405&lt;'user input'!$C$12,IF(B405&gt;'user input'!$C$6,0,F404+E405),'user input'!$C$17*((1-C405)/(1-'user input'!$C$12)))</f>
        <v>0</v>
      </c>
    </row>
    <row r="406" spans="1:6" x14ac:dyDescent="0.2">
      <c r="A406" s="1">
        <v>40582</v>
      </c>
      <c r="B406">
        <v>39</v>
      </c>
      <c r="C406">
        <f>IF(B406&gt;'user input'!$C$6,0,IF('heat units'!H406&gt;1,1,'heat units'!H406))</f>
        <v>0</v>
      </c>
      <c r="D406">
        <f>IF(B406&gt;'user input'!$C$6,0,(C406/(C406+EXP('user input'!$C$15-'user input'!$C$14*C406))))</f>
        <v>0</v>
      </c>
      <c r="E406">
        <f>IF(C406&lt;'user input'!$C$12,(D406-D405)*'user input'!$C$17*(1-EXP(5*(F405-'user input'!$C$17))),F406-F405)</f>
        <v>0</v>
      </c>
      <c r="F406">
        <f>IF(C406&lt;'user input'!$C$12,IF(B406&gt;'user input'!$C$6,0,F405+E406),'user input'!$C$17*((1-C406)/(1-'user input'!$C$12)))</f>
        <v>0</v>
      </c>
    </row>
    <row r="407" spans="1:6" x14ac:dyDescent="0.2">
      <c r="A407" s="1">
        <v>40583</v>
      </c>
      <c r="B407">
        <v>40</v>
      </c>
      <c r="C407">
        <f>IF(B407&gt;'user input'!$C$6,0,IF('heat units'!H407&gt;1,1,'heat units'!H407))</f>
        <v>0</v>
      </c>
      <c r="D407">
        <f>IF(B407&gt;'user input'!$C$6,0,(C407/(C407+EXP('user input'!$C$15-'user input'!$C$14*C407))))</f>
        <v>0</v>
      </c>
      <c r="E407">
        <f>IF(C407&lt;'user input'!$C$12,(D407-D406)*'user input'!$C$17*(1-EXP(5*(F406-'user input'!$C$17))),F407-F406)</f>
        <v>0</v>
      </c>
      <c r="F407">
        <f>IF(C407&lt;'user input'!$C$12,IF(B407&gt;'user input'!$C$6,0,F406+E407),'user input'!$C$17*((1-C407)/(1-'user input'!$C$12)))</f>
        <v>0</v>
      </c>
    </row>
    <row r="408" spans="1:6" x14ac:dyDescent="0.2">
      <c r="A408" s="1">
        <v>40584</v>
      </c>
      <c r="B408">
        <v>41</v>
      </c>
      <c r="C408">
        <f>IF(B408&gt;'user input'!$C$6,0,IF('heat units'!H408&gt;1,1,'heat units'!H408))</f>
        <v>0</v>
      </c>
      <c r="D408">
        <f>IF(B408&gt;'user input'!$C$6,0,(C408/(C408+EXP('user input'!$C$15-'user input'!$C$14*C408))))</f>
        <v>0</v>
      </c>
      <c r="E408">
        <f>IF(C408&lt;'user input'!$C$12,(D408-D407)*'user input'!$C$17*(1-EXP(5*(F407-'user input'!$C$17))),F408-F407)</f>
        <v>0</v>
      </c>
      <c r="F408">
        <f>IF(C408&lt;'user input'!$C$12,IF(B408&gt;'user input'!$C$6,0,F407+E408),'user input'!$C$17*((1-C408)/(1-'user input'!$C$12)))</f>
        <v>0</v>
      </c>
    </row>
    <row r="409" spans="1:6" x14ac:dyDescent="0.2">
      <c r="A409" s="1">
        <v>40585</v>
      </c>
      <c r="B409">
        <v>42</v>
      </c>
      <c r="C409">
        <f>IF(B409&gt;'user input'!$C$6,0,IF('heat units'!H409&gt;1,1,'heat units'!H409))</f>
        <v>0</v>
      </c>
      <c r="D409">
        <f>IF(B409&gt;'user input'!$C$6,0,(C409/(C409+EXP('user input'!$C$15-'user input'!$C$14*C409))))</f>
        <v>0</v>
      </c>
      <c r="E409">
        <f>IF(C409&lt;'user input'!$C$12,(D409-D408)*'user input'!$C$17*(1-EXP(5*(F408-'user input'!$C$17))),F409-F408)</f>
        <v>0</v>
      </c>
      <c r="F409">
        <f>IF(C409&lt;'user input'!$C$12,IF(B409&gt;'user input'!$C$6,0,F408+E409),'user input'!$C$17*((1-C409)/(1-'user input'!$C$12)))</f>
        <v>0</v>
      </c>
    </row>
    <row r="410" spans="1:6" x14ac:dyDescent="0.2">
      <c r="A410" s="1">
        <v>40586</v>
      </c>
      <c r="B410">
        <v>43</v>
      </c>
      <c r="C410">
        <f>IF(B410&gt;'user input'!$C$6,0,IF('heat units'!H410&gt;1,1,'heat units'!H410))</f>
        <v>0</v>
      </c>
      <c r="D410">
        <f>IF(B410&gt;'user input'!$C$6,0,(C410/(C410+EXP('user input'!$C$15-'user input'!$C$14*C410))))</f>
        <v>0</v>
      </c>
      <c r="E410">
        <f>IF(C410&lt;'user input'!$C$12,(D410-D409)*'user input'!$C$17*(1-EXP(5*(F409-'user input'!$C$17))),F410-F409)</f>
        <v>0</v>
      </c>
      <c r="F410">
        <f>IF(C410&lt;'user input'!$C$12,IF(B410&gt;'user input'!$C$6,0,F409+E410),'user input'!$C$17*((1-C410)/(1-'user input'!$C$12)))</f>
        <v>0</v>
      </c>
    </row>
    <row r="411" spans="1:6" x14ac:dyDescent="0.2">
      <c r="A411" s="1">
        <v>40587</v>
      </c>
      <c r="B411">
        <v>44</v>
      </c>
      <c r="C411">
        <f>IF(B411&gt;'user input'!$C$6,0,IF('heat units'!H411&gt;1,1,'heat units'!H411))</f>
        <v>0</v>
      </c>
      <c r="D411">
        <f>IF(B411&gt;'user input'!$C$6,0,(C411/(C411+EXP('user input'!$C$15-'user input'!$C$14*C411))))</f>
        <v>0</v>
      </c>
      <c r="E411">
        <f>IF(C411&lt;'user input'!$C$12,(D411-D410)*'user input'!$C$17*(1-EXP(5*(F410-'user input'!$C$17))),F411-F410)</f>
        <v>0</v>
      </c>
      <c r="F411">
        <f>IF(C411&lt;'user input'!$C$12,IF(B411&gt;'user input'!$C$6,0,F410+E411),'user input'!$C$17*((1-C411)/(1-'user input'!$C$12)))</f>
        <v>0</v>
      </c>
    </row>
    <row r="412" spans="1:6" x14ac:dyDescent="0.2">
      <c r="A412" s="1">
        <v>40588</v>
      </c>
      <c r="B412">
        <v>45</v>
      </c>
      <c r="C412">
        <f>IF(B412&gt;'user input'!$C$6,0,IF('heat units'!H412&gt;1,1,'heat units'!H412))</f>
        <v>0</v>
      </c>
      <c r="D412">
        <f>IF(B412&gt;'user input'!$C$6,0,(C412/(C412+EXP('user input'!$C$15-'user input'!$C$14*C412))))</f>
        <v>0</v>
      </c>
      <c r="E412">
        <f>IF(C412&lt;'user input'!$C$12,(D412-D411)*'user input'!$C$17*(1-EXP(5*(F411-'user input'!$C$17))),F412-F411)</f>
        <v>0</v>
      </c>
      <c r="F412">
        <f>IF(C412&lt;'user input'!$C$12,IF(B412&gt;'user input'!$C$6,0,F411+E412),'user input'!$C$17*((1-C412)/(1-'user input'!$C$12)))</f>
        <v>0</v>
      </c>
    </row>
    <row r="413" spans="1:6" x14ac:dyDescent="0.2">
      <c r="A413" s="1">
        <v>40589</v>
      </c>
      <c r="B413">
        <v>46</v>
      </c>
      <c r="C413">
        <f>IF(B413&gt;'user input'!$C$6,0,IF('heat units'!H413&gt;1,1,'heat units'!H413))</f>
        <v>0</v>
      </c>
      <c r="D413">
        <f>IF(B413&gt;'user input'!$C$6,0,(C413/(C413+EXP('user input'!$C$15-'user input'!$C$14*C413))))</f>
        <v>0</v>
      </c>
      <c r="E413">
        <f>IF(C413&lt;'user input'!$C$12,(D413-D412)*'user input'!$C$17*(1-EXP(5*(F412-'user input'!$C$17))),F413-F412)</f>
        <v>0</v>
      </c>
      <c r="F413">
        <f>IF(C413&lt;'user input'!$C$12,IF(B413&gt;'user input'!$C$6,0,F412+E413),'user input'!$C$17*((1-C413)/(1-'user input'!$C$12)))</f>
        <v>0</v>
      </c>
    </row>
    <row r="414" spans="1:6" x14ac:dyDescent="0.2">
      <c r="A414" s="1">
        <v>40590</v>
      </c>
      <c r="B414">
        <v>47</v>
      </c>
      <c r="C414">
        <f>IF(B414&gt;'user input'!$C$6,0,IF('heat units'!H414&gt;1,1,'heat units'!H414))</f>
        <v>0</v>
      </c>
      <c r="D414">
        <f>IF(B414&gt;'user input'!$C$6,0,(C414/(C414+EXP('user input'!$C$15-'user input'!$C$14*C414))))</f>
        <v>0</v>
      </c>
      <c r="E414">
        <f>IF(C414&lt;'user input'!$C$12,(D414-D413)*'user input'!$C$17*(1-EXP(5*(F413-'user input'!$C$17))),F414-F413)</f>
        <v>0</v>
      </c>
      <c r="F414">
        <f>IF(C414&lt;'user input'!$C$12,IF(B414&gt;'user input'!$C$6,0,F413+E414),'user input'!$C$17*((1-C414)/(1-'user input'!$C$12)))</f>
        <v>0</v>
      </c>
    </row>
    <row r="415" spans="1:6" x14ac:dyDescent="0.2">
      <c r="A415" s="1">
        <v>40591</v>
      </c>
      <c r="B415">
        <v>48</v>
      </c>
      <c r="C415">
        <f>IF(B415&gt;'user input'!$C$6,0,IF('heat units'!H415&gt;1,1,'heat units'!H415))</f>
        <v>0</v>
      </c>
      <c r="D415">
        <f>IF(B415&gt;'user input'!$C$6,0,(C415/(C415+EXP('user input'!$C$15-'user input'!$C$14*C415))))</f>
        <v>0</v>
      </c>
      <c r="E415">
        <f>IF(C415&lt;'user input'!$C$12,(D415-D414)*'user input'!$C$17*(1-EXP(5*(F414-'user input'!$C$17))),F415-F414)</f>
        <v>0</v>
      </c>
      <c r="F415">
        <f>IF(C415&lt;'user input'!$C$12,IF(B415&gt;'user input'!$C$6,0,F414+E415),'user input'!$C$17*((1-C415)/(1-'user input'!$C$12)))</f>
        <v>0</v>
      </c>
    </row>
    <row r="416" spans="1:6" x14ac:dyDescent="0.2">
      <c r="A416" s="1">
        <v>40592</v>
      </c>
      <c r="B416">
        <v>49</v>
      </c>
      <c r="C416">
        <f>IF(B416&gt;'user input'!$C$6,0,IF('heat units'!H416&gt;1,1,'heat units'!H416))</f>
        <v>0</v>
      </c>
      <c r="D416">
        <f>IF(B416&gt;'user input'!$C$6,0,(C416/(C416+EXP('user input'!$C$15-'user input'!$C$14*C416))))</f>
        <v>0</v>
      </c>
      <c r="E416">
        <f>IF(C416&lt;'user input'!$C$12,(D416-D415)*'user input'!$C$17*(1-EXP(5*(F415-'user input'!$C$17))),F416-F415)</f>
        <v>0</v>
      </c>
      <c r="F416">
        <f>IF(C416&lt;'user input'!$C$12,IF(B416&gt;'user input'!$C$6,0,F415+E416),'user input'!$C$17*((1-C416)/(1-'user input'!$C$12)))</f>
        <v>0</v>
      </c>
    </row>
    <row r="417" spans="1:6" x14ac:dyDescent="0.2">
      <c r="A417" s="1">
        <v>40593</v>
      </c>
      <c r="B417">
        <v>50</v>
      </c>
      <c r="C417">
        <f>IF(B417&gt;'user input'!$C$6,0,IF('heat units'!H417&gt;1,1,'heat units'!H417))</f>
        <v>0</v>
      </c>
      <c r="D417">
        <f>IF(B417&gt;'user input'!$C$6,0,(C417/(C417+EXP('user input'!$C$15-'user input'!$C$14*C417))))</f>
        <v>0</v>
      </c>
      <c r="E417">
        <f>IF(C417&lt;'user input'!$C$12,(D417-D416)*'user input'!$C$17*(1-EXP(5*(F416-'user input'!$C$17))),F417-F416)</f>
        <v>0</v>
      </c>
      <c r="F417">
        <f>IF(C417&lt;'user input'!$C$12,IF(B417&gt;'user input'!$C$6,0,F416+E417),'user input'!$C$17*((1-C417)/(1-'user input'!$C$12)))</f>
        <v>0</v>
      </c>
    </row>
    <row r="418" spans="1:6" x14ac:dyDescent="0.2">
      <c r="A418" s="1">
        <v>40594</v>
      </c>
      <c r="B418">
        <v>51</v>
      </c>
      <c r="C418">
        <f>IF(B418&gt;'user input'!$C$6,0,IF('heat units'!H418&gt;1,1,'heat units'!H418))</f>
        <v>0</v>
      </c>
      <c r="D418">
        <f>IF(B418&gt;'user input'!$C$6,0,(C418/(C418+EXP('user input'!$C$15-'user input'!$C$14*C418))))</f>
        <v>0</v>
      </c>
      <c r="E418">
        <f>IF(C418&lt;'user input'!$C$12,(D418-D417)*'user input'!$C$17*(1-EXP(5*(F417-'user input'!$C$17))),F418-F417)</f>
        <v>0</v>
      </c>
      <c r="F418">
        <f>IF(C418&lt;'user input'!$C$12,IF(B418&gt;'user input'!$C$6,0,F417+E418),'user input'!$C$17*((1-C418)/(1-'user input'!$C$12)))</f>
        <v>0</v>
      </c>
    </row>
    <row r="419" spans="1:6" x14ac:dyDescent="0.2">
      <c r="A419" s="1">
        <v>40595</v>
      </c>
      <c r="B419">
        <v>52</v>
      </c>
      <c r="C419">
        <f>IF(B419&gt;'user input'!$C$6,0,IF('heat units'!H419&gt;1,1,'heat units'!H419))</f>
        <v>0</v>
      </c>
      <c r="D419">
        <f>IF(B419&gt;'user input'!$C$6,0,(C419/(C419+EXP('user input'!$C$15-'user input'!$C$14*C419))))</f>
        <v>0</v>
      </c>
      <c r="E419">
        <f>IF(C419&lt;'user input'!$C$12,(D419-D418)*'user input'!$C$17*(1-EXP(5*(F418-'user input'!$C$17))),F419-F418)</f>
        <v>0</v>
      </c>
      <c r="F419">
        <f>IF(C419&lt;'user input'!$C$12,IF(B419&gt;'user input'!$C$6,0,F418+E419),'user input'!$C$17*((1-C419)/(1-'user input'!$C$12)))</f>
        <v>0</v>
      </c>
    </row>
    <row r="420" spans="1:6" x14ac:dyDescent="0.2">
      <c r="A420" s="1">
        <v>40596</v>
      </c>
      <c r="B420">
        <v>53</v>
      </c>
      <c r="C420">
        <f>IF(B420&gt;'user input'!$C$6,0,IF('heat units'!H420&gt;1,1,'heat units'!H420))</f>
        <v>0</v>
      </c>
      <c r="D420">
        <f>IF(B420&gt;'user input'!$C$6,0,(C420/(C420+EXP('user input'!$C$15-'user input'!$C$14*C420))))</f>
        <v>0</v>
      </c>
      <c r="E420">
        <f>IF(C420&lt;'user input'!$C$12,(D420-D419)*'user input'!$C$17*(1-EXP(5*(F419-'user input'!$C$17))),F420-F419)</f>
        <v>0</v>
      </c>
      <c r="F420">
        <f>IF(C420&lt;'user input'!$C$12,IF(B420&gt;'user input'!$C$6,0,F419+E420),'user input'!$C$17*((1-C420)/(1-'user input'!$C$12)))</f>
        <v>0</v>
      </c>
    </row>
    <row r="421" spans="1:6" x14ac:dyDescent="0.2">
      <c r="A421" s="1">
        <v>40597</v>
      </c>
      <c r="B421">
        <v>54</v>
      </c>
      <c r="C421">
        <f>IF(B421&gt;'user input'!$C$6,0,IF('heat units'!H421&gt;1,1,'heat units'!H421))</f>
        <v>0</v>
      </c>
      <c r="D421">
        <f>IF(B421&gt;'user input'!$C$6,0,(C421/(C421+EXP('user input'!$C$15-'user input'!$C$14*C421))))</f>
        <v>0</v>
      </c>
      <c r="E421">
        <f>IF(C421&lt;'user input'!$C$12,(D421-D420)*'user input'!$C$17*(1-EXP(5*(F420-'user input'!$C$17))),F421-F420)</f>
        <v>0</v>
      </c>
      <c r="F421">
        <f>IF(C421&lt;'user input'!$C$12,IF(B421&gt;'user input'!$C$6,0,F420+E421),'user input'!$C$17*((1-C421)/(1-'user input'!$C$12)))</f>
        <v>0</v>
      </c>
    </row>
    <row r="422" spans="1:6" x14ac:dyDescent="0.2">
      <c r="A422" s="1">
        <v>40598</v>
      </c>
      <c r="B422">
        <v>55</v>
      </c>
      <c r="C422">
        <f>IF(B422&gt;'user input'!$C$6,0,IF('heat units'!H422&gt;1,1,'heat units'!H422))</f>
        <v>0</v>
      </c>
      <c r="D422">
        <f>IF(B422&gt;'user input'!$C$6,0,(C422/(C422+EXP('user input'!$C$15-'user input'!$C$14*C422))))</f>
        <v>0</v>
      </c>
      <c r="E422">
        <f>IF(C422&lt;'user input'!$C$12,(D422-D421)*'user input'!$C$17*(1-EXP(5*(F421-'user input'!$C$17))),F422-F421)</f>
        <v>0</v>
      </c>
      <c r="F422">
        <f>IF(C422&lt;'user input'!$C$12,IF(B422&gt;'user input'!$C$6,0,F421+E422),'user input'!$C$17*((1-C422)/(1-'user input'!$C$12)))</f>
        <v>0</v>
      </c>
    </row>
    <row r="423" spans="1:6" x14ac:dyDescent="0.2">
      <c r="A423" s="1">
        <v>40599</v>
      </c>
      <c r="B423">
        <v>56</v>
      </c>
      <c r="C423">
        <f>IF(B423&gt;'user input'!$C$6,0,IF('heat units'!H423&gt;1,1,'heat units'!H423))</f>
        <v>0</v>
      </c>
      <c r="D423">
        <f>IF(B423&gt;'user input'!$C$6,0,(C423/(C423+EXP('user input'!$C$15-'user input'!$C$14*C423))))</f>
        <v>0</v>
      </c>
      <c r="E423">
        <f>IF(C423&lt;'user input'!$C$12,(D423-D422)*'user input'!$C$17*(1-EXP(5*(F422-'user input'!$C$17))),F423-F422)</f>
        <v>0</v>
      </c>
      <c r="F423">
        <f>IF(C423&lt;'user input'!$C$12,IF(B423&gt;'user input'!$C$6,0,F422+E423),'user input'!$C$17*((1-C423)/(1-'user input'!$C$12)))</f>
        <v>0</v>
      </c>
    </row>
    <row r="424" spans="1:6" x14ac:dyDescent="0.2">
      <c r="A424" s="1">
        <v>40600</v>
      </c>
      <c r="B424">
        <v>57</v>
      </c>
      <c r="C424">
        <f>IF(B424&gt;'user input'!$C$6,0,IF('heat units'!H424&gt;1,1,'heat units'!H424))</f>
        <v>0</v>
      </c>
      <c r="D424">
        <f>IF(B424&gt;'user input'!$C$6,0,(C424/(C424+EXP('user input'!$C$15-'user input'!$C$14*C424))))</f>
        <v>0</v>
      </c>
      <c r="E424">
        <f>IF(C424&lt;'user input'!$C$12,(D424-D423)*'user input'!$C$17*(1-EXP(5*(F423-'user input'!$C$17))),F424-F423)</f>
        <v>0</v>
      </c>
      <c r="F424">
        <f>IF(C424&lt;'user input'!$C$12,IF(B424&gt;'user input'!$C$6,0,F423+E424),'user input'!$C$17*((1-C424)/(1-'user input'!$C$12)))</f>
        <v>0</v>
      </c>
    </row>
    <row r="425" spans="1:6" x14ac:dyDescent="0.2">
      <c r="A425" s="1">
        <v>40601</v>
      </c>
      <c r="B425">
        <v>58</v>
      </c>
      <c r="C425">
        <f>IF(B425&gt;'user input'!$C$6,0,IF('heat units'!H425&gt;1,1,'heat units'!H425))</f>
        <v>0</v>
      </c>
      <c r="D425">
        <f>IF(B425&gt;'user input'!$C$6,0,(C425/(C425+EXP('user input'!$C$15-'user input'!$C$14*C425))))</f>
        <v>0</v>
      </c>
      <c r="E425">
        <f>IF(C425&lt;'user input'!$C$12,(D425-D424)*'user input'!$C$17*(1-EXP(5*(F424-'user input'!$C$17))),F425-F424)</f>
        <v>0</v>
      </c>
      <c r="F425">
        <f>IF(C425&lt;'user input'!$C$12,IF(B425&gt;'user input'!$C$6,0,F424+E425),'user input'!$C$17*((1-C425)/(1-'user input'!$C$12)))</f>
        <v>0</v>
      </c>
    </row>
    <row r="426" spans="1:6" x14ac:dyDescent="0.2">
      <c r="A426" s="1">
        <v>40602</v>
      </c>
      <c r="B426">
        <v>59</v>
      </c>
      <c r="C426">
        <f>IF(B426&gt;'user input'!$C$6,0,IF('heat units'!H426&gt;1,1,'heat units'!H426))</f>
        <v>0</v>
      </c>
      <c r="D426">
        <f>IF(B426&gt;'user input'!$C$6,0,(C426/(C426+EXP('user input'!$C$15-'user input'!$C$14*C426))))</f>
        <v>0</v>
      </c>
      <c r="E426">
        <f>IF(C426&lt;'user input'!$C$12,(D426-D425)*'user input'!$C$17*(1-EXP(5*(F425-'user input'!$C$17))),F426-F425)</f>
        <v>0</v>
      </c>
      <c r="F426">
        <f>IF(C426&lt;'user input'!$C$12,IF(B426&gt;'user input'!$C$6,0,F425+E426),'user input'!$C$17*((1-C426)/(1-'user input'!$C$12)))</f>
        <v>0</v>
      </c>
    </row>
    <row r="427" spans="1:6" x14ac:dyDescent="0.2">
      <c r="A427" s="1">
        <v>40603</v>
      </c>
      <c r="B427">
        <v>60</v>
      </c>
      <c r="C427">
        <f>IF(B427&gt;'user input'!$C$6,0,IF('heat units'!H427&gt;1,1,'heat units'!H427))</f>
        <v>0</v>
      </c>
      <c r="D427">
        <f>IF(B427&gt;'user input'!$C$6,0,(C427/(C427+EXP('user input'!$C$15-'user input'!$C$14*C427))))</f>
        <v>0</v>
      </c>
      <c r="E427">
        <f>IF(C427&lt;'user input'!$C$12,(D427-D426)*'user input'!$C$17*(1-EXP(5*(F426-'user input'!$C$17))),F427-F426)</f>
        <v>0</v>
      </c>
      <c r="F427">
        <f>IF(C427&lt;'user input'!$C$12,IF(B427&gt;'user input'!$C$6,0,F426+E427),'user input'!$C$17*((1-C427)/(1-'user input'!$C$12)))</f>
        <v>0</v>
      </c>
    </row>
    <row r="428" spans="1:6" x14ac:dyDescent="0.2">
      <c r="A428" s="1">
        <v>40604</v>
      </c>
      <c r="B428">
        <v>61</v>
      </c>
      <c r="C428">
        <f>IF(B428&gt;'user input'!$C$6,0,IF('heat units'!H428&gt;1,1,'heat units'!H428))</f>
        <v>0</v>
      </c>
      <c r="D428">
        <f>IF(B428&gt;'user input'!$C$6,0,(C428/(C428+EXP('user input'!$C$15-'user input'!$C$14*C428))))</f>
        <v>0</v>
      </c>
      <c r="E428">
        <f>IF(C428&lt;'user input'!$C$12,(D428-D427)*'user input'!$C$17*(1-EXP(5*(F427-'user input'!$C$17))),F428-F427)</f>
        <v>0</v>
      </c>
      <c r="F428">
        <f>IF(C428&lt;'user input'!$C$12,IF(B428&gt;'user input'!$C$6,0,F427+E428),'user input'!$C$17*((1-C428)/(1-'user input'!$C$12)))</f>
        <v>0</v>
      </c>
    </row>
    <row r="429" spans="1:6" x14ac:dyDescent="0.2">
      <c r="A429" s="1">
        <v>40605</v>
      </c>
      <c r="B429">
        <v>62</v>
      </c>
      <c r="C429">
        <f>IF(B429&gt;'user input'!$C$6,0,IF('heat units'!H429&gt;1,1,'heat units'!H429))</f>
        <v>0</v>
      </c>
      <c r="D429">
        <f>IF(B429&gt;'user input'!$C$6,0,(C429/(C429+EXP('user input'!$C$15-'user input'!$C$14*C429))))</f>
        <v>0</v>
      </c>
      <c r="E429">
        <f>IF(C429&lt;'user input'!$C$12,(D429-D428)*'user input'!$C$17*(1-EXP(5*(F428-'user input'!$C$17))),F429-F428)</f>
        <v>0</v>
      </c>
      <c r="F429">
        <f>IF(C429&lt;'user input'!$C$12,IF(B429&gt;'user input'!$C$6,0,F428+E429),'user input'!$C$17*((1-C429)/(1-'user input'!$C$12)))</f>
        <v>0</v>
      </c>
    </row>
    <row r="430" spans="1:6" x14ac:dyDescent="0.2">
      <c r="A430" s="1">
        <v>40606</v>
      </c>
      <c r="B430">
        <v>63</v>
      </c>
      <c r="C430">
        <f>IF(B430&gt;'user input'!$C$6,0,IF('heat units'!H430&gt;1,1,'heat units'!H430))</f>
        <v>0</v>
      </c>
      <c r="D430">
        <f>IF(B430&gt;'user input'!$C$6,0,(C430/(C430+EXP('user input'!$C$15-'user input'!$C$14*C430))))</f>
        <v>0</v>
      </c>
      <c r="E430">
        <f>IF(C430&lt;'user input'!$C$12,(D430-D429)*'user input'!$C$17*(1-EXP(5*(F429-'user input'!$C$17))),F430-F429)</f>
        <v>0</v>
      </c>
      <c r="F430">
        <f>IF(C430&lt;'user input'!$C$12,IF(B430&gt;'user input'!$C$6,0,F429+E430),'user input'!$C$17*((1-C430)/(1-'user input'!$C$12)))</f>
        <v>0</v>
      </c>
    </row>
    <row r="431" spans="1:6" x14ac:dyDescent="0.2">
      <c r="A431" s="1">
        <v>40607</v>
      </c>
      <c r="B431">
        <v>64</v>
      </c>
      <c r="C431">
        <f>IF(B431&gt;'user input'!$C$6,0,IF('heat units'!H431&gt;1,1,'heat units'!H431))</f>
        <v>0</v>
      </c>
      <c r="D431">
        <f>IF(B431&gt;'user input'!$C$6,0,(C431/(C431+EXP('user input'!$C$15-'user input'!$C$14*C431))))</f>
        <v>0</v>
      </c>
      <c r="E431">
        <f>IF(C431&lt;'user input'!$C$12,(D431-D430)*'user input'!$C$17*(1-EXP(5*(F430-'user input'!$C$17))),F431-F430)</f>
        <v>0</v>
      </c>
      <c r="F431">
        <f>IF(C431&lt;'user input'!$C$12,IF(B431&gt;'user input'!$C$6,0,F430+E431),'user input'!$C$17*((1-C431)/(1-'user input'!$C$12)))</f>
        <v>0</v>
      </c>
    </row>
    <row r="432" spans="1:6" x14ac:dyDescent="0.2">
      <c r="A432" s="1">
        <v>40608</v>
      </c>
      <c r="B432">
        <v>65</v>
      </c>
      <c r="C432">
        <f>IF(B432&gt;'user input'!$C$6,0,IF('heat units'!H432&gt;1,1,'heat units'!H432))</f>
        <v>0</v>
      </c>
      <c r="D432">
        <f>IF(B432&gt;'user input'!$C$6,0,(C432/(C432+EXP('user input'!$C$15-'user input'!$C$14*C432))))</f>
        <v>0</v>
      </c>
      <c r="E432">
        <f>IF(C432&lt;'user input'!$C$12,(D432-D431)*'user input'!$C$17*(1-EXP(5*(F431-'user input'!$C$17))),F432-F431)</f>
        <v>0</v>
      </c>
      <c r="F432">
        <f>IF(C432&lt;'user input'!$C$12,IF(B432&gt;'user input'!$C$6,0,F431+E432),'user input'!$C$17*((1-C432)/(1-'user input'!$C$12)))</f>
        <v>0</v>
      </c>
    </row>
    <row r="433" spans="1:6" x14ac:dyDescent="0.2">
      <c r="A433" s="1">
        <v>40609</v>
      </c>
      <c r="B433">
        <v>66</v>
      </c>
      <c r="C433">
        <f>IF(B433&gt;'user input'!$C$6,0,IF('heat units'!H433&gt;1,1,'heat units'!H433))</f>
        <v>0</v>
      </c>
      <c r="D433">
        <f>IF(B433&gt;'user input'!$C$6,0,(C433/(C433+EXP('user input'!$C$15-'user input'!$C$14*C433))))</f>
        <v>0</v>
      </c>
      <c r="E433">
        <f>IF(C433&lt;'user input'!$C$12,(D433-D432)*'user input'!$C$17*(1-EXP(5*(F432-'user input'!$C$17))),F433-F432)</f>
        <v>0</v>
      </c>
      <c r="F433">
        <f>IF(C433&lt;'user input'!$C$12,IF(B433&gt;'user input'!$C$6,0,F432+E433),'user input'!$C$17*((1-C433)/(1-'user input'!$C$12)))</f>
        <v>0</v>
      </c>
    </row>
    <row r="434" spans="1:6" x14ac:dyDescent="0.2">
      <c r="A434" s="1">
        <v>40610</v>
      </c>
      <c r="B434">
        <v>67</v>
      </c>
      <c r="C434">
        <f>IF(B434&gt;'user input'!$C$6,0,IF('heat units'!H434&gt;1,1,'heat units'!H434))</f>
        <v>0</v>
      </c>
      <c r="D434">
        <f>IF(B434&gt;'user input'!$C$6,0,(C434/(C434+EXP('user input'!$C$15-'user input'!$C$14*C434))))</f>
        <v>0</v>
      </c>
      <c r="E434">
        <f>IF(C434&lt;'user input'!$C$12,(D434-D433)*'user input'!$C$17*(1-EXP(5*(F433-'user input'!$C$17))),F434-F433)</f>
        <v>0</v>
      </c>
      <c r="F434">
        <f>IF(C434&lt;'user input'!$C$12,IF(B434&gt;'user input'!$C$6,0,F433+E434),'user input'!$C$17*((1-C434)/(1-'user input'!$C$12)))</f>
        <v>0</v>
      </c>
    </row>
    <row r="435" spans="1:6" x14ac:dyDescent="0.2">
      <c r="A435" s="1">
        <v>40611</v>
      </c>
      <c r="B435">
        <v>68</v>
      </c>
      <c r="C435">
        <f>IF(B435&gt;'user input'!$C$6,0,IF('heat units'!H435&gt;1,1,'heat units'!H435))</f>
        <v>0</v>
      </c>
      <c r="D435">
        <f>IF(B435&gt;'user input'!$C$6,0,(C435/(C435+EXP('user input'!$C$15-'user input'!$C$14*C435))))</f>
        <v>0</v>
      </c>
      <c r="E435">
        <f>IF(C435&lt;'user input'!$C$12,(D435-D434)*'user input'!$C$17*(1-EXP(5*(F434-'user input'!$C$17))),F435-F434)</f>
        <v>0</v>
      </c>
      <c r="F435">
        <f>IF(C435&lt;'user input'!$C$12,IF(B435&gt;'user input'!$C$6,0,F434+E435),'user input'!$C$17*((1-C435)/(1-'user input'!$C$12)))</f>
        <v>0</v>
      </c>
    </row>
    <row r="436" spans="1:6" x14ac:dyDescent="0.2">
      <c r="A436" s="1">
        <v>40612</v>
      </c>
      <c r="B436">
        <v>69</v>
      </c>
      <c r="C436">
        <f>IF(B436&gt;'user input'!$C$6,0,IF('heat units'!H436&gt;1,1,'heat units'!H436))</f>
        <v>0</v>
      </c>
      <c r="D436">
        <f>IF(B436&gt;'user input'!$C$6,0,(C436/(C436+EXP('user input'!$C$15-'user input'!$C$14*C436))))</f>
        <v>0</v>
      </c>
      <c r="E436">
        <f>IF(C436&lt;'user input'!$C$12,(D436-D435)*'user input'!$C$17*(1-EXP(5*(F435-'user input'!$C$17))),F436-F435)</f>
        <v>0</v>
      </c>
      <c r="F436">
        <f>IF(C436&lt;'user input'!$C$12,IF(B436&gt;'user input'!$C$6,0,F435+E436),'user input'!$C$17*((1-C436)/(1-'user input'!$C$12)))</f>
        <v>0</v>
      </c>
    </row>
    <row r="437" spans="1:6" x14ac:dyDescent="0.2">
      <c r="A437" s="1">
        <v>40613</v>
      </c>
      <c r="B437">
        <v>70</v>
      </c>
      <c r="C437">
        <f>IF(B437&gt;'user input'!$C$6,0,IF('heat units'!H437&gt;1,1,'heat units'!H437))</f>
        <v>0</v>
      </c>
      <c r="D437">
        <f>IF(B437&gt;'user input'!$C$6,0,(C437/(C437+EXP('user input'!$C$15-'user input'!$C$14*C437))))</f>
        <v>0</v>
      </c>
      <c r="E437">
        <f>IF(C437&lt;'user input'!$C$12,(D437-D436)*'user input'!$C$17*(1-EXP(5*(F436-'user input'!$C$17))),F437-F436)</f>
        <v>0</v>
      </c>
      <c r="F437">
        <f>IF(C437&lt;'user input'!$C$12,IF(B437&gt;'user input'!$C$6,0,F436+E437),'user input'!$C$17*((1-C437)/(1-'user input'!$C$12)))</f>
        <v>0</v>
      </c>
    </row>
    <row r="438" spans="1:6" x14ac:dyDescent="0.2">
      <c r="A438" s="1">
        <v>40614</v>
      </c>
      <c r="B438">
        <v>71</v>
      </c>
      <c r="C438">
        <f>IF(B438&gt;'user input'!$C$6,0,IF('heat units'!H438&gt;1,1,'heat units'!H438))</f>
        <v>0</v>
      </c>
      <c r="D438">
        <f>IF(B438&gt;'user input'!$C$6,0,(C438/(C438+EXP('user input'!$C$15-'user input'!$C$14*C438))))</f>
        <v>0</v>
      </c>
      <c r="E438">
        <f>IF(C438&lt;'user input'!$C$12,(D438-D437)*'user input'!$C$17*(1-EXP(5*(F437-'user input'!$C$17))),F438-F437)</f>
        <v>0</v>
      </c>
      <c r="F438">
        <f>IF(C438&lt;'user input'!$C$12,IF(B438&gt;'user input'!$C$6,0,F437+E438),'user input'!$C$17*((1-C438)/(1-'user input'!$C$12)))</f>
        <v>0</v>
      </c>
    </row>
    <row r="439" spans="1:6" x14ac:dyDescent="0.2">
      <c r="A439" s="1">
        <v>40615</v>
      </c>
      <c r="B439">
        <v>72</v>
      </c>
      <c r="C439">
        <f>IF(B439&gt;'user input'!$C$6,0,IF('heat units'!H439&gt;1,1,'heat units'!H439))</f>
        <v>0</v>
      </c>
      <c r="D439">
        <f>IF(B439&gt;'user input'!$C$6,0,(C439/(C439+EXP('user input'!$C$15-'user input'!$C$14*C439))))</f>
        <v>0</v>
      </c>
      <c r="E439">
        <f>IF(C439&lt;'user input'!$C$12,(D439-D438)*'user input'!$C$17*(1-EXP(5*(F438-'user input'!$C$17))),F439-F438)</f>
        <v>0</v>
      </c>
      <c r="F439">
        <f>IF(C439&lt;'user input'!$C$12,IF(B439&gt;'user input'!$C$6,0,F438+E439),'user input'!$C$17*((1-C439)/(1-'user input'!$C$12)))</f>
        <v>0</v>
      </c>
    </row>
    <row r="440" spans="1:6" x14ac:dyDescent="0.2">
      <c r="A440" s="1">
        <v>40616</v>
      </c>
      <c r="B440">
        <v>73</v>
      </c>
      <c r="C440">
        <f>IF(B440&gt;'user input'!$C$6,0,IF('heat units'!H440&gt;1,1,'heat units'!H440))</f>
        <v>0</v>
      </c>
      <c r="D440">
        <f>IF(B440&gt;'user input'!$C$6,0,(C440/(C440+EXP('user input'!$C$15-'user input'!$C$14*C440))))</f>
        <v>0</v>
      </c>
      <c r="E440">
        <f>IF(C440&lt;'user input'!$C$12,(D440-D439)*'user input'!$C$17*(1-EXP(5*(F439-'user input'!$C$17))),F440-F439)</f>
        <v>0</v>
      </c>
      <c r="F440">
        <f>IF(C440&lt;'user input'!$C$12,IF(B440&gt;'user input'!$C$6,0,F439+E440),'user input'!$C$17*((1-C440)/(1-'user input'!$C$12)))</f>
        <v>0</v>
      </c>
    </row>
    <row r="441" spans="1:6" x14ac:dyDescent="0.2">
      <c r="A441" s="1">
        <v>40617</v>
      </c>
      <c r="B441">
        <v>74</v>
      </c>
      <c r="C441">
        <f>IF(B441&gt;'user input'!$C$6,0,IF('heat units'!H441&gt;1,1,'heat units'!H441))</f>
        <v>0</v>
      </c>
      <c r="D441">
        <f>IF(B441&gt;'user input'!$C$6,0,(C441/(C441+EXP('user input'!$C$15-'user input'!$C$14*C441))))</f>
        <v>0</v>
      </c>
      <c r="E441">
        <f>IF(C441&lt;'user input'!$C$12,(D441-D440)*'user input'!$C$17*(1-EXP(5*(F440-'user input'!$C$17))),F441-F440)</f>
        <v>0</v>
      </c>
      <c r="F441">
        <f>IF(C441&lt;'user input'!$C$12,IF(B441&gt;'user input'!$C$6,0,F440+E441),'user input'!$C$17*((1-C441)/(1-'user input'!$C$12)))</f>
        <v>0</v>
      </c>
    </row>
    <row r="442" spans="1:6" x14ac:dyDescent="0.2">
      <c r="A442" s="1">
        <v>40618</v>
      </c>
      <c r="B442">
        <v>75</v>
      </c>
      <c r="C442">
        <f>IF(B442&gt;'user input'!$C$6,0,IF('heat units'!H442&gt;1,1,'heat units'!H442))</f>
        <v>0</v>
      </c>
      <c r="D442">
        <f>IF(B442&gt;'user input'!$C$6,0,(C442/(C442+EXP('user input'!$C$15-'user input'!$C$14*C442))))</f>
        <v>0</v>
      </c>
      <c r="E442">
        <f>IF(C442&lt;'user input'!$C$12,(D442-D441)*'user input'!$C$17*(1-EXP(5*(F441-'user input'!$C$17))),F442-F441)</f>
        <v>0</v>
      </c>
      <c r="F442">
        <f>IF(C442&lt;'user input'!$C$12,IF(B442&gt;'user input'!$C$6,0,F441+E442),'user input'!$C$17*((1-C442)/(1-'user input'!$C$12)))</f>
        <v>0</v>
      </c>
    </row>
    <row r="443" spans="1:6" x14ac:dyDescent="0.2">
      <c r="A443" s="1">
        <v>40619</v>
      </c>
      <c r="B443">
        <v>76</v>
      </c>
      <c r="C443">
        <f>IF(B443&gt;'user input'!$C$6,0,IF('heat units'!H443&gt;1,1,'heat units'!H443))</f>
        <v>0</v>
      </c>
      <c r="D443">
        <f>IF(B443&gt;'user input'!$C$6,0,(C443/(C443+EXP('user input'!$C$15-'user input'!$C$14*C443))))</f>
        <v>0</v>
      </c>
      <c r="E443">
        <f>IF(C443&lt;'user input'!$C$12,(D443-D442)*'user input'!$C$17*(1-EXP(5*(F442-'user input'!$C$17))),F443-F442)</f>
        <v>0</v>
      </c>
      <c r="F443">
        <f>IF(C443&lt;'user input'!$C$12,IF(B443&gt;'user input'!$C$6,0,F442+E443),'user input'!$C$17*((1-C443)/(1-'user input'!$C$12)))</f>
        <v>0</v>
      </c>
    </row>
    <row r="444" spans="1:6" x14ac:dyDescent="0.2">
      <c r="A444" s="1">
        <v>40620</v>
      </c>
      <c r="B444">
        <v>77</v>
      </c>
      <c r="C444">
        <f>IF(B444&gt;'user input'!$C$6,0,IF('heat units'!H444&gt;1,1,'heat units'!H444))</f>
        <v>0</v>
      </c>
      <c r="D444">
        <f>IF(B444&gt;'user input'!$C$6,0,(C444/(C444+EXP('user input'!$C$15-'user input'!$C$14*C444))))</f>
        <v>0</v>
      </c>
      <c r="E444">
        <f>IF(C444&lt;'user input'!$C$12,(D444-D443)*'user input'!$C$17*(1-EXP(5*(F443-'user input'!$C$17))),F444-F443)</f>
        <v>0</v>
      </c>
      <c r="F444">
        <f>IF(C444&lt;'user input'!$C$12,IF(B444&gt;'user input'!$C$6,0,F443+E444),'user input'!$C$17*((1-C444)/(1-'user input'!$C$12)))</f>
        <v>0</v>
      </c>
    </row>
    <row r="445" spans="1:6" x14ac:dyDescent="0.2">
      <c r="A445" s="1">
        <v>40621</v>
      </c>
      <c r="B445">
        <v>78</v>
      </c>
      <c r="C445">
        <f>IF(B445&gt;'user input'!$C$6,0,IF('heat units'!H445&gt;1,1,'heat units'!H445))</f>
        <v>0</v>
      </c>
      <c r="D445">
        <f>IF(B445&gt;'user input'!$C$6,0,(C445/(C445+EXP('user input'!$C$15-'user input'!$C$14*C445))))</f>
        <v>0</v>
      </c>
      <c r="E445">
        <f>IF(C445&lt;'user input'!$C$12,(D445-D444)*'user input'!$C$17*(1-EXP(5*(F444-'user input'!$C$17))),F445-F444)</f>
        <v>0</v>
      </c>
      <c r="F445">
        <f>IF(C445&lt;'user input'!$C$12,IF(B445&gt;'user input'!$C$6,0,F444+E445),'user input'!$C$17*((1-C445)/(1-'user input'!$C$12)))</f>
        <v>0</v>
      </c>
    </row>
    <row r="446" spans="1:6" x14ac:dyDescent="0.2">
      <c r="A446" s="1">
        <v>40622</v>
      </c>
      <c r="B446">
        <v>79</v>
      </c>
      <c r="C446">
        <f>IF(B446&gt;'user input'!$C$6,0,IF('heat units'!H446&gt;1,1,'heat units'!H446))</f>
        <v>0</v>
      </c>
      <c r="D446">
        <f>IF(B446&gt;'user input'!$C$6,0,(C446/(C446+EXP('user input'!$C$15-'user input'!$C$14*C446))))</f>
        <v>0</v>
      </c>
      <c r="E446">
        <f>IF(C446&lt;'user input'!$C$12,(D446-D445)*'user input'!$C$17*(1-EXP(5*(F445-'user input'!$C$17))),F446-F445)</f>
        <v>0</v>
      </c>
      <c r="F446">
        <f>IF(C446&lt;'user input'!$C$12,IF(B446&gt;'user input'!$C$6,0,F445+E446),'user input'!$C$17*((1-C446)/(1-'user input'!$C$12)))</f>
        <v>0</v>
      </c>
    </row>
    <row r="447" spans="1:6" x14ac:dyDescent="0.2">
      <c r="A447" s="1">
        <v>40623</v>
      </c>
      <c r="B447">
        <v>80</v>
      </c>
      <c r="C447">
        <f>IF(B447&gt;'user input'!$C$6,0,IF('heat units'!H447&gt;1,1,'heat units'!H447))</f>
        <v>0</v>
      </c>
      <c r="D447">
        <f>IF(B447&gt;'user input'!$C$6,0,(C447/(C447+EXP('user input'!$C$15-'user input'!$C$14*C447))))</f>
        <v>0</v>
      </c>
      <c r="E447">
        <f>IF(C447&lt;'user input'!$C$12,(D447-D446)*'user input'!$C$17*(1-EXP(5*(F446-'user input'!$C$17))),F447-F446)</f>
        <v>0</v>
      </c>
      <c r="F447">
        <f>IF(C447&lt;'user input'!$C$12,IF(B447&gt;'user input'!$C$6,0,F446+E447),'user input'!$C$17*((1-C447)/(1-'user input'!$C$12)))</f>
        <v>0</v>
      </c>
    </row>
    <row r="448" spans="1:6" x14ac:dyDescent="0.2">
      <c r="A448" s="1">
        <v>40624</v>
      </c>
      <c r="B448">
        <v>81</v>
      </c>
      <c r="C448">
        <f>IF(B448&gt;'user input'!$C$6,0,IF('heat units'!H448&gt;1,1,'heat units'!H448))</f>
        <v>0</v>
      </c>
      <c r="D448">
        <f>IF(B448&gt;'user input'!$C$6,0,(C448/(C448+EXP('user input'!$C$15-'user input'!$C$14*C448))))</f>
        <v>0</v>
      </c>
      <c r="E448">
        <f>IF(C448&lt;'user input'!$C$12,(D448-D447)*'user input'!$C$17*(1-EXP(5*(F447-'user input'!$C$17))),F448-F447)</f>
        <v>0</v>
      </c>
      <c r="F448">
        <f>IF(C448&lt;'user input'!$C$12,IF(B448&gt;'user input'!$C$6,0,F447+E448),'user input'!$C$17*((1-C448)/(1-'user input'!$C$12)))</f>
        <v>0</v>
      </c>
    </row>
    <row r="449" spans="1:6" x14ac:dyDescent="0.2">
      <c r="A449" s="1">
        <v>40625</v>
      </c>
      <c r="B449">
        <v>82</v>
      </c>
      <c r="C449">
        <f>IF(B449&gt;'user input'!$C$6,0,IF('heat units'!H449&gt;1,1,'heat units'!H449))</f>
        <v>0</v>
      </c>
      <c r="D449">
        <f>IF(B449&gt;'user input'!$C$6,0,(C449/(C449+EXP('user input'!$C$15-'user input'!$C$14*C449))))</f>
        <v>0</v>
      </c>
      <c r="E449">
        <f>IF(C449&lt;'user input'!$C$12,(D449-D448)*'user input'!$C$17*(1-EXP(5*(F448-'user input'!$C$17))),F449-F448)</f>
        <v>0</v>
      </c>
      <c r="F449">
        <f>IF(C449&lt;'user input'!$C$12,IF(B449&gt;'user input'!$C$6,0,F448+E449),'user input'!$C$17*((1-C449)/(1-'user input'!$C$12)))</f>
        <v>0</v>
      </c>
    </row>
    <row r="450" spans="1:6" x14ac:dyDescent="0.2">
      <c r="A450" s="1">
        <v>40626</v>
      </c>
      <c r="B450">
        <v>83</v>
      </c>
      <c r="C450">
        <f>IF(B450&gt;'user input'!$C$6,0,IF('heat units'!H450&gt;1,1,'heat units'!H450))</f>
        <v>0</v>
      </c>
      <c r="D450">
        <f>IF(B450&gt;'user input'!$C$6,0,(C450/(C450+EXP('user input'!$C$15-'user input'!$C$14*C450))))</f>
        <v>0</v>
      </c>
      <c r="E450">
        <f>IF(C450&lt;'user input'!$C$12,(D450-D449)*'user input'!$C$17*(1-EXP(5*(F449-'user input'!$C$17))),F450-F449)</f>
        <v>0</v>
      </c>
      <c r="F450">
        <f>IF(C450&lt;'user input'!$C$12,IF(B450&gt;'user input'!$C$6,0,F449+E450),'user input'!$C$17*((1-C450)/(1-'user input'!$C$12)))</f>
        <v>0</v>
      </c>
    </row>
    <row r="451" spans="1:6" x14ac:dyDescent="0.2">
      <c r="A451" s="1">
        <v>40627</v>
      </c>
      <c r="B451">
        <v>84</v>
      </c>
      <c r="C451">
        <f>IF(B451&gt;'user input'!$C$6,0,IF('heat units'!H451&gt;1,1,'heat units'!H451))</f>
        <v>0</v>
      </c>
      <c r="D451">
        <f>IF(B451&gt;'user input'!$C$6,0,(C451/(C451+EXP('user input'!$C$15-'user input'!$C$14*C451))))</f>
        <v>0</v>
      </c>
      <c r="E451">
        <f>IF(C451&lt;'user input'!$C$12,(D451-D450)*'user input'!$C$17*(1-EXP(5*(F450-'user input'!$C$17))),F451-F450)</f>
        <v>0</v>
      </c>
      <c r="F451">
        <f>IF(C451&lt;'user input'!$C$12,IF(B451&gt;'user input'!$C$6,0,F450+E451),'user input'!$C$17*((1-C451)/(1-'user input'!$C$12)))</f>
        <v>0</v>
      </c>
    </row>
    <row r="452" spans="1:6" x14ac:dyDescent="0.2">
      <c r="A452" s="1">
        <v>40628</v>
      </c>
      <c r="B452">
        <v>85</v>
      </c>
      <c r="C452">
        <f>IF(B452&gt;'user input'!$C$6,0,IF('heat units'!H452&gt;1,1,'heat units'!H452))</f>
        <v>0</v>
      </c>
      <c r="D452">
        <f>IF(B452&gt;'user input'!$C$6,0,(C452/(C452+EXP('user input'!$C$15-'user input'!$C$14*C452))))</f>
        <v>0</v>
      </c>
      <c r="E452">
        <f>IF(C452&lt;'user input'!$C$12,(D452-D451)*'user input'!$C$17*(1-EXP(5*(F451-'user input'!$C$17))),F452-F451)</f>
        <v>0</v>
      </c>
      <c r="F452">
        <f>IF(C452&lt;'user input'!$C$12,IF(B452&gt;'user input'!$C$6,0,F451+E452),'user input'!$C$17*((1-C452)/(1-'user input'!$C$12)))</f>
        <v>0</v>
      </c>
    </row>
    <row r="453" spans="1:6" x14ac:dyDescent="0.2">
      <c r="A453" s="1">
        <v>40629</v>
      </c>
      <c r="B453">
        <v>86</v>
      </c>
      <c r="C453">
        <f>IF(B453&gt;'user input'!$C$6,0,IF('heat units'!H453&gt;1,1,'heat units'!H453))</f>
        <v>0</v>
      </c>
      <c r="D453">
        <f>IF(B453&gt;'user input'!$C$6,0,(C453/(C453+EXP('user input'!$C$15-'user input'!$C$14*C453))))</f>
        <v>0</v>
      </c>
      <c r="E453">
        <f>IF(C453&lt;'user input'!$C$12,(D453-D452)*'user input'!$C$17*(1-EXP(5*(F452-'user input'!$C$17))),F453-F452)</f>
        <v>0</v>
      </c>
      <c r="F453">
        <f>IF(C453&lt;'user input'!$C$12,IF(B453&gt;'user input'!$C$6,0,F452+E453),'user input'!$C$17*((1-C453)/(1-'user input'!$C$12)))</f>
        <v>0</v>
      </c>
    </row>
    <row r="454" spans="1:6" x14ac:dyDescent="0.2">
      <c r="A454" s="1">
        <v>40630</v>
      </c>
      <c r="B454">
        <v>87</v>
      </c>
      <c r="C454">
        <f>IF(B454&gt;'user input'!$C$6,0,IF('heat units'!H454&gt;1,1,'heat units'!H454))</f>
        <v>0</v>
      </c>
      <c r="D454">
        <f>IF(B454&gt;'user input'!$C$6,0,(C454/(C454+EXP('user input'!$C$15-'user input'!$C$14*C454))))</f>
        <v>0</v>
      </c>
      <c r="E454">
        <f>IF(C454&lt;'user input'!$C$12,(D454-D453)*'user input'!$C$17*(1-EXP(5*(F453-'user input'!$C$17))),F454-F453)</f>
        <v>0</v>
      </c>
      <c r="F454">
        <f>IF(C454&lt;'user input'!$C$12,IF(B454&gt;'user input'!$C$6,0,F453+E454),'user input'!$C$17*((1-C454)/(1-'user input'!$C$12)))</f>
        <v>0</v>
      </c>
    </row>
    <row r="455" spans="1:6" x14ac:dyDescent="0.2">
      <c r="A455" s="1">
        <v>40631</v>
      </c>
      <c r="B455">
        <v>88</v>
      </c>
      <c r="C455">
        <f>IF(B455&gt;'user input'!$C$6,0,IF('heat units'!H455&gt;1,1,'heat units'!H455))</f>
        <v>0</v>
      </c>
      <c r="D455">
        <f>IF(B455&gt;'user input'!$C$6,0,(C455/(C455+EXP('user input'!$C$15-'user input'!$C$14*C455))))</f>
        <v>0</v>
      </c>
      <c r="E455">
        <f>IF(C455&lt;'user input'!$C$12,(D455-D454)*'user input'!$C$17*(1-EXP(5*(F454-'user input'!$C$17))),F455-F454)</f>
        <v>0</v>
      </c>
      <c r="F455">
        <f>IF(C455&lt;'user input'!$C$12,IF(B455&gt;'user input'!$C$6,0,F454+E455),'user input'!$C$17*((1-C455)/(1-'user input'!$C$12)))</f>
        <v>0</v>
      </c>
    </row>
    <row r="456" spans="1:6" x14ac:dyDescent="0.2">
      <c r="A456" s="1">
        <v>40632</v>
      </c>
      <c r="B456">
        <v>89</v>
      </c>
      <c r="C456">
        <f>IF(B456&gt;'user input'!$C$6,0,IF('heat units'!H456&gt;1,1,'heat units'!H456))</f>
        <v>0</v>
      </c>
      <c r="D456">
        <f>IF(B456&gt;'user input'!$C$6,0,(C456/(C456+EXP('user input'!$C$15-'user input'!$C$14*C456))))</f>
        <v>0</v>
      </c>
      <c r="E456">
        <f>IF(C456&lt;'user input'!$C$12,(D456-D455)*'user input'!$C$17*(1-EXP(5*(F455-'user input'!$C$17))),F456-F455)</f>
        <v>0</v>
      </c>
      <c r="F456">
        <f>IF(C456&lt;'user input'!$C$12,IF(B456&gt;'user input'!$C$6,0,F455+E456),'user input'!$C$17*((1-C456)/(1-'user input'!$C$12)))</f>
        <v>0</v>
      </c>
    </row>
    <row r="457" spans="1:6" x14ac:dyDescent="0.2">
      <c r="A457" s="1">
        <v>40633</v>
      </c>
      <c r="B457">
        <v>90</v>
      </c>
      <c r="C457">
        <f>IF(B457&gt;'user input'!$C$6,0,IF('heat units'!H457&gt;1,1,'heat units'!H457))</f>
        <v>0</v>
      </c>
      <c r="D457">
        <f>IF(B457&gt;'user input'!$C$6,0,(C457/(C457+EXP('user input'!$C$15-'user input'!$C$14*C457))))</f>
        <v>0</v>
      </c>
      <c r="E457">
        <f>IF(C457&lt;'user input'!$C$12,(D457-D456)*'user input'!$C$17*(1-EXP(5*(F456-'user input'!$C$17))),F457-F456)</f>
        <v>0</v>
      </c>
      <c r="F457">
        <f>IF(C457&lt;'user input'!$C$12,IF(B457&gt;'user input'!$C$6,0,F456+E457),'user input'!$C$17*((1-C457)/(1-'user input'!$C$12)))</f>
        <v>0</v>
      </c>
    </row>
    <row r="458" spans="1:6" x14ac:dyDescent="0.2">
      <c r="A458" s="1">
        <v>40634</v>
      </c>
      <c r="B458">
        <v>91</v>
      </c>
      <c r="C458">
        <f>IF(B458&gt;'user input'!$C$6,0,IF('heat units'!H458&gt;1,1,'heat units'!H458))</f>
        <v>0</v>
      </c>
      <c r="D458">
        <f>IF(B458&gt;'user input'!$C$6,0,(C458/(C458+EXP('user input'!$C$15-'user input'!$C$14*C458))))</f>
        <v>0</v>
      </c>
      <c r="E458">
        <f>IF(C458&lt;'user input'!$C$12,(D458-D457)*'user input'!$C$17*(1-EXP(5*(F457-'user input'!$C$17))),F458-F457)</f>
        <v>0</v>
      </c>
      <c r="F458">
        <f>IF(C458&lt;'user input'!$C$12,IF(B458&gt;'user input'!$C$6,0,F457+E458),'user input'!$C$17*((1-C458)/(1-'user input'!$C$12)))</f>
        <v>0</v>
      </c>
    </row>
    <row r="459" spans="1:6" x14ac:dyDescent="0.2">
      <c r="A459" s="1">
        <v>40635</v>
      </c>
      <c r="B459">
        <v>92</v>
      </c>
      <c r="C459">
        <f>IF(B459&gt;'user input'!$C$6,0,IF('heat units'!H459&gt;1,1,'heat units'!H459))</f>
        <v>0</v>
      </c>
      <c r="D459">
        <f>IF(B459&gt;'user input'!$C$6,0,(C459/(C459+EXP('user input'!$C$15-'user input'!$C$14*C459))))</f>
        <v>0</v>
      </c>
      <c r="E459">
        <f>IF(C459&lt;'user input'!$C$12,(D459-D458)*'user input'!$C$17*(1-EXP(5*(F458-'user input'!$C$17))),F459-F458)</f>
        <v>0</v>
      </c>
      <c r="F459">
        <f>IF(C459&lt;'user input'!$C$12,IF(B459&gt;'user input'!$C$6,0,F458+E459),'user input'!$C$17*((1-C459)/(1-'user input'!$C$12)))</f>
        <v>0</v>
      </c>
    </row>
    <row r="460" spans="1:6" x14ac:dyDescent="0.2">
      <c r="A460" s="1">
        <v>40636</v>
      </c>
      <c r="B460">
        <v>93</v>
      </c>
      <c r="C460">
        <f>IF(B460&gt;'user input'!$C$6,0,IF('heat units'!H460&gt;1,1,'heat units'!H460))</f>
        <v>0</v>
      </c>
      <c r="D460">
        <f>IF(B460&gt;'user input'!$C$6,0,(C460/(C460+EXP('user input'!$C$15-'user input'!$C$14*C460))))</f>
        <v>0</v>
      </c>
      <c r="E460">
        <f>IF(C460&lt;'user input'!$C$12,(D460-D459)*'user input'!$C$17*(1-EXP(5*(F459-'user input'!$C$17))),F460-F459)</f>
        <v>0</v>
      </c>
      <c r="F460">
        <f>IF(C460&lt;'user input'!$C$12,IF(B460&gt;'user input'!$C$6,0,F459+E460),'user input'!$C$17*((1-C460)/(1-'user input'!$C$12)))</f>
        <v>0</v>
      </c>
    </row>
    <row r="461" spans="1:6" x14ac:dyDescent="0.2">
      <c r="A461" s="1">
        <v>40637</v>
      </c>
      <c r="B461">
        <v>94</v>
      </c>
      <c r="C461">
        <f>IF(B461&gt;'user input'!$C$6,0,IF('heat units'!H461&gt;1,1,'heat units'!H461))</f>
        <v>0</v>
      </c>
      <c r="D461">
        <f>IF(B461&gt;'user input'!$C$6,0,(C461/(C461+EXP('user input'!$C$15-'user input'!$C$14*C461))))</f>
        <v>0</v>
      </c>
      <c r="E461">
        <f>IF(C461&lt;'user input'!$C$12,(D461-D460)*'user input'!$C$17*(1-EXP(5*(F460-'user input'!$C$17))),F461-F460)</f>
        <v>0</v>
      </c>
      <c r="F461">
        <f>IF(C461&lt;'user input'!$C$12,IF(B461&gt;'user input'!$C$6,0,F460+E461),'user input'!$C$17*((1-C461)/(1-'user input'!$C$12)))</f>
        <v>0</v>
      </c>
    </row>
    <row r="462" spans="1:6" x14ac:dyDescent="0.2">
      <c r="A462" s="1">
        <v>40638</v>
      </c>
      <c r="B462">
        <v>95</v>
      </c>
      <c r="C462">
        <f>IF(B462&gt;'user input'!$C$6,0,IF('heat units'!H462&gt;1,1,'heat units'!H462))</f>
        <v>0</v>
      </c>
      <c r="D462">
        <f>IF(B462&gt;'user input'!$C$6,0,(C462/(C462+EXP('user input'!$C$15-'user input'!$C$14*C462))))</f>
        <v>0</v>
      </c>
      <c r="E462">
        <f>IF(C462&lt;'user input'!$C$12,(D462-D461)*'user input'!$C$17*(1-EXP(5*(F461-'user input'!$C$17))),F462-F461)</f>
        <v>0</v>
      </c>
      <c r="F462">
        <f>IF(C462&lt;'user input'!$C$12,IF(B462&gt;'user input'!$C$6,0,F461+E462),'user input'!$C$17*((1-C462)/(1-'user input'!$C$12)))</f>
        <v>0</v>
      </c>
    </row>
    <row r="463" spans="1:6" x14ac:dyDescent="0.2">
      <c r="A463" s="1">
        <v>40639</v>
      </c>
      <c r="B463">
        <v>96</v>
      </c>
      <c r="C463">
        <f>IF(B463&gt;'user input'!$C$6,0,IF('heat units'!H463&gt;1,1,'heat units'!H463))</f>
        <v>0</v>
      </c>
      <c r="D463">
        <f>IF(B463&gt;'user input'!$C$6,0,(C463/(C463+EXP('user input'!$C$15-'user input'!$C$14*C463))))</f>
        <v>0</v>
      </c>
      <c r="E463">
        <f>IF(C463&lt;'user input'!$C$12,(D463-D462)*'user input'!$C$17*(1-EXP(5*(F462-'user input'!$C$17))),F463-F462)</f>
        <v>0</v>
      </c>
      <c r="F463">
        <f>IF(C463&lt;'user input'!$C$12,IF(B463&gt;'user input'!$C$6,0,F462+E463),'user input'!$C$17*((1-C463)/(1-'user input'!$C$12)))</f>
        <v>0</v>
      </c>
    </row>
    <row r="464" spans="1:6" x14ac:dyDescent="0.2">
      <c r="A464" s="1">
        <v>40640</v>
      </c>
      <c r="B464">
        <v>97</v>
      </c>
      <c r="C464">
        <f>IF(B464&gt;'user input'!$C$6,0,IF('heat units'!H464&gt;1,1,'heat units'!H464))</f>
        <v>0</v>
      </c>
      <c r="D464">
        <f>IF(B464&gt;'user input'!$C$6,0,(C464/(C464+EXP('user input'!$C$15-'user input'!$C$14*C464))))</f>
        <v>0</v>
      </c>
      <c r="E464">
        <f>IF(C464&lt;'user input'!$C$12,(D464-D463)*'user input'!$C$17*(1-EXP(5*(F463-'user input'!$C$17))),F464-F463)</f>
        <v>0</v>
      </c>
      <c r="F464">
        <f>IF(C464&lt;'user input'!$C$12,IF(B464&gt;'user input'!$C$6,0,F463+E464),'user input'!$C$17*((1-C464)/(1-'user input'!$C$12)))</f>
        <v>0</v>
      </c>
    </row>
    <row r="465" spans="1:6" x14ac:dyDescent="0.2">
      <c r="A465" s="1">
        <v>40641</v>
      </c>
      <c r="B465">
        <v>98</v>
      </c>
      <c r="C465">
        <f>IF(B465&gt;'user input'!$C$6,0,IF('heat units'!H465&gt;1,1,'heat units'!H465))</f>
        <v>0</v>
      </c>
      <c r="D465">
        <f>IF(B465&gt;'user input'!$C$6,0,(C465/(C465+EXP('user input'!$C$15-'user input'!$C$14*C465))))</f>
        <v>0</v>
      </c>
      <c r="E465">
        <f>IF(C465&lt;'user input'!$C$12,(D465-D464)*'user input'!$C$17*(1-EXP(5*(F464-'user input'!$C$17))),F465-F464)</f>
        <v>0</v>
      </c>
      <c r="F465">
        <f>IF(C465&lt;'user input'!$C$12,IF(B465&gt;'user input'!$C$6,0,F464+E465),'user input'!$C$17*((1-C465)/(1-'user input'!$C$12)))</f>
        <v>0</v>
      </c>
    </row>
    <row r="466" spans="1:6" x14ac:dyDescent="0.2">
      <c r="A466" s="1">
        <v>40642</v>
      </c>
      <c r="B466">
        <v>99</v>
      </c>
      <c r="C466">
        <f>IF(B466&gt;'user input'!$C$6,0,IF('heat units'!H466&gt;1,1,'heat units'!H466))</f>
        <v>0</v>
      </c>
      <c r="D466">
        <f>IF(B466&gt;'user input'!$C$6,0,(C466/(C466+EXP('user input'!$C$15-'user input'!$C$14*C466))))</f>
        <v>0</v>
      </c>
      <c r="E466">
        <f>IF(C466&lt;'user input'!$C$12,(D466-D465)*'user input'!$C$17*(1-EXP(5*(F465-'user input'!$C$17))),F466-F465)</f>
        <v>0</v>
      </c>
      <c r="F466">
        <f>IF(C466&lt;'user input'!$C$12,IF(B466&gt;'user input'!$C$6,0,F465+E466),'user input'!$C$17*((1-C466)/(1-'user input'!$C$12)))</f>
        <v>0</v>
      </c>
    </row>
    <row r="467" spans="1:6" x14ac:dyDescent="0.2">
      <c r="A467" s="1">
        <v>40643</v>
      </c>
      <c r="B467">
        <v>100</v>
      </c>
      <c r="C467">
        <f>IF(B467&gt;'user input'!$C$6,0,IF('heat units'!H467&gt;1,1,'heat units'!H467))</f>
        <v>0</v>
      </c>
      <c r="D467">
        <f>IF(B467&gt;'user input'!$C$6,0,(C467/(C467+EXP('user input'!$C$15-'user input'!$C$14*C467))))</f>
        <v>0</v>
      </c>
      <c r="E467">
        <f>IF(C467&lt;'user input'!$C$12,(D467-D466)*'user input'!$C$17*(1-EXP(5*(F466-'user input'!$C$17))),F467-F466)</f>
        <v>0</v>
      </c>
      <c r="F467">
        <f>IF(C467&lt;'user input'!$C$12,IF(B467&gt;'user input'!$C$6,0,F466+E467),'user input'!$C$17*((1-C467)/(1-'user input'!$C$12)))</f>
        <v>0</v>
      </c>
    </row>
    <row r="468" spans="1:6" x14ac:dyDescent="0.2">
      <c r="A468" s="1">
        <v>40644</v>
      </c>
      <c r="B468">
        <v>101</v>
      </c>
      <c r="C468">
        <f>IF(B468&gt;'user input'!$C$6,0,IF('heat units'!H468&gt;1,1,'heat units'!H468))</f>
        <v>0</v>
      </c>
      <c r="D468">
        <f>IF(B468&gt;'user input'!$C$6,0,(C468/(C468+EXP('user input'!$C$15-'user input'!$C$14*C468))))</f>
        <v>0</v>
      </c>
      <c r="E468">
        <f>IF(C468&lt;'user input'!$C$12,(D468-D467)*'user input'!$C$17*(1-EXP(5*(F467-'user input'!$C$17))),F468-F467)</f>
        <v>0</v>
      </c>
      <c r="F468">
        <f>IF(C468&lt;'user input'!$C$12,IF(B468&gt;'user input'!$C$6,0,F467+E468),'user input'!$C$17*((1-C468)/(1-'user input'!$C$12)))</f>
        <v>0</v>
      </c>
    </row>
    <row r="469" spans="1:6" x14ac:dyDescent="0.2">
      <c r="A469" s="1">
        <v>40645</v>
      </c>
      <c r="B469">
        <v>102</v>
      </c>
      <c r="C469">
        <f>IF(B469&gt;'user input'!$C$6,0,IF('heat units'!H469&gt;1,1,'heat units'!H469))</f>
        <v>0</v>
      </c>
      <c r="D469">
        <f>IF(B469&gt;'user input'!$C$6,0,(C469/(C469+EXP('user input'!$C$15-'user input'!$C$14*C469))))</f>
        <v>0</v>
      </c>
      <c r="E469">
        <f>IF(C469&lt;'user input'!$C$12,(D469-D468)*'user input'!$C$17*(1-EXP(5*(F468-'user input'!$C$17))),F469-F468)</f>
        <v>0</v>
      </c>
      <c r="F469">
        <f>IF(C469&lt;'user input'!$C$12,IF(B469&gt;'user input'!$C$6,0,F468+E469),'user input'!$C$17*((1-C469)/(1-'user input'!$C$12)))</f>
        <v>0</v>
      </c>
    </row>
    <row r="470" spans="1:6" x14ac:dyDescent="0.2">
      <c r="A470" s="1">
        <v>40646</v>
      </c>
      <c r="B470">
        <v>103</v>
      </c>
      <c r="C470">
        <f>IF(B470&gt;'user input'!$C$6,0,IF('heat units'!H470&gt;1,1,'heat units'!H470))</f>
        <v>0</v>
      </c>
      <c r="D470">
        <f>IF(B470&gt;'user input'!$C$6,0,(C470/(C470+EXP('user input'!$C$15-'user input'!$C$14*C470))))</f>
        <v>0</v>
      </c>
      <c r="E470">
        <f>IF(C470&lt;'user input'!$C$12,(D470-D469)*'user input'!$C$17*(1-EXP(5*(F469-'user input'!$C$17))),F470-F469)</f>
        <v>0</v>
      </c>
      <c r="F470">
        <f>IF(C470&lt;'user input'!$C$12,IF(B470&gt;'user input'!$C$6,0,F469+E470),'user input'!$C$17*((1-C470)/(1-'user input'!$C$12)))</f>
        <v>0</v>
      </c>
    </row>
    <row r="471" spans="1:6" x14ac:dyDescent="0.2">
      <c r="A471" s="1">
        <v>40647</v>
      </c>
      <c r="B471">
        <v>104</v>
      </c>
      <c r="C471">
        <f>IF(B471&gt;'user input'!$C$6,0,IF('heat units'!H471&gt;1,1,'heat units'!H471))</f>
        <v>0</v>
      </c>
      <c r="D471">
        <f>IF(B471&gt;'user input'!$C$6,0,(C471/(C471+EXP('user input'!$C$15-'user input'!$C$14*C471))))</f>
        <v>0</v>
      </c>
      <c r="E471">
        <f>IF(C471&lt;'user input'!$C$12,(D471-D470)*'user input'!$C$17*(1-EXP(5*(F470-'user input'!$C$17))),F471-F470)</f>
        <v>0</v>
      </c>
      <c r="F471">
        <f>IF(C471&lt;'user input'!$C$12,IF(B471&gt;'user input'!$C$6,0,F470+E471),'user input'!$C$17*((1-C471)/(1-'user input'!$C$12)))</f>
        <v>0</v>
      </c>
    </row>
    <row r="472" spans="1:6" x14ac:dyDescent="0.2">
      <c r="A472" s="1">
        <v>40648</v>
      </c>
      <c r="B472">
        <v>105</v>
      </c>
      <c r="C472">
        <f>IF(B472&gt;'user input'!$C$6,0,IF('heat units'!H472&gt;1,1,'heat units'!H472))</f>
        <v>0</v>
      </c>
      <c r="D472">
        <f>IF(B472&gt;'user input'!$C$6,0,(C472/(C472+EXP('user input'!$C$15-'user input'!$C$14*C472))))</f>
        <v>0</v>
      </c>
      <c r="E472">
        <f>IF(C472&lt;'user input'!$C$12,(D472-D471)*'user input'!$C$17*(1-EXP(5*(F471-'user input'!$C$17))),F472-F471)</f>
        <v>0</v>
      </c>
      <c r="F472">
        <f>IF(C472&lt;'user input'!$C$12,IF(B472&gt;'user input'!$C$6,0,F471+E472),'user input'!$C$17*((1-C472)/(1-'user input'!$C$12)))</f>
        <v>0</v>
      </c>
    </row>
    <row r="473" spans="1:6" x14ac:dyDescent="0.2">
      <c r="A473" s="1">
        <v>40649</v>
      </c>
      <c r="B473">
        <v>106</v>
      </c>
      <c r="C473">
        <f>IF(B473&gt;'user input'!$C$6,0,IF('heat units'!H473&gt;1,1,'heat units'!H473))</f>
        <v>0</v>
      </c>
      <c r="D473">
        <f>IF(B473&gt;'user input'!$C$6,0,(C473/(C473+EXP('user input'!$C$15-'user input'!$C$14*C473))))</f>
        <v>0</v>
      </c>
      <c r="E473">
        <f>IF(C473&lt;'user input'!$C$12,(D473-D472)*'user input'!$C$17*(1-EXP(5*(F472-'user input'!$C$17))),F473-F472)</f>
        <v>0</v>
      </c>
      <c r="F473">
        <f>IF(C473&lt;'user input'!$C$12,IF(B473&gt;'user input'!$C$6,0,F472+E473),'user input'!$C$17*((1-C473)/(1-'user input'!$C$12)))</f>
        <v>0</v>
      </c>
    </row>
    <row r="474" spans="1:6" x14ac:dyDescent="0.2">
      <c r="A474" s="1">
        <v>40650</v>
      </c>
      <c r="B474">
        <v>107</v>
      </c>
      <c r="C474">
        <f>IF(B474&gt;'user input'!$C$6,0,IF('heat units'!H474&gt;1,1,'heat units'!H474))</f>
        <v>0</v>
      </c>
      <c r="D474">
        <f>IF(B474&gt;'user input'!$C$6,0,(C474/(C474+EXP('user input'!$C$15-'user input'!$C$14*C474))))</f>
        <v>0</v>
      </c>
      <c r="E474">
        <f>IF(C474&lt;'user input'!$C$12,(D474-D473)*'user input'!$C$17*(1-EXP(5*(F473-'user input'!$C$17))),F474-F473)</f>
        <v>0</v>
      </c>
      <c r="F474">
        <f>IF(C474&lt;'user input'!$C$12,IF(B474&gt;'user input'!$C$6,0,F473+E474),'user input'!$C$17*((1-C474)/(1-'user input'!$C$12)))</f>
        <v>0</v>
      </c>
    </row>
    <row r="475" spans="1:6" x14ac:dyDescent="0.2">
      <c r="A475" s="1">
        <v>40651</v>
      </c>
      <c r="B475">
        <v>108</v>
      </c>
      <c r="C475">
        <f>IF(B475&gt;'user input'!$C$6,0,IF('heat units'!H475&gt;1,1,'heat units'!H475))</f>
        <v>0</v>
      </c>
      <c r="D475">
        <f>IF(B475&gt;'user input'!$C$6,0,(C475/(C475+EXP('user input'!$C$15-'user input'!$C$14*C475))))</f>
        <v>0</v>
      </c>
      <c r="E475">
        <f>IF(C475&lt;'user input'!$C$12,(D475-D474)*'user input'!$C$17*(1-EXP(5*(F474-'user input'!$C$17))),F475-F474)</f>
        <v>0</v>
      </c>
      <c r="F475">
        <f>IF(C475&lt;'user input'!$C$12,IF(B475&gt;'user input'!$C$6,0,F474+E475),'user input'!$C$17*((1-C475)/(1-'user input'!$C$12)))</f>
        <v>0</v>
      </c>
    </row>
    <row r="476" spans="1:6" x14ac:dyDescent="0.2">
      <c r="A476" s="1">
        <v>40652</v>
      </c>
      <c r="B476">
        <v>109</v>
      </c>
      <c r="C476">
        <f>IF(B476&gt;'user input'!$C$6,0,IF('heat units'!H476&gt;1,1,'heat units'!H476))</f>
        <v>0</v>
      </c>
      <c r="D476">
        <f>IF(B476&gt;'user input'!$C$6,0,(C476/(C476+EXP('user input'!$C$15-'user input'!$C$14*C476))))</f>
        <v>0</v>
      </c>
      <c r="E476">
        <f>IF(C476&lt;'user input'!$C$12,(D476-D475)*'user input'!$C$17*(1-EXP(5*(F475-'user input'!$C$17))),F476-F475)</f>
        <v>0</v>
      </c>
      <c r="F476">
        <f>IF(C476&lt;'user input'!$C$12,IF(B476&gt;'user input'!$C$6,0,F475+E476),'user input'!$C$17*((1-C476)/(1-'user input'!$C$12)))</f>
        <v>0</v>
      </c>
    </row>
    <row r="477" spans="1:6" x14ac:dyDescent="0.2">
      <c r="A477" s="1">
        <v>40653</v>
      </c>
      <c r="B477">
        <v>110</v>
      </c>
      <c r="C477">
        <f>IF(B477&gt;'user input'!$C$6,0,IF('heat units'!H477&gt;1,1,'heat units'!H477))</f>
        <v>0</v>
      </c>
      <c r="D477">
        <f>IF(B477&gt;'user input'!$C$6,0,(C477/(C477+EXP('user input'!$C$15-'user input'!$C$14*C477))))</f>
        <v>0</v>
      </c>
      <c r="E477">
        <f>IF(C477&lt;'user input'!$C$12,(D477-D476)*'user input'!$C$17*(1-EXP(5*(F476-'user input'!$C$17))),F477-F476)</f>
        <v>0</v>
      </c>
      <c r="F477">
        <f>IF(C477&lt;'user input'!$C$12,IF(B477&gt;'user input'!$C$6,0,F476+E477),'user input'!$C$17*((1-C477)/(1-'user input'!$C$12)))</f>
        <v>0</v>
      </c>
    </row>
    <row r="478" spans="1:6" x14ac:dyDescent="0.2">
      <c r="A478" s="1">
        <v>40654</v>
      </c>
      <c r="B478">
        <v>111</v>
      </c>
      <c r="C478">
        <f>IF(B478&gt;'user input'!$C$6,0,IF('heat units'!H478&gt;1,1,'heat units'!H478))</f>
        <v>0</v>
      </c>
      <c r="D478">
        <f>IF(B478&gt;'user input'!$C$6,0,(C478/(C478+EXP('user input'!$C$15-'user input'!$C$14*C478))))</f>
        <v>0</v>
      </c>
      <c r="E478">
        <f>IF(C478&lt;'user input'!$C$12,(D478-D477)*'user input'!$C$17*(1-EXP(5*(F477-'user input'!$C$17))),F478-F477)</f>
        <v>0</v>
      </c>
      <c r="F478">
        <f>IF(C478&lt;'user input'!$C$12,IF(B478&gt;'user input'!$C$6,0,F477+E478),'user input'!$C$17*((1-C478)/(1-'user input'!$C$12)))</f>
        <v>0</v>
      </c>
    </row>
    <row r="479" spans="1:6" x14ac:dyDescent="0.2">
      <c r="A479" s="1">
        <v>40655</v>
      </c>
      <c r="B479">
        <v>112</v>
      </c>
      <c r="C479">
        <f>IF(B479&gt;'user input'!$C$6,0,IF('heat units'!H479&gt;1,1,'heat units'!H479))</f>
        <v>0</v>
      </c>
      <c r="D479">
        <f>IF(B479&gt;'user input'!$C$6,0,(C479/(C479+EXP('user input'!$C$15-'user input'!$C$14*C479))))</f>
        <v>0</v>
      </c>
      <c r="E479">
        <f>IF(C479&lt;'user input'!$C$12,(D479-D478)*'user input'!$C$17*(1-EXP(5*(F478-'user input'!$C$17))),F479-F478)</f>
        <v>0</v>
      </c>
      <c r="F479">
        <f>IF(C479&lt;'user input'!$C$12,IF(B479&gt;'user input'!$C$6,0,F478+E479),'user input'!$C$17*((1-C479)/(1-'user input'!$C$12)))</f>
        <v>0</v>
      </c>
    </row>
    <row r="480" spans="1:6" x14ac:dyDescent="0.2">
      <c r="A480" s="1">
        <v>40656</v>
      </c>
      <c r="B480">
        <v>113</v>
      </c>
      <c r="C480">
        <f>IF(B480&gt;'user input'!$C$6,0,IF('heat units'!H480&gt;1,1,'heat units'!H480))</f>
        <v>0</v>
      </c>
      <c r="D480">
        <f>IF(B480&gt;'user input'!$C$6,0,(C480/(C480+EXP('user input'!$C$15-'user input'!$C$14*C480))))</f>
        <v>0</v>
      </c>
      <c r="E480">
        <f>IF(C480&lt;'user input'!$C$12,(D480-D479)*'user input'!$C$17*(1-EXP(5*(F479-'user input'!$C$17))),F480-F479)</f>
        <v>0</v>
      </c>
      <c r="F480">
        <f>IF(C480&lt;'user input'!$C$12,IF(B480&gt;'user input'!$C$6,0,F479+E480),'user input'!$C$17*((1-C480)/(1-'user input'!$C$12)))</f>
        <v>0</v>
      </c>
    </row>
    <row r="481" spans="1:6" x14ac:dyDescent="0.2">
      <c r="A481" s="1">
        <v>40657</v>
      </c>
      <c r="B481">
        <v>114</v>
      </c>
      <c r="C481">
        <f>IF(B481&gt;'user input'!$C$6,0,IF('heat units'!H481&gt;1,1,'heat units'!H481))</f>
        <v>0</v>
      </c>
      <c r="D481">
        <f>IF(B481&gt;'user input'!$C$6,0,(C481/(C481+EXP('user input'!$C$15-'user input'!$C$14*C481))))</f>
        <v>0</v>
      </c>
      <c r="E481">
        <f>IF(C481&lt;'user input'!$C$12,(D481-D480)*'user input'!$C$17*(1-EXP(5*(F480-'user input'!$C$17))),F481-F480)</f>
        <v>0</v>
      </c>
      <c r="F481">
        <f>IF(C481&lt;'user input'!$C$12,IF(B481&gt;'user input'!$C$6,0,F480+E481),'user input'!$C$17*((1-C481)/(1-'user input'!$C$12)))</f>
        <v>0</v>
      </c>
    </row>
    <row r="482" spans="1:6" x14ac:dyDescent="0.2">
      <c r="A482" s="1">
        <v>40658</v>
      </c>
      <c r="B482">
        <v>115</v>
      </c>
      <c r="C482">
        <f>IF(B482&gt;'user input'!$C$6,0,IF('heat units'!H482&gt;1,1,'heat units'!H482))</f>
        <v>0</v>
      </c>
      <c r="D482">
        <f>IF(B482&gt;'user input'!$C$6,0,(C482/(C482+EXP('user input'!$C$15-'user input'!$C$14*C482))))</f>
        <v>0</v>
      </c>
      <c r="E482">
        <f>IF(C482&lt;'user input'!$C$12,(D482-D481)*'user input'!$C$17*(1-EXP(5*(F481-'user input'!$C$17))),F482-F481)</f>
        <v>0</v>
      </c>
      <c r="F482">
        <f>IF(C482&lt;'user input'!$C$12,IF(B482&gt;'user input'!$C$6,0,F481+E482),'user input'!$C$17*((1-C482)/(1-'user input'!$C$12)))</f>
        <v>0</v>
      </c>
    </row>
    <row r="483" spans="1:6" x14ac:dyDescent="0.2">
      <c r="A483" s="1">
        <v>40659</v>
      </c>
      <c r="B483">
        <v>116</v>
      </c>
      <c r="C483">
        <f>IF(B483&gt;'user input'!$C$6,0,IF('heat units'!H483&gt;1,1,'heat units'!H483))</f>
        <v>0</v>
      </c>
      <c r="D483">
        <f>IF(B483&gt;'user input'!$C$6,0,(C483/(C483+EXP('user input'!$C$15-'user input'!$C$14*C483))))</f>
        <v>0</v>
      </c>
      <c r="E483">
        <f>IF(C483&lt;'user input'!$C$12,(D483-D482)*'user input'!$C$17*(1-EXP(5*(F482-'user input'!$C$17))),F483-F482)</f>
        <v>0</v>
      </c>
      <c r="F483">
        <f>IF(C483&lt;'user input'!$C$12,IF(B483&gt;'user input'!$C$6,0,F482+E483),'user input'!$C$17*((1-C483)/(1-'user input'!$C$12)))</f>
        <v>0</v>
      </c>
    </row>
    <row r="484" spans="1:6" x14ac:dyDescent="0.2">
      <c r="A484" s="1">
        <v>40660</v>
      </c>
      <c r="B484">
        <v>117</v>
      </c>
      <c r="C484">
        <f>IF(B484&gt;'user input'!$C$6,0,IF('heat units'!H484&gt;1,1,'heat units'!H484))</f>
        <v>0</v>
      </c>
      <c r="D484">
        <f>IF(B484&gt;'user input'!$C$6,0,(C484/(C484+EXP('user input'!$C$15-'user input'!$C$14*C484))))</f>
        <v>0</v>
      </c>
      <c r="E484">
        <f>IF(C484&lt;'user input'!$C$12,(D484-D483)*'user input'!$C$17*(1-EXP(5*(F483-'user input'!$C$17))),F484-F483)</f>
        <v>0</v>
      </c>
      <c r="F484">
        <f>IF(C484&lt;'user input'!$C$12,IF(B484&gt;'user input'!$C$6,0,F483+E484),'user input'!$C$17*((1-C484)/(1-'user input'!$C$12)))</f>
        <v>0</v>
      </c>
    </row>
    <row r="485" spans="1:6" x14ac:dyDescent="0.2">
      <c r="A485" s="1">
        <v>40661</v>
      </c>
      <c r="B485">
        <v>118</v>
      </c>
      <c r="C485">
        <f>IF(B485&gt;'user input'!$C$6,0,IF('heat units'!H485&gt;1,1,'heat units'!H485))</f>
        <v>0</v>
      </c>
      <c r="D485">
        <f>IF(B485&gt;'user input'!$C$6,0,(C485/(C485+EXP('user input'!$C$15-'user input'!$C$14*C485))))</f>
        <v>0</v>
      </c>
      <c r="E485">
        <f>IF(C485&lt;'user input'!$C$12,(D485-D484)*'user input'!$C$17*(1-EXP(5*(F484-'user input'!$C$17))),F485-F484)</f>
        <v>0</v>
      </c>
      <c r="F485">
        <f>IF(C485&lt;'user input'!$C$12,IF(B485&gt;'user input'!$C$6,0,F484+E485),'user input'!$C$17*((1-C485)/(1-'user input'!$C$12)))</f>
        <v>0</v>
      </c>
    </row>
    <row r="486" spans="1:6" x14ac:dyDescent="0.2">
      <c r="A486" s="1">
        <v>40662</v>
      </c>
      <c r="B486">
        <v>119</v>
      </c>
      <c r="C486">
        <f>IF(B486&gt;'user input'!$C$6,0,IF('heat units'!H486&gt;1,1,'heat units'!H486))</f>
        <v>0</v>
      </c>
      <c r="D486">
        <f>IF(B486&gt;'user input'!$C$6,0,(C486/(C486+EXP('user input'!$C$15-'user input'!$C$14*C486))))</f>
        <v>0</v>
      </c>
      <c r="E486">
        <f>IF(C486&lt;'user input'!$C$12,(D486-D485)*'user input'!$C$17*(1-EXP(5*(F485-'user input'!$C$17))),F486-F485)</f>
        <v>0</v>
      </c>
      <c r="F486">
        <f>IF(C486&lt;'user input'!$C$12,IF(B486&gt;'user input'!$C$6,0,F485+E486),'user input'!$C$17*((1-C486)/(1-'user input'!$C$12)))</f>
        <v>0</v>
      </c>
    </row>
    <row r="487" spans="1:6" x14ac:dyDescent="0.2">
      <c r="A487" s="1">
        <v>40663</v>
      </c>
      <c r="B487">
        <v>120</v>
      </c>
      <c r="C487">
        <f>IF(B487&gt;'user input'!$C$6,0,IF('heat units'!H487&gt;1,1,'heat units'!H487))</f>
        <v>0</v>
      </c>
      <c r="D487">
        <f>IF(B487&gt;'user input'!$C$6,0,(C487/(C487+EXP('user input'!$C$15-'user input'!$C$14*C487))))</f>
        <v>0</v>
      </c>
      <c r="E487">
        <f>IF(C487&lt;'user input'!$C$12,(D487-D486)*'user input'!$C$17*(1-EXP(5*(F486-'user input'!$C$17))),F487-F486)</f>
        <v>0</v>
      </c>
      <c r="F487">
        <f>IF(C487&lt;'user input'!$C$12,IF(B487&gt;'user input'!$C$6,0,F486+E487),'user input'!$C$17*((1-C487)/(1-'user input'!$C$12)))</f>
        <v>0</v>
      </c>
    </row>
    <row r="488" spans="1:6" x14ac:dyDescent="0.2">
      <c r="A488" s="1">
        <v>40664</v>
      </c>
      <c r="B488">
        <v>121</v>
      </c>
      <c r="C488">
        <f>IF(B488&gt;'user input'!$C$6,0,IF('heat units'!H488&gt;1,1,'heat units'!H488))</f>
        <v>4.3981481481481476E-3</v>
      </c>
      <c r="D488">
        <f>IF(B488&gt;'user input'!$C$6,0,(C488/(C488+EXP('user input'!$C$15-'user input'!$C$14*C488))))</f>
        <v>2.1974213898782644E-4</v>
      </c>
      <c r="E488">
        <f>IF(C488&lt;'user input'!$C$12,(D488-D487)*'user input'!$C$17*(1-EXP(5*(F487-'user input'!$C$17))),F488-F487)</f>
        <v>6.5922621530458867E-4</v>
      </c>
      <c r="F488">
        <f>IF(C488&lt;'user input'!$C$12,IF(B488&gt;'user input'!$C$6,0,F487+E488),'user input'!$C$17*((1-C488)/(1-'user input'!$C$12)))</f>
        <v>6.5922621530458867E-4</v>
      </c>
    </row>
    <row r="489" spans="1:6" x14ac:dyDescent="0.2">
      <c r="A489" s="1">
        <v>40665</v>
      </c>
      <c r="B489">
        <v>122</v>
      </c>
      <c r="C489">
        <f>IF(B489&gt;'user input'!$C$6,0,IF('heat units'!H489&gt;1,1,'heat units'!H489))</f>
        <v>4.8611111111111103E-3</v>
      </c>
      <c r="D489">
        <f>IF(B489&gt;'user input'!$C$6,0,(C489/(C489+EXP('user input'!$C$15-'user input'!$C$14*C489))))</f>
        <v>2.4437661667119738E-4</v>
      </c>
      <c r="E489">
        <f>IF(C489&lt;'user input'!$C$12,(D489-D488)*'user input'!$C$17*(1-EXP(5*(F488-'user input'!$C$17))),F489-F488)</f>
        <v>7.3903410368241802E-5</v>
      </c>
      <c r="F489">
        <f>IF(C489&lt;'user input'!$C$12,IF(B489&gt;'user input'!$C$6,0,F488+E489),'user input'!$C$17*((1-C489)/(1-'user input'!$C$12)))</f>
        <v>7.331296256728305E-4</v>
      </c>
    </row>
    <row r="490" spans="1:6" x14ac:dyDescent="0.2">
      <c r="A490" s="1">
        <v>40666</v>
      </c>
      <c r="B490">
        <v>123</v>
      </c>
      <c r="C490">
        <f>IF(B490&gt;'user input'!$C$6,0,IF('heat units'!H490&gt;1,1,'heat units'!H490))</f>
        <v>5.3240740740740731E-3</v>
      </c>
      <c r="D490">
        <f>IF(B490&gt;'user input'!$C$6,0,(C490/(C490+EXP('user input'!$C$15-'user input'!$C$14*C490))))</f>
        <v>2.6930763522269502E-4</v>
      </c>
      <c r="E490">
        <f>IF(C490&lt;'user input'!$C$12,(D490-D489)*'user input'!$C$17*(1-EXP(5*(F489-'user input'!$C$17))),F490-F489)</f>
        <v>7.4793032691102023E-5</v>
      </c>
      <c r="F490">
        <f>IF(C490&lt;'user input'!$C$12,IF(B490&gt;'user input'!$C$6,0,F489+E490),'user input'!$C$17*((1-C490)/(1-'user input'!$C$12)))</f>
        <v>8.0792265836393258E-4</v>
      </c>
    </row>
    <row r="491" spans="1:6" x14ac:dyDescent="0.2">
      <c r="A491" s="1">
        <v>40667</v>
      </c>
      <c r="B491">
        <v>124</v>
      </c>
      <c r="C491">
        <f>IF(B491&gt;'user input'!$C$6,0,IF('heat units'!H491&gt;1,1,'heat units'!H491))</f>
        <v>5.3240740740740731E-3</v>
      </c>
      <c r="D491">
        <f>IF(B491&gt;'user input'!$C$6,0,(C491/(C491+EXP('user input'!$C$15-'user input'!$C$14*C491))))</f>
        <v>2.6930763522269502E-4</v>
      </c>
      <c r="E491">
        <f>IF(C491&lt;'user input'!$C$12,(D491-D490)*'user input'!$C$17*(1-EXP(5*(F490-'user input'!$C$17))),F491-F490)</f>
        <v>0</v>
      </c>
      <c r="F491">
        <f>IF(C491&lt;'user input'!$C$12,IF(B491&gt;'user input'!$C$6,0,F490+E491),'user input'!$C$17*((1-C491)/(1-'user input'!$C$12)))</f>
        <v>8.0792265836393258E-4</v>
      </c>
    </row>
    <row r="492" spans="1:6" x14ac:dyDescent="0.2">
      <c r="A492" s="1">
        <v>40668</v>
      </c>
      <c r="B492">
        <v>125</v>
      </c>
      <c r="C492">
        <f>IF(B492&gt;'user input'!$C$6,0,IF('heat units'!H492&gt;1,1,'heat units'!H492))</f>
        <v>8.1018518518518514E-3</v>
      </c>
      <c r="D492">
        <f>IF(B492&gt;'user input'!$C$6,0,(C492/(C492+EXP('user input'!$C$15-'user input'!$C$14*C492))))</f>
        <v>4.2527412599664677E-4</v>
      </c>
      <c r="E492">
        <f>IF(C492&lt;'user input'!$C$12,(D492-D491)*'user input'!$C$17*(1-EXP(5*(F491-'user input'!$C$17))),F492-F491)</f>
        <v>4.6789932861095542E-4</v>
      </c>
      <c r="F492">
        <f>IF(C492&lt;'user input'!$C$12,IF(B492&gt;'user input'!$C$6,0,F491+E492),'user input'!$C$17*((1-C492)/(1-'user input'!$C$12)))</f>
        <v>1.275821986974888E-3</v>
      </c>
    </row>
    <row r="493" spans="1:6" x14ac:dyDescent="0.2">
      <c r="A493" s="1">
        <v>40669</v>
      </c>
      <c r="B493">
        <v>126</v>
      </c>
      <c r="C493">
        <f>IF(B493&gt;'user input'!$C$6,0,IF('heat units'!H493&gt;1,1,'heat units'!H493))</f>
        <v>9.9537037037037025E-3</v>
      </c>
      <c r="D493">
        <f>IF(B493&gt;'user input'!$C$6,0,(C493/(C493+EXP('user input'!$C$15-'user input'!$C$14*C493))))</f>
        <v>5.3553356254375825E-4</v>
      </c>
      <c r="E493">
        <f>IF(C493&lt;'user input'!$C$12,(D493-D492)*'user input'!$C$17*(1-EXP(5*(F492-'user input'!$C$17))),F493-F492)</f>
        <v>3.307782078079431E-4</v>
      </c>
      <c r="F493">
        <f>IF(C493&lt;'user input'!$C$12,IF(B493&gt;'user input'!$C$6,0,F492+E493),'user input'!$C$17*((1-C493)/(1-'user input'!$C$12)))</f>
        <v>1.6066001947828311E-3</v>
      </c>
    </row>
    <row r="494" spans="1:6" x14ac:dyDescent="0.2">
      <c r="A494" s="1">
        <v>40670</v>
      </c>
      <c r="B494">
        <v>127</v>
      </c>
      <c r="C494">
        <f>IF(B494&gt;'user input'!$C$6,0,IF('heat units'!H494&gt;1,1,'heat units'!H494))</f>
        <v>1.4120370370370368E-2</v>
      </c>
      <c r="D494">
        <f>IF(B494&gt;'user input'!$C$6,0,(C494/(C494+EXP('user input'!$C$15-'user input'!$C$14*C494))))</f>
        <v>8.0307031542554334E-4</v>
      </c>
      <c r="E494">
        <f>IF(C494&lt;'user input'!$C$12,(D494-D493)*'user input'!$C$17*(1-EXP(5*(F493-'user input'!$C$17))),F494-F493)</f>
        <v>8.0261001114480669E-4</v>
      </c>
      <c r="F494">
        <f>IF(C494&lt;'user input'!$C$12,IF(B494&gt;'user input'!$C$6,0,F493+E494),'user input'!$C$17*((1-C494)/(1-'user input'!$C$12)))</f>
        <v>2.409210205927638E-3</v>
      </c>
    </row>
    <row r="495" spans="1:6" x14ac:dyDescent="0.2">
      <c r="A495" s="1">
        <v>40671</v>
      </c>
      <c r="B495">
        <v>128</v>
      </c>
      <c r="C495">
        <f>IF(B495&gt;'user input'!$C$6,0,IF('heat units'!H495&gt;1,1,'heat units'!H495))</f>
        <v>1.7824074074074072E-2</v>
      </c>
      <c r="D495">
        <f>IF(B495&gt;'user input'!$C$6,0,(C495/(C495+EXP('user input'!$C$15-'user input'!$C$14*C495))))</f>
        <v>1.0649545706106992E-3</v>
      </c>
      <c r="E495">
        <f>IF(C495&lt;'user input'!$C$12,(D495-D494)*'user input'!$C$17*(1-EXP(5*(F494-'user input'!$C$17))),F495-F494)</f>
        <v>7.8565252230989268E-4</v>
      </c>
      <c r="F495">
        <f>IF(C495&lt;'user input'!$C$12,IF(B495&gt;'user input'!$C$6,0,F494+E495),'user input'!$C$17*((1-C495)/(1-'user input'!$C$12)))</f>
        <v>3.1948627282375307E-3</v>
      </c>
    </row>
    <row r="496" spans="1:6" x14ac:dyDescent="0.2">
      <c r="A496" s="1">
        <v>40672</v>
      </c>
      <c r="B496">
        <v>129</v>
      </c>
      <c r="C496">
        <f>IF(B496&gt;'user input'!$C$6,0,IF('heat units'!H496&gt;1,1,'heat units'!H496))</f>
        <v>2.2685185185185183E-2</v>
      </c>
      <c r="D496">
        <f>IF(B496&gt;'user input'!$C$6,0,(C496/(C496+EXP('user input'!$C$15-'user input'!$C$14*C496))))</f>
        <v>1.4459706562210827E-3</v>
      </c>
      <c r="E496">
        <f>IF(C496&lt;'user input'!$C$12,(D496-D495)*'user input'!$C$17*(1-EXP(5*(F495-'user input'!$C$17))),F496-F495)</f>
        <v>1.1430479015395883E-3</v>
      </c>
      <c r="F496">
        <f>IF(C496&lt;'user input'!$C$12,IF(B496&gt;'user input'!$C$6,0,F495+E496),'user input'!$C$17*((1-C496)/(1-'user input'!$C$12)))</f>
        <v>4.3379106297771189E-3</v>
      </c>
    </row>
    <row r="497" spans="1:6" x14ac:dyDescent="0.2">
      <c r="A497" s="1">
        <v>40673</v>
      </c>
      <c r="B497">
        <v>130</v>
      </c>
      <c r="C497">
        <f>IF(B497&gt;'user input'!$C$6,0,IF('heat units'!H497&gt;1,1,'heat units'!H497))</f>
        <v>2.6851851851851846E-2</v>
      </c>
      <c r="D497">
        <f>IF(B497&gt;'user input'!$C$6,0,(C497/(C497+EXP('user input'!$C$15-'user input'!$C$14*C497))))</f>
        <v>1.8090693335931565E-3</v>
      </c>
      <c r="E497">
        <f>IF(C497&lt;'user input'!$C$12,(D497-D496)*'user input'!$C$17*(1-EXP(5*(F496-'user input'!$C$17))),F497-F496)</f>
        <v>1.0892956915917354E-3</v>
      </c>
      <c r="F497">
        <f>IF(C497&lt;'user input'!$C$12,IF(B497&gt;'user input'!$C$6,0,F496+E497),'user input'!$C$17*((1-C497)/(1-'user input'!$C$12)))</f>
        <v>5.4272063213688538E-3</v>
      </c>
    </row>
    <row r="498" spans="1:6" x14ac:dyDescent="0.2">
      <c r="A498" s="1">
        <v>40674</v>
      </c>
      <c r="B498">
        <v>131</v>
      </c>
      <c r="C498">
        <f>IF(B498&gt;'user input'!$C$6,0,IF('heat units'!H498&gt;1,1,'heat units'!H498))</f>
        <v>3.6574074074074064E-2</v>
      </c>
      <c r="D498">
        <f>IF(B498&gt;'user input'!$C$6,0,(C498/(C498+EXP('user input'!$C$15-'user input'!$C$14*C498))))</f>
        <v>2.8037467619686485E-3</v>
      </c>
      <c r="E498">
        <f>IF(C498&lt;'user input'!$C$12,(D498-D497)*'user input'!$C$17*(1-EXP(5*(F497-'user input'!$C$17))),F498-F497)</f>
        <v>2.9840313471945525E-3</v>
      </c>
      <c r="F498">
        <f>IF(C498&lt;'user input'!$C$12,IF(B498&gt;'user input'!$C$6,0,F497+E498),'user input'!$C$17*((1-C498)/(1-'user input'!$C$12)))</f>
        <v>8.4112376685634063E-3</v>
      </c>
    </row>
    <row r="499" spans="1:6" x14ac:dyDescent="0.2">
      <c r="A499" s="1">
        <v>40675</v>
      </c>
      <c r="B499">
        <v>132</v>
      </c>
      <c r="C499">
        <f>IF(B499&gt;'user input'!$C$6,0,IF('heat units'!H499&gt;1,1,'heat units'!H499))</f>
        <v>4.5601851851851845E-2</v>
      </c>
      <c r="D499">
        <f>IF(B499&gt;'user input'!$C$6,0,(C499/(C499+EXP('user input'!$C$15-'user input'!$C$14*C499))))</f>
        <v>3.9403349065354138E-3</v>
      </c>
      <c r="E499">
        <f>IF(C499&lt;'user input'!$C$12,(D499-D498)*'user input'!$C$17*(1-EXP(5*(F498-'user input'!$C$17))),F499-F498)</f>
        <v>3.4097633458430258E-3</v>
      </c>
      <c r="F499">
        <f>IF(C499&lt;'user input'!$C$12,IF(B499&gt;'user input'!$C$6,0,F498+E499),'user input'!$C$17*((1-C499)/(1-'user input'!$C$12)))</f>
        <v>1.1821001014406432E-2</v>
      </c>
    </row>
    <row r="500" spans="1:6" x14ac:dyDescent="0.2">
      <c r="A500" s="1">
        <v>40676</v>
      </c>
      <c r="B500">
        <v>133</v>
      </c>
      <c r="C500">
        <f>IF(B500&gt;'user input'!$C$6,0,IF('heat units'!H500&gt;1,1,'heat units'!H500))</f>
        <v>5.5092592592592582E-2</v>
      </c>
      <c r="D500">
        <f>IF(B500&gt;'user input'!$C$6,0,(C500/(C500+EXP('user input'!$C$15-'user input'!$C$14*C500))))</f>
        <v>5.3973419267856681E-3</v>
      </c>
      <c r="E500">
        <f>IF(C500&lt;'user input'!$C$12,(D500-D499)*'user input'!$C$17*(1-EXP(5*(F499-'user input'!$C$17))),F500-F499)</f>
        <v>4.3710196422334265E-3</v>
      </c>
      <c r="F500">
        <f>IF(C500&lt;'user input'!$C$12,IF(B500&gt;'user input'!$C$6,0,F499+E500),'user input'!$C$17*((1-C500)/(1-'user input'!$C$12)))</f>
        <v>1.6192020656639858E-2</v>
      </c>
    </row>
    <row r="501" spans="1:6" x14ac:dyDescent="0.2">
      <c r="A501" s="1">
        <v>40677</v>
      </c>
      <c r="B501">
        <v>134</v>
      </c>
      <c r="C501">
        <f>IF(B501&gt;'user input'!$C$6,0,IF('heat units'!H501&gt;1,1,'heat units'!H501))</f>
        <v>5.8101851851851842E-2</v>
      </c>
      <c r="D501">
        <f>IF(B501&gt;'user input'!$C$6,0,(C501/(C501+EXP('user input'!$C$15-'user input'!$C$14*C501))))</f>
        <v>5.9229847126998454E-3</v>
      </c>
      <c r="E501">
        <f>IF(C501&lt;'user input'!$C$12,(D501-D500)*'user input'!$C$17*(1-EXP(5*(F500-'user input'!$C$17))),F501-F500)</f>
        <v>1.5769278346780139E-3</v>
      </c>
      <c r="F501">
        <f>IF(C501&lt;'user input'!$C$12,IF(B501&gt;'user input'!$C$6,0,F500+E501),'user input'!$C$17*((1-C501)/(1-'user input'!$C$12)))</f>
        <v>1.7768948491317871E-2</v>
      </c>
    </row>
    <row r="502" spans="1:6" x14ac:dyDescent="0.2">
      <c r="A502" s="1">
        <v>40678</v>
      </c>
      <c r="B502">
        <v>135</v>
      </c>
      <c r="C502">
        <f>IF(B502&gt;'user input'!$C$6,0,IF('heat units'!H502&gt;1,1,'heat units'!H502))</f>
        <v>6.1111111111111109E-2</v>
      </c>
      <c r="D502">
        <f>IF(B502&gt;'user input'!$C$6,0,(C502/(C502+EXP('user input'!$C$15-'user input'!$C$14*C502))))</f>
        <v>6.482163065846887E-3</v>
      </c>
      <c r="E502">
        <f>IF(C502&lt;'user input'!$C$12,(D502-D501)*'user input'!$C$17*(1-EXP(5*(F501-'user input'!$C$17))),F502-F501)</f>
        <v>1.6775344986008952E-3</v>
      </c>
      <c r="F502">
        <f>IF(C502&lt;'user input'!$C$12,IF(B502&gt;'user input'!$C$6,0,F501+E502),'user input'!$C$17*((1-C502)/(1-'user input'!$C$12)))</f>
        <v>1.9446482989918766E-2</v>
      </c>
    </row>
    <row r="503" spans="1:6" x14ac:dyDescent="0.2">
      <c r="A503" s="1">
        <v>40679</v>
      </c>
      <c r="B503">
        <v>136</v>
      </c>
      <c r="C503">
        <f>IF(B503&gt;'user input'!$C$6,0,IF('heat units'!H503&gt;1,1,'heat units'!H503))</f>
        <v>6.4120370370370369E-2</v>
      </c>
      <c r="D503">
        <f>IF(B503&gt;'user input'!$C$6,0,(C503/(C503+EXP('user input'!$C$15-'user input'!$C$14*C503))))</f>
        <v>7.0766763969573702E-3</v>
      </c>
      <c r="E503">
        <f>IF(C503&lt;'user input'!$C$12,(D503-D502)*'user input'!$C$17*(1-EXP(5*(F502-'user input'!$C$17))),F503-F502)</f>
        <v>1.7835393920287899E-3</v>
      </c>
      <c r="F503">
        <f>IF(C503&lt;'user input'!$C$12,IF(B503&gt;'user input'!$C$6,0,F502+E503),'user input'!$C$17*((1-C503)/(1-'user input'!$C$12)))</f>
        <v>2.1230022381947555E-2</v>
      </c>
    </row>
    <row r="504" spans="1:6" x14ac:dyDescent="0.2">
      <c r="A504" s="1">
        <v>40680</v>
      </c>
      <c r="B504">
        <v>137</v>
      </c>
      <c r="C504">
        <f>IF(B504&gt;'user input'!$C$6,0,IF('heat units'!H504&gt;1,1,'heat units'!H504))</f>
        <v>6.6898148148148137E-2</v>
      </c>
      <c r="D504">
        <f>IF(B504&gt;'user input'!$C$6,0,(C504/(C504+EXP('user input'!$C$15-'user input'!$C$14*C504))))</f>
        <v>7.6584471561193749E-3</v>
      </c>
      <c r="E504">
        <f>IF(C504&lt;'user input'!$C$12,(D504-D503)*'user input'!$C$17*(1-EXP(5*(F503-'user input'!$C$17))),F504-F503)</f>
        <v>1.7453116838006765E-3</v>
      </c>
      <c r="F504">
        <f>IF(C504&lt;'user input'!$C$12,IF(B504&gt;'user input'!$C$6,0,F503+E504),'user input'!$C$17*((1-C504)/(1-'user input'!$C$12)))</f>
        <v>2.297533406574823E-2</v>
      </c>
    </row>
    <row r="505" spans="1:6" x14ac:dyDescent="0.2">
      <c r="A505" s="1">
        <v>40681</v>
      </c>
      <c r="B505">
        <v>138</v>
      </c>
      <c r="C505">
        <f>IF(B505&gt;'user input'!$C$6,0,IF('heat units'!H505&gt;1,1,'heat units'!H505))</f>
        <v>7.0370370370370375E-2</v>
      </c>
      <c r="D505">
        <f>IF(B505&gt;'user input'!$C$6,0,(C505/(C505+EXP('user input'!$C$15-'user input'!$C$14*C505))))</f>
        <v>8.4326159738430558E-3</v>
      </c>
      <c r="E505">
        <f>IF(C505&lt;'user input'!$C$12,(D505-D504)*'user input'!$C$17*(1-EXP(5*(F504-'user input'!$C$17))),F505-F504)</f>
        <v>2.3225056562230064E-3</v>
      </c>
      <c r="F505">
        <f>IF(C505&lt;'user input'!$C$12,IF(B505&gt;'user input'!$C$6,0,F504+E505),'user input'!$C$17*((1-C505)/(1-'user input'!$C$12)))</f>
        <v>2.5297839721971235E-2</v>
      </c>
    </row>
    <row r="506" spans="1:6" x14ac:dyDescent="0.2">
      <c r="A506" s="1">
        <v>40682</v>
      </c>
      <c r="B506">
        <v>139</v>
      </c>
      <c r="C506">
        <f>IF(B506&gt;'user input'!$C$6,0,IF('heat units'!H506&gt;1,1,'heat units'!H506))</f>
        <v>7.2222222222222215E-2</v>
      </c>
      <c r="D506">
        <f>IF(B506&gt;'user input'!$C$6,0,(C506/(C506+EXP('user input'!$C$15-'user input'!$C$14*C506))))</f>
        <v>8.8678410068542511E-3</v>
      </c>
      <c r="E506">
        <f>IF(C506&lt;'user input'!$C$12,(D506-D505)*'user input'!$C$17*(1-EXP(5*(F505-'user input'!$C$17))),F506-F505)</f>
        <v>1.3056746457693492E-3</v>
      </c>
      <c r="F506">
        <f>IF(C506&lt;'user input'!$C$12,IF(B506&gt;'user input'!$C$6,0,F505+E506),'user input'!$C$17*((1-C506)/(1-'user input'!$C$12)))</f>
        <v>2.6603514367740583E-2</v>
      </c>
    </row>
    <row r="507" spans="1:6" x14ac:dyDescent="0.2">
      <c r="A507" s="1">
        <v>40683</v>
      </c>
      <c r="B507">
        <v>140</v>
      </c>
      <c r="C507">
        <f>IF(B507&gt;'user input'!$C$6,0,IF('heat units'!H507&gt;1,1,'heat units'!H507))</f>
        <v>7.7314814814814808E-2</v>
      </c>
      <c r="D507">
        <f>IF(B507&gt;'user input'!$C$6,0,(C507/(C507+EXP('user input'!$C$15-'user input'!$C$14*C507))))</f>
        <v>1.0149674519541239E-2</v>
      </c>
      <c r="E507">
        <f>IF(C507&lt;'user input'!$C$12,(D507-D506)*'user input'!$C$17*(1-EXP(5*(F506-'user input'!$C$17))),F507-F506)</f>
        <v>3.845499194354379E-3</v>
      </c>
      <c r="F507">
        <f>IF(C507&lt;'user input'!$C$12,IF(B507&gt;'user input'!$C$6,0,F506+E507),'user input'!$C$17*((1-C507)/(1-'user input'!$C$12)))</f>
        <v>3.0449013562094961E-2</v>
      </c>
    </row>
    <row r="508" spans="1:6" x14ac:dyDescent="0.2">
      <c r="A508" s="1">
        <v>40684</v>
      </c>
      <c r="B508">
        <v>141</v>
      </c>
      <c r="C508">
        <f>IF(B508&gt;'user input'!$C$6,0,IF('heat units'!H508&gt;1,1,'heat units'!H508))</f>
        <v>8.4259259259259256E-2</v>
      </c>
      <c r="D508">
        <f>IF(B508&gt;'user input'!$C$6,0,(C508/(C508+EXP('user input'!$C$15-'user input'!$C$14*C508))))</f>
        <v>1.21147268230357E-2</v>
      </c>
      <c r="E508">
        <f>IF(C508&lt;'user input'!$C$12,(D508-D507)*'user input'!$C$17*(1-EXP(5*(F507-'user input'!$C$17))),F508-F507)</f>
        <v>5.8951548105895708E-3</v>
      </c>
      <c r="F508">
        <f>IF(C508&lt;'user input'!$C$12,IF(B508&gt;'user input'!$C$6,0,F507+E508),'user input'!$C$17*((1-C508)/(1-'user input'!$C$12)))</f>
        <v>3.6344168372684532E-2</v>
      </c>
    </row>
    <row r="509" spans="1:6" x14ac:dyDescent="0.2">
      <c r="A509" s="1">
        <v>40685</v>
      </c>
      <c r="B509">
        <v>142</v>
      </c>
      <c r="C509">
        <f>IF(B509&gt;'user input'!$C$6,0,IF('heat units'!H509&gt;1,1,'heat units'!H509))</f>
        <v>9.2361111111111102E-2</v>
      </c>
      <c r="D509">
        <f>IF(B509&gt;'user input'!$C$6,0,(C509/(C509+EXP('user input'!$C$15-'user input'!$C$14*C509))))</f>
        <v>1.4761077750829946E-2</v>
      </c>
      <c r="E509">
        <f>IF(C509&lt;'user input'!$C$12,(D509-D508)*'user input'!$C$17*(1-EXP(5*(F508-'user input'!$C$17))),F509-F508)</f>
        <v>7.9390498708432674E-3</v>
      </c>
      <c r="F509">
        <f>IF(C509&lt;'user input'!$C$12,IF(B509&gt;'user input'!$C$6,0,F508+E509),'user input'!$C$17*((1-C509)/(1-'user input'!$C$12)))</f>
        <v>4.4283218243527801E-2</v>
      </c>
    </row>
    <row r="510" spans="1:6" x14ac:dyDescent="0.2">
      <c r="A510" s="1">
        <v>40686</v>
      </c>
      <c r="B510">
        <v>143</v>
      </c>
      <c r="C510">
        <f>IF(B510&gt;'user input'!$C$6,0,IF('heat units'!H510&gt;1,1,'heat units'!H510))</f>
        <v>0.10185185185185183</v>
      </c>
      <c r="D510">
        <f>IF(B510&gt;'user input'!$C$6,0,(C510/(C510+EXP('user input'!$C$15-'user input'!$C$14*C510))))</f>
        <v>1.8414345785419048E-2</v>
      </c>
      <c r="E510">
        <f>IF(C510&lt;'user input'!$C$12,(D510-D509)*'user input'!$C$17*(1-EXP(5*(F509-'user input'!$C$17))),F510-F509)</f>
        <v>1.0959799920213589E-2</v>
      </c>
      <c r="F510">
        <f>IF(C510&lt;'user input'!$C$12,IF(B510&gt;'user input'!$C$6,0,F509+E510),'user input'!$C$17*((1-C510)/(1-'user input'!$C$12)))</f>
        <v>5.5243018163741386E-2</v>
      </c>
    </row>
    <row r="511" spans="1:6" x14ac:dyDescent="0.2">
      <c r="A511" s="1">
        <v>40687</v>
      </c>
      <c r="B511">
        <v>144</v>
      </c>
      <c r="C511">
        <f>IF(B511&gt;'user input'!$C$6,0,IF('heat units'!H511&gt;1,1,'heat units'!H511))</f>
        <v>0.10763888888888888</v>
      </c>
      <c r="D511">
        <f>IF(B511&gt;'user input'!$C$6,0,(C511/(C511+EXP('user input'!$C$15-'user input'!$C$14*C511))))</f>
        <v>2.0973180782695798E-2</v>
      </c>
      <c r="E511">
        <f>IF(C511&lt;'user input'!$C$12,(D511-D510)*'user input'!$C$17*(1-EXP(5*(F510-'user input'!$C$17))),F511-F510)</f>
        <v>7.6765018965142132E-3</v>
      </c>
      <c r="F511">
        <f>IF(C511&lt;'user input'!$C$12,IF(B511&gt;'user input'!$C$6,0,F510+E511),'user input'!$C$17*((1-C511)/(1-'user input'!$C$12)))</f>
        <v>6.2919520060255599E-2</v>
      </c>
    </row>
    <row r="512" spans="1:6" x14ac:dyDescent="0.2">
      <c r="A512" s="1">
        <v>40688</v>
      </c>
      <c r="B512">
        <v>145</v>
      </c>
      <c r="C512">
        <f>IF(B512&gt;'user input'!$C$6,0,IF('heat units'!H512&gt;1,1,'heat units'!H512))</f>
        <v>0.11134259259259259</v>
      </c>
      <c r="D512">
        <f>IF(B512&gt;'user input'!$C$6,0,(C512/(C512+EXP('user input'!$C$15-'user input'!$C$14*C512))))</f>
        <v>2.2755968373082431E-2</v>
      </c>
      <c r="E512">
        <f>IF(C512&lt;'user input'!$C$12,(D512-D511)*'user input'!$C$17*(1-EXP(5*(F511-'user input'!$C$17))),F512-F511)</f>
        <v>5.3483605302126662E-3</v>
      </c>
      <c r="F512">
        <f>IF(C512&lt;'user input'!$C$12,IF(B512&gt;'user input'!$C$6,0,F511+E512),'user input'!$C$17*((1-C512)/(1-'user input'!$C$12)))</f>
        <v>6.8267880590468261E-2</v>
      </c>
    </row>
    <row r="513" spans="1:6" x14ac:dyDescent="0.2">
      <c r="A513" s="1">
        <v>40689</v>
      </c>
      <c r="B513">
        <v>146</v>
      </c>
      <c r="C513">
        <f>IF(B513&gt;'user input'!$C$6,0,IF('heat units'!H513&gt;1,1,'heat units'!H513))</f>
        <v>0.11157407407407408</v>
      </c>
      <c r="D513">
        <f>IF(B513&gt;'user input'!$C$6,0,(C513/(C513+EXP('user input'!$C$15-'user input'!$C$14*C513))))</f>
        <v>2.287134267654127E-2</v>
      </c>
      <c r="E513">
        <f>IF(C513&lt;'user input'!$C$12,(D513-D512)*'user input'!$C$17*(1-EXP(5*(F512-'user input'!$C$17))),F513-F512)</f>
        <v>3.4612276142156895E-4</v>
      </c>
      <c r="F513">
        <f>IF(C513&lt;'user input'!$C$12,IF(B513&gt;'user input'!$C$6,0,F512+E513),'user input'!$C$17*((1-C513)/(1-'user input'!$C$12)))</f>
        <v>6.861400335188983E-2</v>
      </c>
    </row>
    <row r="514" spans="1:6" x14ac:dyDescent="0.2">
      <c r="A514" s="1">
        <v>40690</v>
      </c>
      <c r="B514">
        <v>147</v>
      </c>
      <c r="C514">
        <f>IF(B514&gt;'user input'!$C$6,0,IF('heat units'!H514&gt;1,1,'heat units'!H514))</f>
        <v>0.11458333333333333</v>
      </c>
      <c r="D514">
        <f>IF(B514&gt;'user input'!$C$6,0,(C514/(C514+EXP('user input'!$C$15-'user input'!$C$14*C514))))</f>
        <v>2.4414997550582438E-2</v>
      </c>
      <c r="E514">
        <f>IF(C514&lt;'user input'!$C$12,(D514-D513)*'user input'!$C$17*(1-EXP(5*(F513-'user input'!$C$17))),F514-F513)</f>
        <v>4.6309626257230955E-3</v>
      </c>
      <c r="F514">
        <f>IF(C514&lt;'user input'!$C$12,IF(B514&gt;'user input'!$C$6,0,F513+E514),'user input'!$C$17*((1-C514)/(1-'user input'!$C$12)))</f>
        <v>7.324496597761293E-2</v>
      </c>
    </row>
    <row r="515" spans="1:6" x14ac:dyDescent="0.2">
      <c r="A515" s="1">
        <v>40691</v>
      </c>
      <c r="B515">
        <v>148</v>
      </c>
      <c r="C515">
        <f>IF(B515&gt;'user input'!$C$6,0,IF('heat units'!H515&gt;1,1,'heat units'!H515))</f>
        <v>0.11782407407407407</v>
      </c>
      <c r="D515">
        <f>IF(B515&gt;'user input'!$C$6,0,(C515/(C515+EXP('user input'!$C$15-'user input'!$C$14*C515))))</f>
        <v>2.6171333998649016E-2</v>
      </c>
      <c r="E515">
        <f>IF(C515&lt;'user input'!$C$12,(D515-D514)*'user input'!$C$17*(1-EXP(5*(F514-'user input'!$C$17))),F515-F514)</f>
        <v>5.2690070195305257E-3</v>
      </c>
      <c r="F515">
        <f>IF(C515&lt;'user input'!$C$12,IF(B515&gt;'user input'!$C$6,0,F514+E515),'user input'!$C$17*((1-C515)/(1-'user input'!$C$12)))</f>
        <v>7.8513972997143452E-2</v>
      </c>
    </row>
    <row r="516" spans="1:6" x14ac:dyDescent="0.2">
      <c r="A516" s="1">
        <v>40692</v>
      </c>
      <c r="B516">
        <v>149</v>
      </c>
      <c r="C516">
        <f>IF(B516&gt;'user input'!$C$6,0,IF('heat units'!H516&gt;1,1,'heat units'!H516))</f>
        <v>0.12245370370370369</v>
      </c>
      <c r="D516">
        <f>IF(B516&gt;'user input'!$C$6,0,(C516/(C516+EXP('user input'!$C$15-'user input'!$C$14*C516))))</f>
        <v>2.8858695507991718E-2</v>
      </c>
      <c r="E516">
        <f>IF(C516&lt;'user input'!$C$12,(D516-D515)*'user input'!$C$17*(1-EXP(5*(F515-'user input'!$C$17))),F516-F515)</f>
        <v>8.0620808761098766E-3</v>
      </c>
      <c r="F516">
        <f>IF(C516&lt;'user input'!$C$12,IF(B516&gt;'user input'!$C$6,0,F515+E516),'user input'!$C$17*((1-C516)/(1-'user input'!$C$12)))</f>
        <v>8.6576053873253331E-2</v>
      </c>
    </row>
    <row r="517" spans="1:6" x14ac:dyDescent="0.2">
      <c r="A517" s="1">
        <v>40693</v>
      </c>
      <c r="B517">
        <v>150</v>
      </c>
      <c r="C517">
        <f>IF(B517&gt;'user input'!$C$6,0,IF('heat units'!H517&gt;1,1,'heat units'!H517))</f>
        <v>0.12800925925925924</v>
      </c>
      <c r="D517">
        <f>IF(B517&gt;'user input'!$C$6,0,(C517/(C517+EXP('user input'!$C$15-'user input'!$C$14*C517))))</f>
        <v>3.2379091796529161E-2</v>
      </c>
      <c r="E517">
        <f>IF(C517&lt;'user input'!$C$12,(D517-D516)*'user input'!$C$17*(1-EXP(5*(F516-'user input'!$C$17))),F517-F516)</f>
        <v>1.0561183884881259E-2</v>
      </c>
      <c r="F517">
        <f>IF(C517&lt;'user input'!$C$12,IF(B517&gt;'user input'!$C$6,0,F516+E517),'user input'!$C$17*((1-C517)/(1-'user input'!$C$12)))</f>
        <v>9.7137237758134584E-2</v>
      </c>
    </row>
    <row r="518" spans="1:6" x14ac:dyDescent="0.2">
      <c r="A518" s="1">
        <v>40694</v>
      </c>
      <c r="B518">
        <v>151</v>
      </c>
      <c r="C518">
        <f>IF(B518&gt;'user input'!$C$6,0,IF('heat units'!H518&gt;1,1,'heat units'!H518))</f>
        <v>0.1384259259259259</v>
      </c>
      <c r="D518">
        <f>IF(B518&gt;'user input'!$C$6,0,(C518/(C518+EXP('user input'!$C$15-'user input'!$C$14*C518))))</f>
        <v>3.993825230833687E-2</v>
      </c>
      <c r="E518">
        <f>IF(C518&lt;'user input'!$C$12,(D518-D517)*'user input'!$C$17*(1-EXP(5*(F517-'user input'!$C$17))),F518-F517)</f>
        <v>2.2677470260634075E-2</v>
      </c>
      <c r="F518">
        <f>IF(C518&lt;'user input'!$C$12,IF(B518&gt;'user input'!$C$6,0,F517+E518),'user input'!$C$17*((1-C518)/(1-'user input'!$C$12)))</f>
        <v>0.11981470801876866</v>
      </c>
    </row>
    <row r="519" spans="1:6" x14ac:dyDescent="0.2">
      <c r="A519" s="1">
        <v>40695</v>
      </c>
      <c r="B519">
        <v>152</v>
      </c>
      <c r="C519">
        <f>IF(B519&gt;'user input'!$C$6,0,IF('heat units'!H519&gt;1,1,'heat units'!H519))</f>
        <v>0.14652777777777776</v>
      </c>
      <c r="D519">
        <f>IF(B519&gt;'user input'!$C$6,0,(C519/(C519+EXP('user input'!$C$15-'user input'!$C$14*C519))))</f>
        <v>4.6782384762907331E-2</v>
      </c>
      <c r="E519">
        <f>IF(C519&lt;'user input'!$C$12,(D519-D518)*'user input'!$C$17*(1-EXP(5*(F518-'user input'!$C$17))),F519-F518)</f>
        <v>2.0532385929748851E-2</v>
      </c>
      <c r="F519">
        <f>IF(C519&lt;'user input'!$C$12,IF(B519&gt;'user input'!$C$6,0,F518+E519),'user input'!$C$17*((1-C519)/(1-'user input'!$C$12)))</f>
        <v>0.14034709394851752</v>
      </c>
    </row>
    <row r="520" spans="1:6" x14ac:dyDescent="0.2">
      <c r="A520" s="1">
        <v>40696</v>
      </c>
      <c r="B520">
        <v>153</v>
      </c>
      <c r="C520">
        <f>IF(B520&gt;'user input'!$C$6,0,IF('heat units'!H520&gt;1,1,'heat units'!H520))</f>
        <v>0.1534722222222222</v>
      </c>
      <c r="D520">
        <f>IF(B520&gt;'user input'!$C$6,0,(C520/(C520+EXP('user input'!$C$15-'user input'!$C$14*C520))))</f>
        <v>5.3399414644198923E-2</v>
      </c>
      <c r="E520">
        <f>IF(C520&lt;'user input'!$C$12,(D520-D519)*'user input'!$C$17*(1-EXP(5*(F519-'user input'!$C$17))),F520-F519)</f>
        <v>1.9851077394132142E-2</v>
      </c>
      <c r="F520">
        <f>IF(C520&lt;'user input'!$C$12,IF(B520&gt;'user input'!$C$6,0,F519+E520),'user input'!$C$17*((1-C520)/(1-'user input'!$C$12)))</f>
        <v>0.16019817134264966</v>
      </c>
    </row>
    <row r="521" spans="1:6" x14ac:dyDescent="0.2">
      <c r="A521" s="1">
        <v>40697</v>
      </c>
      <c r="B521">
        <v>154</v>
      </c>
      <c r="C521">
        <f>IF(B521&gt;'user input'!$C$6,0,IF('heat units'!H521&gt;1,1,'heat units'!H521))</f>
        <v>0.15995370370370368</v>
      </c>
      <c r="D521">
        <f>IF(B521&gt;'user input'!$C$6,0,(C521/(C521+EXP('user input'!$C$15-'user input'!$C$14*C521))))</f>
        <v>6.0258844349841967E-2</v>
      </c>
      <c r="E521">
        <f>IF(C521&lt;'user input'!$C$12,(D521-D520)*'user input'!$C$17*(1-EXP(5*(F520-'user input'!$C$17))),F521-F520)</f>
        <v>2.0578275093379846E-2</v>
      </c>
      <c r="F521">
        <f>IF(C521&lt;'user input'!$C$12,IF(B521&gt;'user input'!$C$6,0,F520+E521),'user input'!$C$17*((1-C521)/(1-'user input'!$C$12)))</f>
        <v>0.1807764464360295</v>
      </c>
    </row>
    <row r="522" spans="1:6" x14ac:dyDescent="0.2">
      <c r="A522" s="1">
        <v>40698</v>
      </c>
      <c r="B522">
        <v>155</v>
      </c>
      <c r="C522">
        <f>IF(B522&gt;'user input'!$C$6,0,IF('heat units'!H522&gt;1,1,'heat units'!H522))</f>
        <v>0.17245370370370369</v>
      </c>
      <c r="D522">
        <f>IF(B522&gt;'user input'!$C$6,0,(C522/(C522+EXP('user input'!$C$15-'user input'!$C$14*C522))))</f>
        <v>7.5550810030698468E-2</v>
      </c>
      <c r="E522">
        <f>IF(C522&lt;'user input'!$C$12,(D522-D521)*'user input'!$C$17*(1-EXP(5*(F521-'user input'!$C$17))),F522-F521)</f>
        <v>4.5875862391359337E-2</v>
      </c>
      <c r="F522">
        <f>IF(C522&lt;'user input'!$C$12,IF(B522&gt;'user input'!$C$6,0,F521+E522),'user input'!$C$17*((1-C522)/(1-'user input'!$C$12)))</f>
        <v>0.22665230882738885</v>
      </c>
    </row>
    <row r="523" spans="1:6" x14ac:dyDescent="0.2">
      <c r="A523" s="1">
        <v>40699</v>
      </c>
      <c r="B523">
        <v>156</v>
      </c>
      <c r="C523">
        <f>IF(B523&gt;'user input'!$C$6,0,IF('heat units'!H523&gt;1,1,'heat units'!H523))</f>
        <v>0.18194444444444444</v>
      </c>
      <c r="D523">
        <f>IF(B523&gt;'user input'!$C$6,0,(C523/(C523+EXP('user input'!$C$15-'user input'!$C$14*C523))))</f>
        <v>8.9172377970959338E-2</v>
      </c>
      <c r="E523">
        <f>IF(C523&lt;'user input'!$C$12,(D523-D522)*'user input'!$C$17*(1-EXP(5*(F522-'user input'!$C$17))),F523-F522)</f>
        <v>4.0864664996775109E-2</v>
      </c>
      <c r="F523">
        <f>IF(C523&lt;'user input'!$C$12,IF(B523&gt;'user input'!$C$6,0,F522+E523),'user input'!$C$17*((1-C523)/(1-'user input'!$C$12)))</f>
        <v>0.26751697382416395</v>
      </c>
    </row>
    <row r="524" spans="1:6" x14ac:dyDescent="0.2">
      <c r="A524" s="1">
        <v>40700</v>
      </c>
      <c r="B524">
        <v>157</v>
      </c>
      <c r="C524">
        <f>IF(B524&gt;'user input'!$C$6,0,IF('heat units'!H524&gt;1,1,'heat units'!H524))</f>
        <v>0.19282407407407404</v>
      </c>
      <c r="D524">
        <f>IF(B524&gt;'user input'!$C$6,0,(C524/(C524+EXP('user input'!$C$15-'user input'!$C$14*C524))))</f>
        <v>0.10716072051822041</v>
      </c>
      <c r="E524">
        <f>IF(C524&lt;'user input'!$C$12,(D524-D523)*'user input'!$C$17*(1-EXP(5*(F523-'user input'!$C$17))),F524-F523)</f>
        <v>5.3964964748987133E-2</v>
      </c>
      <c r="F524">
        <f>IF(C524&lt;'user input'!$C$12,IF(B524&gt;'user input'!$C$6,0,F523+E524),'user input'!$C$17*((1-C524)/(1-'user input'!$C$12)))</f>
        <v>0.3214819385731511</v>
      </c>
    </row>
    <row r="525" spans="1:6" x14ac:dyDescent="0.2">
      <c r="A525" s="1">
        <v>40701</v>
      </c>
      <c r="B525">
        <v>158</v>
      </c>
      <c r="C525">
        <f>IF(B525&gt;'user input'!$C$6,0,IF('heat units'!H525&gt;1,1,'heat units'!H525))</f>
        <v>0.20393518518518516</v>
      </c>
      <c r="D525">
        <f>IF(B525&gt;'user input'!$C$6,0,(C525/(C525+EXP('user input'!$C$15-'user input'!$C$14*C525))))</f>
        <v>0.12838372030041528</v>
      </c>
      <c r="E525">
        <f>IF(C525&lt;'user input'!$C$12,(D525-D524)*'user input'!$C$17*(1-EXP(5*(F524-'user input'!$C$17))),F525-F524)</f>
        <v>6.3668902161424262E-2</v>
      </c>
      <c r="F525">
        <f>IF(C525&lt;'user input'!$C$12,IF(B525&gt;'user input'!$C$6,0,F524+E525),'user input'!$C$17*((1-C525)/(1-'user input'!$C$12)))</f>
        <v>0.38515084073457539</v>
      </c>
    </row>
    <row r="526" spans="1:6" x14ac:dyDescent="0.2">
      <c r="A526" s="1">
        <v>40702</v>
      </c>
      <c r="B526">
        <v>159</v>
      </c>
      <c r="C526">
        <f>IF(B526&gt;'user input'!$C$6,0,IF('heat units'!H526&gt;1,1,'heat units'!H526))</f>
        <v>0.21759259259259256</v>
      </c>
      <c r="D526">
        <f>IF(B526&gt;'user input'!$C$6,0,(C526/(C526+EXP('user input'!$C$15-'user input'!$C$14*C526))))</f>
        <v>0.15873200629561773</v>
      </c>
      <c r="E526">
        <f>IF(C526&lt;'user input'!$C$12,(D526-D525)*'user input'!$C$17*(1-EXP(5*(F525-'user input'!$C$17))),F526-F525)</f>
        <v>9.1044666919956344E-2</v>
      </c>
      <c r="F526">
        <f>IF(C526&lt;'user input'!$C$12,IF(B526&gt;'user input'!$C$6,0,F525+E526),'user input'!$C$17*((1-C526)/(1-'user input'!$C$12)))</f>
        <v>0.47619550765453172</v>
      </c>
    </row>
    <row r="527" spans="1:6" x14ac:dyDescent="0.2">
      <c r="A527" s="1">
        <v>40703</v>
      </c>
      <c r="B527">
        <v>160</v>
      </c>
      <c r="C527">
        <f>IF(B527&gt;'user input'!$C$6,0,IF('heat units'!H527&gt;1,1,'heat units'!H527))</f>
        <v>0.22847222222222219</v>
      </c>
      <c r="D527">
        <f>IF(B527&gt;'user input'!$C$6,0,(C527/(C527+EXP('user input'!$C$15-'user input'!$C$14*C527))))</f>
        <v>0.18644546853770211</v>
      </c>
      <c r="E527">
        <f>IF(C527&lt;'user input'!$C$12,(D527-D526)*'user input'!$C$17*(1-EXP(5*(F526-'user input'!$C$17))),F527-F526)</f>
        <v>8.3140111658159127E-2</v>
      </c>
      <c r="F527">
        <f>IF(C527&lt;'user input'!$C$12,IF(B527&gt;'user input'!$C$6,0,F526+E527),'user input'!$C$17*((1-C527)/(1-'user input'!$C$12)))</f>
        <v>0.55933561931269082</v>
      </c>
    </row>
    <row r="528" spans="1:6" x14ac:dyDescent="0.2">
      <c r="A528" s="1">
        <v>40704</v>
      </c>
      <c r="B528">
        <v>161</v>
      </c>
      <c r="C528">
        <f>IF(B528&gt;'user input'!$C$6,0,IF('heat units'!H528&gt;1,1,'heat units'!H528))</f>
        <v>0.23124999999999996</v>
      </c>
      <c r="D528">
        <f>IF(B528&gt;'user input'!$C$6,0,(C528/(C528+EXP('user input'!$C$15-'user input'!$C$14*C528))))</f>
        <v>0.19403408250533902</v>
      </c>
      <c r="E528">
        <f>IF(C528&lt;'user input'!$C$12,(D528-D527)*'user input'!$C$17*(1-EXP(5*(F527-'user input'!$C$17))),F528-F527)</f>
        <v>2.2765727760155372E-2</v>
      </c>
      <c r="F528">
        <f>IF(C528&lt;'user input'!$C$12,IF(B528&gt;'user input'!$C$6,0,F527+E528),'user input'!$C$17*((1-C528)/(1-'user input'!$C$12)))</f>
        <v>0.58210134707284622</v>
      </c>
    </row>
    <row r="529" spans="1:6" x14ac:dyDescent="0.2">
      <c r="A529" s="1">
        <v>40705</v>
      </c>
      <c r="B529">
        <v>162</v>
      </c>
      <c r="C529">
        <f>IF(B529&gt;'user input'!$C$6,0,IF('heat units'!H529&gt;1,1,'heat units'!H529))</f>
        <v>0.23402777777777772</v>
      </c>
      <c r="D529">
        <f>IF(B529&gt;'user input'!$C$6,0,(C529/(C529+EXP('user input'!$C$15-'user input'!$C$14*C529))))</f>
        <v>0.2018316829230124</v>
      </c>
      <c r="E529">
        <f>IF(C529&lt;'user input'!$C$12,(D529-D528)*'user input'!$C$17*(1-EXP(5*(F528-'user input'!$C$17))),F529-F528)</f>
        <v>2.339266982680014E-2</v>
      </c>
      <c r="F529">
        <f>IF(C529&lt;'user input'!$C$12,IF(B529&gt;'user input'!$C$6,0,F528+E529),'user input'!$C$17*((1-C529)/(1-'user input'!$C$12)))</f>
        <v>0.60549401689964633</v>
      </c>
    </row>
    <row r="530" spans="1:6" x14ac:dyDescent="0.2">
      <c r="A530" s="1">
        <v>40706</v>
      </c>
      <c r="B530">
        <v>163</v>
      </c>
      <c r="C530">
        <f>IF(B530&gt;'user input'!$C$6,0,IF('heat units'!H530&gt;1,1,'heat units'!H530))</f>
        <v>0.23726851851851849</v>
      </c>
      <c r="D530">
        <f>IF(B530&gt;'user input'!$C$6,0,(C530/(C530+EXP('user input'!$C$15-'user input'!$C$14*C530))))</f>
        <v>0.21119221576884145</v>
      </c>
      <c r="E530">
        <f>IF(C530&lt;'user input'!$C$12,(D530-D529)*'user input'!$C$17*(1-EXP(5*(F529-'user input'!$C$17))),F530-F529)</f>
        <v>2.8081421192813469E-2</v>
      </c>
      <c r="F530">
        <f>IF(C530&lt;'user input'!$C$12,IF(B530&gt;'user input'!$C$6,0,F529+E530),'user input'!$C$17*((1-C530)/(1-'user input'!$C$12)))</f>
        <v>0.63357543809245975</v>
      </c>
    </row>
    <row r="531" spans="1:6" x14ac:dyDescent="0.2">
      <c r="A531" s="1">
        <v>40707</v>
      </c>
      <c r="B531">
        <v>164</v>
      </c>
      <c r="C531">
        <f>IF(B531&gt;'user input'!$C$6,0,IF('heat units'!H531&gt;1,1,'heat units'!H531))</f>
        <v>0.24259259259259258</v>
      </c>
      <c r="D531">
        <f>IF(B531&gt;'user input'!$C$6,0,(C531/(C531+EXP('user input'!$C$15-'user input'!$C$14*C531))))</f>
        <v>0.22718098229827999</v>
      </c>
      <c r="E531">
        <f>IF(C531&lt;'user input'!$C$12,(D531-D530)*'user input'!$C$17*(1-EXP(5*(F530-'user input'!$C$17))),F531-F530)</f>
        <v>4.7965951001810433E-2</v>
      </c>
      <c r="F531">
        <f>IF(C531&lt;'user input'!$C$12,IF(B531&gt;'user input'!$C$6,0,F530+E531),'user input'!$C$17*((1-C531)/(1-'user input'!$C$12)))</f>
        <v>0.6815413890942702</v>
      </c>
    </row>
    <row r="532" spans="1:6" x14ac:dyDescent="0.2">
      <c r="A532" s="1">
        <v>40708</v>
      </c>
      <c r="B532">
        <v>165</v>
      </c>
      <c r="C532">
        <f>IF(B532&gt;'user input'!$C$6,0,IF('heat units'!H532&gt;1,1,'heat units'!H532))</f>
        <v>0.24837962962962962</v>
      </c>
      <c r="D532">
        <f>IF(B532&gt;'user input'!$C$6,0,(C532/(C532+EXP('user input'!$C$15-'user input'!$C$14*C532))))</f>
        <v>0.2454069065638658</v>
      </c>
      <c r="E532">
        <f>IF(C532&lt;'user input'!$C$12,(D532-D531)*'user input'!$C$17*(1-EXP(5*(F531-'user input'!$C$17))),F532-F531)</f>
        <v>5.4677267737995437E-2</v>
      </c>
      <c r="F532">
        <f>IF(C532&lt;'user input'!$C$12,IF(B532&gt;'user input'!$C$6,0,F531+E532),'user input'!$C$17*((1-C532)/(1-'user input'!$C$12)))</f>
        <v>0.73621865683226562</v>
      </c>
    </row>
    <row r="533" spans="1:6" x14ac:dyDescent="0.2">
      <c r="A533" s="1">
        <v>40709</v>
      </c>
      <c r="B533">
        <v>166</v>
      </c>
      <c r="C533">
        <f>IF(B533&gt;'user input'!$C$6,0,IF('heat units'!H533&gt;1,1,'heat units'!H533))</f>
        <v>0.25532407407407404</v>
      </c>
      <c r="D533">
        <f>IF(B533&gt;'user input'!$C$6,0,(C533/(C533+EXP('user input'!$C$15-'user input'!$C$14*C533))))</f>
        <v>0.26840476699503563</v>
      </c>
      <c r="E533">
        <f>IF(C533&lt;'user input'!$C$12,(D533-D532)*'user input'!$C$17*(1-EXP(5*(F532-'user input'!$C$17))),F533-F532)</f>
        <v>6.8992743629298206E-2</v>
      </c>
      <c r="F533">
        <f>IF(C533&lt;'user input'!$C$12,IF(B533&gt;'user input'!$C$6,0,F532+E533),'user input'!$C$17*((1-C533)/(1-'user input'!$C$12)))</f>
        <v>0.80521140046156381</v>
      </c>
    </row>
    <row r="534" spans="1:6" x14ac:dyDescent="0.2">
      <c r="A534" s="1">
        <v>40710</v>
      </c>
      <c r="B534">
        <v>167</v>
      </c>
      <c r="C534">
        <f>IF(B534&gt;'user input'!$C$6,0,IF('heat units'!H534&gt;1,1,'heat units'!H534))</f>
        <v>0.25949074074074069</v>
      </c>
      <c r="D534">
        <f>IF(B534&gt;'user input'!$C$6,0,(C534/(C534+EXP('user input'!$C$15-'user input'!$C$14*C534))))</f>
        <v>0.28276829094152323</v>
      </c>
      <c r="E534">
        <f>IF(C534&lt;'user input'!$C$12,(D534-D533)*'user input'!$C$17*(1-EXP(5*(F533-'user input'!$C$17))),F534-F533)</f>
        <v>4.3089833154311925E-2</v>
      </c>
      <c r="F534">
        <f>IF(C534&lt;'user input'!$C$12,IF(B534&gt;'user input'!$C$6,0,F533+E534),'user input'!$C$17*((1-C534)/(1-'user input'!$C$12)))</f>
        <v>0.84830123361587573</v>
      </c>
    </row>
    <row r="535" spans="1:6" x14ac:dyDescent="0.2">
      <c r="A535" s="1">
        <v>40711</v>
      </c>
      <c r="B535">
        <v>168</v>
      </c>
      <c r="C535">
        <f>IF(B535&gt;'user input'!$C$6,0,IF('heat units'!H535&gt;1,1,'heat units'!H535))</f>
        <v>0.26828703703703699</v>
      </c>
      <c r="D535">
        <f>IF(B535&gt;'user input'!$C$6,0,(C535/(C535+EXP('user input'!$C$15-'user input'!$C$14*C535))))</f>
        <v>0.31438618358464582</v>
      </c>
      <c r="E535">
        <f>IF(C535&lt;'user input'!$C$12,(D535-D534)*'user input'!$C$17*(1-EXP(5*(F534-'user input'!$C$17))),F535-F534)</f>
        <v>9.4851660958291367E-2</v>
      </c>
      <c r="F535">
        <f>IF(C535&lt;'user input'!$C$12,IF(B535&gt;'user input'!$C$6,0,F534+E535),'user input'!$C$17*((1-C535)/(1-'user input'!$C$12)))</f>
        <v>0.94315289457416707</v>
      </c>
    </row>
    <row r="536" spans="1:6" x14ac:dyDescent="0.2">
      <c r="A536" s="1">
        <v>40712</v>
      </c>
      <c r="B536">
        <v>169</v>
      </c>
      <c r="C536">
        <f>IF(B536&gt;'user input'!$C$6,0,IF('heat units'!H536&gt;1,1,'heat units'!H536))</f>
        <v>0.27870370370370368</v>
      </c>
      <c r="D536">
        <f>IF(B536&gt;'user input'!$C$6,0,(C536/(C536+EXP('user input'!$C$15-'user input'!$C$14*C536))))</f>
        <v>0.35384763560353705</v>
      </c>
      <c r="E536">
        <f>IF(C536&lt;'user input'!$C$12,(D536-D535)*'user input'!$C$17*(1-EXP(5*(F535-'user input'!$C$17))),F536-F535)</f>
        <v>0.11838031115865834</v>
      </c>
      <c r="F536">
        <f>IF(C536&lt;'user input'!$C$12,IF(B536&gt;'user input'!$C$6,0,F535+E536),'user input'!$C$17*((1-C536)/(1-'user input'!$C$12)))</f>
        <v>1.0615332057328255</v>
      </c>
    </row>
    <row r="537" spans="1:6" x14ac:dyDescent="0.2">
      <c r="A537" s="1">
        <v>40713</v>
      </c>
      <c r="B537">
        <v>170</v>
      </c>
      <c r="C537">
        <f>IF(B537&gt;'user input'!$C$6,0,IF('heat units'!H537&gt;1,1,'heat units'!H537))</f>
        <v>0.28865740740740736</v>
      </c>
      <c r="D537">
        <f>IF(B537&gt;'user input'!$C$6,0,(C537/(C537+EXP('user input'!$C$15-'user input'!$C$14*C537))))</f>
        <v>0.39320906515524662</v>
      </c>
      <c r="E537">
        <f>IF(C537&lt;'user input'!$C$12,(D537-D536)*'user input'!$C$17*(1-EXP(5*(F536-'user input'!$C$17))),F537-F536)</f>
        <v>0.11807699634790347</v>
      </c>
      <c r="F537">
        <f>IF(C537&lt;'user input'!$C$12,IF(B537&gt;'user input'!$C$6,0,F536+E537),'user input'!$C$17*((1-C537)/(1-'user input'!$C$12)))</f>
        <v>1.1796102020807289</v>
      </c>
    </row>
    <row r="538" spans="1:6" x14ac:dyDescent="0.2">
      <c r="A538" s="1">
        <v>40714</v>
      </c>
      <c r="B538">
        <v>171</v>
      </c>
      <c r="C538">
        <f>IF(B538&gt;'user input'!$C$6,0,IF('heat units'!H538&gt;1,1,'heat units'!H538))</f>
        <v>0.29837962962962961</v>
      </c>
      <c r="D538">
        <f>IF(B538&gt;'user input'!$C$6,0,(C538/(C538+EXP('user input'!$C$15-'user input'!$C$14*C538))))</f>
        <v>0.43276457549842162</v>
      </c>
      <c r="E538">
        <f>IF(C538&lt;'user input'!$C$12,(D538-D537)*'user input'!$C$17*(1-EXP(5*(F537-'user input'!$C$17))),F538-F537)</f>
        <v>0.11865330583629558</v>
      </c>
      <c r="F538">
        <f>IF(C538&lt;'user input'!$C$12,IF(B538&gt;'user input'!$C$6,0,F537+E538),'user input'!$C$17*((1-C538)/(1-'user input'!$C$12)))</f>
        <v>1.2982635079170244</v>
      </c>
    </row>
    <row r="539" spans="1:6" x14ac:dyDescent="0.2">
      <c r="A539" s="1">
        <v>40715</v>
      </c>
      <c r="B539">
        <v>172</v>
      </c>
      <c r="C539">
        <f>IF(B539&gt;'user input'!$C$6,0,IF('heat units'!H539&gt;1,1,'heat units'!H539))</f>
        <v>0.30671296296296297</v>
      </c>
      <c r="D539">
        <f>IF(B539&gt;'user input'!$C$6,0,(C539/(C539+EXP('user input'!$C$15-'user input'!$C$14*C539))))</f>
        <v>0.46717491606623751</v>
      </c>
      <c r="E539">
        <f>IF(C539&lt;'user input'!$C$12,(D539-D538)*'user input'!$C$17*(1-EXP(5*(F538-'user input'!$C$17))),F539-F538)</f>
        <v>0.10321019903496134</v>
      </c>
      <c r="F539">
        <f>IF(C539&lt;'user input'!$C$12,IF(B539&gt;'user input'!$C$6,0,F538+E539),'user input'!$C$17*((1-C539)/(1-'user input'!$C$12)))</f>
        <v>1.4014737069519858</v>
      </c>
    </row>
    <row r="540" spans="1:6" x14ac:dyDescent="0.2">
      <c r="A540" s="1">
        <v>40716</v>
      </c>
      <c r="B540">
        <v>173</v>
      </c>
      <c r="C540">
        <f>IF(B540&gt;'user input'!$C$6,0,IF('heat units'!H540&gt;1,1,'heat units'!H540))</f>
        <v>0.31874999999999998</v>
      </c>
      <c r="D540">
        <f>IF(B540&gt;'user input'!$C$6,0,(C540/(C540+EXP('user input'!$C$15-'user input'!$C$14*C540))))</f>
        <v>0.51702501069908691</v>
      </c>
      <c r="E540">
        <f>IF(C540&lt;'user input'!$C$12,(D540-D539)*'user input'!$C$17*(1-EXP(5*(F539-'user input'!$C$17))),F540-F539)</f>
        <v>0.14949974433343249</v>
      </c>
      <c r="F540">
        <f>IF(C540&lt;'user input'!$C$12,IF(B540&gt;'user input'!$C$6,0,F539+E540),'user input'!$C$17*((1-C540)/(1-'user input'!$C$12)))</f>
        <v>1.5509734512854183</v>
      </c>
    </row>
    <row r="541" spans="1:6" x14ac:dyDescent="0.2">
      <c r="A541" s="1">
        <v>40717</v>
      </c>
      <c r="B541">
        <v>174</v>
      </c>
      <c r="C541">
        <f>IF(B541&gt;'user input'!$C$6,0,IF('heat units'!H541&gt;1,1,'heat units'!H541))</f>
        <v>0.32731481481481484</v>
      </c>
      <c r="D541">
        <f>IF(B541&gt;'user input'!$C$6,0,(C541/(C541+EXP('user input'!$C$15-'user input'!$C$14*C541))))</f>
        <v>0.55213125034042476</v>
      </c>
      <c r="E541">
        <f>IF(C541&lt;'user input'!$C$12,(D541-D540)*'user input'!$C$17*(1-EXP(5*(F540-'user input'!$C$17))),F541-F540)</f>
        <v>0.10524355933500502</v>
      </c>
      <c r="F541">
        <f>IF(C541&lt;'user input'!$C$12,IF(B541&gt;'user input'!$C$6,0,F540+E541),'user input'!$C$17*((1-C541)/(1-'user input'!$C$12)))</f>
        <v>1.6562170106204233</v>
      </c>
    </row>
    <row r="542" spans="1:6" x14ac:dyDescent="0.2">
      <c r="A542" s="1">
        <v>40718</v>
      </c>
      <c r="B542">
        <v>175</v>
      </c>
      <c r="C542">
        <f>IF(B542&gt;'user input'!$C$6,0,IF('heat units'!H542&gt;1,1,'heat units'!H542))</f>
        <v>0.33194444444444443</v>
      </c>
      <c r="D542">
        <f>IF(B542&gt;'user input'!$C$6,0,(C542/(C542+EXP('user input'!$C$15-'user input'!$C$14*C542))))</f>
        <v>0.57084520328627986</v>
      </c>
      <c r="E542">
        <f>IF(C542&lt;'user input'!$C$12,(D542-D541)*'user input'!$C$17*(1-EXP(5*(F541-'user input'!$C$17))),F542-F541)</f>
        <v>5.6074048001020352E-2</v>
      </c>
      <c r="F542">
        <f>IF(C542&lt;'user input'!$C$12,IF(B542&gt;'user input'!$C$6,0,F541+E542),'user input'!$C$17*((1-C542)/(1-'user input'!$C$12)))</f>
        <v>1.7122910586214437</v>
      </c>
    </row>
    <row r="543" spans="1:6" x14ac:dyDescent="0.2">
      <c r="A543" s="1">
        <v>40719</v>
      </c>
      <c r="B543">
        <v>176</v>
      </c>
      <c r="C543">
        <f>IF(B543&gt;'user input'!$C$6,0,IF('heat units'!H543&gt;1,1,'heat units'!H543))</f>
        <v>0.33796296296296297</v>
      </c>
      <c r="D543">
        <f>IF(B543&gt;'user input'!$C$6,0,(C543/(C543+EXP('user input'!$C$15-'user input'!$C$14*C543))))</f>
        <v>0.59479642810570121</v>
      </c>
      <c r="E543">
        <f>IF(C543&lt;'user input'!$C$12,(D543-D542)*'user input'!$C$17*(1-EXP(5*(F542-'user input'!$C$17))),F543-F542)</f>
        <v>7.1738799717500287E-2</v>
      </c>
      <c r="F543">
        <f>IF(C543&lt;'user input'!$C$12,IF(B543&gt;'user input'!$C$6,0,F542+E543),'user input'!$C$17*((1-C543)/(1-'user input'!$C$12)))</f>
        <v>1.784029858338944</v>
      </c>
    </row>
    <row r="544" spans="1:6" x14ac:dyDescent="0.2">
      <c r="A544" s="1">
        <v>40720</v>
      </c>
      <c r="B544">
        <v>177</v>
      </c>
      <c r="C544">
        <f>IF(B544&gt;'user input'!$C$6,0,IF('heat units'!H544&gt;1,1,'heat units'!H544))</f>
        <v>0.34513888888888888</v>
      </c>
      <c r="D544">
        <f>IF(B544&gt;'user input'!$C$6,0,(C544/(C544+EXP('user input'!$C$15-'user input'!$C$14*C544))))</f>
        <v>0.62266920685972649</v>
      </c>
      <c r="E544">
        <f>IF(C544&lt;'user input'!$C$12,(D544-D543)*'user input'!$C$17*(1-EXP(5*(F543-'user input'!$C$17))),F544-F543)</f>
        <v>8.3426974170646248E-2</v>
      </c>
      <c r="F544">
        <f>IF(C544&lt;'user input'!$C$12,IF(B544&gt;'user input'!$C$6,0,F543+E544),'user input'!$C$17*((1-C544)/(1-'user input'!$C$12)))</f>
        <v>1.8674568325095902</v>
      </c>
    </row>
    <row r="545" spans="1:6" x14ac:dyDescent="0.2">
      <c r="A545" s="1">
        <v>40721</v>
      </c>
      <c r="B545">
        <v>178</v>
      </c>
      <c r="C545">
        <f>IF(B545&gt;'user input'!$C$6,0,IF('heat units'!H545&gt;1,1,'heat units'!H545))</f>
        <v>0.35601851851851846</v>
      </c>
      <c r="D545">
        <f>IF(B545&gt;'user input'!$C$6,0,(C545/(C545+EXP('user input'!$C$15-'user input'!$C$14*C545))))</f>
        <v>0.66319337737175554</v>
      </c>
      <c r="E545">
        <f>IF(C545&lt;'user input'!$C$12,(D545-D544)*'user input'!$C$17*(1-EXP(5*(F544-'user input'!$C$17))),F545-F544)</f>
        <v>0.12115028147705956</v>
      </c>
      <c r="F545">
        <f>IF(C545&lt;'user input'!$C$12,IF(B545&gt;'user input'!$C$6,0,F544+E545),'user input'!$C$17*((1-C545)/(1-'user input'!$C$12)))</f>
        <v>1.9886071139866497</v>
      </c>
    </row>
    <row r="546" spans="1:6" x14ac:dyDescent="0.2">
      <c r="A546" s="1">
        <v>40722</v>
      </c>
      <c r="B546">
        <v>179</v>
      </c>
      <c r="C546">
        <f>IF(B546&gt;'user input'!$C$6,0,IF('heat units'!H546&gt;1,1,'heat units'!H546))</f>
        <v>0.36481481481481476</v>
      </c>
      <c r="D546">
        <f>IF(B546&gt;'user input'!$C$6,0,(C546/(C546+EXP('user input'!$C$15-'user input'!$C$14*C546))))</f>
        <v>0.69417416585064684</v>
      </c>
      <c r="E546">
        <f>IF(C546&lt;'user input'!$C$12,(D546-D545)*'user input'!$C$17*(1-EXP(5*(F545-'user input'!$C$17))),F546-F545)</f>
        <v>9.2350801113435355E-2</v>
      </c>
      <c r="F546">
        <f>IF(C546&lt;'user input'!$C$12,IF(B546&gt;'user input'!$C$6,0,F545+E546),'user input'!$C$17*((1-C546)/(1-'user input'!$C$12)))</f>
        <v>2.0809579151000852</v>
      </c>
    </row>
    <row r="547" spans="1:6" x14ac:dyDescent="0.2">
      <c r="A547" s="1">
        <v>40723</v>
      </c>
      <c r="B547">
        <v>180</v>
      </c>
      <c r="C547">
        <f>IF(B547&gt;'user input'!$C$6,0,IF('heat units'!H547&gt;1,1,'heat units'!H547))</f>
        <v>0.37199074074074068</v>
      </c>
      <c r="D547">
        <f>IF(B547&gt;'user input'!$C$6,0,(C547/(C547+EXP('user input'!$C$15-'user input'!$C$14*C547))))</f>
        <v>0.71813698816706906</v>
      </c>
      <c r="E547">
        <f>IF(C547&lt;'user input'!$C$12,(D547-D546)*'user input'!$C$17*(1-EXP(5*(F546-'user input'!$C$17))),F547-F546)</f>
        <v>7.1162386585712195E-2</v>
      </c>
      <c r="F547">
        <f>IF(C547&lt;'user input'!$C$12,IF(B547&gt;'user input'!$C$6,0,F546+E547),'user input'!$C$17*((1-C547)/(1-'user input'!$C$12)))</f>
        <v>2.1521203016857973</v>
      </c>
    </row>
    <row r="548" spans="1:6" x14ac:dyDescent="0.2">
      <c r="A548" s="1">
        <v>40724</v>
      </c>
      <c r="B548">
        <v>181</v>
      </c>
      <c r="C548">
        <f>IF(B548&gt;'user input'!$C$6,0,IF('heat units'!H548&gt;1,1,'heat units'!H548))</f>
        <v>0.38078703703703698</v>
      </c>
      <c r="D548">
        <f>IF(B548&gt;'user input'!$C$6,0,(C548/(C548+EXP('user input'!$C$15-'user input'!$C$14*C548))))</f>
        <v>0.74580316158965443</v>
      </c>
      <c r="E548">
        <f>IF(C548&lt;'user input'!$C$12,(D548-D547)*'user input'!$C$17*(1-EXP(5*(F547-'user input'!$C$17))),F548-F547)</f>
        <v>8.1801991958708575E-2</v>
      </c>
      <c r="F548">
        <f>IF(C548&lt;'user input'!$C$12,IF(B548&gt;'user input'!$C$6,0,F547+E548),'user input'!$C$17*((1-C548)/(1-'user input'!$C$12)))</f>
        <v>2.2339222936445058</v>
      </c>
    </row>
    <row r="549" spans="1:6" x14ac:dyDescent="0.2">
      <c r="A549" s="1">
        <v>40725</v>
      </c>
      <c r="B549">
        <v>182</v>
      </c>
      <c r="C549">
        <f>IF(B549&gt;'user input'!$C$6,0,IF('heat units'!H549&gt;1,1,'heat units'!H549))</f>
        <v>0.39444444444444438</v>
      </c>
      <c r="D549">
        <f>IF(B549&gt;'user input'!$C$6,0,(C549/(C549+EXP('user input'!$C$15-'user input'!$C$14*C549))))</f>
        <v>0.784891220172379</v>
      </c>
      <c r="E549">
        <f>IF(C549&lt;'user input'!$C$12,(D549-D548)*'user input'!$C$17*(1-EXP(5*(F548-'user input'!$C$17))),F549-F548)</f>
        <v>0.11471940448213343</v>
      </c>
      <c r="F549">
        <f>IF(C549&lt;'user input'!$C$12,IF(B549&gt;'user input'!$C$6,0,F548+E549),'user input'!$C$17*((1-C549)/(1-'user input'!$C$12)))</f>
        <v>2.3486416981266394</v>
      </c>
    </row>
    <row r="550" spans="1:6" x14ac:dyDescent="0.2">
      <c r="A550" s="1">
        <v>40726</v>
      </c>
      <c r="B550">
        <v>183</v>
      </c>
      <c r="C550">
        <f>IF(B550&gt;'user input'!$C$6,0,IF('heat units'!H550&gt;1,1,'heat units'!H550))</f>
        <v>0.40787037037037027</v>
      </c>
      <c r="D550">
        <f>IF(B550&gt;'user input'!$C$6,0,(C550/(C550+EXP('user input'!$C$15-'user input'!$C$14*C550))))</f>
        <v>0.81870293192052068</v>
      </c>
      <c r="E550">
        <f>IF(C550&lt;'user input'!$C$12,(D550-D549)*'user input'!$C$17*(1-EXP(5*(F549-'user input'!$C$17))),F550-F549)</f>
        <v>9.7528689189918277E-2</v>
      </c>
      <c r="F550">
        <f>IF(C550&lt;'user input'!$C$12,IF(B550&gt;'user input'!$C$6,0,F549+E550),'user input'!$C$17*((1-C550)/(1-'user input'!$C$12)))</f>
        <v>2.4461703873165574</v>
      </c>
    </row>
    <row r="551" spans="1:6" x14ac:dyDescent="0.2">
      <c r="A551" s="1">
        <v>40727</v>
      </c>
      <c r="B551">
        <v>184</v>
      </c>
      <c r="C551">
        <f>IF(B551&gt;'user input'!$C$6,0,IF('heat units'!H551&gt;1,1,'heat units'!H551))</f>
        <v>0.41782407407407401</v>
      </c>
      <c r="D551">
        <f>IF(B551&gt;'user input'!$C$6,0,(C551/(C551+EXP('user input'!$C$15-'user input'!$C$14*C551))))</f>
        <v>0.84089870773012876</v>
      </c>
      <c r="E551">
        <f>IF(C551&lt;'user input'!$C$12,(D551-D550)*'user input'!$C$17*(1-EXP(5*(F550-'user input'!$C$17))),F551-F550)</f>
        <v>6.2411275785595854E-2</v>
      </c>
      <c r="F551">
        <f>IF(C551&lt;'user input'!$C$12,IF(B551&gt;'user input'!$C$6,0,F550+E551),'user input'!$C$17*((1-C551)/(1-'user input'!$C$12)))</f>
        <v>2.5085816631021531</v>
      </c>
    </row>
    <row r="552" spans="1:6" x14ac:dyDescent="0.2">
      <c r="A552" s="1">
        <v>40728</v>
      </c>
      <c r="B552">
        <v>185</v>
      </c>
      <c r="C552">
        <f>IF(B552&gt;'user input'!$C$6,0,IF('heat units'!H552&gt;1,1,'heat units'!H552))</f>
        <v>0.4275462962962962</v>
      </c>
      <c r="D552">
        <f>IF(B552&gt;'user input'!$C$6,0,(C552/(C552+EXP('user input'!$C$15-'user input'!$C$14*C552))))</f>
        <v>0.86033420284354623</v>
      </c>
      <c r="E552">
        <f>IF(C552&lt;'user input'!$C$12,(D552-D551)*'user input'!$C$17*(1-EXP(5*(F551-'user input'!$C$17))),F552-F551)</f>
        <v>5.3310565019598306E-2</v>
      </c>
      <c r="F552">
        <f>IF(C552&lt;'user input'!$C$12,IF(B552&gt;'user input'!$C$6,0,F551+E552),'user input'!$C$17*((1-C552)/(1-'user input'!$C$12)))</f>
        <v>2.5618922281217515</v>
      </c>
    </row>
    <row r="553" spans="1:6" x14ac:dyDescent="0.2">
      <c r="A553" s="1">
        <v>40729</v>
      </c>
      <c r="B553">
        <v>186</v>
      </c>
      <c r="C553">
        <f>IF(B553&gt;'user input'!$C$6,0,IF('heat units'!H553&gt;1,1,'heat units'!H553))</f>
        <v>0.43796296296296283</v>
      </c>
      <c r="D553">
        <f>IF(B553&gt;'user input'!$C$6,0,(C553/(C553+EXP('user input'!$C$15-'user input'!$C$14*C553))))</f>
        <v>0.87884863704946903</v>
      </c>
      <c r="E553">
        <f>IF(C553&lt;'user input'!$C$12,(D553-D552)*'user input'!$C$17*(1-EXP(5*(F552-'user input'!$C$17))),F553-F552)</f>
        <v>4.9330425550650522E-2</v>
      </c>
      <c r="F553">
        <f>IF(C553&lt;'user input'!$C$12,IF(B553&gt;'user input'!$C$6,0,F552+E553),'user input'!$C$17*((1-C553)/(1-'user input'!$C$12)))</f>
        <v>2.6112226536724021</v>
      </c>
    </row>
    <row r="554" spans="1:6" x14ac:dyDescent="0.2">
      <c r="A554" s="1">
        <v>40730</v>
      </c>
      <c r="B554">
        <v>187</v>
      </c>
      <c r="C554">
        <f>IF(B554&gt;'user input'!$C$6,0,IF('heat units'!H554&gt;1,1,'heat units'!H554))</f>
        <v>0.44953703703703696</v>
      </c>
      <c r="D554">
        <f>IF(B554&gt;'user input'!$C$6,0,(C554/(C554+EXP('user input'!$C$15-'user input'!$C$14*C554))))</f>
        <v>0.89683849242852576</v>
      </c>
      <c r="E554">
        <f>IF(C554&lt;'user input'!$C$12,(D554-D553)*'user input'!$C$17*(1-EXP(5*(F553-'user input'!$C$17))),F554-F553)</f>
        <v>4.6244011900964783E-2</v>
      </c>
      <c r="F554">
        <f>IF(C554&lt;'user input'!$C$12,IF(B554&gt;'user input'!$C$6,0,F553+E554),'user input'!$C$17*((1-C554)/(1-'user input'!$C$12)))</f>
        <v>2.657466665573367</v>
      </c>
    </row>
    <row r="555" spans="1:6" x14ac:dyDescent="0.2">
      <c r="A555" s="1">
        <v>40731</v>
      </c>
      <c r="B555">
        <v>188</v>
      </c>
      <c r="C555">
        <f>IF(B555&gt;'user input'!$C$6,0,IF('heat units'!H555&gt;1,1,'heat units'!H555))</f>
        <v>0.45972222222222209</v>
      </c>
      <c r="D555">
        <f>IF(B555&gt;'user input'!$C$6,0,(C555/(C555+EXP('user input'!$C$15-'user input'!$C$14*C555))))</f>
        <v>0.91062721668155178</v>
      </c>
      <c r="E555">
        <f>IF(C555&lt;'user input'!$C$12,(D555-D554)*'user input'!$C$17*(1-EXP(5*(F554-'user input'!$C$17))),F555-F554)</f>
        <v>3.3904371866529226E-2</v>
      </c>
      <c r="F555">
        <f>IF(C555&lt;'user input'!$C$12,IF(B555&gt;'user input'!$C$6,0,F554+E555),'user input'!$C$17*((1-C555)/(1-'user input'!$C$12)))</f>
        <v>2.6913710374398963</v>
      </c>
    </row>
    <row r="556" spans="1:6" x14ac:dyDescent="0.2">
      <c r="A556" s="1">
        <v>40732</v>
      </c>
      <c r="B556">
        <v>189</v>
      </c>
      <c r="C556">
        <f>IF(B556&gt;'user input'!$C$6,0,IF('heat units'!H556&gt;1,1,'heat units'!H556))</f>
        <v>0.46944444444444428</v>
      </c>
      <c r="D556">
        <f>IF(B556&gt;'user input'!$C$6,0,(C556/(C556+EXP('user input'!$C$15-'user input'!$C$14*C556))))</f>
        <v>0.92218281469619012</v>
      </c>
      <c r="E556">
        <f>IF(C556&lt;'user input'!$C$12,(D556-D555)*'user input'!$C$17*(1-EXP(5*(F555-'user input'!$C$17))),F556-F555)</f>
        <v>2.7258223793643527E-2</v>
      </c>
      <c r="F556">
        <f>IF(C556&lt;'user input'!$C$12,IF(B556&gt;'user input'!$C$6,0,F555+E556),'user input'!$C$17*((1-C556)/(1-'user input'!$C$12)))</f>
        <v>2.7186292612335397</v>
      </c>
    </row>
    <row r="557" spans="1:6" x14ac:dyDescent="0.2">
      <c r="A557" s="1">
        <v>40733</v>
      </c>
      <c r="B557">
        <v>190</v>
      </c>
      <c r="C557">
        <f>IF(B557&gt;'user input'!$C$6,0,IF('heat units'!H557&gt;1,1,'heat units'!H557))</f>
        <v>0.48009259259259246</v>
      </c>
      <c r="D557">
        <f>IF(B557&gt;'user input'!$C$6,0,(C557/(C557+EXP('user input'!$C$15-'user input'!$C$14*C557))))</f>
        <v>0.93322642228226682</v>
      </c>
      <c r="E557">
        <f>IF(C557&lt;'user input'!$C$12,(D557-D556)*'user input'!$C$17*(1-EXP(5*(F556-'user input'!$C$17))),F557-F556)</f>
        <v>2.5016665413078544E-2</v>
      </c>
      <c r="F557">
        <f>IF(C557&lt;'user input'!$C$12,IF(B557&gt;'user input'!$C$6,0,F556+E557),'user input'!$C$17*((1-C557)/(1-'user input'!$C$12)))</f>
        <v>2.743645926646618</v>
      </c>
    </row>
    <row r="558" spans="1:6" x14ac:dyDescent="0.2">
      <c r="A558" s="1">
        <v>40734</v>
      </c>
      <c r="B558">
        <v>191</v>
      </c>
      <c r="C558">
        <f>IF(B558&gt;'user input'!$C$6,0,IF('heat units'!H558&gt;1,1,'heat units'!H558))</f>
        <v>0.49236111111111097</v>
      </c>
      <c r="D558">
        <f>IF(B558&gt;'user input'!$C$6,0,(C558/(C558+EXP('user input'!$C$15-'user input'!$C$14*C558))))</f>
        <v>0.94410663173155818</v>
      </c>
      <c r="E558">
        <f>IF(C558&lt;'user input'!$C$12,(D558-D557)*'user input'!$C$17*(1-EXP(5*(F557-'user input'!$C$17))),F558-F557)</f>
        <v>2.3581368574511409E-2</v>
      </c>
      <c r="F558">
        <f>IF(C558&lt;'user input'!$C$12,IF(B558&gt;'user input'!$C$6,0,F557+E558),'user input'!$C$17*((1-C558)/(1-'user input'!$C$12)))</f>
        <v>2.7672272952211294</v>
      </c>
    </row>
    <row r="559" spans="1:6" x14ac:dyDescent="0.2">
      <c r="A559" s="1">
        <v>40735</v>
      </c>
      <c r="B559">
        <v>192</v>
      </c>
      <c r="C559">
        <f>IF(B559&gt;'user input'!$C$6,0,IF('heat units'!H559&gt;1,1,'heat units'!H559))</f>
        <v>0.50532407407407387</v>
      </c>
      <c r="D559">
        <f>IF(B559&gt;'user input'!$C$6,0,(C559/(C559+EXP('user input'!$C$15-'user input'!$C$14*C559))))</f>
        <v>0.95374805061152335</v>
      </c>
      <c r="E559">
        <f>IF(C559&lt;'user input'!$C$12,(D559-D558)*'user input'!$C$17*(1-EXP(5*(F558-'user input'!$C$17))),F559-F558)</f>
        <v>1.989186624641379E-2</v>
      </c>
      <c r="F559">
        <f>IF(C559&lt;'user input'!$C$12,IF(B559&gt;'user input'!$C$6,0,F558+E559),'user input'!$C$17*((1-C559)/(1-'user input'!$C$12)))</f>
        <v>2.787119161467543</v>
      </c>
    </row>
    <row r="560" spans="1:6" x14ac:dyDescent="0.2">
      <c r="A560" s="1">
        <v>40736</v>
      </c>
      <c r="B560">
        <v>193</v>
      </c>
      <c r="C560">
        <f>IF(B560&gt;'user input'!$C$6,0,IF('heat units'!H560&gt;1,1,'heat units'!H560))</f>
        <v>0.5166666666666665</v>
      </c>
      <c r="D560">
        <f>IF(B560&gt;'user input'!$C$6,0,(C560/(C560+EXP('user input'!$C$15-'user input'!$C$14*C560))))</f>
        <v>0.96084629967147805</v>
      </c>
      <c r="E560">
        <f>IF(C560&lt;'user input'!$C$12,(D560-D559)*'user input'!$C$17*(1-EXP(5*(F559-'user input'!$C$17))),F560-F559)</f>
        <v>1.3949479605897307E-2</v>
      </c>
      <c r="F560">
        <f>IF(C560&lt;'user input'!$C$12,IF(B560&gt;'user input'!$C$6,0,F559+E560),'user input'!$C$17*((1-C560)/(1-'user input'!$C$12)))</f>
        <v>2.8010686410734404</v>
      </c>
    </row>
    <row r="561" spans="1:6" x14ac:dyDescent="0.2">
      <c r="A561" s="1">
        <v>40737</v>
      </c>
      <c r="B561">
        <v>194</v>
      </c>
      <c r="C561">
        <f>IF(B561&gt;'user input'!$C$6,0,IF('heat units'!H561&gt;1,1,'heat units'!H561))</f>
        <v>0.52569444444444424</v>
      </c>
      <c r="D561">
        <f>IF(B561&gt;'user input'!$C$6,0,(C561/(C561+EXP('user input'!$C$15-'user input'!$C$14*C561))))</f>
        <v>0.96572565076466577</v>
      </c>
      <c r="E561">
        <f>IF(C561&lt;'user input'!$C$12,(D561-D560)*'user input'!$C$17*(1-EXP(5*(F560-'user input'!$C$17))),F561-F560)</f>
        <v>9.2241640425943551E-3</v>
      </c>
      <c r="F561">
        <f>IF(C561&lt;'user input'!$C$12,IF(B561&gt;'user input'!$C$6,0,F560+E561),'user input'!$C$17*((1-C561)/(1-'user input'!$C$12)))</f>
        <v>2.8102928051160347</v>
      </c>
    </row>
    <row r="562" spans="1:6" x14ac:dyDescent="0.2">
      <c r="A562" s="1">
        <v>40738</v>
      </c>
      <c r="B562">
        <v>195</v>
      </c>
      <c r="C562">
        <f>IF(B562&gt;'user input'!$C$6,0,IF('heat units'!H562&gt;1,1,'heat units'!H562))</f>
        <v>0.53217592592592577</v>
      </c>
      <c r="D562">
        <f>IF(B562&gt;'user input'!$C$6,0,(C562/(C562+EXP('user input'!$C$15-'user input'!$C$14*C562))))</f>
        <v>0.96885598948549467</v>
      </c>
      <c r="E562">
        <f>IF(C562&lt;'user input'!$C$12,(D562-D561)*'user input'!$C$17*(1-EXP(5*(F561-'user input'!$C$17))),F562-F561)</f>
        <v>5.7538038847596692E-3</v>
      </c>
      <c r="F562">
        <f>IF(C562&lt;'user input'!$C$12,IF(B562&gt;'user input'!$C$6,0,F561+E562),'user input'!$C$17*((1-C562)/(1-'user input'!$C$12)))</f>
        <v>2.8160466090007943</v>
      </c>
    </row>
    <row r="563" spans="1:6" x14ac:dyDescent="0.2">
      <c r="A563" s="1">
        <v>40739</v>
      </c>
      <c r="B563">
        <v>196</v>
      </c>
      <c r="C563">
        <f>IF(B563&gt;'user input'!$C$6,0,IF('heat units'!H563&gt;1,1,'heat units'!H563))</f>
        <v>0.54097222222222208</v>
      </c>
      <c r="D563">
        <f>IF(B563&gt;'user input'!$C$6,0,(C563/(C563+EXP('user input'!$C$15-'user input'!$C$14*C563))))</f>
        <v>0.97265857501028785</v>
      </c>
      <c r="E563">
        <f>IF(C563&lt;'user input'!$C$12,(D563-D562)*'user input'!$C$17*(1-EXP(5*(F562-'user input'!$C$17))),F563-F562)</f>
        <v>6.8604887688598496E-3</v>
      </c>
      <c r="F563">
        <f>IF(C563&lt;'user input'!$C$12,IF(B563&gt;'user input'!$C$6,0,F562+E563),'user input'!$C$17*((1-C563)/(1-'user input'!$C$12)))</f>
        <v>2.822907097769654</v>
      </c>
    </row>
    <row r="564" spans="1:6" x14ac:dyDescent="0.2">
      <c r="A564" s="1">
        <v>40740</v>
      </c>
      <c r="B564">
        <v>197</v>
      </c>
      <c r="C564">
        <f>IF(B564&gt;'user input'!$C$6,0,IF('heat units'!H564&gt;1,1,'heat units'!H564))</f>
        <v>0.55277777777777759</v>
      </c>
      <c r="D564">
        <f>IF(B564&gt;'user input'!$C$6,0,(C564/(C564+EXP('user input'!$C$15-'user input'!$C$14*C564))))</f>
        <v>0.97705047118714938</v>
      </c>
      <c r="E564">
        <f>IF(C564&lt;'user input'!$C$12,(D564-D563)*'user input'!$C$17*(1-EXP(5*(F563-'user input'!$C$17))),F564-F563)</f>
        <v>7.7404204604097134E-3</v>
      </c>
      <c r="F564">
        <f>IF(C564&lt;'user input'!$C$12,IF(B564&gt;'user input'!$C$6,0,F563+E564),'user input'!$C$17*((1-C564)/(1-'user input'!$C$12)))</f>
        <v>2.8306475182300637</v>
      </c>
    </row>
    <row r="565" spans="1:6" x14ac:dyDescent="0.2">
      <c r="A565" s="1">
        <v>40741</v>
      </c>
      <c r="B565">
        <v>198</v>
      </c>
      <c r="C565">
        <f>IF(B565&gt;'user input'!$C$6,0,IF('heat units'!H565&gt;1,1,'heat units'!H565))</f>
        <v>0.5655092592592591</v>
      </c>
      <c r="D565">
        <f>IF(B565&gt;'user input'!$C$6,0,(C565/(C565+EXP('user input'!$C$15-'user input'!$C$14*C565))))</f>
        <v>0.98100548923908504</v>
      </c>
      <c r="E565">
        <f>IF(C565&lt;'user input'!$C$12,(D565-D564)*'user input'!$C$17*(1-EXP(5*(F564-'user input'!$C$17))),F565-F564)</f>
        <v>6.7773074335900465E-3</v>
      </c>
      <c r="F565">
        <f>IF(C565&lt;'user input'!$C$12,IF(B565&gt;'user input'!$C$6,0,F564+E565),'user input'!$C$17*((1-C565)/(1-'user input'!$C$12)))</f>
        <v>2.8374248256636538</v>
      </c>
    </row>
    <row r="566" spans="1:6" x14ac:dyDescent="0.2">
      <c r="A566" s="1">
        <v>40742</v>
      </c>
      <c r="B566">
        <v>199</v>
      </c>
      <c r="C566">
        <f>IF(B566&gt;'user input'!$C$6,0,IF('heat units'!H566&gt;1,1,'heat units'!H566))</f>
        <v>0.57916666666666661</v>
      </c>
      <c r="D566">
        <f>IF(B566&gt;'user input'!$C$6,0,(C566/(C566+EXP('user input'!$C$15-'user input'!$C$14*C566))))</f>
        <v>0.98449707325980362</v>
      </c>
      <c r="E566">
        <f>IF(C566&lt;'user input'!$C$12,(D566-D565)*'user input'!$C$17*(1-EXP(5*(F565-'user input'!$C$17))),F566-F565)</f>
        <v>5.8283557878509541E-3</v>
      </c>
      <c r="F566">
        <f>IF(C566&lt;'user input'!$C$12,IF(B566&gt;'user input'!$C$6,0,F565+E566),'user input'!$C$17*((1-C566)/(1-'user input'!$C$12)))</f>
        <v>2.8432531814515047</v>
      </c>
    </row>
    <row r="567" spans="1:6" x14ac:dyDescent="0.2">
      <c r="A567" s="1">
        <v>40743</v>
      </c>
      <c r="B567">
        <v>200</v>
      </c>
      <c r="C567">
        <f>IF(B567&gt;'user input'!$C$6,0,IF('heat units'!H567&gt;1,1,'heat units'!H567))</f>
        <v>0.59259259259259245</v>
      </c>
      <c r="D567">
        <f>IF(B567&gt;'user input'!$C$6,0,(C567/(C567+EXP('user input'!$C$15-'user input'!$C$14*C567))))</f>
        <v>0.98730450014190163</v>
      </c>
      <c r="E567">
        <f>IF(C567&lt;'user input'!$C$12,(D567-D566)*'user input'!$C$17*(1-EXP(5*(F566-'user input'!$C$17))),F567-F566)</f>
        <v>4.5758463611704232E-3</v>
      </c>
      <c r="F567">
        <f>IF(C567&lt;'user input'!$C$12,IF(B567&gt;'user input'!$C$6,0,F566+E567),'user input'!$C$17*((1-C567)/(1-'user input'!$C$12)))</f>
        <v>2.8478290278126752</v>
      </c>
    </row>
    <row r="568" spans="1:6" x14ac:dyDescent="0.2">
      <c r="A568" s="1">
        <v>40744</v>
      </c>
      <c r="B568">
        <v>201</v>
      </c>
      <c r="C568">
        <f>IF(B568&gt;'user input'!$C$6,0,IF('heat units'!H568&gt;1,1,'heat units'!H568))</f>
        <v>0.60578703703703696</v>
      </c>
      <c r="D568">
        <f>IF(B568&gt;'user input'!$C$6,0,(C568/(C568+EXP('user input'!$C$15-'user input'!$C$14*C568))))</f>
        <v>0.98956774488836996</v>
      </c>
      <c r="E568">
        <f>IF(C568&lt;'user input'!$C$12,(D568-D567)*'user input'!$C$17*(1-EXP(5*(F567-'user input'!$C$17))),F568-F567)</f>
        <v>3.6171167936214126E-3</v>
      </c>
      <c r="F568">
        <f>IF(C568&lt;'user input'!$C$12,IF(B568&gt;'user input'!$C$6,0,F567+E568),'user input'!$C$17*((1-C568)/(1-'user input'!$C$12)))</f>
        <v>2.8514461446062964</v>
      </c>
    </row>
    <row r="569" spans="1:6" x14ac:dyDescent="0.2">
      <c r="A569" s="1">
        <v>40745</v>
      </c>
      <c r="B569">
        <v>202</v>
      </c>
      <c r="C569">
        <f>IF(B569&gt;'user input'!$C$6,0,IF('heat units'!H569&gt;1,1,'heat units'!H569))</f>
        <v>0.61990740740740735</v>
      </c>
      <c r="D569">
        <f>IF(B569&gt;'user input'!$C$6,0,(C569/(C569+EXP('user input'!$C$15-'user input'!$C$14*C569))))</f>
        <v>0.99154423251473167</v>
      </c>
      <c r="E569">
        <f>IF(C569&lt;'user input'!$C$12,(D569-D568)*'user input'!$C$17*(1-EXP(5*(F568-'user input'!$C$17))),F569-F568)</f>
        <v>3.1082571556992687E-3</v>
      </c>
      <c r="F569">
        <f>IF(C569&lt;'user input'!$C$12,IF(B569&gt;'user input'!$C$6,0,F568+E569),'user input'!$C$17*((1-C569)/(1-'user input'!$C$12)))</f>
        <v>2.8545544017619955</v>
      </c>
    </row>
    <row r="570" spans="1:6" x14ac:dyDescent="0.2">
      <c r="A570" s="1">
        <v>40746</v>
      </c>
      <c r="B570">
        <v>203</v>
      </c>
      <c r="C570">
        <f>IF(B570&gt;'user input'!$C$6,0,IF('heat units'!H570&gt;1,1,'heat units'!H570))</f>
        <v>0.63194444444444442</v>
      </c>
      <c r="D570">
        <f>IF(B570&gt;'user input'!$C$6,0,(C570/(C570+EXP('user input'!$C$15-'user input'!$C$14*C570))))</f>
        <v>0.99292977225272083</v>
      </c>
      <c r="E570">
        <f>IF(C570&lt;'user input'!$C$12,(D570-D569)*'user input'!$C$17*(1-EXP(5*(F569-'user input'!$C$17))),F570-F569)</f>
        <v>2.147946698693053E-3</v>
      </c>
      <c r="F570">
        <f>IF(C570&lt;'user input'!$C$12,IF(B570&gt;'user input'!$C$6,0,F569+E570),'user input'!$C$17*((1-C570)/(1-'user input'!$C$12)))</f>
        <v>2.8567023484606886</v>
      </c>
    </row>
    <row r="571" spans="1:6" x14ac:dyDescent="0.2">
      <c r="A571" s="1">
        <v>40747</v>
      </c>
      <c r="B571">
        <v>204</v>
      </c>
      <c r="C571">
        <f>IF(B571&gt;'user input'!$C$6,0,IF('heat units'!H571&gt;1,1,'heat units'!H571))</f>
        <v>0.64444444444444438</v>
      </c>
      <c r="D571">
        <f>IF(B571&gt;'user input'!$C$6,0,(C571/(C571+EXP('user input'!$C$15-'user input'!$C$14*C571))))</f>
        <v>0.99412801016284502</v>
      </c>
      <c r="E571">
        <f>IF(C571&lt;'user input'!$C$12,(D571-D570)*'user input'!$C$17*(1-EXP(5*(F570-'user input'!$C$17))),F571-F570)</f>
        <v>1.838823292302642E-3</v>
      </c>
      <c r="F571">
        <f>IF(C571&lt;'user input'!$C$12,IF(B571&gt;'user input'!$C$6,0,F570+E571),'user input'!$C$17*((1-C571)/(1-'user input'!$C$12)))</f>
        <v>2.8585411717529912</v>
      </c>
    </row>
    <row r="572" spans="1:6" x14ac:dyDescent="0.2">
      <c r="A572" s="1">
        <v>40748</v>
      </c>
      <c r="B572">
        <v>205</v>
      </c>
      <c r="C572">
        <f>IF(B572&gt;'user input'!$C$6,0,IF('heat units'!H572&gt;1,1,'heat units'!H572))</f>
        <v>0.65717592592592589</v>
      </c>
      <c r="D572">
        <f>IF(B572&gt;'user input'!$C$6,0,(C572/(C572+EXP('user input'!$C$15-'user input'!$C$14*C572))))</f>
        <v>0.9951390669066229</v>
      </c>
      <c r="E572">
        <f>IF(C572&lt;'user input'!$C$12,(D572-D571)*'user input'!$C$17*(1-EXP(5*(F571-'user input'!$C$17))),F572-F571)</f>
        <v>1.5378891367760165E-3</v>
      </c>
      <c r="F572">
        <f>IF(C572&lt;'user input'!$C$12,IF(B572&gt;'user input'!$C$6,0,F571+E572),'user input'!$C$17*((1-C572)/(1-'user input'!$C$12)))</f>
        <v>2.8600790608897673</v>
      </c>
    </row>
    <row r="573" spans="1:6" x14ac:dyDescent="0.2">
      <c r="A573" s="1">
        <v>40749</v>
      </c>
      <c r="B573">
        <v>206</v>
      </c>
      <c r="C573">
        <f>IF(B573&gt;'user input'!$C$6,0,IF('heat units'!H573&gt;1,1,'heat units'!H573))</f>
        <v>0.66736111111111107</v>
      </c>
      <c r="D573">
        <f>IF(B573&gt;'user input'!$C$6,0,(C573/(C573+EXP('user input'!$C$15-'user input'!$C$14*C573))))</f>
        <v>0.99582045605184544</v>
      </c>
      <c r="E573">
        <f>IF(C573&lt;'user input'!$C$12,(D573-D572)*'user input'!$C$17*(1-EXP(5*(F572-'user input'!$C$17))),F573-F572)</f>
        <v>1.0286625743703998E-3</v>
      </c>
      <c r="F573">
        <f>IF(C573&lt;'user input'!$C$12,IF(B573&gt;'user input'!$C$6,0,F572+E573),'user input'!$C$17*((1-C573)/(1-'user input'!$C$12)))</f>
        <v>2.8611077234641376</v>
      </c>
    </row>
    <row r="574" spans="1:6" x14ac:dyDescent="0.2">
      <c r="A574" s="1">
        <v>40750</v>
      </c>
      <c r="B574">
        <v>207</v>
      </c>
      <c r="C574">
        <f>IF(B574&gt;'user input'!$C$6,0,IF('heat units'!H574&gt;1,1,'heat units'!H574))</f>
        <v>0.67893518518518514</v>
      </c>
      <c r="D574">
        <f>IF(B574&gt;'user input'!$C$6,0,(C574/(C574+EXP('user input'!$C$15-'user input'!$C$14*C574))))</f>
        <v>0.99647900104250942</v>
      </c>
      <c r="E574">
        <f>IF(C574&lt;'user input'!$C$12,(D574-D573)*'user input'!$C$17*(1-EXP(5*(F573-'user input'!$C$17))),F574-F573)</f>
        <v>9.8911482515994941E-4</v>
      </c>
      <c r="F574">
        <f>IF(C574&lt;'user input'!$C$12,IF(B574&gt;'user input'!$C$6,0,F573+E574),'user input'!$C$17*((1-C574)/(1-'user input'!$C$12)))</f>
        <v>2.8620968382892973</v>
      </c>
    </row>
    <row r="575" spans="1:6" x14ac:dyDescent="0.2">
      <c r="A575" s="1">
        <v>40751</v>
      </c>
      <c r="B575">
        <v>208</v>
      </c>
      <c r="C575">
        <f>IF(B575&gt;'user input'!$C$6,0,IF('heat units'!H575&gt;1,1,'heat units'!H575))</f>
        <v>0.69004629629629632</v>
      </c>
      <c r="D575">
        <f>IF(B575&gt;'user input'!$C$6,0,(C575/(C575+EXP('user input'!$C$15-'user input'!$C$14*C575))))</f>
        <v>0.99701284878522312</v>
      </c>
      <c r="E575">
        <f>IF(C575&lt;'user input'!$C$12,(D575-D574)*'user input'!$C$17*(1-EXP(5*(F574-'user input'!$C$17))),F575-F574)</f>
        <v>7.9785842821820658E-4</v>
      </c>
      <c r="F575">
        <f>IF(C575&lt;'user input'!$C$12,IF(B575&gt;'user input'!$C$6,0,F574+E575),'user input'!$C$17*((1-C575)/(1-'user input'!$C$12)))</f>
        <v>2.8628946967175155</v>
      </c>
    </row>
    <row r="576" spans="1:6" x14ac:dyDescent="0.2">
      <c r="A576" s="1">
        <v>40752</v>
      </c>
      <c r="B576">
        <v>209</v>
      </c>
      <c r="C576">
        <f>IF(B576&gt;'user input'!$C$6,0,IF('heat units'!H576&gt;1,1,'heat units'!H576))</f>
        <v>0.69930555555555551</v>
      </c>
      <c r="D576">
        <f>IF(B576&gt;'user input'!$C$6,0,(C576/(C576+EXP('user input'!$C$15-'user input'!$C$14*C576))))</f>
        <v>0.99739499394021247</v>
      </c>
      <c r="E576">
        <f>IF(C576&lt;'user input'!$C$12,(D576-D575)*'user input'!$C$17*(1-EXP(5*(F575-'user input'!$C$17))),F576-F575)</f>
        <v>5.6883274562661548E-4</v>
      </c>
      <c r="F576">
        <f>IF(C576&lt;'user input'!$C$12,IF(B576&gt;'user input'!$C$6,0,F575+E576),'user input'!$C$17*((1-C576)/(1-'user input'!$C$12)))</f>
        <v>2.8634635294631421</v>
      </c>
    </row>
    <row r="577" spans="1:6" x14ac:dyDescent="0.2">
      <c r="A577" s="1">
        <v>40753</v>
      </c>
      <c r="B577">
        <v>210</v>
      </c>
      <c r="C577">
        <f>IF(B577&gt;'user input'!$C$6,0,IF('heat units'!H577&gt;1,1,'heat units'!H577))</f>
        <v>0.70972222222222214</v>
      </c>
      <c r="D577">
        <f>IF(B577&gt;'user input'!$C$6,0,(C577/(C577+EXP('user input'!$C$15-'user input'!$C$14*C577))))</f>
        <v>0.99776645550162046</v>
      </c>
      <c r="E577">
        <f>IF(C577&lt;'user input'!$C$12,(D577-D576)*'user input'!$C$17*(1-EXP(5*(F576-'user input'!$C$17))),F577-F576)</f>
        <v>5.5133080365524223E-4</v>
      </c>
      <c r="F577">
        <f>IF(C577&lt;'user input'!$C$12,IF(B577&gt;'user input'!$C$6,0,F576+E577),'user input'!$C$17*((1-C577)/(1-'user input'!$C$12)))</f>
        <v>2.8640148602667974</v>
      </c>
    </row>
    <row r="578" spans="1:6" x14ac:dyDescent="0.2">
      <c r="A578" s="1">
        <v>40754</v>
      </c>
      <c r="B578">
        <v>211</v>
      </c>
      <c r="C578">
        <f>IF(B578&gt;'user input'!$C$6,0,IF('heat units'!H578&gt;1,1,'heat units'!H578))</f>
        <v>0.72106481481481477</v>
      </c>
      <c r="D578">
        <f>IF(B578&gt;'user input'!$C$6,0,(C578/(C578+EXP('user input'!$C$15-'user input'!$C$14*C578))))</f>
        <v>0.99811061071139007</v>
      </c>
      <c r="E578">
        <f>IF(C578&lt;'user input'!$C$12,(D578-D577)*'user input'!$C$17*(1-EXP(5*(F577-'user input'!$C$17))),F578-F577)</f>
        <v>5.0936213162375331E-4</v>
      </c>
      <c r="F578">
        <f>IF(C578&lt;'user input'!$C$12,IF(B578&gt;'user input'!$C$6,0,F577+E578),'user input'!$C$17*((1-C578)/(1-'user input'!$C$12)))</f>
        <v>2.8645242223984213</v>
      </c>
    </row>
    <row r="579" spans="1:6" x14ac:dyDescent="0.2">
      <c r="A579" s="1">
        <v>40755</v>
      </c>
      <c r="B579">
        <v>212</v>
      </c>
      <c r="C579">
        <f>IF(B579&gt;'user input'!$C$6,0,IF('heat units'!H579&gt;1,1,'heat units'!H579))</f>
        <v>0.73263888888888884</v>
      </c>
      <c r="D579">
        <f>IF(B579&gt;'user input'!$C$6,0,(C579/(C579+EXP('user input'!$C$15-'user input'!$C$14*C579))))</f>
        <v>0.99840686717674698</v>
      </c>
      <c r="E579">
        <f>IF(C579&lt;'user input'!$C$12,(D579-D578)*'user input'!$C$17*(1-EXP(5*(F578-'user input'!$C$17))),F579-F578)</f>
        <v>4.3732197289145203E-4</v>
      </c>
      <c r="F579">
        <f>IF(C579&lt;'user input'!$C$12,IF(B579&gt;'user input'!$C$6,0,F578+E579),'user input'!$C$17*((1-C579)/(1-'user input'!$C$12)))</f>
        <v>2.8649615443713126</v>
      </c>
    </row>
    <row r="580" spans="1:6" x14ac:dyDescent="0.2">
      <c r="A580" s="1">
        <v>40756</v>
      </c>
      <c r="B580">
        <v>213</v>
      </c>
      <c r="C580">
        <f>IF(B580&gt;'user input'!$C$6,0,IF('heat units'!H580&gt;1,1,'heat units'!H580))</f>
        <v>0.74490740740740735</v>
      </c>
      <c r="D580">
        <f>IF(B580&gt;'user input'!$C$6,0,(C580/(C580+EXP('user input'!$C$15-'user input'!$C$14*C580))))</f>
        <v>0.99867005255631591</v>
      </c>
      <c r="E580">
        <f>IF(C580&lt;'user input'!$C$12,(D580-D579)*'user input'!$C$17*(1-EXP(5*(F579-'user input'!$C$17))),F580-F579)</f>
        <v>3.8762585109395329E-4</v>
      </c>
      <c r="F580">
        <f>IF(C580&lt;'user input'!$C$12,IF(B580&gt;'user input'!$C$6,0,F579+E580),'user input'!$C$17*((1-C580)/(1-'user input'!$C$12)))</f>
        <v>2.8653491702224065</v>
      </c>
    </row>
    <row r="581" spans="1:6" x14ac:dyDescent="0.2">
      <c r="A581" s="1">
        <v>40757</v>
      </c>
      <c r="B581">
        <v>214</v>
      </c>
      <c r="C581">
        <f>IF(B581&gt;'user input'!$C$6,0,IF('heat units'!H581&gt;1,1,'heat units'!H581))</f>
        <v>0.75810185185185186</v>
      </c>
      <c r="D581">
        <f>IF(B581&gt;'user input'!$C$6,0,(C581/(C581+EXP('user input'!$C$15-'user input'!$C$14*C581))))</f>
        <v>0.99890450878826875</v>
      </c>
      <c r="E581">
        <f>IF(C581&lt;'user input'!$C$12,(D581-D580)*'user input'!$C$17*(1-EXP(5*(F580-'user input'!$C$17))),F581-F580)</f>
        <v>3.4461822982470624E-4</v>
      </c>
      <c r="F581">
        <f>IF(C581&lt;'user input'!$C$12,IF(B581&gt;'user input'!$C$6,0,F580+E581),'user input'!$C$17*((1-C581)/(1-'user input'!$C$12)))</f>
        <v>2.8656937884522313</v>
      </c>
    </row>
    <row r="582" spans="1:6" x14ac:dyDescent="0.2">
      <c r="A582" s="1">
        <v>40758</v>
      </c>
      <c r="B582">
        <v>215</v>
      </c>
      <c r="C582">
        <f>IF(B582&gt;'user input'!$C$6,0,IF('heat units'!H582&gt;1,1,'heat units'!H582))</f>
        <v>0.77083333333333337</v>
      </c>
      <c r="D582">
        <f>IF(B582&gt;'user input'!$C$6,0,(C582/(C582+EXP('user input'!$C$15-'user input'!$C$14*C582))))</f>
        <v>0.99909124629731849</v>
      </c>
      <c r="E582">
        <f>IF(C582&lt;'user input'!$C$12,(D582-D581)*'user input'!$C$17*(1-EXP(5*(F581-'user input'!$C$17))),F582-F581)</f>
        <v>2.7398553732036049E-4</v>
      </c>
      <c r="F582">
        <f>IF(C582&lt;'user input'!$C$12,IF(B582&gt;'user input'!$C$6,0,F581+E582),'user input'!$C$17*((1-C582)/(1-'user input'!$C$12)))</f>
        <v>2.8659677739895515</v>
      </c>
    </row>
    <row r="583" spans="1:6" x14ac:dyDescent="0.2">
      <c r="A583" s="1">
        <v>40759</v>
      </c>
      <c r="B583">
        <v>216</v>
      </c>
      <c r="C583">
        <f>IF(B583&gt;'user input'!$C$6,0,IF('heat units'!H583&gt;1,1,'heat units'!H583))</f>
        <v>0.78148148148148155</v>
      </c>
      <c r="D583">
        <f>IF(B583&gt;'user input'!$C$6,0,(C583/(C583+EXP('user input'!$C$15-'user input'!$C$14*C583))))</f>
        <v>0.99922259915062139</v>
      </c>
      <c r="E583">
        <f>IF(C583&lt;'user input'!$C$12,(D583-D582)*'user input'!$C$17*(1-EXP(5*(F582-'user input'!$C$17))),F583-F582)</f>
        <v>1.9244790280625892E-4</v>
      </c>
      <c r="F583">
        <f>IF(C583&lt;'user input'!$C$12,IF(B583&gt;'user input'!$C$6,0,F582+E583),'user input'!$C$17*((1-C583)/(1-'user input'!$C$12)))</f>
        <v>2.8661602218923576</v>
      </c>
    </row>
    <row r="584" spans="1:6" x14ac:dyDescent="0.2">
      <c r="A584" s="1">
        <v>40760</v>
      </c>
      <c r="B584">
        <v>217</v>
      </c>
      <c r="C584">
        <f>IF(B584&gt;'user input'!$C$6,0,IF('heat units'!H584&gt;1,1,'heat units'!H584))</f>
        <v>0.79236111111111118</v>
      </c>
      <c r="D584">
        <f>IF(B584&gt;'user input'!$C$6,0,(C584/(C584+EXP('user input'!$C$15-'user input'!$C$14*C584))))</f>
        <v>0.9993371052355311</v>
      </c>
      <c r="E584">
        <f>IF(C584&lt;'user input'!$C$12,(D584-D583)*'user input'!$C$17*(1-EXP(5*(F583-'user input'!$C$17))),F584-F583)</f>
        <v>1.675961407241529E-4</v>
      </c>
      <c r="F584">
        <f>IF(C584&lt;'user input'!$C$12,IF(B584&gt;'user input'!$C$6,0,F583+E584),'user input'!$C$17*((1-C584)/(1-'user input'!$C$12)))</f>
        <v>2.8663278180330818</v>
      </c>
    </row>
    <row r="585" spans="1:6" x14ac:dyDescent="0.2">
      <c r="A585" s="1">
        <v>40761</v>
      </c>
      <c r="B585">
        <v>218</v>
      </c>
      <c r="C585">
        <f>IF(B585&gt;'user input'!$C$6,0,IF('heat units'!H585&gt;1,1,'heat units'!H585))</f>
        <v>0.8041666666666667</v>
      </c>
      <c r="D585">
        <f>IF(B585&gt;'user input'!$C$6,0,(C585/(C585+EXP('user input'!$C$15-'user input'!$C$14*C585))))</f>
        <v>0.99944225071117554</v>
      </c>
      <c r="E585">
        <f>IF(C585&lt;'user input'!$C$12,(D585-D584)*'user input'!$C$17*(1-EXP(5*(F584-'user input'!$C$17))),F585-F584)</f>
        <v>1.5376011653737076E-4</v>
      </c>
      <c r="F585">
        <f>IF(C585&lt;'user input'!$C$12,IF(B585&gt;'user input'!$C$6,0,F584+E585),'user input'!$C$17*((1-C585)/(1-'user input'!$C$12)))</f>
        <v>2.8664815781496191</v>
      </c>
    </row>
    <row r="586" spans="1:6" x14ac:dyDescent="0.2">
      <c r="A586" s="1">
        <v>40762</v>
      </c>
      <c r="B586">
        <v>219</v>
      </c>
      <c r="C586">
        <f>IF(B586&gt;'user input'!$C$6,0,IF('heat units'!H586&gt;1,1,'heat units'!H586))</f>
        <v>0.81666666666666665</v>
      </c>
      <c r="D586">
        <f>IF(B586&gt;'user input'!$C$6,0,(C586/(C586+EXP('user input'!$C$15-'user input'!$C$14*C586))))</f>
        <v>0.99953536125793463</v>
      </c>
      <c r="E586">
        <f>IF(C586&lt;'user input'!$C$12,(D586-D585)*'user input'!$C$17*(1-EXP(5*(F585-'user input'!$C$17))),F586-F585)</f>
        <v>1.360506539728469E-4</v>
      </c>
      <c r="F586">
        <f>IF(C586&lt;'user input'!$C$12,IF(B586&gt;'user input'!$C$6,0,F585+E586),'user input'!$C$17*((1-C586)/(1-'user input'!$C$12)))</f>
        <v>2.8666176288035921</v>
      </c>
    </row>
    <row r="587" spans="1:6" x14ac:dyDescent="0.2">
      <c r="A587" s="1">
        <v>40763</v>
      </c>
      <c r="B587">
        <v>220</v>
      </c>
      <c r="C587">
        <f>IF(B587&gt;'user input'!$C$6,0,IF('heat units'!H587&gt;1,1,'heat units'!H587))</f>
        <v>0.82777777777777783</v>
      </c>
      <c r="D587">
        <f>IF(B587&gt;'user input'!$C$6,0,(C587/(C587+EXP('user input'!$C$15-'user input'!$C$14*C587))))</f>
        <v>0.99960491974307686</v>
      </c>
      <c r="E587">
        <f>IF(C587&lt;'user input'!$C$12,(D587-D586)*'user input'!$C$17*(1-EXP(5*(F586-'user input'!$C$17))),F587-F586)</f>
        <v>1.015641700513442E-4</v>
      </c>
      <c r="F587">
        <f>IF(C587&lt;'user input'!$C$12,IF(B587&gt;'user input'!$C$6,0,F586+E587),'user input'!$C$17*((1-C587)/(1-'user input'!$C$12)))</f>
        <v>2.8667191929736435</v>
      </c>
    </row>
    <row r="588" spans="1:6" x14ac:dyDescent="0.2">
      <c r="A588" s="1">
        <v>40764</v>
      </c>
      <c r="B588">
        <v>221</v>
      </c>
      <c r="C588">
        <f>IF(B588&gt;'user input'!$C$6,0,IF('heat units'!H588&gt;1,1,'heat units'!H588))</f>
        <v>0.83726851851851858</v>
      </c>
      <c r="D588">
        <f>IF(B588&gt;'user input'!$C$6,0,(C588/(C588+EXP('user input'!$C$15-'user input'!$C$14*C588))))</f>
        <v>0.99965597919438554</v>
      </c>
      <c r="E588">
        <f>IF(C588&lt;'user input'!$C$12,(D588-D587)*'user input'!$C$17*(1-EXP(5*(F587-'user input'!$C$17))),F588-F587)</f>
        <v>7.4513307546037014E-5</v>
      </c>
      <c r="F588">
        <f>IF(C588&lt;'user input'!$C$12,IF(B588&gt;'user input'!$C$6,0,F587+E588),'user input'!$C$17*((1-C588)/(1-'user input'!$C$12)))</f>
        <v>2.8667937062811895</v>
      </c>
    </row>
    <row r="589" spans="1:6" x14ac:dyDescent="0.2">
      <c r="A589" s="1">
        <v>40765</v>
      </c>
      <c r="B589">
        <v>222</v>
      </c>
      <c r="C589">
        <f>IF(B589&gt;'user input'!$C$6,0,IF('heat units'!H589&gt;1,1,'heat units'!H589))</f>
        <v>0.844675925925926</v>
      </c>
      <c r="D589">
        <f>IF(B589&gt;'user input'!$C$6,0,(C589/(C589+EXP('user input'!$C$15-'user input'!$C$14*C589))))</f>
        <v>0.99969117409401864</v>
      </c>
      <c r="E589">
        <f>IF(C589&lt;'user input'!$C$12,(D589-D588)*'user input'!$C$17*(1-EXP(5*(F588-'user input'!$C$17))),F589-F588)</f>
        <v>5.1341262590973808E-5</v>
      </c>
      <c r="F589">
        <f>IF(C589&lt;'user input'!$C$12,IF(B589&gt;'user input'!$C$6,0,F588+E589),'user input'!$C$17*((1-C589)/(1-'user input'!$C$12)))</f>
        <v>2.8668450475437806</v>
      </c>
    </row>
    <row r="590" spans="1:6" x14ac:dyDescent="0.2">
      <c r="A590" s="1">
        <v>40766</v>
      </c>
      <c r="B590">
        <v>223</v>
      </c>
      <c r="C590">
        <f>IF(B590&gt;'user input'!$C$6,0,IF('heat units'!H590&gt;1,1,'heat units'!H590))</f>
        <v>0.85138888888888897</v>
      </c>
      <c r="D590">
        <f>IF(B590&gt;'user input'!$C$6,0,(C590/(C590+EXP('user input'!$C$15-'user input'!$C$14*C590))))</f>
        <v>0.99971993141516191</v>
      </c>
      <c r="E590">
        <f>IF(C590&lt;'user input'!$C$12,(D590-D589)*'user input'!$C$17*(1-EXP(5*(F589-'user input'!$C$17))),F590-F589)</f>
        <v>4.193893732005184E-5</v>
      </c>
      <c r="F590">
        <f>IF(C590&lt;'user input'!$C$12,IF(B590&gt;'user input'!$C$6,0,F589+E590),'user input'!$C$17*((1-C590)/(1-'user input'!$C$12)))</f>
        <v>2.8668869864811004</v>
      </c>
    </row>
    <row r="591" spans="1:6" x14ac:dyDescent="0.2">
      <c r="A591" s="1">
        <v>40767</v>
      </c>
      <c r="B591">
        <v>224</v>
      </c>
      <c r="C591">
        <f>IF(B591&gt;'user input'!$C$6,0,IF('heat units'!H591&gt;1,1,'heat units'!H591))</f>
        <v>0.85972222222222228</v>
      </c>
      <c r="D591">
        <f>IF(B591&gt;'user input'!$C$6,0,(C591/(C591+EXP('user input'!$C$15-'user input'!$C$14*C591))))</f>
        <v>0.99975191267250663</v>
      </c>
      <c r="E591">
        <f>IF(C591&lt;'user input'!$C$12,(D591-D590)*'user input'!$C$17*(1-EXP(5*(F590-'user input'!$C$17))),F591-F590)</f>
        <v>4.6630303246261786E-5</v>
      </c>
      <c r="F591">
        <f>IF(C591&lt;'user input'!$C$12,IF(B591&gt;'user input'!$C$6,0,F590+E591),'user input'!$C$17*((1-C591)/(1-'user input'!$C$12)))</f>
        <v>2.8669336167843467</v>
      </c>
    </row>
    <row r="592" spans="1:6" x14ac:dyDescent="0.2">
      <c r="A592" s="1">
        <v>40768</v>
      </c>
      <c r="B592">
        <v>225</v>
      </c>
      <c r="C592">
        <f>IF(B592&gt;'user input'!$C$6,0,IF('heat units'!H592&gt;1,1,'heat units'!H592))</f>
        <v>0.86828703703703713</v>
      </c>
      <c r="D592">
        <f>IF(B592&gt;'user input'!$C$6,0,(C592/(C592+EXP('user input'!$C$15-'user input'!$C$14*C592))))</f>
        <v>0.99978096029508678</v>
      </c>
      <c r="E592">
        <f>IF(C592&lt;'user input'!$C$12,(D592-D591)*'user input'!$C$17*(1-EXP(5*(F591-'user input'!$C$17))),F592-F591)</f>
        <v>4.2342470173438237E-5</v>
      </c>
      <c r="F592">
        <f>IF(C592&lt;'user input'!$C$12,IF(B592&gt;'user input'!$C$6,0,F591+E592),'user input'!$C$17*((1-C592)/(1-'user input'!$C$12)))</f>
        <v>2.8669759592545203</v>
      </c>
    </row>
    <row r="593" spans="1:6" x14ac:dyDescent="0.2">
      <c r="A593" s="1">
        <v>40769</v>
      </c>
      <c r="B593">
        <v>226</v>
      </c>
      <c r="C593">
        <f>IF(B593&gt;'user input'!$C$6,0,IF('heat units'!H593&gt;1,1,'heat units'!H593))</f>
        <v>0.87569444444444455</v>
      </c>
      <c r="D593">
        <f>IF(B593&gt;'user input'!$C$6,0,(C593/(C593+EXP('user input'!$C$15-'user input'!$C$14*C593))))</f>
        <v>0.99980330996517996</v>
      </c>
      <c r="E593">
        <f>IF(C593&lt;'user input'!$C$12,(D593-D592)*'user input'!$C$17*(1-EXP(5*(F592-'user input'!$C$17))),F593-F592)</f>
        <v>3.2571623793300424E-5</v>
      </c>
      <c r="F593">
        <f>IF(C593&lt;'user input'!$C$12,IF(B593&gt;'user input'!$C$6,0,F592+E593),'user input'!$C$17*((1-C593)/(1-'user input'!$C$12)))</f>
        <v>2.8670085308783135</v>
      </c>
    </row>
    <row r="594" spans="1:6" x14ac:dyDescent="0.2">
      <c r="A594" s="1">
        <v>40770</v>
      </c>
      <c r="B594">
        <v>227</v>
      </c>
      <c r="C594">
        <f>IF(B594&gt;'user input'!$C$6,0,IF('heat units'!H594&gt;1,1,'heat units'!H594))</f>
        <v>0.88310185185185197</v>
      </c>
      <c r="D594">
        <f>IF(B594&gt;'user input'!$C$6,0,(C594/(C594+EXP('user input'!$C$15-'user input'!$C$14*C594))))</f>
        <v>0.99982336695788498</v>
      </c>
      <c r="E594">
        <f>IF(C594&lt;'user input'!$C$12,(D594-D593)*'user input'!$C$17*(1-EXP(5*(F593-'user input'!$C$17))),F594-F593)</f>
        <v>2.9225316994073327E-5</v>
      </c>
      <c r="F594">
        <f>IF(C594&lt;'user input'!$C$12,IF(B594&gt;'user input'!$C$6,0,F593+E594),'user input'!$C$17*((1-C594)/(1-'user input'!$C$12)))</f>
        <v>2.8670377561953075</v>
      </c>
    </row>
    <row r="595" spans="1:6" x14ac:dyDescent="0.2">
      <c r="A595" s="1">
        <v>40771</v>
      </c>
      <c r="B595">
        <v>228</v>
      </c>
      <c r="C595">
        <f>IF(B595&gt;'user input'!$C$6,0,IF('heat units'!H595&gt;1,1,'heat units'!H595))</f>
        <v>0.89166666666666683</v>
      </c>
      <c r="D595">
        <f>IF(B595&gt;'user input'!$C$6,0,(C595/(C595+EXP('user input'!$C$15-'user input'!$C$14*C595))))</f>
        <v>0.99984400883903335</v>
      </c>
      <c r="E595">
        <f>IF(C595&lt;'user input'!$C$12,(D595-D594)*'user input'!$C$17*(1-EXP(5*(F594-'user input'!$C$17))),F595-F594)</f>
        <v>3.0072911712832454E-5</v>
      </c>
      <c r="F595">
        <f>IF(C595&lt;'user input'!$C$12,IF(B595&gt;'user input'!$C$6,0,F594+E595),'user input'!$C$17*((1-C595)/(1-'user input'!$C$12)))</f>
        <v>2.8670678291070204</v>
      </c>
    </row>
    <row r="596" spans="1:6" x14ac:dyDescent="0.2">
      <c r="A596" s="1">
        <v>40772</v>
      </c>
      <c r="B596">
        <v>229</v>
      </c>
      <c r="C596">
        <f>IF(B596&gt;'user input'!$C$6,0,IF('heat units'!H596&gt;1,1,'heat units'!H596))</f>
        <v>0.90115740740740757</v>
      </c>
      <c r="D596">
        <f>IF(B596&gt;'user input'!$C$6,0,(C596/(C596+EXP('user input'!$C$15-'user input'!$C$14*C596))))</f>
        <v>0.99986406265851491</v>
      </c>
      <c r="E596">
        <f>IF(C596&lt;'user input'!$C$12,(D596-D595)*'user input'!$C$17*(1-EXP(5*(F595-'user input'!$C$17))),F596-F595)</f>
        <v>9.8209948670752834E-2</v>
      </c>
      <c r="F596">
        <f>IF(C596&lt;'user input'!$C$12,IF(B596&gt;'user input'!$C$6,0,F595+E596),'user input'!$C$17*((1-C596)/(1-'user input'!$C$12)))</f>
        <v>2.9652777777777732</v>
      </c>
    </row>
    <row r="597" spans="1:6" x14ac:dyDescent="0.2">
      <c r="A597" s="1">
        <v>40773</v>
      </c>
      <c r="B597">
        <v>230</v>
      </c>
      <c r="C597">
        <f>IF(B597&gt;'user input'!$C$6,0,IF('heat units'!H597&gt;1,1,'heat units'!H597))</f>
        <v>0.90972222222222243</v>
      </c>
      <c r="D597">
        <f>IF(B597&gt;'user input'!$C$6,0,(C597/(C597+EXP('user input'!$C$15-'user input'!$C$14*C597))))</f>
        <v>0.99987992617998445</v>
      </c>
      <c r="E597">
        <f>IF(C597&lt;'user input'!$C$12,(D597-D596)*'user input'!$C$17*(1-EXP(5*(F596-'user input'!$C$17))),F597-F596)</f>
        <v>-0.25694444444444553</v>
      </c>
      <c r="F597">
        <f>IF(C597&lt;'user input'!$C$12,IF(B597&gt;'user input'!$C$6,0,F596+E597),'user input'!$C$17*((1-C597)/(1-'user input'!$C$12)))</f>
        <v>2.7083333333333277</v>
      </c>
    </row>
    <row r="598" spans="1:6" x14ac:dyDescent="0.2">
      <c r="A598" s="1">
        <v>40774</v>
      </c>
      <c r="B598">
        <v>231</v>
      </c>
      <c r="C598">
        <f>IF(B598&gt;'user input'!$C$6,0,IF('heat units'!H598&gt;1,1,'heat units'!H598))</f>
        <v>0.91805555555555585</v>
      </c>
      <c r="D598">
        <f>IF(B598&gt;'user input'!$C$6,0,(C598/(C598+EXP('user input'!$C$15-'user input'!$C$14*C598))))</f>
        <v>0.9998935733086407</v>
      </c>
      <c r="E598">
        <f>IF(C598&lt;'user input'!$C$12,(D598-D597)*'user input'!$C$17*(1-EXP(5*(F597-'user input'!$C$17))),F598-F597)</f>
        <v>-0.25000000000000266</v>
      </c>
      <c r="F598">
        <f>IF(C598&lt;'user input'!$C$12,IF(B598&gt;'user input'!$C$6,0,F597+E598),'user input'!$C$17*((1-C598)/(1-'user input'!$C$12)))</f>
        <v>2.458333333333325</v>
      </c>
    </row>
    <row r="599" spans="1:6" x14ac:dyDescent="0.2">
      <c r="A599" s="1">
        <v>40775</v>
      </c>
      <c r="B599">
        <v>232</v>
      </c>
      <c r="C599">
        <f>IF(B599&gt;'user input'!$C$6,0,IF('heat units'!H599&gt;1,1,'heat units'!H599))</f>
        <v>0.92754629629629659</v>
      </c>
      <c r="D599">
        <f>IF(B599&gt;'user input'!$C$6,0,(C599/(C599+EXP('user input'!$C$15-'user input'!$C$14*C599))))</f>
        <v>0.99990722775729135</v>
      </c>
      <c r="E599">
        <f>IF(C599&lt;'user input'!$C$12,(D599-D598)*'user input'!$C$17*(1-EXP(5*(F598-'user input'!$C$17))),F599-F598)</f>
        <v>-0.28472222222222232</v>
      </c>
      <c r="F599">
        <f>IF(C599&lt;'user input'!$C$12,IF(B599&gt;'user input'!$C$6,0,F598+E599),'user input'!$C$17*((1-C599)/(1-'user input'!$C$12)))</f>
        <v>2.1736111111111027</v>
      </c>
    </row>
    <row r="600" spans="1:6" x14ac:dyDescent="0.2">
      <c r="A600" s="1">
        <v>40776</v>
      </c>
      <c r="B600">
        <v>233</v>
      </c>
      <c r="C600">
        <f>IF(B600&gt;'user input'!$C$6,0,IF('heat units'!H600&gt;1,1,'heat units'!H600))</f>
        <v>0.93773148148148167</v>
      </c>
      <c r="D600">
        <f>IF(B600&gt;'user input'!$C$6,0,(C600/(C600+EXP('user input'!$C$15-'user input'!$C$14*C600))))</f>
        <v>0.99991992961679643</v>
      </c>
      <c r="E600">
        <f>IF(C600&lt;'user input'!$C$12,(D600-D599)*'user input'!$C$17*(1-EXP(5*(F599-'user input'!$C$17))),F600-F599)</f>
        <v>-0.30555555555555225</v>
      </c>
      <c r="F600">
        <f>IF(C600&lt;'user input'!$C$12,IF(B600&gt;'user input'!$C$6,0,F599+E600),'user input'!$C$17*((1-C600)/(1-'user input'!$C$12)))</f>
        <v>1.8680555555555505</v>
      </c>
    </row>
    <row r="601" spans="1:6" x14ac:dyDescent="0.2">
      <c r="A601" s="1">
        <v>40777</v>
      </c>
      <c r="B601">
        <v>234</v>
      </c>
      <c r="C601">
        <f>IF(B601&gt;'user input'!$C$6,0,IF('heat units'!H601&gt;1,1,'heat units'!H601))</f>
        <v>0.94467592592592609</v>
      </c>
      <c r="D601">
        <f>IF(B601&gt;'user input'!$C$6,0,(C601/(C601+EXP('user input'!$C$15-'user input'!$C$14*C601))))</f>
        <v>0.99992757287222589</v>
      </c>
      <c r="E601">
        <f>IF(C601&lt;'user input'!$C$12,(D601-D600)*'user input'!$C$17*(1-EXP(5*(F600-'user input'!$C$17))),F601-F600)</f>
        <v>-0.20833333333333259</v>
      </c>
      <c r="F601">
        <f>IF(C601&lt;'user input'!$C$12,IF(B601&gt;'user input'!$C$6,0,F600+E601),'user input'!$C$17*((1-C601)/(1-'user input'!$C$12)))</f>
        <v>1.6597222222222179</v>
      </c>
    </row>
    <row r="602" spans="1:6" x14ac:dyDescent="0.2">
      <c r="A602" s="1">
        <v>40778</v>
      </c>
      <c r="B602">
        <v>235</v>
      </c>
      <c r="C602">
        <f>IF(B602&gt;'user input'!$C$6,0,IF('heat units'!H602&gt;1,1,'heat units'!H602))</f>
        <v>0.95416666666666683</v>
      </c>
      <c r="D602">
        <f>IF(B602&gt;'user input'!$C$6,0,(C602/(C602+EXP('user input'!$C$15-'user input'!$C$14*C602))))</f>
        <v>0.99993684727499466</v>
      </c>
      <c r="E602">
        <f>IF(C602&lt;'user input'!$C$12,(D602-D601)*'user input'!$C$17*(1-EXP(5*(F601-'user input'!$C$17))),F602-F601)</f>
        <v>-0.28472222222222232</v>
      </c>
      <c r="F602">
        <f>IF(C602&lt;'user input'!$C$12,IF(B602&gt;'user input'!$C$6,0,F601+E602),'user input'!$C$17*((1-C602)/(1-'user input'!$C$12)))</f>
        <v>1.3749999999999956</v>
      </c>
    </row>
    <row r="603" spans="1:6" x14ac:dyDescent="0.2">
      <c r="A603" s="1">
        <v>40779</v>
      </c>
      <c r="B603">
        <v>236</v>
      </c>
      <c r="C603">
        <f>IF(B603&gt;'user input'!$C$6,0,IF('heat units'!H603&gt;1,1,'heat units'!H603))</f>
        <v>0.96435185185185202</v>
      </c>
      <c r="D603">
        <f>IF(B603&gt;'user input'!$C$6,0,(C603/(C603+EXP('user input'!$C$15-'user input'!$C$14*C603))))</f>
        <v>0.99994547749507878</v>
      </c>
      <c r="E603">
        <f>IF(C603&lt;'user input'!$C$12,(D603-D602)*'user input'!$C$17*(1-EXP(5*(F602-'user input'!$C$17))),F603-F602)</f>
        <v>-0.3055555555555558</v>
      </c>
      <c r="F603">
        <f>IF(C603&lt;'user input'!$C$12,IF(B603&gt;'user input'!$C$6,0,F602+E603),'user input'!$C$17*((1-C603)/(1-'user input'!$C$12)))</f>
        <v>1.0694444444444398</v>
      </c>
    </row>
    <row r="604" spans="1:6" x14ac:dyDescent="0.2">
      <c r="A604" s="1">
        <v>40780</v>
      </c>
      <c r="B604">
        <v>237</v>
      </c>
      <c r="C604">
        <f>IF(B604&gt;'user input'!$C$6,0,IF('heat units'!H604&gt;1,1,'heat units'!H604))</f>
        <v>0.97384259259259276</v>
      </c>
      <c r="D604">
        <f>IF(B604&gt;'user input'!$C$6,0,(C604/(C604+EXP('user input'!$C$15-'user input'!$C$14*C604))))</f>
        <v>0.99995244964335095</v>
      </c>
      <c r="E604">
        <f>IF(C604&lt;'user input'!$C$12,(D604-D603)*'user input'!$C$17*(1-EXP(5*(F603-'user input'!$C$17))),F604-F603)</f>
        <v>-0.28472222222222232</v>
      </c>
      <c r="F604">
        <f>IF(C604&lt;'user input'!$C$12,IF(B604&gt;'user input'!$C$6,0,F603+E604),'user input'!$C$17*((1-C604)/(1-'user input'!$C$12)))</f>
        <v>0.78472222222221744</v>
      </c>
    </row>
    <row r="605" spans="1:6" x14ac:dyDescent="0.2">
      <c r="A605" s="1">
        <v>40781</v>
      </c>
      <c r="B605">
        <v>238</v>
      </c>
      <c r="C605">
        <f>IF(B605&gt;'user input'!$C$6,0,IF('heat units'!H605&gt;1,1,'heat units'!H605))</f>
        <v>0.98148148148148173</v>
      </c>
      <c r="D605">
        <f>IF(B605&gt;'user input'!$C$6,0,(C605/(C605+EXP('user input'!$C$15-'user input'!$C$14*C605))))</f>
        <v>0.99995740525594834</v>
      </c>
      <c r="E605">
        <f>IF(C605&lt;'user input'!$C$12,(D605-D604)*'user input'!$C$17*(1-EXP(5*(F604-'user input'!$C$17))),F605-F604)</f>
        <v>-0.22916666666666929</v>
      </c>
      <c r="F605">
        <f>IF(C605&lt;'user input'!$C$12,IF(B605&gt;'user input'!$C$6,0,F604+E605),'user input'!$C$17*((1-C605)/(1-'user input'!$C$12)))</f>
        <v>0.55555555555554814</v>
      </c>
    </row>
    <row r="606" spans="1:6" x14ac:dyDescent="0.2">
      <c r="A606" s="1">
        <v>40782</v>
      </c>
      <c r="B606">
        <v>239</v>
      </c>
      <c r="C606">
        <f>IF(B606&gt;'user input'!$C$6,0,IF('heat units'!H606&gt;1,1,'heat units'!H606))</f>
        <v>0.98935185185185204</v>
      </c>
      <c r="D606">
        <f>IF(B606&gt;'user input'!$C$6,0,(C606/(C606+EXP('user input'!$C$15-'user input'!$C$14*C606))))</f>
        <v>0.99996196905590629</v>
      </c>
      <c r="E606">
        <f>IF(C606&lt;'user input'!$C$12,(D606-D605)*'user input'!$C$17*(1-EXP(5*(F605-'user input'!$C$17))),F606-F605)</f>
        <v>-0.23611111111110916</v>
      </c>
      <c r="F606">
        <f>IF(C606&lt;'user input'!$C$12,IF(B606&gt;'user input'!$C$6,0,F605+E606),'user input'!$C$17*((1-C606)/(1-'user input'!$C$12)))</f>
        <v>0.31944444444443898</v>
      </c>
    </row>
    <row r="607" spans="1:6" x14ac:dyDescent="0.2">
      <c r="A607" s="1">
        <v>40783</v>
      </c>
      <c r="B607">
        <v>240</v>
      </c>
      <c r="C607">
        <f>IF(B607&gt;'user input'!$C$6,0,IF('heat units'!H607&gt;1,1,'heat units'!H607))</f>
        <v>0.9969907407407409</v>
      </c>
      <c r="D607">
        <f>IF(B607&gt;'user input'!$C$6,0,(C607/(C607+EXP('user input'!$C$15-'user input'!$C$14*C607))))</f>
        <v>0.99996592844939758</v>
      </c>
      <c r="E607">
        <f>IF(C607&lt;'user input'!$C$12,(D607-D606)*'user input'!$C$17*(1-EXP(5*(F606-'user input'!$C$17))),F607-F606)</f>
        <v>-0.22916666666666594</v>
      </c>
      <c r="F607">
        <f>IF(C607&lt;'user input'!$C$12,IF(B607&gt;'user input'!$C$6,0,F606+E607),'user input'!$C$17*((1-C607)/(1-'user input'!$C$12)))</f>
        <v>9.0277777777773044E-2</v>
      </c>
    </row>
    <row r="608" spans="1:6" x14ac:dyDescent="0.2">
      <c r="A608" s="1">
        <v>40784</v>
      </c>
      <c r="B608">
        <v>241</v>
      </c>
      <c r="C608">
        <f>IF(B608&gt;'user input'!$C$6,0,IF('heat units'!H608&gt;1,1,'heat units'!H608))</f>
        <v>1</v>
      </c>
      <c r="D608">
        <f>IF(B608&gt;'user input'!$C$6,0,(C608/(C608+EXP('user input'!$C$15-'user input'!$C$14*C608))))</f>
        <v>0.99996737202265329</v>
      </c>
      <c r="E608">
        <f>IF(C608&lt;'user input'!$C$12,(D608-D607)*'user input'!$C$17*(1-EXP(5*(F607-'user input'!$C$17))),F608-F607)</f>
        <v>-9.0277777777773044E-2</v>
      </c>
      <c r="F608">
        <f>IF(C608&lt;'user input'!$C$12,IF(B608&gt;'user input'!$C$6,0,F607+E608),'user input'!$C$17*((1-C608)/(1-'user input'!$C$12)))</f>
        <v>0</v>
      </c>
    </row>
    <row r="609" spans="1:6" x14ac:dyDescent="0.2">
      <c r="A609" s="1">
        <v>40785</v>
      </c>
      <c r="B609">
        <v>242</v>
      </c>
      <c r="C609">
        <f>IF(B609&gt;'user input'!$C$6,0,IF('heat units'!H609&gt;1,1,'heat units'!H609))</f>
        <v>1</v>
      </c>
      <c r="D609">
        <f>IF(B609&gt;'user input'!$C$6,0,(C609/(C609+EXP('user input'!$C$15-'user input'!$C$14*C609))))</f>
        <v>0.99996737202265329</v>
      </c>
      <c r="E609">
        <f>IF(C609&lt;'user input'!$C$12,(D609-D608)*'user input'!$C$17*(1-EXP(5*(F608-'user input'!$C$17))),F609-F608)</f>
        <v>0</v>
      </c>
      <c r="F609">
        <f>IF(C609&lt;'user input'!$C$12,IF(B609&gt;'user input'!$C$6,0,F608+E609),'user input'!$C$17*((1-C609)/(1-'user input'!$C$12)))</f>
        <v>0</v>
      </c>
    </row>
    <row r="610" spans="1:6" x14ac:dyDescent="0.2">
      <c r="A610" s="1">
        <v>40786</v>
      </c>
      <c r="B610">
        <v>243</v>
      </c>
      <c r="C610">
        <f>IF(B610&gt;'user input'!$C$6,0,IF('heat units'!H610&gt;1,1,'heat units'!H610))</f>
        <v>1</v>
      </c>
      <c r="D610">
        <f>IF(B610&gt;'user input'!$C$6,0,(C610/(C610+EXP('user input'!$C$15-'user input'!$C$14*C610))))</f>
        <v>0.99996737202265329</v>
      </c>
      <c r="E610">
        <f>IF(C610&lt;'user input'!$C$12,(D610-D609)*'user input'!$C$17*(1-EXP(5*(F609-'user input'!$C$17))),F610-F609)</f>
        <v>0</v>
      </c>
      <c r="F610">
        <f>IF(C610&lt;'user input'!$C$12,IF(B610&gt;'user input'!$C$6,0,F609+E610),'user input'!$C$17*((1-C610)/(1-'user input'!$C$12)))</f>
        <v>0</v>
      </c>
    </row>
    <row r="611" spans="1:6" x14ac:dyDescent="0.2">
      <c r="A611" s="1">
        <v>40787</v>
      </c>
      <c r="B611">
        <v>244</v>
      </c>
      <c r="C611">
        <f>IF(B611&gt;'user input'!$C$6,0,IF('heat units'!H611&gt;1,1,'heat units'!H611))</f>
        <v>1</v>
      </c>
      <c r="D611">
        <f>IF(B611&gt;'user input'!$C$6,0,(C611/(C611+EXP('user input'!$C$15-'user input'!$C$14*C611))))</f>
        <v>0.99996737202265329</v>
      </c>
      <c r="E611">
        <f>IF(C611&lt;'user input'!$C$12,(D611-D610)*'user input'!$C$17*(1-EXP(5*(F610-'user input'!$C$17))),F611-F610)</f>
        <v>0</v>
      </c>
      <c r="F611">
        <f>IF(C611&lt;'user input'!$C$12,IF(B611&gt;'user input'!$C$6,0,F610+E611),'user input'!$C$17*((1-C611)/(1-'user input'!$C$12)))</f>
        <v>0</v>
      </c>
    </row>
    <row r="612" spans="1:6" x14ac:dyDescent="0.2">
      <c r="A612" s="1">
        <v>40788</v>
      </c>
      <c r="B612">
        <v>245</v>
      </c>
      <c r="C612">
        <f>IF(B612&gt;'user input'!$C$6,0,IF('heat units'!H612&gt;1,1,'heat units'!H612))</f>
        <v>1</v>
      </c>
      <c r="D612">
        <f>IF(B612&gt;'user input'!$C$6,0,(C612/(C612+EXP('user input'!$C$15-'user input'!$C$14*C612))))</f>
        <v>0.99996737202265329</v>
      </c>
      <c r="E612">
        <f>IF(C612&lt;'user input'!$C$12,(D612-D611)*'user input'!$C$17*(1-EXP(5*(F611-'user input'!$C$17))),F612-F611)</f>
        <v>0</v>
      </c>
      <c r="F612">
        <f>IF(C612&lt;'user input'!$C$12,IF(B612&gt;'user input'!$C$6,0,F611+E612),'user input'!$C$17*((1-C612)/(1-'user input'!$C$12)))</f>
        <v>0</v>
      </c>
    </row>
    <row r="613" spans="1:6" x14ac:dyDescent="0.2">
      <c r="A613" s="1">
        <v>40789</v>
      </c>
      <c r="B613">
        <v>246</v>
      </c>
      <c r="C613">
        <f>IF(B613&gt;'user input'!$C$6,0,IF('heat units'!H613&gt;1,1,'heat units'!H613))</f>
        <v>1</v>
      </c>
      <c r="D613">
        <f>IF(B613&gt;'user input'!$C$6,0,(C613/(C613+EXP('user input'!$C$15-'user input'!$C$14*C613))))</f>
        <v>0.99996737202265329</v>
      </c>
      <c r="E613">
        <f>IF(C613&lt;'user input'!$C$12,(D613-D612)*'user input'!$C$17*(1-EXP(5*(F612-'user input'!$C$17))),F613-F612)</f>
        <v>0</v>
      </c>
      <c r="F613">
        <f>IF(C613&lt;'user input'!$C$12,IF(B613&gt;'user input'!$C$6,0,F612+E613),'user input'!$C$17*((1-C613)/(1-'user input'!$C$12)))</f>
        <v>0</v>
      </c>
    </row>
    <row r="614" spans="1:6" x14ac:dyDescent="0.2">
      <c r="A614" s="1">
        <v>40790</v>
      </c>
      <c r="B614">
        <v>247</v>
      </c>
      <c r="C614">
        <f>IF(B614&gt;'user input'!$C$6,0,IF('heat units'!H614&gt;1,1,'heat units'!H614))</f>
        <v>1</v>
      </c>
      <c r="D614">
        <f>IF(B614&gt;'user input'!$C$6,0,(C614/(C614+EXP('user input'!$C$15-'user input'!$C$14*C614))))</f>
        <v>0.99996737202265329</v>
      </c>
      <c r="E614">
        <f>IF(C614&lt;'user input'!$C$12,(D614-D613)*'user input'!$C$17*(1-EXP(5*(F613-'user input'!$C$17))),F614-F613)</f>
        <v>0</v>
      </c>
      <c r="F614">
        <f>IF(C614&lt;'user input'!$C$12,IF(B614&gt;'user input'!$C$6,0,F613+E614),'user input'!$C$17*((1-C614)/(1-'user input'!$C$12)))</f>
        <v>0</v>
      </c>
    </row>
    <row r="615" spans="1:6" x14ac:dyDescent="0.2">
      <c r="A615" s="1">
        <v>40791</v>
      </c>
      <c r="B615">
        <v>248</v>
      </c>
      <c r="C615">
        <f>IF(B615&gt;'user input'!$C$6,0,IF('heat units'!H615&gt;1,1,'heat units'!H615))</f>
        <v>1</v>
      </c>
      <c r="D615">
        <f>IF(B615&gt;'user input'!$C$6,0,(C615/(C615+EXP('user input'!$C$15-'user input'!$C$14*C615))))</f>
        <v>0.99996737202265329</v>
      </c>
      <c r="E615">
        <f>IF(C615&lt;'user input'!$C$12,(D615-D614)*'user input'!$C$17*(1-EXP(5*(F614-'user input'!$C$17))),F615-F614)</f>
        <v>0</v>
      </c>
      <c r="F615">
        <f>IF(C615&lt;'user input'!$C$12,IF(B615&gt;'user input'!$C$6,0,F614+E615),'user input'!$C$17*((1-C615)/(1-'user input'!$C$12)))</f>
        <v>0</v>
      </c>
    </row>
    <row r="616" spans="1:6" x14ac:dyDescent="0.2">
      <c r="A616" s="1">
        <v>40792</v>
      </c>
      <c r="B616">
        <v>249</v>
      </c>
      <c r="C616">
        <f>IF(B616&gt;'user input'!$C$6,0,IF('heat units'!H616&gt;1,1,'heat units'!H616))</f>
        <v>1</v>
      </c>
      <c r="D616">
        <f>IF(B616&gt;'user input'!$C$6,0,(C616/(C616+EXP('user input'!$C$15-'user input'!$C$14*C616))))</f>
        <v>0.99996737202265329</v>
      </c>
      <c r="E616">
        <f>IF(C616&lt;'user input'!$C$12,(D616-D615)*'user input'!$C$17*(1-EXP(5*(F615-'user input'!$C$17))),F616-F615)</f>
        <v>0</v>
      </c>
      <c r="F616">
        <f>IF(C616&lt;'user input'!$C$12,IF(B616&gt;'user input'!$C$6,0,F615+E616),'user input'!$C$17*((1-C616)/(1-'user input'!$C$12)))</f>
        <v>0</v>
      </c>
    </row>
    <row r="617" spans="1:6" x14ac:dyDescent="0.2">
      <c r="A617" s="1">
        <v>40793</v>
      </c>
      <c r="B617">
        <v>250</v>
      </c>
      <c r="C617">
        <f>IF(B617&gt;'user input'!$C$6,0,IF('heat units'!H617&gt;1,1,'heat units'!H617))</f>
        <v>1</v>
      </c>
      <c r="D617">
        <f>IF(B617&gt;'user input'!$C$6,0,(C617/(C617+EXP('user input'!$C$15-'user input'!$C$14*C617))))</f>
        <v>0.99996737202265329</v>
      </c>
      <c r="E617">
        <f>IF(C617&lt;'user input'!$C$12,(D617-D616)*'user input'!$C$17*(1-EXP(5*(F616-'user input'!$C$17))),F617-F616)</f>
        <v>0</v>
      </c>
      <c r="F617">
        <f>IF(C617&lt;'user input'!$C$12,IF(B617&gt;'user input'!$C$6,0,F616+E617),'user input'!$C$17*((1-C617)/(1-'user input'!$C$12)))</f>
        <v>0</v>
      </c>
    </row>
    <row r="618" spans="1:6" x14ac:dyDescent="0.2">
      <c r="A618" s="1">
        <v>40794</v>
      </c>
      <c r="B618">
        <v>251</v>
      </c>
      <c r="C618">
        <f>IF(B618&gt;'user input'!$C$6,0,IF('heat units'!H618&gt;1,1,'heat units'!H618))</f>
        <v>1</v>
      </c>
      <c r="D618">
        <f>IF(B618&gt;'user input'!$C$6,0,(C618/(C618+EXP('user input'!$C$15-'user input'!$C$14*C618))))</f>
        <v>0.99996737202265329</v>
      </c>
      <c r="E618">
        <f>IF(C618&lt;'user input'!$C$12,(D618-D617)*'user input'!$C$17*(1-EXP(5*(F617-'user input'!$C$17))),F618-F617)</f>
        <v>0</v>
      </c>
      <c r="F618">
        <f>IF(C618&lt;'user input'!$C$12,IF(B618&gt;'user input'!$C$6,0,F617+E618),'user input'!$C$17*((1-C618)/(1-'user input'!$C$12)))</f>
        <v>0</v>
      </c>
    </row>
    <row r="619" spans="1:6" x14ac:dyDescent="0.2">
      <c r="A619" s="1">
        <v>40795</v>
      </c>
      <c r="B619">
        <v>252</v>
      </c>
      <c r="C619">
        <f>IF(B619&gt;'user input'!$C$6,0,IF('heat units'!H619&gt;1,1,'heat units'!H619))</f>
        <v>1</v>
      </c>
      <c r="D619">
        <f>IF(B619&gt;'user input'!$C$6,0,(C619/(C619+EXP('user input'!$C$15-'user input'!$C$14*C619))))</f>
        <v>0.99996737202265329</v>
      </c>
      <c r="E619">
        <f>IF(C619&lt;'user input'!$C$12,(D619-D618)*'user input'!$C$17*(1-EXP(5*(F618-'user input'!$C$17))),F619-F618)</f>
        <v>0</v>
      </c>
      <c r="F619">
        <f>IF(C619&lt;'user input'!$C$12,IF(B619&gt;'user input'!$C$6,0,F618+E619),'user input'!$C$17*((1-C619)/(1-'user input'!$C$12)))</f>
        <v>0</v>
      </c>
    </row>
    <row r="620" spans="1:6" x14ac:dyDescent="0.2">
      <c r="A620" s="1">
        <v>40796</v>
      </c>
      <c r="B620">
        <v>253</v>
      </c>
      <c r="C620">
        <f>IF(B620&gt;'user input'!$C$6,0,IF('heat units'!H620&gt;1,1,'heat units'!H620))</f>
        <v>1</v>
      </c>
      <c r="D620">
        <f>IF(B620&gt;'user input'!$C$6,0,(C620/(C620+EXP('user input'!$C$15-'user input'!$C$14*C620))))</f>
        <v>0.99996737202265329</v>
      </c>
      <c r="E620">
        <f>IF(C620&lt;'user input'!$C$12,(D620-D619)*'user input'!$C$17*(1-EXP(5*(F619-'user input'!$C$17))),F620-F619)</f>
        <v>0</v>
      </c>
      <c r="F620">
        <f>IF(C620&lt;'user input'!$C$12,IF(B620&gt;'user input'!$C$6,0,F619+E620),'user input'!$C$17*((1-C620)/(1-'user input'!$C$12)))</f>
        <v>0</v>
      </c>
    </row>
    <row r="621" spans="1:6" x14ac:dyDescent="0.2">
      <c r="A621" s="1">
        <v>40797</v>
      </c>
      <c r="B621">
        <v>254</v>
      </c>
      <c r="C621">
        <f>IF(B621&gt;'user input'!$C$6,0,IF('heat units'!H621&gt;1,1,'heat units'!H621))</f>
        <v>1</v>
      </c>
      <c r="D621">
        <f>IF(B621&gt;'user input'!$C$6,0,(C621/(C621+EXP('user input'!$C$15-'user input'!$C$14*C621))))</f>
        <v>0.99996737202265329</v>
      </c>
      <c r="E621">
        <f>IF(C621&lt;'user input'!$C$12,(D621-D620)*'user input'!$C$17*(1-EXP(5*(F620-'user input'!$C$17))),F621-F620)</f>
        <v>0</v>
      </c>
      <c r="F621">
        <f>IF(C621&lt;'user input'!$C$12,IF(B621&gt;'user input'!$C$6,0,F620+E621),'user input'!$C$17*((1-C621)/(1-'user input'!$C$12)))</f>
        <v>0</v>
      </c>
    </row>
    <row r="622" spans="1:6" x14ac:dyDescent="0.2">
      <c r="A622" s="1">
        <v>40798</v>
      </c>
      <c r="B622">
        <v>255</v>
      </c>
      <c r="C622">
        <f>IF(B622&gt;'user input'!$C$6,0,IF('heat units'!H622&gt;1,1,'heat units'!H622))</f>
        <v>1</v>
      </c>
      <c r="D622">
        <f>IF(B622&gt;'user input'!$C$6,0,(C622/(C622+EXP('user input'!$C$15-'user input'!$C$14*C622))))</f>
        <v>0.99996737202265329</v>
      </c>
      <c r="E622">
        <f>IF(C622&lt;'user input'!$C$12,(D622-D621)*'user input'!$C$17*(1-EXP(5*(F621-'user input'!$C$17))),F622-F621)</f>
        <v>0</v>
      </c>
      <c r="F622">
        <f>IF(C622&lt;'user input'!$C$12,IF(B622&gt;'user input'!$C$6,0,F621+E622),'user input'!$C$17*((1-C622)/(1-'user input'!$C$12)))</f>
        <v>0</v>
      </c>
    </row>
    <row r="623" spans="1:6" x14ac:dyDescent="0.2">
      <c r="A623" s="1">
        <v>40799</v>
      </c>
      <c r="B623">
        <v>256</v>
      </c>
      <c r="C623">
        <f>IF(B623&gt;'user input'!$C$6,0,IF('heat units'!H623&gt;1,1,'heat units'!H623))</f>
        <v>1</v>
      </c>
      <c r="D623">
        <f>IF(B623&gt;'user input'!$C$6,0,(C623/(C623+EXP('user input'!$C$15-'user input'!$C$14*C623))))</f>
        <v>0.99996737202265329</v>
      </c>
      <c r="E623">
        <f>IF(C623&lt;'user input'!$C$12,(D623-D622)*'user input'!$C$17*(1-EXP(5*(F622-'user input'!$C$17))),F623-F622)</f>
        <v>0</v>
      </c>
      <c r="F623">
        <f>IF(C623&lt;'user input'!$C$12,IF(B623&gt;'user input'!$C$6,0,F622+E623),'user input'!$C$17*((1-C623)/(1-'user input'!$C$12)))</f>
        <v>0</v>
      </c>
    </row>
    <row r="624" spans="1:6" x14ac:dyDescent="0.2">
      <c r="A624" s="1">
        <v>40800</v>
      </c>
      <c r="B624">
        <v>257</v>
      </c>
      <c r="C624">
        <f>IF(B624&gt;'user input'!$C$6,0,IF('heat units'!H624&gt;1,1,'heat units'!H624))</f>
        <v>1</v>
      </c>
      <c r="D624">
        <f>IF(B624&gt;'user input'!$C$6,0,(C624/(C624+EXP('user input'!$C$15-'user input'!$C$14*C624))))</f>
        <v>0.99996737202265329</v>
      </c>
      <c r="E624">
        <f>IF(C624&lt;'user input'!$C$12,(D624-D623)*'user input'!$C$17*(1-EXP(5*(F623-'user input'!$C$17))),F624-F623)</f>
        <v>0</v>
      </c>
      <c r="F624">
        <f>IF(C624&lt;'user input'!$C$12,IF(B624&gt;'user input'!$C$6,0,F623+E624),'user input'!$C$17*((1-C624)/(1-'user input'!$C$12)))</f>
        <v>0</v>
      </c>
    </row>
    <row r="625" spans="1:6" x14ac:dyDescent="0.2">
      <c r="A625" s="1">
        <v>40801</v>
      </c>
      <c r="B625">
        <v>258</v>
      </c>
      <c r="C625">
        <f>IF(B625&gt;'user input'!$C$6,0,IF('heat units'!H625&gt;1,1,'heat units'!H625))</f>
        <v>1</v>
      </c>
      <c r="D625">
        <f>IF(B625&gt;'user input'!$C$6,0,(C625/(C625+EXP('user input'!$C$15-'user input'!$C$14*C625))))</f>
        <v>0.99996737202265329</v>
      </c>
      <c r="E625">
        <f>IF(C625&lt;'user input'!$C$12,(D625-D624)*'user input'!$C$17*(1-EXP(5*(F624-'user input'!$C$17))),F625-F624)</f>
        <v>0</v>
      </c>
      <c r="F625">
        <f>IF(C625&lt;'user input'!$C$12,IF(B625&gt;'user input'!$C$6,0,F624+E625),'user input'!$C$17*((1-C625)/(1-'user input'!$C$12)))</f>
        <v>0</v>
      </c>
    </row>
    <row r="626" spans="1:6" x14ac:dyDescent="0.2">
      <c r="A626" s="1">
        <v>40802</v>
      </c>
      <c r="B626">
        <v>259</v>
      </c>
      <c r="C626">
        <f>IF(B626&gt;'user input'!$C$6,0,IF('heat units'!H626&gt;1,1,'heat units'!H626))</f>
        <v>1</v>
      </c>
      <c r="D626">
        <f>IF(B626&gt;'user input'!$C$6,0,(C626/(C626+EXP('user input'!$C$15-'user input'!$C$14*C626))))</f>
        <v>0.99996737202265329</v>
      </c>
      <c r="E626">
        <f>IF(C626&lt;'user input'!$C$12,(D626-D625)*'user input'!$C$17*(1-EXP(5*(F625-'user input'!$C$17))),F626-F625)</f>
        <v>0</v>
      </c>
      <c r="F626">
        <f>IF(C626&lt;'user input'!$C$12,IF(B626&gt;'user input'!$C$6,0,F625+E626),'user input'!$C$17*((1-C626)/(1-'user input'!$C$12)))</f>
        <v>0</v>
      </c>
    </row>
    <row r="627" spans="1:6" x14ac:dyDescent="0.2">
      <c r="A627" s="1">
        <v>40803</v>
      </c>
      <c r="B627">
        <v>260</v>
      </c>
      <c r="C627">
        <f>IF(B627&gt;'user input'!$C$6,0,IF('heat units'!H627&gt;1,1,'heat units'!H627))</f>
        <v>1</v>
      </c>
      <c r="D627">
        <f>IF(B627&gt;'user input'!$C$6,0,(C627/(C627+EXP('user input'!$C$15-'user input'!$C$14*C627))))</f>
        <v>0.99996737202265329</v>
      </c>
      <c r="E627">
        <f>IF(C627&lt;'user input'!$C$12,(D627-D626)*'user input'!$C$17*(1-EXP(5*(F626-'user input'!$C$17))),F627-F626)</f>
        <v>0</v>
      </c>
      <c r="F627">
        <f>IF(C627&lt;'user input'!$C$12,IF(B627&gt;'user input'!$C$6,0,F626+E627),'user input'!$C$17*((1-C627)/(1-'user input'!$C$12)))</f>
        <v>0</v>
      </c>
    </row>
    <row r="628" spans="1:6" x14ac:dyDescent="0.2">
      <c r="A628" s="1">
        <v>40804</v>
      </c>
      <c r="B628">
        <v>261</v>
      </c>
      <c r="C628">
        <f>IF(B628&gt;'user input'!$C$6,0,IF('heat units'!H628&gt;1,1,'heat units'!H628))</f>
        <v>1</v>
      </c>
      <c r="D628">
        <f>IF(B628&gt;'user input'!$C$6,0,(C628/(C628+EXP('user input'!$C$15-'user input'!$C$14*C628))))</f>
        <v>0.99996737202265329</v>
      </c>
      <c r="E628">
        <f>IF(C628&lt;'user input'!$C$12,(D628-D627)*'user input'!$C$17*(1-EXP(5*(F627-'user input'!$C$17))),F628-F627)</f>
        <v>0</v>
      </c>
      <c r="F628">
        <f>IF(C628&lt;'user input'!$C$12,IF(B628&gt;'user input'!$C$6,0,F627+E628),'user input'!$C$17*((1-C628)/(1-'user input'!$C$12)))</f>
        <v>0</v>
      </c>
    </row>
    <row r="629" spans="1:6" x14ac:dyDescent="0.2">
      <c r="A629" s="1">
        <v>40805</v>
      </c>
      <c r="B629">
        <v>262</v>
      </c>
      <c r="C629">
        <f>IF(B629&gt;'user input'!$C$6,0,IF('heat units'!H629&gt;1,1,'heat units'!H629))</f>
        <v>1</v>
      </c>
      <c r="D629">
        <f>IF(B629&gt;'user input'!$C$6,0,(C629/(C629+EXP('user input'!$C$15-'user input'!$C$14*C629))))</f>
        <v>0.99996737202265329</v>
      </c>
      <c r="E629">
        <f>IF(C629&lt;'user input'!$C$12,(D629-D628)*'user input'!$C$17*(1-EXP(5*(F628-'user input'!$C$17))),F629-F628)</f>
        <v>0</v>
      </c>
      <c r="F629">
        <f>IF(C629&lt;'user input'!$C$12,IF(B629&gt;'user input'!$C$6,0,F628+E629),'user input'!$C$17*((1-C629)/(1-'user input'!$C$12)))</f>
        <v>0</v>
      </c>
    </row>
    <row r="630" spans="1:6" x14ac:dyDescent="0.2">
      <c r="A630" s="1">
        <v>40806</v>
      </c>
      <c r="B630">
        <v>263</v>
      </c>
      <c r="C630">
        <f>IF(B630&gt;'user input'!$C$6,0,IF('heat units'!H630&gt;1,1,'heat units'!H630))</f>
        <v>1</v>
      </c>
      <c r="D630">
        <f>IF(B630&gt;'user input'!$C$6,0,(C630/(C630+EXP('user input'!$C$15-'user input'!$C$14*C630))))</f>
        <v>0.99996737202265329</v>
      </c>
      <c r="E630">
        <f>IF(C630&lt;'user input'!$C$12,(D630-D629)*'user input'!$C$17*(1-EXP(5*(F629-'user input'!$C$17))),F630-F629)</f>
        <v>0</v>
      </c>
      <c r="F630">
        <f>IF(C630&lt;'user input'!$C$12,IF(B630&gt;'user input'!$C$6,0,F629+E630),'user input'!$C$17*((1-C630)/(1-'user input'!$C$12)))</f>
        <v>0</v>
      </c>
    </row>
    <row r="631" spans="1:6" x14ac:dyDescent="0.2">
      <c r="A631" s="1">
        <v>40807</v>
      </c>
      <c r="B631">
        <v>264</v>
      </c>
      <c r="C631">
        <f>IF(B631&gt;'user input'!$C$6,0,IF('heat units'!H631&gt;1,1,'heat units'!H631))</f>
        <v>1</v>
      </c>
      <c r="D631">
        <f>IF(B631&gt;'user input'!$C$6,0,(C631/(C631+EXP('user input'!$C$15-'user input'!$C$14*C631))))</f>
        <v>0.99996737202265329</v>
      </c>
      <c r="E631">
        <f>IF(C631&lt;'user input'!$C$12,(D631-D630)*'user input'!$C$17*(1-EXP(5*(F630-'user input'!$C$17))),F631-F630)</f>
        <v>0</v>
      </c>
      <c r="F631">
        <f>IF(C631&lt;'user input'!$C$12,IF(B631&gt;'user input'!$C$6,0,F630+E631),'user input'!$C$17*((1-C631)/(1-'user input'!$C$12)))</f>
        <v>0</v>
      </c>
    </row>
    <row r="632" spans="1:6" x14ac:dyDescent="0.2">
      <c r="A632" s="1">
        <v>40808</v>
      </c>
      <c r="B632">
        <v>265</v>
      </c>
      <c r="C632">
        <f>IF(B632&gt;'user input'!$C$6,0,IF('heat units'!H632&gt;1,1,'heat units'!H632))</f>
        <v>1</v>
      </c>
      <c r="D632">
        <f>IF(B632&gt;'user input'!$C$6,0,(C632/(C632+EXP('user input'!$C$15-'user input'!$C$14*C632))))</f>
        <v>0.99996737202265329</v>
      </c>
      <c r="E632">
        <f>IF(C632&lt;'user input'!$C$12,(D632-D631)*'user input'!$C$17*(1-EXP(5*(F631-'user input'!$C$17))),F632-F631)</f>
        <v>0</v>
      </c>
      <c r="F632">
        <f>IF(C632&lt;'user input'!$C$12,IF(B632&gt;'user input'!$C$6,0,F631+E632),'user input'!$C$17*((1-C632)/(1-'user input'!$C$12)))</f>
        <v>0</v>
      </c>
    </row>
    <row r="633" spans="1:6" x14ac:dyDescent="0.2">
      <c r="A633" s="1">
        <v>40809</v>
      </c>
      <c r="B633">
        <v>266</v>
      </c>
      <c r="C633">
        <f>IF(B633&gt;'user input'!$C$6,0,IF('heat units'!H633&gt;1,1,'heat units'!H633))</f>
        <v>1</v>
      </c>
      <c r="D633">
        <f>IF(B633&gt;'user input'!$C$6,0,(C633/(C633+EXP('user input'!$C$15-'user input'!$C$14*C633))))</f>
        <v>0.99996737202265329</v>
      </c>
      <c r="E633">
        <f>IF(C633&lt;'user input'!$C$12,(D633-D632)*'user input'!$C$17*(1-EXP(5*(F632-'user input'!$C$17))),F633-F632)</f>
        <v>0</v>
      </c>
      <c r="F633">
        <f>IF(C633&lt;'user input'!$C$12,IF(B633&gt;'user input'!$C$6,0,F632+E633),'user input'!$C$17*((1-C633)/(1-'user input'!$C$12)))</f>
        <v>0</v>
      </c>
    </row>
    <row r="634" spans="1:6" x14ac:dyDescent="0.2">
      <c r="A634" s="1">
        <v>40810</v>
      </c>
      <c r="B634">
        <v>267</v>
      </c>
      <c r="C634">
        <f>IF(B634&gt;'user input'!$C$6,0,IF('heat units'!H634&gt;1,1,'heat units'!H634))</f>
        <v>1</v>
      </c>
      <c r="D634">
        <f>IF(B634&gt;'user input'!$C$6,0,(C634/(C634+EXP('user input'!$C$15-'user input'!$C$14*C634))))</f>
        <v>0.99996737202265329</v>
      </c>
      <c r="E634">
        <f>IF(C634&lt;'user input'!$C$12,(D634-D633)*'user input'!$C$17*(1-EXP(5*(F633-'user input'!$C$17))),F634-F633)</f>
        <v>0</v>
      </c>
      <c r="F634">
        <f>IF(C634&lt;'user input'!$C$12,IF(B634&gt;'user input'!$C$6,0,F633+E634),'user input'!$C$17*((1-C634)/(1-'user input'!$C$12)))</f>
        <v>0</v>
      </c>
    </row>
    <row r="635" spans="1:6" x14ac:dyDescent="0.2">
      <c r="A635" s="1">
        <v>40811</v>
      </c>
      <c r="B635">
        <v>268</v>
      </c>
      <c r="C635">
        <f>IF(B635&gt;'user input'!$C$6,0,IF('heat units'!H635&gt;1,1,'heat units'!H635))</f>
        <v>1</v>
      </c>
      <c r="D635">
        <f>IF(B635&gt;'user input'!$C$6,0,(C635/(C635+EXP('user input'!$C$15-'user input'!$C$14*C635))))</f>
        <v>0.99996737202265329</v>
      </c>
      <c r="E635">
        <f>IF(C635&lt;'user input'!$C$12,(D635-D634)*'user input'!$C$17*(1-EXP(5*(F634-'user input'!$C$17))),F635-F634)</f>
        <v>0</v>
      </c>
      <c r="F635">
        <f>IF(C635&lt;'user input'!$C$12,IF(B635&gt;'user input'!$C$6,0,F634+E635),'user input'!$C$17*((1-C635)/(1-'user input'!$C$12)))</f>
        <v>0</v>
      </c>
    </row>
    <row r="636" spans="1:6" x14ac:dyDescent="0.2">
      <c r="A636" s="1">
        <v>40812</v>
      </c>
      <c r="B636">
        <v>269</v>
      </c>
      <c r="C636">
        <f>IF(B636&gt;'user input'!$C$6,0,IF('heat units'!H636&gt;1,1,'heat units'!H636))</f>
        <v>1</v>
      </c>
      <c r="D636">
        <f>IF(B636&gt;'user input'!$C$6,0,(C636/(C636+EXP('user input'!$C$15-'user input'!$C$14*C636))))</f>
        <v>0.99996737202265329</v>
      </c>
      <c r="E636">
        <f>IF(C636&lt;'user input'!$C$12,(D636-D635)*'user input'!$C$17*(1-EXP(5*(F635-'user input'!$C$17))),F636-F635)</f>
        <v>0</v>
      </c>
      <c r="F636">
        <f>IF(C636&lt;'user input'!$C$12,IF(B636&gt;'user input'!$C$6,0,F635+E636),'user input'!$C$17*((1-C636)/(1-'user input'!$C$12)))</f>
        <v>0</v>
      </c>
    </row>
    <row r="637" spans="1:6" x14ac:dyDescent="0.2">
      <c r="A637" s="1">
        <v>40813</v>
      </c>
      <c r="B637">
        <v>270</v>
      </c>
      <c r="C637">
        <f>IF(B637&gt;'user input'!$C$6,0,IF('heat units'!H637&gt;1,1,'heat units'!H637))</f>
        <v>1</v>
      </c>
      <c r="D637">
        <f>IF(B637&gt;'user input'!$C$6,0,(C637/(C637+EXP('user input'!$C$15-'user input'!$C$14*C637))))</f>
        <v>0.99996737202265329</v>
      </c>
      <c r="E637">
        <f>IF(C637&lt;'user input'!$C$12,(D637-D636)*'user input'!$C$17*(1-EXP(5*(F636-'user input'!$C$17))),F637-F636)</f>
        <v>0</v>
      </c>
      <c r="F637">
        <f>IF(C637&lt;'user input'!$C$12,IF(B637&gt;'user input'!$C$6,0,F636+E637),'user input'!$C$17*((1-C637)/(1-'user input'!$C$12)))</f>
        <v>0</v>
      </c>
    </row>
    <row r="638" spans="1:6" x14ac:dyDescent="0.2">
      <c r="A638" s="1">
        <v>40814</v>
      </c>
      <c r="B638">
        <v>271</v>
      </c>
      <c r="C638">
        <f>IF(B638&gt;'user input'!$C$6,0,IF('heat units'!H638&gt;1,1,'heat units'!H638))</f>
        <v>1</v>
      </c>
      <c r="D638">
        <f>IF(B638&gt;'user input'!$C$6,0,(C638/(C638+EXP('user input'!$C$15-'user input'!$C$14*C638))))</f>
        <v>0.99996737202265329</v>
      </c>
      <c r="E638">
        <f>IF(C638&lt;'user input'!$C$12,(D638-D637)*'user input'!$C$17*(1-EXP(5*(F637-'user input'!$C$17))),F638-F637)</f>
        <v>0</v>
      </c>
      <c r="F638">
        <f>IF(C638&lt;'user input'!$C$12,IF(B638&gt;'user input'!$C$6,0,F637+E638),'user input'!$C$17*((1-C638)/(1-'user input'!$C$12)))</f>
        <v>0</v>
      </c>
    </row>
    <row r="639" spans="1:6" x14ac:dyDescent="0.2">
      <c r="A639" s="1">
        <v>40815</v>
      </c>
      <c r="B639">
        <v>272</v>
      </c>
      <c r="C639">
        <f>IF(B639&gt;'user input'!$C$6,0,IF('heat units'!H639&gt;1,1,'heat units'!H639))</f>
        <v>1</v>
      </c>
      <c r="D639">
        <f>IF(B639&gt;'user input'!$C$6,0,(C639/(C639+EXP('user input'!$C$15-'user input'!$C$14*C639))))</f>
        <v>0.99996737202265329</v>
      </c>
      <c r="E639">
        <f>IF(C639&lt;'user input'!$C$12,(D639-D638)*'user input'!$C$17*(1-EXP(5*(F638-'user input'!$C$17))),F639-F638)</f>
        <v>0</v>
      </c>
      <c r="F639">
        <f>IF(C639&lt;'user input'!$C$12,IF(B639&gt;'user input'!$C$6,0,F638+E639),'user input'!$C$17*((1-C639)/(1-'user input'!$C$12)))</f>
        <v>0</v>
      </c>
    </row>
    <row r="640" spans="1:6" x14ac:dyDescent="0.2">
      <c r="A640" s="1">
        <v>40816</v>
      </c>
      <c r="B640">
        <v>273</v>
      </c>
      <c r="C640">
        <f>IF(B640&gt;'user input'!$C$6,0,IF('heat units'!H640&gt;1,1,'heat units'!H640))</f>
        <v>1</v>
      </c>
      <c r="D640">
        <f>IF(B640&gt;'user input'!$C$6,0,(C640/(C640+EXP('user input'!$C$15-'user input'!$C$14*C640))))</f>
        <v>0.99996737202265329</v>
      </c>
      <c r="E640">
        <f>IF(C640&lt;'user input'!$C$12,(D640-D639)*'user input'!$C$17*(1-EXP(5*(F639-'user input'!$C$17))),F640-F639)</f>
        <v>0</v>
      </c>
      <c r="F640">
        <f>IF(C640&lt;'user input'!$C$12,IF(B640&gt;'user input'!$C$6,0,F639+E640),'user input'!$C$17*((1-C640)/(1-'user input'!$C$12)))</f>
        <v>0</v>
      </c>
    </row>
    <row r="641" spans="1:6" x14ac:dyDescent="0.2">
      <c r="A641" s="1">
        <v>40817</v>
      </c>
      <c r="B641">
        <v>274</v>
      </c>
      <c r="C641">
        <f>IF(B641&gt;'user input'!$C$6,0,IF('heat units'!H641&gt;1,1,'heat units'!H641))</f>
        <v>1</v>
      </c>
      <c r="D641">
        <f>IF(B641&gt;'user input'!$C$6,0,(C641/(C641+EXP('user input'!$C$15-'user input'!$C$14*C641))))</f>
        <v>0.99996737202265329</v>
      </c>
      <c r="E641">
        <f>IF(C641&lt;'user input'!$C$12,(D641-D640)*'user input'!$C$17*(1-EXP(5*(F640-'user input'!$C$17))),F641-F640)</f>
        <v>0</v>
      </c>
      <c r="F641">
        <f>IF(C641&lt;'user input'!$C$12,IF(B641&gt;'user input'!$C$6,0,F640+E641),'user input'!$C$17*((1-C641)/(1-'user input'!$C$12)))</f>
        <v>0</v>
      </c>
    </row>
    <row r="642" spans="1:6" x14ac:dyDescent="0.2">
      <c r="A642" s="1">
        <v>40818</v>
      </c>
      <c r="B642">
        <v>275</v>
      </c>
      <c r="C642">
        <f>IF(B642&gt;'user input'!$C$6,0,IF('heat units'!H642&gt;1,1,'heat units'!H642))</f>
        <v>1</v>
      </c>
      <c r="D642">
        <f>IF(B642&gt;'user input'!$C$6,0,(C642/(C642+EXP('user input'!$C$15-'user input'!$C$14*C642))))</f>
        <v>0.99996737202265329</v>
      </c>
      <c r="E642">
        <f>IF(C642&lt;'user input'!$C$12,(D642-D641)*'user input'!$C$17*(1-EXP(5*(F641-'user input'!$C$17))),F642-F641)</f>
        <v>0</v>
      </c>
      <c r="F642">
        <f>IF(C642&lt;'user input'!$C$12,IF(B642&gt;'user input'!$C$6,0,F641+E642),'user input'!$C$17*((1-C642)/(1-'user input'!$C$12)))</f>
        <v>0</v>
      </c>
    </row>
    <row r="643" spans="1:6" x14ac:dyDescent="0.2">
      <c r="A643" s="1">
        <v>40819</v>
      </c>
      <c r="B643">
        <v>276</v>
      </c>
      <c r="C643">
        <f>IF(B643&gt;'user input'!$C$6,0,IF('heat units'!H643&gt;1,1,'heat units'!H643))</f>
        <v>1</v>
      </c>
      <c r="D643">
        <f>IF(B643&gt;'user input'!$C$6,0,(C643/(C643+EXP('user input'!$C$15-'user input'!$C$14*C643))))</f>
        <v>0.99996737202265329</v>
      </c>
      <c r="E643">
        <f>IF(C643&lt;'user input'!$C$12,(D643-D642)*'user input'!$C$17*(1-EXP(5*(F642-'user input'!$C$17))),F643-F642)</f>
        <v>0</v>
      </c>
      <c r="F643">
        <f>IF(C643&lt;'user input'!$C$12,IF(B643&gt;'user input'!$C$6,0,F642+E643),'user input'!$C$17*((1-C643)/(1-'user input'!$C$12)))</f>
        <v>0</v>
      </c>
    </row>
    <row r="644" spans="1:6" x14ac:dyDescent="0.2">
      <c r="A644" s="1">
        <v>40820</v>
      </c>
      <c r="B644">
        <v>277</v>
      </c>
      <c r="C644">
        <f>IF(B644&gt;'user input'!$C$6,0,IF('heat units'!H644&gt;1,1,'heat units'!H644))</f>
        <v>1</v>
      </c>
      <c r="D644">
        <f>IF(B644&gt;'user input'!$C$6,0,(C644/(C644+EXP('user input'!$C$15-'user input'!$C$14*C644))))</f>
        <v>0.99996737202265329</v>
      </c>
      <c r="E644">
        <f>IF(C644&lt;'user input'!$C$12,(D644-D643)*'user input'!$C$17*(1-EXP(5*(F643-'user input'!$C$17))),F644-F643)</f>
        <v>0</v>
      </c>
      <c r="F644">
        <f>IF(C644&lt;'user input'!$C$12,IF(B644&gt;'user input'!$C$6,0,F643+E644),'user input'!$C$17*((1-C644)/(1-'user input'!$C$12)))</f>
        <v>0</v>
      </c>
    </row>
    <row r="645" spans="1:6" x14ac:dyDescent="0.2">
      <c r="A645" s="1">
        <v>40821</v>
      </c>
      <c r="B645">
        <v>278</v>
      </c>
      <c r="C645">
        <f>IF(B645&gt;'user input'!$C$6,0,IF('heat units'!H645&gt;1,1,'heat units'!H645))</f>
        <v>1</v>
      </c>
      <c r="D645">
        <f>IF(B645&gt;'user input'!$C$6,0,(C645/(C645+EXP('user input'!$C$15-'user input'!$C$14*C645))))</f>
        <v>0.99996737202265329</v>
      </c>
      <c r="E645">
        <f>IF(C645&lt;'user input'!$C$12,(D645-D644)*'user input'!$C$17*(1-EXP(5*(F644-'user input'!$C$17))),F645-F644)</f>
        <v>0</v>
      </c>
      <c r="F645">
        <f>IF(C645&lt;'user input'!$C$12,IF(B645&gt;'user input'!$C$6,0,F644+E645),'user input'!$C$17*((1-C645)/(1-'user input'!$C$12)))</f>
        <v>0</v>
      </c>
    </row>
    <row r="646" spans="1:6" x14ac:dyDescent="0.2">
      <c r="A646" s="1">
        <v>40822</v>
      </c>
      <c r="B646">
        <v>279</v>
      </c>
      <c r="C646">
        <f>IF(B646&gt;'user input'!$C$6,0,IF('heat units'!H646&gt;1,1,'heat units'!H646))</f>
        <v>1</v>
      </c>
      <c r="D646">
        <f>IF(B646&gt;'user input'!$C$6,0,(C646/(C646+EXP('user input'!$C$15-'user input'!$C$14*C646))))</f>
        <v>0.99996737202265329</v>
      </c>
      <c r="E646">
        <f>IF(C646&lt;'user input'!$C$12,(D646-D645)*'user input'!$C$17*(1-EXP(5*(F645-'user input'!$C$17))),F646-F645)</f>
        <v>0</v>
      </c>
      <c r="F646">
        <f>IF(C646&lt;'user input'!$C$12,IF(B646&gt;'user input'!$C$6,0,F645+E646),'user input'!$C$17*((1-C646)/(1-'user input'!$C$12)))</f>
        <v>0</v>
      </c>
    </row>
    <row r="647" spans="1:6" x14ac:dyDescent="0.2">
      <c r="A647" s="1">
        <v>40823</v>
      </c>
      <c r="B647">
        <v>280</v>
      </c>
      <c r="C647">
        <f>IF(B647&gt;'user input'!$C$6,0,IF('heat units'!H647&gt;1,1,'heat units'!H647))</f>
        <v>1</v>
      </c>
      <c r="D647">
        <f>IF(B647&gt;'user input'!$C$6,0,(C647/(C647+EXP('user input'!$C$15-'user input'!$C$14*C647))))</f>
        <v>0.99996737202265329</v>
      </c>
      <c r="E647">
        <f>IF(C647&lt;'user input'!$C$12,(D647-D646)*'user input'!$C$17*(1-EXP(5*(F646-'user input'!$C$17))),F647-F646)</f>
        <v>0</v>
      </c>
      <c r="F647">
        <f>IF(C647&lt;'user input'!$C$12,IF(B647&gt;'user input'!$C$6,0,F646+E647),'user input'!$C$17*((1-C647)/(1-'user input'!$C$12)))</f>
        <v>0</v>
      </c>
    </row>
    <row r="648" spans="1:6" x14ac:dyDescent="0.2">
      <c r="A648" s="1">
        <v>40824</v>
      </c>
      <c r="B648">
        <v>281</v>
      </c>
      <c r="C648">
        <f>IF(B648&gt;'user input'!$C$6,0,IF('heat units'!H648&gt;1,1,'heat units'!H648))</f>
        <v>1</v>
      </c>
      <c r="D648">
        <f>IF(B648&gt;'user input'!$C$6,0,(C648/(C648+EXP('user input'!$C$15-'user input'!$C$14*C648))))</f>
        <v>0.99996737202265329</v>
      </c>
      <c r="E648">
        <f>IF(C648&lt;'user input'!$C$12,(D648-D647)*'user input'!$C$17*(1-EXP(5*(F647-'user input'!$C$17))),F648-F647)</f>
        <v>0</v>
      </c>
      <c r="F648">
        <f>IF(C648&lt;'user input'!$C$12,IF(B648&gt;'user input'!$C$6,0,F647+E648),'user input'!$C$17*((1-C648)/(1-'user input'!$C$12)))</f>
        <v>0</v>
      </c>
    </row>
    <row r="649" spans="1:6" x14ac:dyDescent="0.2">
      <c r="A649" s="1">
        <v>40825</v>
      </c>
      <c r="B649">
        <v>282</v>
      </c>
      <c r="C649">
        <f>IF(B649&gt;'user input'!$C$6,0,IF('heat units'!H649&gt;1,1,'heat units'!H649))</f>
        <v>1</v>
      </c>
      <c r="D649">
        <f>IF(B649&gt;'user input'!$C$6,0,(C649/(C649+EXP('user input'!$C$15-'user input'!$C$14*C649))))</f>
        <v>0.99996737202265329</v>
      </c>
      <c r="E649">
        <f>IF(C649&lt;'user input'!$C$12,(D649-D648)*'user input'!$C$17*(1-EXP(5*(F648-'user input'!$C$17))),F649-F648)</f>
        <v>0</v>
      </c>
      <c r="F649">
        <f>IF(C649&lt;'user input'!$C$12,IF(B649&gt;'user input'!$C$6,0,F648+E649),'user input'!$C$17*((1-C649)/(1-'user input'!$C$12)))</f>
        <v>0</v>
      </c>
    </row>
    <row r="650" spans="1:6" x14ac:dyDescent="0.2">
      <c r="A650" s="1">
        <v>40826</v>
      </c>
      <c r="B650">
        <v>283</v>
      </c>
      <c r="C650">
        <f>IF(B650&gt;'user input'!$C$6,0,IF('heat units'!H650&gt;1,1,'heat units'!H650))</f>
        <v>1</v>
      </c>
      <c r="D650">
        <f>IF(B650&gt;'user input'!$C$6,0,(C650/(C650+EXP('user input'!$C$15-'user input'!$C$14*C650))))</f>
        <v>0.99996737202265329</v>
      </c>
      <c r="E650">
        <f>IF(C650&lt;'user input'!$C$12,(D650-D649)*'user input'!$C$17*(1-EXP(5*(F649-'user input'!$C$17))),F650-F649)</f>
        <v>0</v>
      </c>
      <c r="F650">
        <f>IF(C650&lt;'user input'!$C$12,IF(B650&gt;'user input'!$C$6,0,F649+E650),'user input'!$C$17*((1-C650)/(1-'user input'!$C$12)))</f>
        <v>0</v>
      </c>
    </row>
    <row r="651" spans="1:6" x14ac:dyDescent="0.2">
      <c r="A651" s="1">
        <v>40827</v>
      </c>
      <c r="B651">
        <v>284</v>
      </c>
      <c r="C651">
        <f>IF(B651&gt;'user input'!$C$6,0,IF('heat units'!H651&gt;1,1,'heat units'!H651))</f>
        <v>1</v>
      </c>
      <c r="D651">
        <f>IF(B651&gt;'user input'!$C$6,0,(C651/(C651+EXP('user input'!$C$15-'user input'!$C$14*C651))))</f>
        <v>0.99996737202265329</v>
      </c>
      <c r="E651">
        <f>IF(C651&lt;'user input'!$C$12,(D651-D650)*'user input'!$C$17*(1-EXP(5*(F650-'user input'!$C$17))),F651-F650)</f>
        <v>0</v>
      </c>
      <c r="F651">
        <f>IF(C651&lt;'user input'!$C$12,IF(B651&gt;'user input'!$C$6,0,F650+E651),'user input'!$C$17*((1-C651)/(1-'user input'!$C$12)))</f>
        <v>0</v>
      </c>
    </row>
    <row r="652" spans="1:6" x14ac:dyDescent="0.2">
      <c r="A652" s="1">
        <v>40828</v>
      </c>
      <c r="B652">
        <v>285</v>
      </c>
      <c r="C652">
        <f>IF(B652&gt;'user input'!$C$6,0,IF('heat units'!H652&gt;1,1,'heat units'!H652))</f>
        <v>1</v>
      </c>
      <c r="D652">
        <f>IF(B652&gt;'user input'!$C$6,0,(C652/(C652+EXP('user input'!$C$15-'user input'!$C$14*C652))))</f>
        <v>0.99996737202265329</v>
      </c>
      <c r="E652">
        <f>IF(C652&lt;'user input'!$C$12,(D652-D651)*'user input'!$C$17*(1-EXP(5*(F651-'user input'!$C$17))),F652-F651)</f>
        <v>0</v>
      </c>
      <c r="F652">
        <f>IF(C652&lt;'user input'!$C$12,IF(B652&gt;'user input'!$C$6,0,F651+E652),'user input'!$C$17*((1-C652)/(1-'user input'!$C$12)))</f>
        <v>0</v>
      </c>
    </row>
    <row r="653" spans="1:6" x14ac:dyDescent="0.2">
      <c r="A653" s="1">
        <v>40829</v>
      </c>
      <c r="B653">
        <v>286</v>
      </c>
      <c r="C653">
        <f>IF(B653&gt;'user input'!$C$6,0,IF('heat units'!H653&gt;1,1,'heat units'!H653))</f>
        <v>1</v>
      </c>
      <c r="D653">
        <f>IF(B653&gt;'user input'!$C$6,0,(C653/(C653+EXP('user input'!$C$15-'user input'!$C$14*C653))))</f>
        <v>0.99996737202265329</v>
      </c>
      <c r="E653">
        <f>IF(C653&lt;'user input'!$C$12,(D653-D652)*'user input'!$C$17*(1-EXP(5*(F652-'user input'!$C$17))),F653-F652)</f>
        <v>0</v>
      </c>
      <c r="F653">
        <f>IF(C653&lt;'user input'!$C$12,IF(B653&gt;'user input'!$C$6,0,F652+E653),'user input'!$C$17*((1-C653)/(1-'user input'!$C$12)))</f>
        <v>0</v>
      </c>
    </row>
    <row r="654" spans="1:6" x14ac:dyDescent="0.2">
      <c r="A654" s="1">
        <v>40830</v>
      </c>
      <c r="B654">
        <v>287</v>
      </c>
      <c r="C654">
        <f>IF(B654&gt;'user input'!$C$6,0,IF('heat units'!H654&gt;1,1,'heat units'!H654))</f>
        <v>1</v>
      </c>
      <c r="D654">
        <f>IF(B654&gt;'user input'!$C$6,0,(C654/(C654+EXP('user input'!$C$15-'user input'!$C$14*C654))))</f>
        <v>0.99996737202265329</v>
      </c>
      <c r="E654">
        <f>IF(C654&lt;'user input'!$C$12,(D654-D653)*'user input'!$C$17*(1-EXP(5*(F653-'user input'!$C$17))),F654-F653)</f>
        <v>0</v>
      </c>
      <c r="F654">
        <f>IF(C654&lt;'user input'!$C$12,IF(B654&gt;'user input'!$C$6,0,F653+E654),'user input'!$C$17*((1-C654)/(1-'user input'!$C$12)))</f>
        <v>0</v>
      </c>
    </row>
    <row r="655" spans="1:6" x14ac:dyDescent="0.2">
      <c r="A655" s="1">
        <v>40831</v>
      </c>
      <c r="B655">
        <v>288</v>
      </c>
      <c r="C655">
        <f>IF(B655&gt;'user input'!$C$6,0,IF('heat units'!H655&gt;1,1,'heat units'!H655))</f>
        <v>1</v>
      </c>
      <c r="D655">
        <f>IF(B655&gt;'user input'!$C$6,0,(C655/(C655+EXP('user input'!$C$15-'user input'!$C$14*C655))))</f>
        <v>0.99996737202265329</v>
      </c>
      <c r="E655">
        <f>IF(C655&lt;'user input'!$C$12,(D655-D654)*'user input'!$C$17*(1-EXP(5*(F654-'user input'!$C$17))),F655-F654)</f>
        <v>0</v>
      </c>
      <c r="F655">
        <f>IF(C655&lt;'user input'!$C$12,IF(B655&gt;'user input'!$C$6,0,F654+E655),'user input'!$C$17*((1-C655)/(1-'user input'!$C$12)))</f>
        <v>0</v>
      </c>
    </row>
    <row r="656" spans="1:6" x14ac:dyDescent="0.2">
      <c r="A656" s="1">
        <v>40832</v>
      </c>
      <c r="B656">
        <v>289</v>
      </c>
      <c r="C656">
        <f>IF(B656&gt;'user input'!$C$6,0,IF('heat units'!H656&gt;1,1,'heat units'!H656))</f>
        <v>1</v>
      </c>
      <c r="D656">
        <f>IF(B656&gt;'user input'!$C$6,0,(C656/(C656+EXP('user input'!$C$15-'user input'!$C$14*C656))))</f>
        <v>0.99996737202265329</v>
      </c>
      <c r="E656">
        <f>IF(C656&lt;'user input'!$C$12,(D656-D655)*'user input'!$C$17*(1-EXP(5*(F655-'user input'!$C$17))),F656-F655)</f>
        <v>0</v>
      </c>
      <c r="F656">
        <f>IF(C656&lt;'user input'!$C$12,IF(B656&gt;'user input'!$C$6,0,F655+E656),'user input'!$C$17*((1-C656)/(1-'user input'!$C$12)))</f>
        <v>0</v>
      </c>
    </row>
    <row r="657" spans="1:6" x14ac:dyDescent="0.2">
      <c r="A657" s="1">
        <v>40833</v>
      </c>
      <c r="B657">
        <v>290</v>
      </c>
      <c r="C657">
        <f>IF(B657&gt;'user input'!$C$6,0,IF('heat units'!H657&gt;1,1,'heat units'!H657))</f>
        <v>1</v>
      </c>
      <c r="D657">
        <f>IF(B657&gt;'user input'!$C$6,0,(C657/(C657+EXP('user input'!$C$15-'user input'!$C$14*C657))))</f>
        <v>0.99996737202265329</v>
      </c>
      <c r="E657">
        <f>IF(C657&lt;'user input'!$C$12,(D657-D656)*'user input'!$C$17*(1-EXP(5*(F656-'user input'!$C$17))),F657-F656)</f>
        <v>0</v>
      </c>
      <c r="F657">
        <f>IF(C657&lt;'user input'!$C$12,IF(B657&gt;'user input'!$C$6,0,F656+E657),'user input'!$C$17*((1-C657)/(1-'user input'!$C$12)))</f>
        <v>0</v>
      </c>
    </row>
    <row r="658" spans="1:6" x14ac:dyDescent="0.2">
      <c r="A658" s="1">
        <v>40834</v>
      </c>
      <c r="B658">
        <v>291</v>
      </c>
      <c r="C658">
        <f>IF(B658&gt;'user input'!$C$6,0,IF('heat units'!H658&gt;1,1,'heat units'!H658))</f>
        <v>1</v>
      </c>
      <c r="D658">
        <f>IF(B658&gt;'user input'!$C$6,0,(C658/(C658+EXP('user input'!$C$15-'user input'!$C$14*C658))))</f>
        <v>0.99996737202265329</v>
      </c>
      <c r="E658">
        <f>IF(C658&lt;'user input'!$C$12,(D658-D657)*'user input'!$C$17*(1-EXP(5*(F657-'user input'!$C$17))),F658-F657)</f>
        <v>0</v>
      </c>
      <c r="F658">
        <f>IF(C658&lt;'user input'!$C$12,IF(B658&gt;'user input'!$C$6,0,F657+E658),'user input'!$C$17*((1-C658)/(1-'user input'!$C$12)))</f>
        <v>0</v>
      </c>
    </row>
    <row r="659" spans="1:6" x14ac:dyDescent="0.2">
      <c r="A659" s="1">
        <v>40835</v>
      </c>
      <c r="B659">
        <v>292</v>
      </c>
      <c r="C659">
        <f>IF(B659&gt;'user input'!$C$6,0,IF('heat units'!H659&gt;1,1,'heat units'!H659))</f>
        <v>1</v>
      </c>
      <c r="D659">
        <f>IF(B659&gt;'user input'!$C$6,0,(C659/(C659+EXP('user input'!$C$15-'user input'!$C$14*C659))))</f>
        <v>0.99996737202265329</v>
      </c>
      <c r="E659">
        <f>IF(C659&lt;'user input'!$C$12,(D659-D658)*'user input'!$C$17*(1-EXP(5*(F658-'user input'!$C$17))),F659-F658)</f>
        <v>0</v>
      </c>
      <c r="F659">
        <f>IF(C659&lt;'user input'!$C$12,IF(B659&gt;'user input'!$C$6,0,F658+E659),'user input'!$C$17*((1-C659)/(1-'user input'!$C$12)))</f>
        <v>0</v>
      </c>
    </row>
    <row r="660" spans="1:6" x14ac:dyDescent="0.2">
      <c r="A660" s="1">
        <v>40836</v>
      </c>
      <c r="B660">
        <v>293</v>
      </c>
      <c r="C660">
        <f>IF(B660&gt;'user input'!$C$6,0,IF('heat units'!H660&gt;1,1,'heat units'!H660))</f>
        <v>1</v>
      </c>
      <c r="D660">
        <f>IF(B660&gt;'user input'!$C$6,0,(C660/(C660+EXP('user input'!$C$15-'user input'!$C$14*C660))))</f>
        <v>0.99996737202265329</v>
      </c>
      <c r="E660">
        <f>IF(C660&lt;'user input'!$C$12,(D660-D659)*'user input'!$C$17*(1-EXP(5*(F659-'user input'!$C$17))),F660-F659)</f>
        <v>0</v>
      </c>
      <c r="F660">
        <f>IF(C660&lt;'user input'!$C$12,IF(B660&gt;'user input'!$C$6,0,F659+E660),'user input'!$C$17*((1-C660)/(1-'user input'!$C$12)))</f>
        <v>0</v>
      </c>
    </row>
    <row r="661" spans="1:6" x14ac:dyDescent="0.2">
      <c r="A661" s="1">
        <v>40837</v>
      </c>
      <c r="B661">
        <v>294</v>
      </c>
      <c r="C661">
        <f>IF(B661&gt;'user input'!$C$6,0,IF('heat units'!H661&gt;1,1,'heat units'!H661))</f>
        <v>1</v>
      </c>
      <c r="D661">
        <f>IF(B661&gt;'user input'!$C$6,0,(C661/(C661+EXP('user input'!$C$15-'user input'!$C$14*C661))))</f>
        <v>0.99996737202265329</v>
      </c>
      <c r="E661">
        <f>IF(C661&lt;'user input'!$C$12,(D661-D660)*'user input'!$C$17*(1-EXP(5*(F660-'user input'!$C$17))),F661-F660)</f>
        <v>0</v>
      </c>
      <c r="F661">
        <f>IF(C661&lt;'user input'!$C$12,IF(B661&gt;'user input'!$C$6,0,F660+E661),'user input'!$C$17*((1-C661)/(1-'user input'!$C$12)))</f>
        <v>0</v>
      </c>
    </row>
    <row r="662" spans="1:6" x14ac:dyDescent="0.2">
      <c r="A662" s="1">
        <v>40838</v>
      </c>
      <c r="B662">
        <v>295</v>
      </c>
      <c r="C662">
        <f>IF(B662&gt;'user input'!$C$6,0,IF('heat units'!H662&gt;1,1,'heat units'!H662))</f>
        <v>1</v>
      </c>
      <c r="D662">
        <f>IF(B662&gt;'user input'!$C$6,0,(C662/(C662+EXP('user input'!$C$15-'user input'!$C$14*C662))))</f>
        <v>0.99996737202265329</v>
      </c>
      <c r="E662">
        <f>IF(C662&lt;'user input'!$C$12,(D662-D661)*'user input'!$C$17*(1-EXP(5*(F661-'user input'!$C$17))),F662-F661)</f>
        <v>0</v>
      </c>
      <c r="F662">
        <f>IF(C662&lt;'user input'!$C$12,IF(B662&gt;'user input'!$C$6,0,F661+E662),'user input'!$C$17*((1-C662)/(1-'user input'!$C$12)))</f>
        <v>0</v>
      </c>
    </row>
    <row r="663" spans="1:6" x14ac:dyDescent="0.2">
      <c r="A663" s="1">
        <v>40839</v>
      </c>
      <c r="B663">
        <v>296</v>
      </c>
      <c r="C663">
        <f>IF(B663&gt;'user input'!$C$6,0,IF('heat units'!H663&gt;1,1,'heat units'!H663))</f>
        <v>1</v>
      </c>
      <c r="D663">
        <f>IF(B663&gt;'user input'!$C$6,0,(C663/(C663+EXP('user input'!$C$15-'user input'!$C$14*C663))))</f>
        <v>0.99996737202265329</v>
      </c>
      <c r="E663">
        <f>IF(C663&lt;'user input'!$C$12,(D663-D662)*'user input'!$C$17*(1-EXP(5*(F662-'user input'!$C$17))),F663-F662)</f>
        <v>0</v>
      </c>
      <c r="F663">
        <f>IF(C663&lt;'user input'!$C$12,IF(B663&gt;'user input'!$C$6,0,F662+E663),'user input'!$C$17*((1-C663)/(1-'user input'!$C$12)))</f>
        <v>0</v>
      </c>
    </row>
    <row r="664" spans="1:6" x14ac:dyDescent="0.2">
      <c r="A664" s="1">
        <v>40840</v>
      </c>
      <c r="B664">
        <v>297</v>
      </c>
      <c r="C664">
        <f>IF(B664&gt;'user input'!$C$6,0,IF('heat units'!H664&gt;1,1,'heat units'!H664))</f>
        <v>1</v>
      </c>
      <c r="D664">
        <f>IF(B664&gt;'user input'!$C$6,0,(C664/(C664+EXP('user input'!$C$15-'user input'!$C$14*C664))))</f>
        <v>0.99996737202265329</v>
      </c>
      <c r="E664">
        <f>IF(C664&lt;'user input'!$C$12,(D664-D663)*'user input'!$C$17*(1-EXP(5*(F663-'user input'!$C$17))),F664-F663)</f>
        <v>0</v>
      </c>
      <c r="F664">
        <f>IF(C664&lt;'user input'!$C$12,IF(B664&gt;'user input'!$C$6,0,F663+E664),'user input'!$C$17*((1-C664)/(1-'user input'!$C$12)))</f>
        <v>0</v>
      </c>
    </row>
    <row r="665" spans="1:6" x14ac:dyDescent="0.2">
      <c r="A665" s="1">
        <v>40841</v>
      </c>
      <c r="B665">
        <v>298</v>
      </c>
      <c r="C665">
        <f>IF(B665&gt;'user input'!$C$6,0,IF('heat units'!H665&gt;1,1,'heat units'!H665))</f>
        <v>1</v>
      </c>
      <c r="D665">
        <f>IF(B665&gt;'user input'!$C$6,0,(C665/(C665+EXP('user input'!$C$15-'user input'!$C$14*C665))))</f>
        <v>0.99996737202265329</v>
      </c>
      <c r="E665">
        <f>IF(C665&lt;'user input'!$C$12,(D665-D664)*'user input'!$C$17*(1-EXP(5*(F664-'user input'!$C$17))),F665-F664)</f>
        <v>0</v>
      </c>
      <c r="F665">
        <f>IF(C665&lt;'user input'!$C$12,IF(B665&gt;'user input'!$C$6,0,F664+E665),'user input'!$C$17*((1-C665)/(1-'user input'!$C$12)))</f>
        <v>0</v>
      </c>
    </row>
    <row r="666" spans="1:6" x14ac:dyDescent="0.2">
      <c r="A666" s="1">
        <v>40842</v>
      </c>
      <c r="B666">
        <v>299</v>
      </c>
      <c r="C666">
        <f>IF(B666&gt;'user input'!$C$6,0,IF('heat units'!H666&gt;1,1,'heat units'!H666))</f>
        <v>1</v>
      </c>
      <c r="D666">
        <f>IF(B666&gt;'user input'!$C$6,0,(C666/(C666+EXP('user input'!$C$15-'user input'!$C$14*C666))))</f>
        <v>0.99996737202265329</v>
      </c>
      <c r="E666">
        <f>IF(C666&lt;'user input'!$C$12,(D666-D665)*'user input'!$C$17*(1-EXP(5*(F665-'user input'!$C$17))),F666-F665)</f>
        <v>0</v>
      </c>
      <c r="F666">
        <f>IF(C666&lt;'user input'!$C$12,IF(B666&gt;'user input'!$C$6,0,F665+E666),'user input'!$C$17*((1-C666)/(1-'user input'!$C$12)))</f>
        <v>0</v>
      </c>
    </row>
    <row r="667" spans="1:6" x14ac:dyDescent="0.2">
      <c r="A667" s="1">
        <v>40843</v>
      </c>
      <c r="B667">
        <v>300</v>
      </c>
      <c r="C667">
        <f>IF(B667&gt;'user input'!$C$6,0,IF('heat units'!H667&gt;1,1,'heat units'!H667))</f>
        <v>1</v>
      </c>
      <c r="D667">
        <f>IF(B667&gt;'user input'!$C$6,0,(C667/(C667+EXP('user input'!$C$15-'user input'!$C$14*C667))))</f>
        <v>0.99996737202265329</v>
      </c>
      <c r="E667">
        <f>IF(C667&lt;'user input'!$C$12,(D667-D666)*'user input'!$C$17*(1-EXP(5*(F666-'user input'!$C$17))),F667-F666)</f>
        <v>0</v>
      </c>
      <c r="F667">
        <f>IF(C667&lt;'user input'!$C$12,IF(B667&gt;'user input'!$C$6,0,F666+E667),'user input'!$C$17*((1-C667)/(1-'user input'!$C$12)))</f>
        <v>0</v>
      </c>
    </row>
    <row r="668" spans="1:6" x14ac:dyDescent="0.2">
      <c r="A668" s="1">
        <v>40844</v>
      </c>
      <c r="B668">
        <v>301</v>
      </c>
      <c r="C668">
        <f>IF(B668&gt;'user input'!$C$6,0,IF('heat units'!H668&gt;1,1,'heat units'!H668))</f>
        <v>1</v>
      </c>
      <c r="D668">
        <f>IF(B668&gt;'user input'!$C$6,0,(C668/(C668+EXP('user input'!$C$15-'user input'!$C$14*C668))))</f>
        <v>0.99996737202265329</v>
      </c>
      <c r="E668">
        <f>IF(C668&lt;'user input'!$C$12,(D668-D667)*'user input'!$C$17*(1-EXP(5*(F667-'user input'!$C$17))),F668-F667)</f>
        <v>0</v>
      </c>
      <c r="F668">
        <f>IF(C668&lt;'user input'!$C$12,IF(B668&gt;'user input'!$C$6,0,F667+E668),'user input'!$C$17*((1-C668)/(1-'user input'!$C$12)))</f>
        <v>0</v>
      </c>
    </row>
    <row r="669" spans="1:6" x14ac:dyDescent="0.2">
      <c r="A669" s="1">
        <v>40845</v>
      </c>
      <c r="B669">
        <v>302</v>
      </c>
      <c r="C669">
        <f>IF(B669&gt;'user input'!$C$6,0,IF('heat units'!H669&gt;1,1,'heat units'!H669))</f>
        <v>1</v>
      </c>
      <c r="D669">
        <f>IF(B669&gt;'user input'!$C$6,0,(C669/(C669+EXP('user input'!$C$15-'user input'!$C$14*C669))))</f>
        <v>0.99996737202265329</v>
      </c>
      <c r="E669">
        <f>IF(C669&lt;'user input'!$C$12,(D669-D668)*'user input'!$C$17*(1-EXP(5*(F668-'user input'!$C$17))),F669-F668)</f>
        <v>0</v>
      </c>
      <c r="F669">
        <f>IF(C669&lt;'user input'!$C$12,IF(B669&gt;'user input'!$C$6,0,F668+E669),'user input'!$C$17*((1-C669)/(1-'user input'!$C$12)))</f>
        <v>0</v>
      </c>
    </row>
    <row r="670" spans="1:6" x14ac:dyDescent="0.2">
      <c r="A670" s="1">
        <v>40846</v>
      </c>
      <c r="B670">
        <v>303</v>
      </c>
      <c r="C670">
        <f>IF(B670&gt;'user input'!$C$6,0,IF('heat units'!H670&gt;1,1,'heat units'!H670))</f>
        <v>1</v>
      </c>
      <c r="D670">
        <f>IF(B670&gt;'user input'!$C$6,0,(C670/(C670+EXP('user input'!$C$15-'user input'!$C$14*C670))))</f>
        <v>0.99996737202265329</v>
      </c>
      <c r="E670">
        <f>IF(C670&lt;'user input'!$C$12,(D670-D669)*'user input'!$C$17*(1-EXP(5*(F669-'user input'!$C$17))),F670-F669)</f>
        <v>0</v>
      </c>
      <c r="F670">
        <f>IF(C670&lt;'user input'!$C$12,IF(B670&gt;'user input'!$C$6,0,F669+E670),'user input'!$C$17*((1-C670)/(1-'user input'!$C$12)))</f>
        <v>0</v>
      </c>
    </row>
    <row r="671" spans="1:6" x14ac:dyDescent="0.2">
      <c r="A671" s="1">
        <v>40847</v>
      </c>
      <c r="B671">
        <v>304</v>
      </c>
      <c r="C671">
        <f>IF(B671&gt;'user input'!$C$6,0,IF('heat units'!H671&gt;1,1,'heat units'!H671))</f>
        <v>1</v>
      </c>
      <c r="D671">
        <f>IF(B671&gt;'user input'!$C$6,0,(C671/(C671+EXP('user input'!$C$15-'user input'!$C$14*C671))))</f>
        <v>0.99996737202265329</v>
      </c>
      <c r="E671">
        <f>IF(C671&lt;'user input'!$C$12,(D671-D670)*'user input'!$C$17*(1-EXP(5*(F670-'user input'!$C$17))),F671-F670)</f>
        <v>0</v>
      </c>
      <c r="F671">
        <f>IF(C671&lt;'user input'!$C$12,IF(B671&gt;'user input'!$C$6,0,F670+E671),'user input'!$C$17*((1-C671)/(1-'user input'!$C$12)))</f>
        <v>0</v>
      </c>
    </row>
    <row r="672" spans="1:6" x14ac:dyDescent="0.2">
      <c r="A672" s="1">
        <v>40848</v>
      </c>
      <c r="B672">
        <v>305</v>
      </c>
      <c r="C672">
        <f>IF(B672&gt;'user input'!$C$6,0,IF('heat units'!H672&gt;1,1,'heat units'!H672))</f>
        <v>1</v>
      </c>
      <c r="D672">
        <f>IF(B672&gt;'user input'!$C$6,0,(C672/(C672+EXP('user input'!$C$15-'user input'!$C$14*C672))))</f>
        <v>0.99996737202265329</v>
      </c>
      <c r="E672">
        <f>IF(C672&lt;'user input'!$C$12,(D672-D671)*'user input'!$C$17*(1-EXP(5*(F671-'user input'!$C$17))),F672-F671)</f>
        <v>0</v>
      </c>
      <c r="F672">
        <f>IF(C672&lt;'user input'!$C$12,IF(B672&gt;'user input'!$C$6,0,F671+E672),'user input'!$C$17*((1-C672)/(1-'user input'!$C$12)))</f>
        <v>0</v>
      </c>
    </row>
    <row r="673" spans="1:6" x14ac:dyDescent="0.2">
      <c r="A673" s="1">
        <v>40849</v>
      </c>
      <c r="B673">
        <v>306</v>
      </c>
      <c r="C673">
        <f>IF(B673&gt;'user input'!$C$6,0,IF('heat units'!H673&gt;1,1,'heat units'!H673))</f>
        <v>1</v>
      </c>
      <c r="D673">
        <f>IF(B673&gt;'user input'!$C$6,0,(C673/(C673+EXP('user input'!$C$15-'user input'!$C$14*C673))))</f>
        <v>0.99996737202265329</v>
      </c>
      <c r="E673">
        <f>IF(C673&lt;'user input'!$C$12,(D673-D672)*'user input'!$C$17*(1-EXP(5*(F672-'user input'!$C$17))),F673-F672)</f>
        <v>0</v>
      </c>
      <c r="F673">
        <f>IF(C673&lt;'user input'!$C$12,IF(B673&gt;'user input'!$C$6,0,F672+E673),'user input'!$C$17*((1-C673)/(1-'user input'!$C$12)))</f>
        <v>0</v>
      </c>
    </row>
    <row r="674" spans="1:6" x14ac:dyDescent="0.2">
      <c r="A674" s="1">
        <v>40850</v>
      </c>
      <c r="B674">
        <v>307</v>
      </c>
      <c r="C674">
        <f>IF(B674&gt;'user input'!$C$6,0,IF('heat units'!H674&gt;1,1,'heat units'!H674))</f>
        <v>1</v>
      </c>
      <c r="D674">
        <f>IF(B674&gt;'user input'!$C$6,0,(C674/(C674+EXP('user input'!$C$15-'user input'!$C$14*C674))))</f>
        <v>0.99996737202265329</v>
      </c>
      <c r="E674">
        <f>IF(C674&lt;'user input'!$C$12,(D674-D673)*'user input'!$C$17*(1-EXP(5*(F673-'user input'!$C$17))),F674-F673)</f>
        <v>0</v>
      </c>
      <c r="F674">
        <f>IF(C674&lt;'user input'!$C$12,IF(B674&gt;'user input'!$C$6,0,F673+E674),'user input'!$C$17*((1-C674)/(1-'user input'!$C$12)))</f>
        <v>0</v>
      </c>
    </row>
    <row r="675" spans="1:6" x14ac:dyDescent="0.2">
      <c r="A675" s="1">
        <v>40851</v>
      </c>
      <c r="B675">
        <v>308</v>
      </c>
      <c r="C675">
        <f>IF(B675&gt;'user input'!$C$6,0,IF('heat units'!H675&gt;1,1,'heat units'!H675))</f>
        <v>1</v>
      </c>
      <c r="D675">
        <f>IF(B675&gt;'user input'!$C$6,0,(C675/(C675+EXP('user input'!$C$15-'user input'!$C$14*C675))))</f>
        <v>0.99996737202265329</v>
      </c>
      <c r="E675">
        <f>IF(C675&lt;'user input'!$C$12,(D675-D674)*'user input'!$C$17*(1-EXP(5*(F674-'user input'!$C$17))),F675-F674)</f>
        <v>0</v>
      </c>
      <c r="F675">
        <f>IF(C675&lt;'user input'!$C$12,IF(B675&gt;'user input'!$C$6,0,F674+E675),'user input'!$C$17*((1-C675)/(1-'user input'!$C$12)))</f>
        <v>0</v>
      </c>
    </row>
    <row r="676" spans="1:6" x14ac:dyDescent="0.2">
      <c r="A676" s="1">
        <v>40852</v>
      </c>
      <c r="B676">
        <v>309</v>
      </c>
      <c r="C676">
        <f>IF(B676&gt;'user input'!$C$6,0,IF('heat units'!H676&gt;1,1,'heat units'!H676))</f>
        <v>1</v>
      </c>
      <c r="D676">
        <f>IF(B676&gt;'user input'!$C$6,0,(C676/(C676+EXP('user input'!$C$15-'user input'!$C$14*C676))))</f>
        <v>0.99996737202265329</v>
      </c>
      <c r="E676">
        <f>IF(C676&lt;'user input'!$C$12,(D676-D675)*'user input'!$C$17*(1-EXP(5*(F675-'user input'!$C$17))),F676-F675)</f>
        <v>0</v>
      </c>
      <c r="F676">
        <f>IF(C676&lt;'user input'!$C$12,IF(B676&gt;'user input'!$C$6,0,F675+E676),'user input'!$C$17*((1-C676)/(1-'user input'!$C$12)))</f>
        <v>0</v>
      </c>
    </row>
    <row r="677" spans="1:6" x14ac:dyDescent="0.2">
      <c r="A677" s="1">
        <v>40853</v>
      </c>
      <c r="B677">
        <v>310</v>
      </c>
      <c r="C677">
        <f>IF(B677&gt;'user input'!$C$6,0,IF('heat units'!H677&gt;1,1,'heat units'!H677))</f>
        <v>1</v>
      </c>
      <c r="D677">
        <f>IF(B677&gt;'user input'!$C$6,0,(C677/(C677+EXP('user input'!$C$15-'user input'!$C$14*C677))))</f>
        <v>0.99996737202265329</v>
      </c>
      <c r="E677">
        <f>IF(C677&lt;'user input'!$C$12,(D677-D676)*'user input'!$C$17*(1-EXP(5*(F676-'user input'!$C$17))),F677-F676)</f>
        <v>0</v>
      </c>
      <c r="F677">
        <f>IF(C677&lt;'user input'!$C$12,IF(B677&gt;'user input'!$C$6,0,F676+E677),'user input'!$C$17*((1-C677)/(1-'user input'!$C$12)))</f>
        <v>0</v>
      </c>
    </row>
    <row r="678" spans="1:6" x14ac:dyDescent="0.2">
      <c r="A678" s="1">
        <v>40854</v>
      </c>
      <c r="B678">
        <v>311</v>
      </c>
      <c r="C678">
        <f>IF(B678&gt;'user input'!$C$6,0,IF('heat units'!H678&gt;1,1,'heat units'!H678))</f>
        <v>1</v>
      </c>
      <c r="D678">
        <f>IF(B678&gt;'user input'!$C$6,0,(C678/(C678+EXP('user input'!$C$15-'user input'!$C$14*C678))))</f>
        <v>0.99996737202265329</v>
      </c>
      <c r="E678">
        <f>IF(C678&lt;'user input'!$C$12,(D678-D677)*'user input'!$C$17*(1-EXP(5*(F677-'user input'!$C$17))),F678-F677)</f>
        <v>0</v>
      </c>
      <c r="F678">
        <f>IF(C678&lt;'user input'!$C$12,IF(B678&gt;'user input'!$C$6,0,F677+E678),'user input'!$C$17*((1-C678)/(1-'user input'!$C$12)))</f>
        <v>0</v>
      </c>
    </row>
    <row r="679" spans="1:6" x14ac:dyDescent="0.2">
      <c r="A679" s="1">
        <v>40855</v>
      </c>
      <c r="B679">
        <v>312</v>
      </c>
      <c r="C679">
        <f>IF(B679&gt;'user input'!$C$6,0,IF('heat units'!H679&gt;1,1,'heat units'!H679))</f>
        <v>1</v>
      </c>
      <c r="D679">
        <f>IF(B679&gt;'user input'!$C$6,0,(C679/(C679+EXP('user input'!$C$15-'user input'!$C$14*C679))))</f>
        <v>0.99996737202265329</v>
      </c>
      <c r="E679">
        <f>IF(C679&lt;'user input'!$C$12,(D679-D678)*'user input'!$C$17*(1-EXP(5*(F678-'user input'!$C$17))),F679-F678)</f>
        <v>0</v>
      </c>
      <c r="F679">
        <f>IF(C679&lt;'user input'!$C$12,IF(B679&gt;'user input'!$C$6,0,F678+E679),'user input'!$C$17*((1-C679)/(1-'user input'!$C$12)))</f>
        <v>0</v>
      </c>
    </row>
    <row r="680" spans="1:6" x14ac:dyDescent="0.2">
      <c r="A680" s="1">
        <v>40856</v>
      </c>
      <c r="B680">
        <v>313</v>
      </c>
      <c r="C680">
        <f>IF(B680&gt;'user input'!$C$6,0,IF('heat units'!H680&gt;1,1,'heat units'!H680))</f>
        <v>1</v>
      </c>
      <c r="D680">
        <f>IF(B680&gt;'user input'!$C$6,0,(C680/(C680+EXP('user input'!$C$15-'user input'!$C$14*C680))))</f>
        <v>0.99996737202265329</v>
      </c>
      <c r="E680">
        <f>IF(C680&lt;'user input'!$C$12,(D680-D679)*'user input'!$C$17*(1-EXP(5*(F679-'user input'!$C$17))),F680-F679)</f>
        <v>0</v>
      </c>
      <c r="F680">
        <f>IF(C680&lt;'user input'!$C$12,IF(B680&gt;'user input'!$C$6,0,F679+E680),'user input'!$C$17*((1-C680)/(1-'user input'!$C$12)))</f>
        <v>0</v>
      </c>
    </row>
    <row r="681" spans="1:6" x14ac:dyDescent="0.2">
      <c r="A681" s="1">
        <v>40857</v>
      </c>
      <c r="B681">
        <v>314</v>
      </c>
      <c r="C681">
        <f>IF(B681&gt;'user input'!$C$6,0,IF('heat units'!H681&gt;1,1,'heat units'!H681))</f>
        <v>1</v>
      </c>
      <c r="D681">
        <f>IF(B681&gt;'user input'!$C$6,0,(C681/(C681+EXP('user input'!$C$15-'user input'!$C$14*C681))))</f>
        <v>0.99996737202265329</v>
      </c>
      <c r="E681">
        <f>IF(C681&lt;'user input'!$C$12,(D681-D680)*'user input'!$C$17*(1-EXP(5*(F680-'user input'!$C$17))),F681-F680)</f>
        <v>0</v>
      </c>
      <c r="F681">
        <f>IF(C681&lt;'user input'!$C$12,IF(B681&gt;'user input'!$C$6,0,F680+E681),'user input'!$C$17*((1-C681)/(1-'user input'!$C$12)))</f>
        <v>0</v>
      </c>
    </row>
    <row r="682" spans="1:6" x14ac:dyDescent="0.2">
      <c r="A682" s="1">
        <v>40858</v>
      </c>
      <c r="B682">
        <v>315</v>
      </c>
      <c r="C682">
        <f>IF(B682&gt;'user input'!$C$6,0,IF('heat units'!H682&gt;1,1,'heat units'!H682))</f>
        <v>1</v>
      </c>
      <c r="D682">
        <f>IF(B682&gt;'user input'!$C$6,0,(C682/(C682+EXP('user input'!$C$15-'user input'!$C$14*C682))))</f>
        <v>0.99996737202265329</v>
      </c>
      <c r="E682">
        <f>IF(C682&lt;'user input'!$C$12,(D682-D681)*'user input'!$C$17*(1-EXP(5*(F681-'user input'!$C$17))),F682-F681)</f>
        <v>0</v>
      </c>
      <c r="F682">
        <f>IF(C682&lt;'user input'!$C$12,IF(B682&gt;'user input'!$C$6,0,F681+E682),'user input'!$C$17*((1-C682)/(1-'user input'!$C$12)))</f>
        <v>0</v>
      </c>
    </row>
    <row r="683" spans="1:6" x14ac:dyDescent="0.2">
      <c r="A683" s="1">
        <v>40859</v>
      </c>
      <c r="B683">
        <v>316</v>
      </c>
      <c r="C683">
        <f>IF(B683&gt;'user input'!$C$6,0,IF('heat units'!H683&gt;1,1,'heat units'!H683))</f>
        <v>1</v>
      </c>
      <c r="D683">
        <f>IF(B683&gt;'user input'!$C$6,0,(C683/(C683+EXP('user input'!$C$15-'user input'!$C$14*C683))))</f>
        <v>0.99996737202265329</v>
      </c>
      <c r="E683">
        <f>IF(C683&lt;'user input'!$C$12,(D683-D682)*'user input'!$C$17*(1-EXP(5*(F682-'user input'!$C$17))),F683-F682)</f>
        <v>0</v>
      </c>
      <c r="F683">
        <f>IF(C683&lt;'user input'!$C$12,IF(B683&gt;'user input'!$C$6,0,F682+E683),'user input'!$C$17*((1-C683)/(1-'user input'!$C$12)))</f>
        <v>0</v>
      </c>
    </row>
    <row r="684" spans="1:6" x14ac:dyDescent="0.2">
      <c r="A684" s="1">
        <v>40860</v>
      </c>
      <c r="B684">
        <v>317</v>
      </c>
      <c r="C684">
        <f>IF(B684&gt;'user input'!$C$6,0,IF('heat units'!H684&gt;1,1,'heat units'!H684))</f>
        <v>1</v>
      </c>
      <c r="D684">
        <f>IF(B684&gt;'user input'!$C$6,0,(C684/(C684+EXP('user input'!$C$15-'user input'!$C$14*C684))))</f>
        <v>0.99996737202265329</v>
      </c>
      <c r="E684">
        <f>IF(C684&lt;'user input'!$C$12,(D684-D683)*'user input'!$C$17*(1-EXP(5*(F683-'user input'!$C$17))),F684-F683)</f>
        <v>0</v>
      </c>
      <c r="F684">
        <f>IF(C684&lt;'user input'!$C$12,IF(B684&gt;'user input'!$C$6,0,F683+E684),'user input'!$C$17*((1-C684)/(1-'user input'!$C$12)))</f>
        <v>0</v>
      </c>
    </row>
    <row r="685" spans="1:6" x14ac:dyDescent="0.2">
      <c r="A685" s="1">
        <v>40861</v>
      </c>
      <c r="B685">
        <v>318</v>
      </c>
      <c r="C685">
        <f>IF(B685&gt;'user input'!$C$6,0,IF('heat units'!H685&gt;1,1,'heat units'!H685))</f>
        <v>1</v>
      </c>
      <c r="D685">
        <f>IF(B685&gt;'user input'!$C$6,0,(C685/(C685+EXP('user input'!$C$15-'user input'!$C$14*C685))))</f>
        <v>0.99996737202265329</v>
      </c>
      <c r="E685">
        <f>IF(C685&lt;'user input'!$C$12,(D685-D684)*'user input'!$C$17*(1-EXP(5*(F684-'user input'!$C$17))),F685-F684)</f>
        <v>0</v>
      </c>
      <c r="F685">
        <f>IF(C685&lt;'user input'!$C$12,IF(B685&gt;'user input'!$C$6,0,F684+E685),'user input'!$C$17*((1-C685)/(1-'user input'!$C$12)))</f>
        <v>0</v>
      </c>
    </row>
    <row r="686" spans="1:6" x14ac:dyDescent="0.2">
      <c r="A686" s="1">
        <v>40862</v>
      </c>
      <c r="B686">
        <v>319</v>
      </c>
      <c r="C686">
        <f>IF(B686&gt;'user input'!$C$6,0,IF('heat units'!H686&gt;1,1,'heat units'!H686))</f>
        <v>1</v>
      </c>
      <c r="D686">
        <f>IF(B686&gt;'user input'!$C$6,0,(C686/(C686+EXP('user input'!$C$15-'user input'!$C$14*C686))))</f>
        <v>0.99996737202265329</v>
      </c>
      <c r="E686">
        <f>IF(C686&lt;'user input'!$C$12,(D686-D685)*'user input'!$C$17*(1-EXP(5*(F685-'user input'!$C$17))),F686-F685)</f>
        <v>0</v>
      </c>
      <c r="F686">
        <f>IF(C686&lt;'user input'!$C$12,IF(B686&gt;'user input'!$C$6,0,F685+E686),'user input'!$C$17*((1-C686)/(1-'user input'!$C$12)))</f>
        <v>0</v>
      </c>
    </row>
    <row r="687" spans="1:6" x14ac:dyDescent="0.2">
      <c r="A687" s="1">
        <v>40863</v>
      </c>
      <c r="B687">
        <v>320</v>
      </c>
      <c r="C687">
        <f>IF(B687&gt;'user input'!$C$6,0,IF('heat units'!H687&gt;1,1,'heat units'!H687))</f>
        <v>0</v>
      </c>
      <c r="D687">
        <f>IF(B687&gt;'user input'!$C$6,0,(C687/(C687+EXP('user input'!$C$15-'user input'!$C$14*C687))))</f>
        <v>0</v>
      </c>
      <c r="E687">
        <f>IF(C687&lt;'user input'!$C$12,(D687-D686)*'user input'!$C$17*(1-EXP(5*(F686-'user input'!$C$17))),F687-F686)</f>
        <v>-2.9999011983909414</v>
      </c>
      <c r="F687">
        <f>IF(C687&lt;'user input'!$C$12,IF(B687&gt;'user input'!$C$6,0,F686+E687),'user input'!$C$17*((1-C687)/(1-'user input'!$C$12)))</f>
        <v>0</v>
      </c>
    </row>
    <row r="688" spans="1:6" x14ac:dyDescent="0.2">
      <c r="A688" s="1">
        <v>40864</v>
      </c>
      <c r="B688">
        <v>321</v>
      </c>
      <c r="C688">
        <f>IF(B688&gt;'user input'!$C$6,0,IF('heat units'!H688&gt;1,1,'heat units'!H688))</f>
        <v>0</v>
      </c>
      <c r="D688">
        <f>IF(B688&gt;'user input'!$C$6,0,(C688/(C688+EXP('user input'!$C$15-'user input'!$C$14*C688))))</f>
        <v>0</v>
      </c>
      <c r="E688">
        <f>IF(C688&lt;'user input'!$C$12,(D688-D687)*'user input'!$C$17*(1-EXP(5*(F687-'user input'!$C$17))),F688-F687)</f>
        <v>0</v>
      </c>
      <c r="F688">
        <f>IF(C688&lt;'user input'!$C$12,IF(B688&gt;'user input'!$C$6,0,F687+E688),'user input'!$C$17*((1-C688)/(1-'user input'!$C$12)))</f>
        <v>0</v>
      </c>
    </row>
    <row r="689" spans="1:6" x14ac:dyDescent="0.2">
      <c r="A689" s="1">
        <v>40865</v>
      </c>
      <c r="B689">
        <v>322</v>
      </c>
      <c r="C689">
        <f>IF(B689&gt;'user input'!$C$6,0,IF('heat units'!H689&gt;1,1,'heat units'!H689))</f>
        <v>0</v>
      </c>
      <c r="D689">
        <f>IF(B689&gt;'user input'!$C$6,0,(C689/(C689+EXP('user input'!$C$15-'user input'!$C$14*C689))))</f>
        <v>0</v>
      </c>
      <c r="E689">
        <f>IF(C689&lt;'user input'!$C$12,(D689-D688)*'user input'!$C$17*(1-EXP(5*(F688-'user input'!$C$17))),F689-F688)</f>
        <v>0</v>
      </c>
      <c r="F689">
        <f>IF(C689&lt;'user input'!$C$12,IF(B689&gt;'user input'!$C$6,0,F688+E689),'user input'!$C$17*((1-C689)/(1-'user input'!$C$12)))</f>
        <v>0</v>
      </c>
    </row>
    <row r="690" spans="1:6" x14ac:dyDescent="0.2">
      <c r="A690" s="1">
        <v>40866</v>
      </c>
      <c r="B690">
        <v>323</v>
      </c>
      <c r="C690">
        <f>IF(B690&gt;'user input'!$C$6,0,IF('heat units'!H690&gt;1,1,'heat units'!H690))</f>
        <v>0</v>
      </c>
      <c r="D690">
        <f>IF(B690&gt;'user input'!$C$6,0,(C690/(C690+EXP('user input'!$C$15-'user input'!$C$14*C690))))</f>
        <v>0</v>
      </c>
      <c r="E690">
        <f>IF(C690&lt;'user input'!$C$12,(D690-D689)*'user input'!$C$17*(1-EXP(5*(F689-'user input'!$C$17))),F690-F689)</f>
        <v>0</v>
      </c>
      <c r="F690">
        <f>IF(C690&lt;'user input'!$C$12,IF(B690&gt;'user input'!$C$6,0,F689+E690),'user input'!$C$17*((1-C690)/(1-'user input'!$C$12)))</f>
        <v>0</v>
      </c>
    </row>
    <row r="691" spans="1:6" x14ac:dyDescent="0.2">
      <c r="A691" s="1">
        <v>40867</v>
      </c>
      <c r="B691">
        <v>324</v>
      </c>
      <c r="C691">
        <f>IF(B691&gt;'user input'!$C$6,0,IF('heat units'!H691&gt;1,1,'heat units'!H691))</f>
        <v>0</v>
      </c>
      <c r="D691">
        <f>IF(B691&gt;'user input'!$C$6,0,(C691/(C691+EXP('user input'!$C$15-'user input'!$C$14*C691))))</f>
        <v>0</v>
      </c>
      <c r="E691">
        <f>IF(C691&lt;'user input'!$C$12,(D691-D690)*'user input'!$C$17*(1-EXP(5*(F690-'user input'!$C$17))),F691-F690)</f>
        <v>0</v>
      </c>
      <c r="F691">
        <f>IF(C691&lt;'user input'!$C$12,IF(B691&gt;'user input'!$C$6,0,F690+E691),'user input'!$C$17*((1-C691)/(1-'user input'!$C$12)))</f>
        <v>0</v>
      </c>
    </row>
    <row r="692" spans="1:6" x14ac:dyDescent="0.2">
      <c r="A692" s="1">
        <v>40868</v>
      </c>
      <c r="B692">
        <v>325</v>
      </c>
      <c r="C692">
        <f>IF(B692&gt;'user input'!$C$6,0,IF('heat units'!H692&gt;1,1,'heat units'!H692))</f>
        <v>0</v>
      </c>
      <c r="D692">
        <f>IF(B692&gt;'user input'!$C$6,0,(C692/(C692+EXP('user input'!$C$15-'user input'!$C$14*C692))))</f>
        <v>0</v>
      </c>
      <c r="E692">
        <f>IF(C692&lt;'user input'!$C$12,(D692-D691)*'user input'!$C$17*(1-EXP(5*(F691-'user input'!$C$17))),F692-F691)</f>
        <v>0</v>
      </c>
      <c r="F692">
        <f>IF(C692&lt;'user input'!$C$12,IF(B692&gt;'user input'!$C$6,0,F691+E692),'user input'!$C$17*((1-C692)/(1-'user input'!$C$12)))</f>
        <v>0</v>
      </c>
    </row>
    <row r="693" spans="1:6" x14ac:dyDescent="0.2">
      <c r="A693" s="1">
        <v>40869</v>
      </c>
      <c r="B693">
        <v>326</v>
      </c>
      <c r="C693">
        <f>IF(B693&gt;'user input'!$C$6,0,IF('heat units'!H693&gt;1,1,'heat units'!H693))</f>
        <v>0</v>
      </c>
      <c r="D693">
        <f>IF(B693&gt;'user input'!$C$6,0,(C693/(C693+EXP('user input'!$C$15-'user input'!$C$14*C693))))</f>
        <v>0</v>
      </c>
      <c r="E693">
        <f>IF(C693&lt;'user input'!$C$12,(D693-D692)*'user input'!$C$17*(1-EXP(5*(F692-'user input'!$C$17))),F693-F692)</f>
        <v>0</v>
      </c>
      <c r="F693">
        <f>IF(C693&lt;'user input'!$C$12,IF(B693&gt;'user input'!$C$6,0,F692+E693),'user input'!$C$17*((1-C693)/(1-'user input'!$C$12)))</f>
        <v>0</v>
      </c>
    </row>
    <row r="694" spans="1:6" x14ac:dyDescent="0.2">
      <c r="A694" s="1">
        <v>40870</v>
      </c>
      <c r="B694">
        <v>327</v>
      </c>
      <c r="C694">
        <f>IF(B694&gt;'user input'!$C$6,0,IF('heat units'!H694&gt;1,1,'heat units'!H694))</f>
        <v>0</v>
      </c>
      <c r="D694">
        <f>IF(B694&gt;'user input'!$C$6,0,(C694/(C694+EXP('user input'!$C$15-'user input'!$C$14*C694))))</f>
        <v>0</v>
      </c>
      <c r="E694">
        <f>IF(C694&lt;'user input'!$C$12,(D694-D693)*'user input'!$C$17*(1-EXP(5*(F693-'user input'!$C$17))),F694-F693)</f>
        <v>0</v>
      </c>
      <c r="F694">
        <f>IF(C694&lt;'user input'!$C$12,IF(B694&gt;'user input'!$C$6,0,F693+E694),'user input'!$C$17*((1-C694)/(1-'user input'!$C$12)))</f>
        <v>0</v>
      </c>
    </row>
    <row r="695" spans="1:6" x14ac:dyDescent="0.2">
      <c r="A695" s="1">
        <v>40871</v>
      </c>
      <c r="B695">
        <v>328</v>
      </c>
      <c r="C695">
        <f>IF(B695&gt;'user input'!$C$6,0,IF('heat units'!H695&gt;1,1,'heat units'!H695))</f>
        <v>0</v>
      </c>
      <c r="D695">
        <f>IF(B695&gt;'user input'!$C$6,0,(C695/(C695+EXP('user input'!$C$15-'user input'!$C$14*C695))))</f>
        <v>0</v>
      </c>
      <c r="E695">
        <f>IF(C695&lt;'user input'!$C$12,(D695-D694)*'user input'!$C$17*(1-EXP(5*(F694-'user input'!$C$17))),F695-F694)</f>
        <v>0</v>
      </c>
      <c r="F695">
        <f>IF(C695&lt;'user input'!$C$12,IF(B695&gt;'user input'!$C$6,0,F694+E695),'user input'!$C$17*((1-C695)/(1-'user input'!$C$12)))</f>
        <v>0</v>
      </c>
    </row>
    <row r="696" spans="1:6" x14ac:dyDescent="0.2">
      <c r="A696" s="1">
        <v>40872</v>
      </c>
      <c r="B696">
        <v>329</v>
      </c>
      <c r="C696">
        <f>IF(B696&gt;'user input'!$C$6,0,IF('heat units'!H696&gt;1,1,'heat units'!H696))</f>
        <v>0</v>
      </c>
      <c r="D696">
        <f>IF(B696&gt;'user input'!$C$6,0,(C696/(C696+EXP('user input'!$C$15-'user input'!$C$14*C696))))</f>
        <v>0</v>
      </c>
      <c r="E696">
        <f>IF(C696&lt;'user input'!$C$12,(D696-D695)*'user input'!$C$17*(1-EXP(5*(F695-'user input'!$C$17))),F696-F695)</f>
        <v>0</v>
      </c>
      <c r="F696">
        <f>IF(C696&lt;'user input'!$C$12,IF(B696&gt;'user input'!$C$6,0,F695+E696),'user input'!$C$17*((1-C696)/(1-'user input'!$C$12)))</f>
        <v>0</v>
      </c>
    </row>
    <row r="697" spans="1:6" x14ac:dyDescent="0.2">
      <c r="A697" s="1">
        <v>40873</v>
      </c>
      <c r="B697">
        <v>330</v>
      </c>
      <c r="C697">
        <f>IF(B697&gt;'user input'!$C$6,0,IF('heat units'!H697&gt;1,1,'heat units'!H697))</f>
        <v>0</v>
      </c>
      <c r="D697">
        <f>IF(B697&gt;'user input'!$C$6,0,(C697/(C697+EXP('user input'!$C$15-'user input'!$C$14*C697))))</f>
        <v>0</v>
      </c>
      <c r="E697">
        <f>IF(C697&lt;'user input'!$C$12,(D697-D696)*'user input'!$C$17*(1-EXP(5*(F696-'user input'!$C$17))),F697-F696)</f>
        <v>0</v>
      </c>
      <c r="F697">
        <f>IF(C697&lt;'user input'!$C$12,IF(B697&gt;'user input'!$C$6,0,F696+E697),'user input'!$C$17*((1-C697)/(1-'user input'!$C$12)))</f>
        <v>0</v>
      </c>
    </row>
    <row r="698" spans="1:6" x14ac:dyDescent="0.2">
      <c r="A698" s="1">
        <v>40874</v>
      </c>
      <c r="B698">
        <v>331</v>
      </c>
      <c r="C698">
        <f>IF(B698&gt;'user input'!$C$6,0,IF('heat units'!H698&gt;1,1,'heat units'!H698))</f>
        <v>0</v>
      </c>
      <c r="D698">
        <f>IF(B698&gt;'user input'!$C$6,0,(C698/(C698+EXP('user input'!$C$15-'user input'!$C$14*C698))))</f>
        <v>0</v>
      </c>
      <c r="E698">
        <f>IF(C698&lt;'user input'!$C$12,(D698-D697)*'user input'!$C$17*(1-EXP(5*(F697-'user input'!$C$17))),F698-F697)</f>
        <v>0</v>
      </c>
      <c r="F698">
        <f>IF(C698&lt;'user input'!$C$12,IF(B698&gt;'user input'!$C$6,0,F697+E698),'user input'!$C$17*((1-C698)/(1-'user input'!$C$12)))</f>
        <v>0</v>
      </c>
    </row>
    <row r="699" spans="1:6" x14ac:dyDescent="0.2">
      <c r="A699" s="1">
        <v>40875</v>
      </c>
      <c r="B699">
        <v>332</v>
      </c>
      <c r="C699">
        <f>IF(B699&gt;'user input'!$C$6,0,IF('heat units'!H699&gt;1,1,'heat units'!H699))</f>
        <v>0</v>
      </c>
      <c r="D699">
        <f>IF(B699&gt;'user input'!$C$6,0,(C699/(C699+EXP('user input'!$C$15-'user input'!$C$14*C699))))</f>
        <v>0</v>
      </c>
      <c r="E699">
        <f>IF(C699&lt;'user input'!$C$12,(D699-D698)*'user input'!$C$17*(1-EXP(5*(F698-'user input'!$C$17))),F699-F698)</f>
        <v>0</v>
      </c>
      <c r="F699">
        <f>IF(C699&lt;'user input'!$C$12,IF(B699&gt;'user input'!$C$6,0,F698+E699),'user input'!$C$17*((1-C699)/(1-'user input'!$C$12)))</f>
        <v>0</v>
      </c>
    </row>
    <row r="700" spans="1:6" x14ac:dyDescent="0.2">
      <c r="A700" s="1">
        <v>40876</v>
      </c>
      <c r="B700">
        <v>333</v>
      </c>
      <c r="C700">
        <f>IF(B700&gt;'user input'!$C$6,0,IF('heat units'!H700&gt;1,1,'heat units'!H700))</f>
        <v>0</v>
      </c>
      <c r="D700">
        <f>IF(B700&gt;'user input'!$C$6,0,(C700/(C700+EXP('user input'!$C$15-'user input'!$C$14*C700))))</f>
        <v>0</v>
      </c>
      <c r="E700">
        <f>IF(C700&lt;'user input'!$C$12,(D700-D699)*'user input'!$C$17*(1-EXP(5*(F699-'user input'!$C$17))),F700-F699)</f>
        <v>0</v>
      </c>
      <c r="F700">
        <f>IF(C700&lt;'user input'!$C$12,IF(B700&gt;'user input'!$C$6,0,F699+E700),'user input'!$C$17*((1-C700)/(1-'user input'!$C$12)))</f>
        <v>0</v>
      </c>
    </row>
    <row r="701" spans="1:6" x14ac:dyDescent="0.2">
      <c r="A701" s="1">
        <v>40877</v>
      </c>
      <c r="B701">
        <v>334</v>
      </c>
      <c r="C701">
        <f>IF(B701&gt;'user input'!$C$6,0,IF('heat units'!H701&gt;1,1,'heat units'!H701))</f>
        <v>0</v>
      </c>
      <c r="D701">
        <f>IF(B701&gt;'user input'!$C$6,0,(C701/(C701+EXP('user input'!$C$15-'user input'!$C$14*C701))))</f>
        <v>0</v>
      </c>
      <c r="E701">
        <f>IF(C701&lt;'user input'!$C$12,(D701-D700)*'user input'!$C$17*(1-EXP(5*(F700-'user input'!$C$17))),F701-F700)</f>
        <v>0</v>
      </c>
      <c r="F701">
        <f>IF(C701&lt;'user input'!$C$12,IF(B701&gt;'user input'!$C$6,0,F700+E701),'user input'!$C$17*((1-C701)/(1-'user input'!$C$12)))</f>
        <v>0</v>
      </c>
    </row>
    <row r="702" spans="1:6" x14ac:dyDescent="0.2">
      <c r="A702" s="1">
        <v>40878</v>
      </c>
      <c r="B702">
        <v>335</v>
      </c>
      <c r="C702">
        <f>IF(B702&gt;'user input'!$C$6,0,IF('heat units'!H702&gt;1,1,'heat units'!H702))</f>
        <v>0</v>
      </c>
      <c r="D702">
        <f>IF(B702&gt;'user input'!$C$6,0,(C702/(C702+EXP('user input'!$C$15-'user input'!$C$14*C702))))</f>
        <v>0</v>
      </c>
      <c r="E702">
        <f>IF(C702&lt;'user input'!$C$12,(D702-D701)*'user input'!$C$17*(1-EXP(5*(F701-'user input'!$C$17))),F702-F701)</f>
        <v>0</v>
      </c>
      <c r="F702">
        <f>IF(C702&lt;'user input'!$C$12,IF(B702&gt;'user input'!$C$6,0,F701+E702),'user input'!$C$17*((1-C702)/(1-'user input'!$C$12)))</f>
        <v>0</v>
      </c>
    </row>
    <row r="703" spans="1:6" x14ac:dyDescent="0.2">
      <c r="A703" s="1">
        <v>40879</v>
      </c>
      <c r="B703">
        <v>336</v>
      </c>
      <c r="C703">
        <f>IF(B703&gt;'user input'!$C$6,0,IF('heat units'!H703&gt;1,1,'heat units'!H703))</f>
        <v>0</v>
      </c>
      <c r="D703">
        <f>IF(B703&gt;'user input'!$C$6,0,(C703/(C703+EXP('user input'!$C$15-'user input'!$C$14*C703))))</f>
        <v>0</v>
      </c>
      <c r="E703">
        <f>IF(C703&lt;'user input'!$C$12,(D703-D702)*'user input'!$C$17*(1-EXP(5*(F702-'user input'!$C$17))),F703-F702)</f>
        <v>0</v>
      </c>
      <c r="F703">
        <f>IF(C703&lt;'user input'!$C$12,IF(B703&gt;'user input'!$C$6,0,F702+E703),'user input'!$C$17*((1-C703)/(1-'user input'!$C$12)))</f>
        <v>0</v>
      </c>
    </row>
    <row r="704" spans="1:6" x14ac:dyDescent="0.2">
      <c r="A704" s="1">
        <v>40880</v>
      </c>
      <c r="B704">
        <v>337</v>
      </c>
      <c r="C704">
        <f>IF(B704&gt;'user input'!$C$6,0,IF('heat units'!H704&gt;1,1,'heat units'!H704))</f>
        <v>0</v>
      </c>
      <c r="D704">
        <f>IF(B704&gt;'user input'!$C$6,0,(C704/(C704+EXP('user input'!$C$15-'user input'!$C$14*C704))))</f>
        <v>0</v>
      </c>
      <c r="E704">
        <f>IF(C704&lt;'user input'!$C$12,(D704-D703)*'user input'!$C$17*(1-EXP(5*(F703-'user input'!$C$17))),F704-F703)</f>
        <v>0</v>
      </c>
      <c r="F704">
        <f>IF(C704&lt;'user input'!$C$12,IF(B704&gt;'user input'!$C$6,0,F703+E704),'user input'!$C$17*((1-C704)/(1-'user input'!$C$12)))</f>
        <v>0</v>
      </c>
    </row>
    <row r="705" spans="1:6" x14ac:dyDescent="0.2">
      <c r="A705" s="1">
        <v>40881</v>
      </c>
      <c r="B705">
        <v>338</v>
      </c>
      <c r="C705">
        <f>IF(B705&gt;'user input'!$C$6,0,IF('heat units'!H705&gt;1,1,'heat units'!H705))</f>
        <v>0</v>
      </c>
      <c r="D705">
        <f>IF(B705&gt;'user input'!$C$6,0,(C705/(C705+EXP('user input'!$C$15-'user input'!$C$14*C705))))</f>
        <v>0</v>
      </c>
      <c r="E705">
        <f>IF(C705&lt;'user input'!$C$12,(D705-D704)*'user input'!$C$17*(1-EXP(5*(F704-'user input'!$C$17))),F705-F704)</f>
        <v>0</v>
      </c>
      <c r="F705">
        <f>IF(C705&lt;'user input'!$C$12,IF(B705&gt;'user input'!$C$6,0,F704+E705),'user input'!$C$17*((1-C705)/(1-'user input'!$C$12)))</f>
        <v>0</v>
      </c>
    </row>
    <row r="706" spans="1:6" x14ac:dyDescent="0.2">
      <c r="A706" s="1">
        <v>40882</v>
      </c>
      <c r="B706">
        <v>339</v>
      </c>
      <c r="C706">
        <f>IF(B706&gt;'user input'!$C$6,0,IF('heat units'!H706&gt;1,1,'heat units'!H706))</f>
        <v>0</v>
      </c>
      <c r="D706">
        <f>IF(B706&gt;'user input'!$C$6,0,(C706/(C706+EXP('user input'!$C$15-'user input'!$C$14*C706))))</f>
        <v>0</v>
      </c>
      <c r="E706">
        <f>IF(C706&lt;'user input'!$C$12,(D706-D705)*'user input'!$C$17*(1-EXP(5*(F705-'user input'!$C$17))),F706-F705)</f>
        <v>0</v>
      </c>
      <c r="F706">
        <f>IF(C706&lt;'user input'!$C$12,IF(B706&gt;'user input'!$C$6,0,F705+E706),'user input'!$C$17*((1-C706)/(1-'user input'!$C$12)))</f>
        <v>0</v>
      </c>
    </row>
    <row r="707" spans="1:6" x14ac:dyDescent="0.2">
      <c r="A707" s="1">
        <v>40883</v>
      </c>
      <c r="B707">
        <v>340</v>
      </c>
      <c r="C707">
        <f>IF(B707&gt;'user input'!$C$6,0,IF('heat units'!H707&gt;1,1,'heat units'!H707))</f>
        <v>0</v>
      </c>
      <c r="D707">
        <f>IF(B707&gt;'user input'!$C$6,0,(C707/(C707+EXP('user input'!$C$15-'user input'!$C$14*C707))))</f>
        <v>0</v>
      </c>
      <c r="E707">
        <f>IF(C707&lt;'user input'!$C$12,(D707-D706)*'user input'!$C$17*(1-EXP(5*(F706-'user input'!$C$17))),F707-F706)</f>
        <v>0</v>
      </c>
      <c r="F707">
        <f>IF(C707&lt;'user input'!$C$12,IF(B707&gt;'user input'!$C$6,0,F706+E707),'user input'!$C$17*((1-C707)/(1-'user input'!$C$12)))</f>
        <v>0</v>
      </c>
    </row>
    <row r="708" spans="1:6" x14ac:dyDescent="0.2">
      <c r="A708" s="1">
        <v>40884</v>
      </c>
      <c r="B708">
        <v>341</v>
      </c>
      <c r="C708">
        <f>IF(B708&gt;'user input'!$C$6,0,IF('heat units'!H708&gt;1,1,'heat units'!H708))</f>
        <v>0</v>
      </c>
      <c r="D708">
        <f>IF(B708&gt;'user input'!$C$6,0,(C708/(C708+EXP('user input'!$C$15-'user input'!$C$14*C708))))</f>
        <v>0</v>
      </c>
      <c r="E708">
        <f>IF(C708&lt;'user input'!$C$12,(D708-D707)*'user input'!$C$17*(1-EXP(5*(F707-'user input'!$C$17))),F708-F707)</f>
        <v>0</v>
      </c>
      <c r="F708">
        <f>IF(C708&lt;'user input'!$C$12,IF(B708&gt;'user input'!$C$6,0,F707+E708),'user input'!$C$17*((1-C708)/(1-'user input'!$C$12)))</f>
        <v>0</v>
      </c>
    </row>
    <row r="709" spans="1:6" x14ac:dyDescent="0.2">
      <c r="A709" s="1">
        <v>40885</v>
      </c>
      <c r="B709">
        <v>342</v>
      </c>
      <c r="C709">
        <f>IF(B709&gt;'user input'!$C$6,0,IF('heat units'!H709&gt;1,1,'heat units'!H709))</f>
        <v>0</v>
      </c>
      <c r="D709">
        <f>IF(B709&gt;'user input'!$C$6,0,(C709/(C709+EXP('user input'!$C$15-'user input'!$C$14*C709))))</f>
        <v>0</v>
      </c>
      <c r="E709">
        <f>IF(C709&lt;'user input'!$C$12,(D709-D708)*'user input'!$C$17*(1-EXP(5*(F708-'user input'!$C$17))),F709-F708)</f>
        <v>0</v>
      </c>
      <c r="F709">
        <f>IF(C709&lt;'user input'!$C$12,IF(B709&gt;'user input'!$C$6,0,F708+E709),'user input'!$C$17*((1-C709)/(1-'user input'!$C$12)))</f>
        <v>0</v>
      </c>
    </row>
    <row r="710" spans="1:6" x14ac:dyDescent="0.2">
      <c r="A710" s="1">
        <v>40886</v>
      </c>
      <c r="B710">
        <v>343</v>
      </c>
      <c r="C710">
        <f>IF(B710&gt;'user input'!$C$6,0,IF('heat units'!H710&gt;1,1,'heat units'!H710))</f>
        <v>0</v>
      </c>
      <c r="D710">
        <f>IF(B710&gt;'user input'!$C$6,0,(C710/(C710+EXP('user input'!$C$15-'user input'!$C$14*C710))))</f>
        <v>0</v>
      </c>
      <c r="E710">
        <f>IF(C710&lt;'user input'!$C$12,(D710-D709)*'user input'!$C$17*(1-EXP(5*(F709-'user input'!$C$17))),F710-F709)</f>
        <v>0</v>
      </c>
      <c r="F710">
        <f>IF(C710&lt;'user input'!$C$12,IF(B710&gt;'user input'!$C$6,0,F709+E710),'user input'!$C$17*((1-C710)/(1-'user input'!$C$12)))</f>
        <v>0</v>
      </c>
    </row>
    <row r="711" spans="1:6" x14ac:dyDescent="0.2">
      <c r="A711" s="1">
        <v>40887</v>
      </c>
      <c r="B711">
        <v>344</v>
      </c>
      <c r="C711">
        <f>IF(B711&gt;'user input'!$C$6,0,IF('heat units'!H711&gt;1,1,'heat units'!H711))</f>
        <v>0</v>
      </c>
      <c r="D711">
        <f>IF(B711&gt;'user input'!$C$6,0,(C711/(C711+EXP('user input'!$C$15-'user input'!$C$14*C711))))</f>
        <v>0</v>
      </c>
      <c r="E711">
        <f>IF(C711&lt;'user input'!$C$12,(D711-D710)*'user input'!$C$17*(1-EXP(5*(F710-'user input'!$C$17))),F711-F710)</f>
        <v>0</v>
      </c>
      <c r="F711">
        <f>IF(C711&lt;'user input'!$C$12,IF(B711&gt;'user input'!$C$6,0,F710+E711),'user input'!$C$17*((1-C711)/(1-'user input'!$C$12)))</f>
        <v>0</v>
      </c>
    </row>
    <row r="712" spans="1:6" x14ac:dyDescent="0.2">
      <c r="A712" s="1">
        <v>40888</v>
      </c>
      <c r="B712">
        <v>345</v>
      </c>
      <c r="C712">
        <f>IF(B712&gt;'user input'!$C$6,0,IF('heat units'!H712&gt;1,1,'heat units'!H712))</f>
        <v>0</v>
      </c>
      <c r="D712">
        <f>IF(B712&gt;'user input'!$C$6,0,(C712/(C712+EXP('user input'!$C$15-'user input'!$C$14*C712))))</f>
        <v>0</v>
      </c>
      <c r="E712">
        <f>IF(C712&lt;'user input'!$C$12,(D712-D711)*'user input'!$C$17*(1-EXP(5*(F711-'user input'!$C$17))),F712-F711)</f>
        <v>0</v>
      </c>
      <c r="F712">
        <f>IF(C712&lt;'user input'!$C$12,IF(B712&gt;'user input'!$C$6,0,F711+E712),'user input'!$C$17*((1-C712)/(1-'user input'!$C$12)))</f>
        <v>0</v>
      </c>
    </row>
    <row r="713" spans="1:6" x14ac:dyDescent="0.2">
      <c r="A713" s="1">
        <v>40889</v>
      </c>
      <c r="B713">
        <v>346</v>
      </c>
      <c r="C713">
        <f>IF(B713&gt;'user input'!$C$6,0,IF('heat units'!H713&gt;1,1,'heat units'!H713))</f>
        <v>0</v>
      </c>
      <c r="D713">
        <f>IF(B713&gt;'user input'!$C$6,0,(C713/(C713+EXP('user input'!$C$15-'user input'!$C$14*C713))))</f>
        <v>0</v>
      </c>
      <c r="E713">
        <f>IF(C713&lt;'user input'!$C$12,(D713-D712)*'user input'!$C$17*(1-EXP(5*(F712-'user input'!$C$17))),F713-F712)</f>
        <v>0</v>
      </c>
      <c r="F713">
        <f>IF(C713&lt;'user input'!$C$12,IF(B713&gt;'user input'!$C$6,0,F712+E713),'user input'!$C$17*((1-C713)/(1-'user input'!$C$12)))</f>
        <v>0</v>
      </c>
    </row>
    <row r="714" spans="1:6" x14ac:dyDescent="0.2">
      <c r="A714" s="1">
        <v>40890</v>
      </c>
      <c r="B714">
        <v>347</v>
      </c>
      <c r="C714">
        <f>IF(B714&gt;'user input'!$C$6,0,IF('heat units'!H714&gt;1,1,'heat units'!H714))</f>
        <v>0</v>
      </c>
      <c r="D714">
        <f>IF(B714&gt;'user input'!$C$6,0,(C714/(C714+EXP('user input'!$C$15-'user input'!$C$14*C714))))</f>
        <v>0</v>
      </c>
      <c r="E714">
        <f>IF(C714&lt;'user input'!$C$12,(D714-D713)*'user input'!$C$17*(1-EXP(5*(F713-'user input'!$C$17))),F714-F713)</f>
        <v>0</v>
      </c>
      <c r="F714">
        <f>IF(C714&lt;'user input'!$C$12,IF(B714&gt;'user input'!$C$6,0,F713+E714),'user input'!$C$17*((1-C714)/(1-'user input'!$C$12)))</f>
        <v>0</v>
      </c>
    </row>
    <row r="715" spans="1:6" x14ac:dyDescent="0.2">
      <c r="A715" s="1">
        <v>40891</v>
      </c>
      <c r="B715">
        <v>348</v>
      </c>
      <c r="C715">
        <f>IF(B715&gt;'user input'!$C$6,0,IF('heat units'!H715&gt;1,1,'heat units'!H715))</f>
        <v>0</v>
      </c>
      <c r="D715">
        <f>IF(B715&gt;'user input'!$C$6,0,(C715/(C715+EXP('user input'!$C$15-'user input'!$C$14*C715))))</f>
        <v>0</v>
      </c>
      <c r="E715">
        <f>IF(C715&lt;'user input'!$C$12,(D715-D714)*'user input'!$C$17*(1-EXP(5*(F714-'user input'!$C$17))),F715-F714)</f>
        <v>0</v>
      </c>
      <c r="F715">
        <f>IF(C715&lt;'user input'!$C$12,IF(B715&gt;'user input'!$C$6,0,F714+E715),'user input'!$C$17*((1-C715)/(1-'user input'!$C$12)))</f>
        <v>0</v>
      </c>
    </row>
    <row r="716" spans="1:6" x14ac:dyDescent="0.2">
      <c r="A716" s="1">
        <v>40892</v>
      </c>
      <c r="B716">
        <v>349</v>
      </c>
      <c r="C716">
        <f>IF(B716&gt;'user input'!$C$6,0,IF('heat units'!H716&gt;1,1,'heat units'!H716))</f>
        <v>0</v>
      </c>
      <c r="D716">
        <f>IF(B716&gt;'user input'!$C$6,0,(C716/(C716+EXP('user input'!$C$15-'user input'!$C$14*C716))))</f>
        <v>0</v>
      </c>
      <c r="E716">
        <f>IF(C716&lt;'user input'!$C$12,(D716-D715)*'user input'!$C$17*(1-EXP(5*(F715-'user input'!$C$17))),F716-F715)</f>
        <v>0</v>
      </c>
      <c r="F716">
        <f>IF(C716&lt;'user input'!$C$12,IF(B716&gt;'user input'!$C$6,0,F715+E716),'user input'!$C$17*((1-C716)/(1-'user input'!$C$12)))</f>
        <v>0</v>
      </c>
    </row>
    <row r="717" spans="1:6" x14ac:dyDescent="0.2">
      <c r="A717" s="1">
        <v>40893</v>
      </c>
      <c r="B717">
        <v>350</v>
      </c>
      <c r="C717">
        <f>IF(B717&gt;'user input'!$C$6,0,IF('heat units'!H717&gt;1,1,'heat units'!H717))</f>
        <v>0</v>
      </c>
      <c r="D717">
        <f>IF(B717&gt;'user input'!$C$6,0,(C717/(C717+EXP('user input'!$C$15-'user input'!$C$14*C717))))</f>
        <v>0</v>
      </c>
      <c r="E717">
        <f>IF(C717&lt;'user input'!$C$12,(D717-D716)*'user input'!$C$17*(1-EXP(5*(F716-'user input'!$C$17))),F717-F716)</f>
        <v>0</v>
      </c>
      <c r="F717">
        <f>IF(C717&lt;'user input'!$C$12,IF(B717&gt;'user input'!$C$6,0,F716+E717),'user input'!$C$17*((1-C717)/(1-'user input'!$C$12)))</f>
        <v>0</v>
      </c>
    </row>
    <row r="718" spans="1:6" x14ac:dyDescent="0.2">
      <c r="A718" s="1">
        <v>40894</v>
      </c>
      <c r="B718">
        <v>351</v>
      </c>
      <c r="C718">
        <f>IF(B718&gt;'user input'!$C$6,0,IF('heat units'!H718&gt;1,1,'heat units'!H718))</f>
        <v>0</v>
      </c>
      <c r="D718">
        <f>IF(B718&gt;'user input'!$C$6,0,(C718/(C718+EXP('user input'!$C$15-'user input'!$C$14*C718))))</f>
        <v>0</v>
      </c>
      <c r="E718">
        <f>IF(C718&lt;'user input'!$C$12,(D718-D717)*'user input'!$C$17*(1-EXP(5*(F717-'user input'!$C$17))),F718-F717)</f>
        <v>0</v>
      </c>
      <c r="F718">
        <f>IF(C718&lt;'user input'!$C$12,IF(B718&gt;'user input'!$C$6,0,F717+E718),'user input'!$C$17*((1-C718)/(1-'user input'!$C$12)))</f>
        <v>0</v>
      </c>
    </row>
    <row r="719" spans="1:6" x14ac:dyDescent="0.2">
      <c r="A719" s="1">
        <v>40895</v>
      </c>
      <c r="B719">
        <v>352</v>
      </c>
      <c r="C719">
        <f>IF(B719&gt;'user input'!$C$6,0,IF('heat units'!H719&gt;1,1,'heat units'!H719))</f>
        <v>0</v>
      </c>
      <c r="D719">
        <f>IF(B719&gt;'user input'!$C$6,0,(C719/(C719+EXP('user input'!$C$15-'user input'!$C$14*C719))))</f>
        <v>0</v>
      </c>
      <c r="E719">
        <f>IF(C719&lt;'user input'!$C$12,(D719-D718)*'user input'!$C$17*(1-EXP(5*(F718-'user input'!$C$17))),F719-F718)</f>
        <v>0</v>
      </c>
      <c r="F719">
        <f>IF(C719&lt;'user input'!$C$12,IF(B719&gt;'user input'!$C$6,0,F718+E719),'user input'!$C$17*((1-C719)/(1-'user input'!$C$12)))</f>
        <v>0</v>
      </c>
    </row>
    <row r="720" spans="1:6" x14ac:dyDescent="0.2">
      <c r="A720" s="1">
        <v>40896</v>
      </c>
      <c r="B720">
        <v>353</v>
      </c>
      <c r="C720">
        <f>IF(B720&gt;'user input'!$C$6,0,IF('heat units'!H720&gt;1,1,'heat units'!H720))</f>
        <v>0</v>
      </c>
      <c r="D720">
        <f>IF(B720&gt;'user input'!$C$6,0,(C720/(C720+EXP('user input'!$C$15-'user input'!$C$14*C720))))</f>
        <v>0</v>
      </c>
      <c r="E720">
        <f>IF(C720&lt;'user input'!$C$12,(D720-D719)*'user input'!$C$17*(1-EXP(5*(F719-'user input'!$C$17))),F720-F719)</f>
        <v>0</v>
      </c>
      <c r="F720">
        <f>IF(C720&lt;'user input'!$C$12,IF(B720&gt;'user input'!$C$6,0,F719+E720),'user input'!$C$17*((1-C720)/(1-'user input'!$C$12)))</f>
        <v>0</v>
      </c>
    </row>
    <row r="721" spans="1:6" x14ac:dyDescent="0.2">
      <c r="A721" s="1">
        <v>40897</v>
      </c>
      <c r="B721">
        <v>354</v>
      </c>
      <c r="C721">
        <f>IF(B721&gt;'user input'!$C$6,0,IF('heat units'!H721&gt;1,1,'heat units'!H721))</f>
        <v>0</v>
      </c>
      <c r="D721">
        <f>IF(B721&gt;'user input'!$C$6,0,(C721/(C721+EXP('user input'!$C$15-'user input'!$C$14*C721))))</f>
        <v>0</v>
      </c>
      <c r="E721">
        <f>IF(C721&lt;'user input'!$C$12,(D721-D720)*'user input'!$C$17*(1-EXP(5*(F720-'user input'!$C$17))),F721-F720)</f>
        <v>0</v>
      </c>
      <c r="F721">
        <f>IF(C721&lt;'user input'!$C$12,IF(B721&gt;'user input'!$C$6,0,F720+E721),'user input'!$C$17*((1-C721)/(1-'user input'!$C$12)))</f>
        <v>0</v>
      </c>
    </row>
    <row r="722" spans="1:6" x14ac:dyDescent="0.2">
      <c r="A722" s="1">
        <v>40898</v>
      </c>
      <c r="B722">
        <v>355</v>
      </c>
      <c r="C722">
        <f>IF(B722&gt;'user input'!$C$6,0,IF('heat units'!H722&gt;1,1,'heat units'!H722))</f>
        <v>0</v>
      </c>
      <c r="D722">
        <f>IF(B722&gt;'user input'!$C$6,0,(C722/(C722+EXP('user input'!$C$15-'user input'!$C$14*C722))))</f>
        <v>0</v>
      </c>
      <c r="E722">
        <f>IF(C722&lt;'user input'!$C$12,(D722-D721)*'user input'!$C$17*(1-EXP(5*(F721-'user input'!$C$17))),F722-F721)</f>
        <v>0</v>
      </c>
      <c r="F722">
        <f>IF(C722&lt;'user input'!$C$12,IF(B722&gt;'user input'!$C$6,0,F721+E722),'user input'!$C$17*((1-C722)/(1-'user input'!$C$12)))</f>
        <v>0</v>
      </c>
    </row>
    <row r="723" spans="1:6" x14ac:dyDescent="0.2">
      <c r="A723" s="1">
        <v>40899</v>
      </c>
      <c r="B723">
        <v>356</v>
      </c>
      <c r="C723">
        <f>IF(B723&gt;'user input'!$C$6,0,IF('heat units'!H723&gt;1,1,'heat units'!H723))</f>
        <v>0</v>
      </c>
      <c r="D723">
        <f>IF(B723&gt;'user input'!$C$6,0,(C723/(C723+EXP('user input'!$C$15-'user input'!$C$14*C723))))</f>
        <v>0</v>
      </c>
      <c r="E723">
        <f>IF(C723&lt;'user input'!$C$12,(D723-D722)*'user input'!$C$17*(1-EXP(5*(F722-'user input'!$C$17))),F723-F722)</f>
        <v>0</v>
      </c>
      <c r="F723">
        <f>IF(C723&lt;'user input'!$C$12,IF(B723&gt;'user input'!$C$6,0,F722+E723),'user input'!$C$17*((1-C723)/(1-'user input'!$C$12)))</f>
        <v>0</v>
      </c>
    </row>
    <row r="724" spans="1:6" x14ac:dyDescent="0.2">
      <c r="A724" s="1">
        <v>40900</v>
      </c>
      <c r="B724">
        <v>357</v>
      </c>
      <c r="C724">
        <f>IF(B724&gt;'user input'!$C$6,0,IF('heat units'!H724&gt;1,1,'heat units'!H724))</f>
        <v>0</v>
      </c>
      <c r="D724">
        <f>IF(B724&gt;'user input'!$C$6,0,(C724/(C724+EXP('user input'!$C$15-'user input'!$C$14*C724))))</f>
        <v>0</v>
      </c>
      <c r="E724">
        <f>IF(C724&lt;'user input'!$C$12,(D724-D723)*'user input'!$C$17*(1-EXP(5*(F723-'user input'!$C$17))),F724-F723)</f>
        <v>0</v>
      </c>
      <c r="F724">
        <f>IF(C724&lt;'user input'!$C$12,IF(B724&gt;'user input'!$C$6,0,F723+E724),'user input'!$C$17*((1-C724)/(1-'user input'!$C$12)))</f>
        <v>0</v>
      </c>
    </row>
    <row r="725" spans="1:6" x14ac:dyDescent="0.2">
      <c r="A725" s="1">
        <v>40901</v>
      </c>
      <c r="B725">
        <v>358</v>
      </c>
      <c r="C725">
        <f>IF(B725&gt;'user input'!$C$6,0,IF('heat units'!H725&gt;1,1,'heat units'!H725))</f>
        <v>0</v>
      </c>
      <c r="D725">
        <f>IF(B725&gt;'user input'!$C$6,0,(C725/(C725+EXP('user input'!$C$15-'user input'!$C$14*C725))))</f>
        <v>0</v>
      </c>
      <c r="E725">
        <f>IF(C725&lt;'user input'!$C$12,(D725-D724)*'user input'!$C$17*(1-EXP(5*(F724-'user input'!$C$17))),F725-F724)</f>
        <v>0</v>
      </c>
      <c r="F725">
        <f>IF(C725&lt;'user input'!$C$12,IF(B725&gt;'user input'!$C$6,0,F724+E725),'user input'!$C$17*((1-C725)/(1-'user input'!$C$12)))</f>
        <v>0</v>
      </c>
    </row>
    <row r="726" spans="1:6" x14ac:dyDescent="0.2">
      <c r="A726" s="1">
        <v>40902</v>
      </c>
      <c r="B726">
        <v>359</v>
      </c>
      <c r="C726">
        <f>IF(B726&gt;'user input'!$C$6,0,IF('heat units'!H726&gt;1,1,'heat units'!H726))</f>
        <v>0</v>
      </c>
      <c r="D726">
        <f>IF(B726&gt;'user input'!$C$6,0,(C726/(C726+EXP('user input'!$C$15-'user input'!$C$14*C726))))</f>
        <v>0</v>
      </c>
      <c r="E726">
        <f>IF(C726&lt;'user input'!$C$12,(D726-D725)*'user input'!$C$17*(1-EXP(5*(F725-'user input'!$C$17))),F726-F725)</f>
        <v>0</v>
      </c>
      <c r="F726">
        <f>IF(C726&lt;'user input'!$C$12,IF(B726&gt;'user input'!$C$6,0,F725+E726),'user input'!$C$17*((1-C726)/(1-'user input'!$C$12)))</f>
        <v>0</v>
      </c>
    </row>
    <row r="727" spans="1:6" x14ac:dyDescent="0.2">
      <c r="A727" s="1">
        <v>40903</v>
      </c>
      <c r="B727">
        <v>360</v>
      </c>
      <c r="C727">
        <f>IF(B727&gt;'user input'!$C$6,0,IF('heat units'!H727&gt;1,1,'heat units'!H727))</f>
        <v>0</v>
      </c>
      <c r="D727">
        <f>IF(B727&gt;'user input'!$C$6,0,(C727/(C727+EXP('user input'!$C$15-'user input'!$C$14*C727))))</f>
        <v>0</v>
      </c>
      <c r="E727">
        <f>IF(C727&lt;'user input'!$C$12,(D727-D726)*'user input'!$C$17*(1-EXP(5*(F726-'user input'!$C$17))),F727-F726)</f>
        <v>0</v>
      </c>
      <c r="F727">
        <f>IF(C727&lt;'user input'!$C$12,IF(B727&gt;'user input'!$C$6,0,F726+E727),'user input'!$C$17*((1-C727)/(1-'user input'!$C$12)))</f>
        <v>0</v>
      </c>
    </row>
    <row r="728" spans="1:6" x14ac:dyDescent="0.2">
      <c r="A728" s="1">
        <v>40904</v>
      </c>
      <c r="B728">
        <v>361</v>
      </c>
      <c r="C728">
        <f>IF(B728&gt;'user input'!$C$6,0,IF('heat units'!H728&gt;1,1,'heat units'!H728))</f>
        <v>0</v>
      </c>
      <c r="D728">
        <f>IF(B728&gt;'user input'!$C$6,0,(C728/(C728+EXP('user input'!$C$15-'user input'!$C$14*C728))))</f>
        <v>0</v>
      </c>
      <c r="E728">
        <f>IF(C728&lt;'user input'!$C$12,(D728-D727)*'user input'!$C$17*(1-EXP(5*(F727-'user input'!$C$17))),F728-F727)</f>
        <v>0</v>
      </c>
      <c r="F728">
        <f>IF(C728&lt;'user input'!$C$12,IF(B728&gt;'user input'!$C$6,0,F727+E728),'user input'!$C$17*((1-C728)/(1-'user input'!$C$12)))</f>
        <v>0</v>
      </c>
    </row>
    <row r="729" spans="1:6" x14ac:dyDescent="0.2">
      <c r="A729" s="1">
        <v>40905</v>
      </c>
      <c r="B729">
        <v>362</v>
      </c>
      <c r="C729">
        <f>IF(B729&gt;'user input'!$C$6,0,IF('heat units'!H729&gt;1,1,'heat units'!H729))</f>
        <v>0</v>
      </c>
      <c r="D729">
        <f>IF(B729&gt;'user input'!$C$6,0,(C729/(C729+EXP('user input'!$C$15-'user input'!$C$14*C729))))</f>
        <v>0</v>
      </c>
      <c r="E729">
        <f>IF(C729&lt;'user input'!$C$12,(D729-D728)*'user input'!$C$17*(1-EXP(5*(F728-'user input'!$C$17))),F729-F728)</f>
        <v>0</v>
      </c>
      <c r="F729">
        <f>IF(C729&lt;'user input'!$C$12,IF(B729&gt;'user input'!$C$6,0,F728+E729),'user input'!$C$17*((1-C729)/(1-'user input'!$C$12)))</f>
        <v>0</v>
      </c>
    </row>
    <row r="730" spans="1:6" x14ac:dyDescent="0.2">
      <c r="A730" s="1">
        <v>40906</v>
      </c>
      <c r="B730">
        <v>363</v>
      </c>
      <c r="C730">
        <f>IF(B730&gt;'user input'!$C$6,0,IF('heat units'!H730&gt;1,1,'heat units'!H730))</f>
        <v>0</v>
      </c>
      <c r="D730">
        <f>IF(B730&gt;'user input'!$C$6,0,(C730/(C730+EXP('user input'!$C$15-'user input'!$C$14*C730))))</f>
        <v>0</v>
      </c>
      <c r="E730">
        <f>IF(C730&lt;'user input'!$C$12,(D730-D729)*'user input'!$C$17*(1-EXP(5*(F729-'user input'!$C$17))),F730-F729)</f>
        <v>0</v>
      </c>
      <c r="F730">
        <f>IF(C730&lt;'user input'!$C$12,IF(B730&gt;'user input'!$C$6,0,F729+E730),'user input'!$C$17*((1-C730)/(1-'user input'!$C$12)))</f>
        <v>0</v>
      </c>
    </row>
    <row r="731" spans="1:6" x14ac:dyDescent="0.2">
      <c r="A731" s="1">
        <v>40907</v>
      </c>
      <c r="B731">
        <v>364</v>
      </c>
      <c r="C731">
        <f>IF(B731&gt;'user input'!$C$6,0,IF('heat units'!H731&gt;1,1,'heat units'!H731))</f>
        <v>0</v>
      </c>
      <c r="D731">
        <f>IF(B731&gt;'user input'!$C$6,0,(C731/(C731+EXP('user input'!$C$15-'user input'!$C$14*C731))))</f>
        <v>0</v>
      </c>
      <c r="E731">
        <f>IF(C731&lt;'user input'!$C$12,(D731-D730)*'user input'!$C$17*(1-EXP(5*(F730-'user input'!$C$17))),F731-F730)</f>
        <v>0</v>
      </c>
      <c r="F731">
        <f>IF(C731&lt;'user input'!$C$12,IF(B731&gt;'user input'!$C$6,0,F730+E731),'user input'!$C$17*((1-C731)/(1-'user input'!$C$12)))</f>
        <v>0</v>
      </c>
    </row>
    <row r="732" spans="1:6" x14ac:dyDescent="0.2">
      <c r="A732" s="1">
        <v>40908</v>
      </c>
      <c r="B732">
        <v>365</v>
      </c>
      <c r="C732">
        <f>IF(B732&gt;'user input'!$C$6,0,IF('heat units'!H732&gt;1,1,'heat units'!H732))</f>
        <v>0</v>
      </c>
      <c r="D732">
        <f>IF(B732&gt;'user input'!$C$6,0,(C732/(C732+EXP('user input'!$C$15-'user input'!$C$14*C732))))</f>
        <v>0</v>
      </c>
      <c r="E732">
        <f>IF(C732&lt;'user input'!$C$12,(D732-D731)*'user input'!$C$17*(1-EXP(5*(F731-'user input'!$C$17))),F732-F731)</f>
        <v>0</v>
      </c>
      <c r="F732">
        <f>IF(C732&lt;'user input'!$C$12,IF(B732&gt;'user input'!$C$6,0,F731+E732),'user input'!$C$17*((1-C732)/(1-'user input'!$C$12)))</f>
        <v>0</v>
      </c>
    </row>
    <row r="733" spans="1:6" x14ac:dyDescent="0.2">
      <c r="A733" s="1">
        <v>40909</v>
      </c>
      <c r="B733">
        <v>1</v>
      </c>
      <c r="C733">
        <f>IF(B733&gt;'user input'!$C$6,0,IF('heat units'!H733&gt;1,1,'heat units'!H733))</f>
        <v>0</v>
      </c>
      <c r="D733">
        <f>IF(B733&gt;'user input'!$C$6,0,(C733/(C733+EXP('user input'!$C$15-'user input'!$C$14*C733))))</f>
        <v>0</v>
      </c>
      <c r="E733">
        <f>IF(C733&lt;'user input'!$C$12,(D733-D732)*'user input'!$C$17*(1-EXP(5*(F732-'user input'!$C$17))),F733-F732)</f>
        <v>0</v>
      </c>
      <c r="F733">
        <f>IF(C733&lt;'user input'!$C$12,IF(B733&gt;'user input'!$C$6,0,F732+E733),'user input'!$C$17*((1-C733)/(1-'user input'!$C$12)))</f>
        <v>0</v>
      </c>
    </row>
    <row r="734" spans="1:6" x14ac:dyDescent="0.2">
      <c r="A734" s="1">
        <v>40910</v>
      </c>
      <c r="B734">
        <v>2</v>
      </c>
      <c r="C734">
        <f>IF(B734&gt;'user input'!$C$6,0,IF('heat units'!H734&gt;1,1,'heat units'!H734))</f>
        <v>0</v>
      </c>
      <c r="D734">
        <f>IF(B734&gt;'user input'!$C$6,0,(C734/(C734+EXP('user input'!$C$15-'user input'!$C$14*C734))))</f>
        <v>0</v>
      </c>
      <c r="E734">
        <f>IF(C734&lt;'user input'!$C$12,(D734-D733)*'user input'!$C$17*(1-EXP(5*(F733-'user input'!$C$17))),F734-F733)</f>
        <v>0</v>
      </c>
      <c r="F734">
        <f>IF(C734&lt;'user input'!$C$12,IF(B734&gt;'user input'!$C$6,0,F733+E734),'user input'!$C$17*((1-C734)/(1-'user input'!$C$12)))</f>
        <v>0</v>
      </c>
    </row>
    <row r="735" spans="1:6" x14ac:dyDescent="0.2">
      <c r="A735" s="1">
        <v>40911</v>
      </c>
      <c r="B735">
        <v>3</v>
      </c>
      <c r="C735">
        <f>IF(B735&gt;'user input'!$C$6,0,IF('heat units'!H735&gt;1,1,'heat units'!H735))</f>
        <v>0</v>
      </c>
      <c r="D735">
        <f>IF(B735&gt;'user input'!$C$6,0,(C735/(C735+EXP('user input'!$C$15-'user input'!$C$14*C735))))</f>
        <v>0</v>
      </c>
      <c r="E735">
        <f>IF(C735&lt;'user input'!$C$12,(D735-D734)*'user input'!$C$17*(1-EXP(5*(F734-'user input'!$C$17))),F735-F734)</f>
        <v>0</v>
      </c>
      <c r="F735">
        <f>IF(C735&lt;'user input'!$C$12,IF(B735&gt;'user input'!$C$6,0,F734+E735),'user input'!$C$17*((1-C735)/(1-'user input'!$C$12)))</f>
        <v>0</v>
      </c>
    </row>
    <row r="736" spans="1:6" x14ac:dyDescent="0.2">
      <c r="A736" s="1">
        <v>40912</v>
      </c>
      <c r="B736">
        <v>4</v>
      </c>
      <c r="C736">
        <f>IF(B736&gt;'user input'!$C$6,0,IF('heat units'!H736&gt;1,1,'heat units'!H736))</f>
        <v>0</v>
      </c>
      <c r="D736">
        <f>IF(B736&gt;'user input'!$C$6,0,(C736/(C736+EXP('user input'!$C$15-'user input'!$C$14*C736))))</f>
        <v>0</v>
      </c>
      <c r="E736">
        <f>IF(C736&lt;'user input'!$C$12,(D736-D735)*'user input'!$C$17*(1-EXP(5*(F735-'user input'!$C$17))),F736-F735)</f>
        <v>0</v>
      </c>
      <c r="F736">
        <f>IF(C736&lt;'user input'!$C$12,IF(B736&gt;'user input'!$C$6,0,F735+E736),'user input'!$C$17*((1-C736)/(1-'user input'!$C$12)))</f>
        <v>0</v>
      </c>
    </row>
    <row r="737" spans="1:6" x14ac:dyDescent="0.2">
      <c r="A737" s="1">
        <v>40913</v>
      </c>
      <c r="B737">
        <v>5</v>
      </c>
      <c r="C737">
        <f>IF(B737&gt;'user input'!$C$6,0,IF('heat units'!H737&gt;1,1,'heat units'!H737))</f>
        <v>0</v>
      </c>
      <c r="D737">
        <f>IF(B737&gt;'user input'!$C$6,0,(C737/(C737+EXP('user input'!$C$15-'user input'!$C$14*C737))))</f>
        <v>0</v>
      </c>
      <c r="E737">
        <f>IF(C737&lt;'user input'!$C$12,(D737-D736)*'user input'!$C$17*(1-EXP(5*(F736-'user input'!$C$17))),F737-F736)</f>
        <v>0</v>
      </c>
      <c r="F737">
        <f>IF(C737&lt;'user input'!$C$12,IF(B737&gt;'user input'!$C$6,0,F736+E737),'user input'!$C$17*((1-C737)/(1-'user input'!$C$12)))</f>
        <v>0</v>
      </c>
    </row>
    <row r="738" spans="1:6" x14ac:dyDescent="0.2">
      <c r="A738" s="1">
        <v>40914</v>
      </c>
      <c r="B738">
        <v>6</v>
      </c>
      <c r="C738">
        <f>IF(B738&gt;'user input'!$C$6,0,IF('heat units'!H738&gt;1,1,'heat units'!H738))</f>
        <v>0</v>
      </c>
      <c r="D738">
        <f>IF(B738&gt;'user input'!$C$6,0,(C738/(C738+EXP('user input'!$C$15-'user input'!$C$14*C738))))</f>
        <v>0</v>
      </c>
      <c r="E738">
        <f>IF(C738&lt;'user input'!$C$12,(D738-D737)*'user input'!$C$17*(1-EXP(5*(F737-'user input'!$C$17))),F738-F737)</f>
        <v>0</v>
      </c>
      <c r="F738">
        <f>IF(C738&lt;'user input'!$C$12,IF(B738&gt;'user input'!$C$6,0,F737+E738),'user input'!$C$17*((1-C738)/(1-'user input'!$C$12)))</f>
        <v>0</v>
      </c>
    </row>
    <row r="739" spans="1:6" x14ac:dyDescent="0.2">
      <c r="A739" s="1">
        <v>40915</v>
      </c>
      <c r="B739">
        <v>7</v>
      </c>
      <c r="C739">
        <f>IF(B739&gt;'user input'!$C$6,0,IF('heat units'!H739&gt;1,1,'heat units'!H739))</f>
        <v>0</v>
      </c>
      <c r="D739">
        <f>IF(B739&gt;'user input'!$C$6,0,(C739/(C739+EXP('user input'!$C$15-'user input'!$C$14*C739))))</f>
        <v>0</v>
      </c>
      <c r="E739">
        <f>IF(C739&lt;'user input'!$C$12,(D739-D738)*'user input'!$C$17*(1-EXP(5*(F738-'user input'!$C$17))),F739-F738)</f>
        <v>0</v>
      </c>
      <c r="F739">
        <f>IF(C739&lt;'user input'!$C$12,IF(B739&gt;'user input'!$C$6,0,F738+E739),'user input'!$C$17*((1-C739)/(1-'user input'!$C$12)))</f>
        <v>0</v>
      </c>
    </row>
    <row r="740" spans="1:6" x14ac:dyDescent="0.2">
      <c r="A740" s="1">
        <v>40916</v>
      </c>
      <c r="B740">
        <v>8</v>
      </c>
      <c r="C740">
        <f>IF(B740&gt;'user input'!$C$6,0,IF('heat units'!H740&gt;1,1,'heat units'!H740))</f>
        <v>0</v>
      </c>
      <c r="D740">
        <f>IF(B740&gt;'user input'!$C$6,0,(C740/(C740+EXP('user input'!$C$15-'user input'!$C$14*C740))))</f>
        <v>0</v>
      </c>
      <c r="E740">
        <f>IF(C740&lt;'user input'!$C$12,(D740-D739)*'user input'!$C$17*(1-EXP(5*(F739-'user input'!$C$17))),F740-F739)</f>
        <v>0</v>
      </c>
      <c r="F740">
        <f>IF(C740&lt;'user input'!$C$12,IF(B740&gt;'user input'!$C$6,0,F739+E740),'user input'!$C$17*((1-C740)/(1-'user input'!$C$12)))</f>
        <v>0</v>
      </c>
    </row>
    <row r="741" spans="1:6" x14ac:dyDescent="0.2">
      <c r="A741" s="1">
        <v>40917</v>
      </c>
      <c r="B741">
        <v>9</v>
      </c>
      <c r="C741">
        <f>IF(B741&gt;'user input'!$C$6,0,IF('heat units'!H741&gt;1,1,'heat units'!H741))</f>
        <v>0</v>
      </c>
      <c r="D741">
        <f>IF(B741&gt;'user input'!$C$6,0,(C741/(C741+EXP('user input'!$C$15-'user input'!$C$14*C741))))</f>
        <v>0</v>
      </c>
      <c r="E741">
        <f>IF(C741&lt;'user input'!$C$12,(D741-D740)*'user input'!$C$17*(1-EXP(5*(F740-'user input'!$C$17))),F741-F740)</f>
        <v>0</v>
      </c>
      <c r="F741">
        <f>IF(C741&lt;'user input'!$C$12,IF(B741&gt;'user input'!$C$6,0,F740+E741),'user input'!$C$17*((1-C741)/(1-'user input'!$C$12)))</f>
        <v>0</v>
      </c>
    </row>
    <row r="742" spans="1:6" x14ac:dyDescent="0.2">
      <c r="A742" s="1">
        <v>40918</v>
      </c>
      <c r="B742">
        <v>10</v>
      </c>
      <c r="C742">
        <f>IF(B742&gt;'user input'!$C$6,0,IF('heat units'!H742&gt;1,1,'heat units'!H742))</f>
        <v>0</v>
      </c>
      <c r="D742">
        <f>IF(B742&gt;'user input'!$C$6,0,(C742/(C742+EXP('user input'!$C$15-'user input'!$C$14*C742))))</f>
        <v>0</v>
      </c>
      <c r="E742">
        <f>IF(C742&lt;'user input'!$C$12,(D742-D741)*'user input'!$C$17*(1-EXP(5*(F741-'user input'!$C$17))),F742-F741)</f>
        <v>0</v>
      </c>
      <c r="F742">
        <f>IF(C742&lt;'user input'!$C$12,IF(B742&gt;'user input'!$C$6,0,F741+E742),'user input'!$C$17*((1-C742)/(1-'user input'!$C$12)))</f>
        <v>0</v>
      </c>
    </row>
    <row r="743" spans="1:6" x14ac:dyDescent="0.2">
      <c r="A743" s="1">
        <v>40919</v>
      </c>
      <c r="B743">
        <v>11</v>
      </c>
      <c r="C743">
        <f>IF(B743&gt;'user input'!$C$6,0,IF('heat units'!H743&gt;1,1,'heat units'!H743))</f>
        <v>0</v>
      </c>
      <c r="D743">
        <f>IF(B743&gt;'user input'!$C$6,0,(C743/(C743+EXP('user input'!$C$15-'user input'!$C$14*C743))))</f>
        <v>0</v>
      </c>
      <c r="E743">
        <f>IF(C743&lt;'user input'!$C$12,(D743-D742)*'user input'!$C$17*(1-EXP(5*(F742-'user input'!$C$17))),F743-F742)</f>
        <v>0</v>
      </c>
      <c r="F743">
        <f>IF(C743&lt;'user input'!$C$12,IF(B743&gt;'user input'!$C$6,0,F742+E743),'user input'!$C$17*((1-C743)/(1-'user input'!$C$12)))</f>
        <v>0</v>
      </c>
    </row>
    <row r="744" spans="1:6" x14ac:dyDescent="0.2">
      <c r="A744" s="1">
        <v>40920</v>
      </c>
      <c r="B744">
        <v>12</v>
      </c>
      <c r="C744">
        <f>IF(B744&gt;'user input'!$C$6,0,IF('heat units'!H744&gt;1,1,'heat units'!H744))</f>
        <v>0</v>
      </c>
      <c r="D744">
        <f>IF(B744&gt;'user input'!$C$6,0,(C744/(C744+EXP('user input'!$C$15-'user input'!$C$14*C744))))</f>
        <v>0</v>
      </c>
      <c r="E744">
        <f>IF(C744&lt;'user input'!$C$12,(D744-D743)*'user input'!$C$17*(1-EXP(5*(F743-'user input'!$C$17))),F744-F743)</f>
        <v>0</v>
      </c>
      <c r="F744">
        <f>IF(C744&lt;'user input'!$C$12,IF(B744&gt;'user input'!$C$6,0,F743+E744),'user input'!$C$17*((1-C744)/(1-'user input'!$C$12)))</f>
        <v>0</v>
      </c>
    </row>
    <row r="745" spans="1:6" x14ac:dyDescent="0.2">
      <c r="A745" s="1">
        <v>40921</v>
      </c>
      <c r="B745">
        <v>13</v>
      </c>
      <c r="C745">
        <f>IF(B745&gt;'user input'!$C$6,0,IF('heat units'!H745&gt;1,1,'heat units'!H745))</f>
        <v>0</v>
      </c>
      <c r="D745">
        <f>IF(B745&gt;'user input'!$C$6,0,(C745/(C745+EXP('user input'!$C$15-'user input'!$C$14*C745))))</f>
        <v>0</v>
      </c>
      <c r="E745">
        <f>IF(C745&lt;'user input'!$C$12,(D745-D744)*'user input'!$C$17*(1-EXP(5*(F744-'user input'!$C$17))),F745-F744)</f>
        <v>0</v>
      </c>
      <c r="F745">
        <f>IF(C745&lt;'user input'!$C$12,IF(B745&gt;'user input'!$C$6,0,F744+E745),'user input'!$C$17*((1-C745)/(1-'user input'!$C$12)))</f>
        <v>0</v>
      </c>
    </row>
    <row r="746" spans="1:6" x14ac:dyDescent="0.2">
      <c r="A746" s="1">
        <v>40922</v>
      </c>
      <c r="B746">
        <v>14</v>
      </c>
      <c r="C746">
        <f>IF(B746&gt;'user input'!$C$6,0,IF('heat units'!H746&gt;1,1,'heat units'!H746))</f>
        <v>0</v>
      </c>
      <c r="D746">
        <f>IF(B746&gt;'user input'!$C$6,0,(C746/(C746+EXP('user input'!$C$15-'user input'!$C$14*C746))))</f>
        <v>0</v>
      </c>
      <c r="E746">
        <f>IF(C746&lt;'user input'!$C$12,(D746-D745)*'user input'!$C$17*(1-EXP(5*(F745-'user input'!$C$17))),F746-F745)</f>
        <v>0</v>
      </c>
      <c r="F746">
        <f>IF(C746&lt;'user input'!$C$12,IF(B746&gt;'user input'!$C$6,0,F745+E746),'user input'!$C$17*((1-C746)/(1-'user input'!$C$12)))</f>
        <v>0</v>
      </c>
    </row>
    <row r="747" spans="1:6" x14ac:dyDescent="0.2">
      <c r="A747" s="1">
        <v>40923</v>
      </c>
      <c r="B747">
        <v>15</v>
      </c>
      <c r="C747">
        <f>IF(B747&gt;'user input'!$C$6,0,IF('heat units'!H747&gt;1,1,'heat units'!H747))</f>
        <v>0</v>
      </c>
      <c r="D747">
        <f>IF(B747&gt;'user input'!$C$6,0,(C747/(C747+EXP('user input'!$C$15-'user input'!$C$14*C747))))</f>
        <v>0</v>
      </c>
      <c r="E747">
        <f>IF(C747&lt;'user input'!$C$12,(D747-D746)*'user input'!$C$17*(1-EXP(5*(F746-'user input'!$C$17))),F747-F746)</f>
        <v>0</v>
      </c>
      <c r="F747">
        <f>IF(C747&lt;'user input'!$C$12,IF(B747&gt;'user input'!$C$6,0,F746+E747),'user input'!$C$17*((1-C747)/(1-'user input'!$C$12)))</f>
        <v>0</v>
      </c>
    </row>
    <row r="748" spans="1:6" x14ac:dyDescent="0.2">
      <c r="A748" s="1">
        <v>40924</v>
      </c>
      <c r="B748">
        <v>16</v>
      </c>
      <c r="C748">
        <f>IF(B748&gt;'user input'!$C$6,0,IF('heat units'!H748&gt;1,1,'heat units'!H748))</f>
        <v>0</v>
      </c>
      <c r="D748">
        <f>IF(B748&gt;'user input'!$C$6,0,(C748/(C748+EXP('user input'!$C$15-'user input'!$C$14*C748))))</f>
        <v>0</v>
      </c>
      <c r="E748">
        <f>IF(C748&lt;'user input'!$C$12,(D748-D747)*'user input'!$C$17*(1-EXP(5*(F747-'user input'!$C$17))),F748-F747)</f>
        <v>0</v>
      </c>
      <c r="F748">
        <f>IF(C748&lt;'user input'!$C$12,IF(B748&gt;'user input'!$C$6,0,F747+E748),'user input'!$C$17*((1-C748)/(1-'user input'!$C$12)))</f>
        <v>0</v>
      </c>
    </row>
    <row r="749" spans="1:6" x14ac:dyDescent="0.2">
      <c r="A749" s="1">
        <v>40925</v>
      </c>
      <c r="B749">
        <v>17</v>
      </c>
      <c r="C749">
        <f>IF(B749&gt;'user input'!$C$6,0,IF('heat units'!H749&gt;1,1,'heat units'!H749))</f>
        <v>0</v>
      </c>
      <c r="D749">
        <f>IF(B749&gt;'user input'!$C$6,0,(C749/(C749+EXP('user input'!$C$15-'user input'!$C$14*C749))))</f>
        <v>0</v>
      </c>
      <c r="E749">
        <f>IF(C749&lt;'user input'!$C$12,(D749-D748)*'user input'!$C$17*(1-EXP(5*(F748-'user input'!$C$17))),F749-F748)</f>
        <v>0</v>
      </c>
      <c r="F749">
        <f>IF(C749&lt;'user input'!$C$12,IF(B749&gt;'user input'!$C$6,0,F748+E749),'user input'!$C$17*((1-C749)/(1-'user input'!$C$12)))</f>
        <v>0</v>
      </c>
    </row>
    <row r="750" spans="1:6" x14ac:dyDescent="0.2">
      <c r="A750" s="1">
        <v>40926</v>
      </c>
      <c r="B750">
        <v>18</v>
      </c>
      <c r="C750">
        <f>IF(B750&gt;'user input'!$C$6,0,IF('heat units'!H750&gt;1,1,'heat units'!H750))</f>
        <v>0</v>
      </c>
      <c r="D750">
        <f>IF(B750&gt;'user input'!$C$6,0,(C750/(C750+EXP('user input'!$C$15-'user input'!$C$14*C750))))</f>
        <v>0</v>
      </c>
      <c r="E750">
        <f>IF(C750&lt;'user input'!$C$12,(D750-D749)*'user input'!$C$17*(1-EXP(5*(F749-'user input'!$C$17))),F750-F749)</f>
        <v>0</v>
      </c>
      <c r="F750">
        <f>IF(C750&lt;'user input'!$C$12,IF(B750&gt;'user input'!$C$6,0,F749+E750),'user input'!$C$17*((1-C750)/(1-'user input'!$C$12)))</f>
        <v>0</v>
      </c>
    </row>
    <row r="751" spans="1:6" x14ac:dyDescent="0.2">
      <c r="A751" s="1">
        <v>40927</v>
      </c>
      <c r="B751">
        <v>19</v>
      </c>
      <c r="C751">
        <f>IF(B751&gt;'user input'!$C$6,0,IF('heat units'!H751&gt;1,1,'heat units'!H751))</f>
        <v>0</v>
      </c>
      <c r="D751">
        <f>IF(B751&gt;'user input'!$C$6,0,(C751/(C751+EXP('user input'!$C$15-'user input'!$C$14*C751))))</f>
        <v>0</v>
      </c>
      <c r="E751">
        <f>IF(C751&lt;'user input'!$C$12,(D751-D750)*'user input'!$C$17*(1-EXP(5*(F750-'user input'!$C$17))),F751-F750)</f>
        <v>0</v>
      </c>
      <c r="F751">
        <f>IF(C751&lt;'user input'!$C$12,IF(B751&gt;'user input'!$C$6,0,F750+E751),'user input'!$C$17*((1-C751)/(1-'user input'!$C$12)))</f>
        <v>0</v>
      </c>
    </row>
    <row r="752" spans="1:6" x14ac:dyDescent="0.2">
      <c r="A752" s="1">
        <v>40928</v>
      </c>
      <c r="B752">
        <v>20</v>
      </c>
      <c r="C752">
        <f>IF(B752&gt;'user input'!$C$6,0,IF('heat units'!H752&gt;1,1,'heat units'!H752))</f>
        <v>0</v>
      </c>
      <c r="D752">
        <f>IF(B752&gt;'user input'!$C$6,0,(C752/(C752+EXP('user input'!$C$15-'user input'!$C$14*C752))))</f>
        <v>0</v>
      </c>
      <c r="E752">
        <f>IF(C752&lt;'user input'!$C$12,(D752-D751)*'user input'!$C$17*(1-EXP(5*(F751-'user input'!$C$17))),F752-F751)</f>
        <v>0</v>
      </c>
      <c r="F752">
        <f>IF(C752&lt;'user input'!$C$12,IF(B752&gt;'user input'!$C$6,0,F751+E752),'user input'!$C$17*((1-C752)/(1-'user input'!$C$12)))</f>
        <v>0</v>
      </c>
    </row>
    <row r="753" spans="1:6" x14ac:dyDescent="0.2">
      <c r="A753" s="1">
        <v>40929</v>
      </c>
      <c r="B753">
        <v>21</v>
      </c>
      <c r="C753">
        <f>IF(B753&gt;'user input'!$C$6,0,IF('heat units'!H753&gt;1,1,'heat units'!H753))</f>
        <v>0</v>
      </c>
      <c r="D753">
        <f>IF(B753&gt;'user input'!$C$6,0,(C753/(C753+EXP('user input'!$C$15-'user input'!$C$14*C753))))</f>
        <v>0</v>
      </c>
      <c r="E753">
        <f>IF(C753&lt;'user input'!$C$12,(D753-D752)*'user input'!$C$17*(1-EXP(5*(F752-'user input'!$C$17))),F753-F752)</f>
        <v>0</v>
      </c>
      <c r="F753">
        <f>IF(C753&lt;'user input'!$C$12,IF(B753&gt;'user input'!$C$6,0,F752+E753),'user input'!$C$17*((1-C753)/(1-'user input'!$C$12)))</f>
        <v>0</v>
      </c>
    </row>
    <row r="754" spans="1:6" x14ac:dyDescent="0.2">
      <c r="A754" s="1">
        <v>40930</v>
      </c>
      <c r="B754">
        <v>22</v>
      </c>
      <c r="C754">
        <f>IF(B754&gt;'user input'!$C$6,0,IF('heat units'!H754&gt;1,1,'heat units'!H754))</f>
        <v>0</v>
      </c>
      <c r="D754">
        <f>IF(B754&gt;'user input'!$C$6,0,(C754/(C754+EXP('user input'!$C$15-'user input'!$C$14*C754))))</f>
        <v>0</v>
      </c>
      <c r="E754">
        <f>IF(C754&lt;'user input'!$C$12,(D754-D753)*'user input'!$C$17*(1-EXP(5*(F753-'user input'!$C$17))),F754-F753)</f>
        <v>0</v>
      </c>
      <c r="F754">
        <f>IF(C754&lt;'user input'!$C$12,IF(B754&gt;'user input'!$C$6,0,F753+E754),'user input'!$C$17*((1-C754)/(1-'user input'!$C$12)))</f>
        <v>0</v>
      </c>
    </row>
    <row r="755" spans="1:6" x14ac:dyDescent="0.2">
      <c r="A755" s="1">
        <v>40931</v>
      </c>
      <c r="B755">
        <v>23</v>
      </c>
      <c r="C755">
        <f>IF(B755&gt;'user input'!$C$6,0,IF('heat units'!H755&gt;1,1,'heat units'!H755))</f>
        <v>0</v>
      </c>
      <c r="D755">
        <f>IF(B755&gt;'user input'!$C$6,0,(C755/(C755+EXP('user input'!$C$15-'user input'!$C$14*C755))))</f>
        <v>0</v>
      </c>
      <c r="E755">
        <f>IF(C755&lt;'user input'!$C$12,(D755-D754)*'user input'!$C$17*(1-EXP(5*(F754-'user input'!$C$17))),F755-F754)</f>
        <v>0</v>
      </c>
      <c r="F755">
        <f>IF(C755&lt;'user input'!$C$12,IF(B755&gt;'user input'!$C$6,0,F754+E755),'user input'!$C$17*((1-C755)/(1-'user input'!$C$12)))</f>
        <v>0</v>
      </c>
    </row>
    <row r="756" spans="1:6" x14ac:dyDescent="0.2">
      <c r="A756" s="1">
        <v>40932</v>
      </c>
      <c r="B756">
        <v>24</v>
      </c>
      <c r="C756">
        <f>IF(B756&gt;'user input'!$C$6,0,IF('heat units'!H756&gt;1,1,'heat units'!H756))</f>
        <v>0</v>
      </c>
      <c r="D756">
        <f>IF(B756&gt;'user input'!$C$6,0,(C756/(C756+EXP('user input'!$C$15-'user input'!$C$14*C756))))</f>
        <v>0</v>
      </c>
      <c r="E756">
        <f>IF(C756&lt;'user input'!$C$12,(D756-D755)*'user input'!$C$17*(1-EXP(5*(F755-'user input'!$C$17))),F756-F755)</f>
        <v>0</v>
      </c>
      <c r="F756">
        <f>IF(C756&lt;'user input'!$C$12,IF(B756&gt;'user input'!$C$6,0,F755+E756),'user input'!$C$17*((1-C756)/(1-'user input'!$C$12)))</f>
        <v>0</v>
      </c>
    </row>
    <row r="757" spans="1:6" x14ac:dyDescent="0.2">
      <c r="A757" s="1">
        <v>40933</v>
      </c>
      <c r="B757">
        <v>25</v>
      </c>
      <c r="C757">
        <f>IF(B757&gt;'user input'!$C$6,0,IF('heat units'!H757&gt;1,1,'heat units'!H757))</f>
        <v>0</v>
      </c>
      <c r="D757">
        <f>IF(B757&gt;'user input'!$C$6,0,(C757/(C757+EXP('user input'!$C$15-'user input'!$C$14*C757))))</f>
        <v>0</v>
      </c>
      <c r="E757">
        <f>IF(C757&lt;'user input'!$C$12,(D757-D756)*'user input'!$C$17*(1-EXP(5*(F756-'user input'!$C$17))),F757-F756)</f>
        <v>0</v>
      </c>
      <c r="F757">
        <f>IF(C757&lt;'user input'!$C$12,IF(B757&gt;'user input'!$C$6,0,F756+E757),'user input'!$C$17*((1-C757)/(1-'user input'!$C$12)))</f>
        <v>0</v>
      </c>
    </row>
    <row r="758" spans="1:6" x14ac:dyDescent="0.2">
      <c r="A758" s="1">
        <v>40934</v>
      </c>
      <c r="B758">
        <v>26</v>
      </c>
      <c r="C758">
        <f>IF(B758&gt;'user input'!$C$6,0,IF('heat units'!H758&gt;1,1,'heat units'!H758))</f>
        <v>0</v>
      </c>
      <c r="D758">
        <f>IF(B758&gt;'user input'!$C$6,0,(C758/(C758+EXP('user input'!$C$15-'user input'!$C$14*C758))))</f>
        <v>0</v>
      </c>
      <c r="E758">
        <f>IF(C758&lt;'user input'!$C$12,(D758-D757)*'user input'!$C$17*(1-EXP(5*(F757-'user input'!$C$17))),F758-F757)</f>
        <v>0</v>
      </c>
      <c r="F758">
        <f>IF(C758&lt;'user input'!$C$12,IF(B758&gt;'user input'!$C$6,0,F757+E758),'user input'!$C$17*((1-C758)/(1-'user input'!$C$12)))</f>
        <v>0</v>
      </c>
    </row>
    <row r="759" spans="1:6" x14ac:dyDescent="0.2">
      <c r="A759" s="1">
        <v>40935</v>
      </c>
      <c r="B759">
        <v>27</v>
      </c>
      <c r="C759">
        <f>IF(B759&gt;'user input'!$C$6,0,IF('heat units'!H759&gt;1,1,'heat units'!H759))</f>
        <v>0</v>
      </c>
      <c r="D759">
        <f>IF(B759&gt;'user input'!$C$6,0,(C759/(C759+EXP('user input'!$C$15-'user input'!$C$14*C759))))</f>
        <v>0</v>
      </c>
      <c r="E759">
        <f>IF(C759&lt;'user input'!$C$12,(D759-D758)*'user input'!$C$17*(1-EXP(5*(F758-'user input'!$C$17))),F759-F758)</f>
        <v>0</v>
      </c>
      <c r="F759">
        <f>IF(C759&lt;'user input'!$C$12,IF(B759&gt;'user input'!$C$6,0,F758+E759),'user input'!$C$17*((1-C759)/(1-'user input'!$C$12)))</f>
        <v>0</v>
      </c>
    </row>
    <row r="760" spans="1:6" x14ac:dyDescent="0.2">
      <c r="A760" s="1">
        <v>40936</v>
      </c>
      <c r="B760">
        <v>28</v>
      </c>
      <c r="C760">
        <f>IF(B760&gt;'user input'!$C$6,0,IF('heat units'!H760&gt;1,1,'heat units'!H760))</f>
        <v>0</v>
      </c>
      <c r="D760">
        <f>IF(B760&gt;'user input'!$C$6,0,(C760/(C760+EXP('user input'!$C$15-'user input'!$C$14*C760))))</f>
        <v>0</v>
      </c>
      <c r="E760">
        <f>IF(C760&lt;'user input'!$C$12,(D760-D759)*'user input'!$C$17*(1-EXP(5*(F759-'user input'!$C$17))),F760-F759)</f>
        <v>0</v>
      </c>
      <c r="F760">
        <f>IF(C760&lt;'user input'!$C$12,IF(B760&gt;'user input'!$C$6,0,F759+E760),'user input'!$C$17*((1-C760)/(1-'user input'!$C$12)))</f>
        <v>0</v>
      </c>
    </row>
    <row r="761" spans="1:6" x14ac:dyDescent="0.2">
      <c r="A761" s="1">
        <v>40937</v>
      </c>
      <c r="B761">
        <v>29</v>
      </c>
      <c r="C761">
        <f>IF(B761&gt;'user input'!$C$6,0,IF('heat units'!H761&gt;1,1,'heat units'!H761))</f>
        <v>0</v>
      </c>
      <c r="D761">
        <f>IF(B761&gt;'user input'!$C$6,0,(C761/(C761+EXP('user input'!$C$15-'user input'!$C$14*C761))))</f>
        <v>0</v>
      </c>
      <c r="E761">
        <f>IF(C761&lt;'user input'!$C$12,(D761-D760)*'user input'!$C$17*(1-EXP(5*(F760-'user input'!$C$17))),F761-F760)</f>
        <v>0</v>
      </c>
      <c r="F761">
        <f>IF(C761&lt;'user input'!$C$12,IF(B761&gt;'user input'!$C$6,0,F760+E761),'user input'!$C$17*((1-C761)/(1-'user input'!$C$12)))</f>
        <v>0</v>
      </c>
    </row>
    <row r="762" spans="1:6" x14ac:dyDescent="0.2">
      <c r="A762" s="1">
        <v>40938</v>
      </c>
      <c r="B762">
        <v>30</v>
      </c>
      <c r="C762">
        <f>IF(B762&gt;'user input'!$C$6,0,IF('heat units'!H762&gt;1,1,'heat units'!H762))</f>
        <v>0</v>
      </c>
      <c r="D762">
        <f>IF(B762&gt;'user input'!$C$6,0,(C762/(C762+EXP('user input'!$C$15-'user input'!$C$14*C762))))</f>
        <v>0</v>
      </c>
      <c r="E762">
        <f>IF(C762&lt;'user input'!$C$12,(D762-D761)*'user input'!$C$17*(1-EXP(5*(F761-'user input'!$C$17))),F762-F761)</f>
        <v>0</v>
      </c>
      <c r="F762">
        <f>IF(C762&lt;'user input'!$C$12,IF(B762&gt;'user input'!$C$6,0,F761+E762),'user input'!$C$17*((1-C762)/(1-'user input'!$C$12)))</f>
        <v>0</v>
      </c>
    </row>
    <row r="763" spans="1:6" x14ac:dyDescent="0.2">
      <c r="A763" s="1">
        <v>40939</v>
      </c>
      <c r="B763">
        <v>31</v>
      </c>
      <c r="C763">
        <f>IF(B763&gt;'user input'!$C$6,0,IF('heat units'!H763&gt;1,1,'heat units'!H763))</f>
        <v>0</v>
      </c>
      <c r="D763">
        <f>IF(B763&gt;'user input'!$C$6,0,(C763/(C763+EXP('user input'!$C$15-'user input'!$C$14*C763))))</f>
        <v>0</v>
      </c>
      <c r="E763">
        <f>IF(C763&lt;'user input'!$C$12,(D763-D762)*'user input'!$C$17*(1-EXP(5*(F762-'user input'!$C$17))),F763-F762)</f>
        <v>0</v>
      </c>
      <c r="F763">
        <f>IF(C763&lt;'user input'!$C$12,IF(B763&gt;'user input'!$C$6,0,F762+E763),'user input'!$C$17*((1-C763)/(1-'user input'!$C$12)))</f>
        <v>0</v>
      </c>
    </row>
    <row r="764" spans="1:6" x14ac:dyDescent="0.2">
      <c r="A764" s="1">
        <v>40940</v>
      </c>
      <c r="B764">
        <v>32</v>
      </c>
      <c r="C764">
        <f>IF(B764&gt;'user input'!$C$6,0,IF('heat units'!H764&gt;1,1,'heat units'!H764))</f>
        <v>0</v>
      </c>
      <c r="D764">
        <f>IF(B764&gt;'user input'!$C$6,0,(C764/(C764+EXP('user input'!$C$15-'user input'!$C$14*C764))))</f>
        <v>0</v>
      </c>
      <c r="E764">
        <f>IF(C764&lt;'user input'!$C$12,(D764-D763)*'user input'!$C$17*(1-EXP(5*(F763-'user input'!$C$17))),F764-F763)</f>
        <v>0</v>
      </c>
      <c r="F764">
        <f>IF(C764&lt;'user input'!$C$12,IF(B764&gt;'user input'!$C$6,0,F763+E764),'user input'!$C$17*((1-C764)/(1-'user input'!$C$12)))</f>
        <v>0</v>
      </c>
    </row>
    <row r="765" spans="1:6" x14ac:dyDescent="0.2">
      <c r="A765" s="1">
        <v>40941</v>
      </c>
      <c r="B765">
        <v>33</v>
      </c>
      <c r="C765">
        <f>IF(B765&gt;'user input'!$C$6,0,IF('heat units'!H765&gt;1,1,'heat units'!H765))</f>
        <v>0</v>
      </c>
      <c r="D765">
        <f>IF(B765&gt;'user input'!$C$6,0,(C765/(C765+EXP('user input'!$C$15-'user input'!$C$14*C765))))</f>
        <v>0</v>
      </c>
      <c r="E765">
        <f>IF(C765&lt;'user input'!$C$12,(D765-D764)*'user input'!$C$17*(1-EXP(5*(F764-'user input'!$C$17))),F765-F764)</f>
        <v>0</v>
      </c>
      <c r="F765">
        <f>IF(C765&lt;'user input'!$C$12,IF(B765&gt;'user input'!$C$6,0,F764+E765),'user input'!$C$17*((1-C765)/(1-'user input'!$C$12)))</f>
        <v>0</v>
      </c>
    </row>
    <row r="766" spans="1:6" x14ac:dyDescent="0.2">
      <c r="A766" s="1">
        <v>40942</v>
      </c>
      <c r="B766">
        <v>34</v>
      </c>
      <c r="C766">
        <f>IF(B766&gt;'user input'!$C$6,0,IF('heat units'!H766&gt;1,1,'heat units'!H766))</f>
        <v>0</v>
      </c>
      <c r="D766">
        <f>IF(B766&gt;'user input'!$C$6,0,(C766/(C766+EXP('user input'!$C$15-'user input'!$C$14*C766))))</f>
        <v>0</v>
      </c>
      <c r="E766">
        <f>IF(C766&lt;'user input'!$C$12,(D766-D765)*'user input'!$C$17*(1-EXP(5*(F765-'user input'!$C$17))),F766-F765)</f>
        <v>0</v>
      </c>
      <c r="F766">
        <f>IF(C766&lt;'user input'!$C$12,IF(B766&gt;'user input'!$C$6,0,F765+E766),'user input'!$C$17*((1-C766)/(1-'user input'!$C$12)))</f>
        <v>0</v>
      </c>
    </row>
    <row r="767" spans="1:6" x14ac:dyDescent="0.2">
      <c r="A767" s="1">
        <v>40943</v>
      </c>
      <c r="B767">
        <v>35</v>
      </c>
      <c r="C767">
        <f>IF(B767&gt;'user input'!$C$6,0,IF('heat units'!H767&gt;1,1,'heat units'!H767))</f>
        <v>0</v>
      </c>
      <c r="D767">
        <f>IF(B767&gt;'user input'!$C$6,0,(C767/(C767+EXP('user input'!$C$15-'user input'!$C$14*C767))))</f>
        <v>0</v>
      </c>
      <c r="E767">
        <f>IF(C767&lt;'user input'!$C$12,(D767-D766)*'user input'!$C$17*(1-EXP(5*(F766-'user input'!$C$17))),F767-F766)</f>
        <v>0</v>
      </c>
      <c r="F767">
        <f>IF(C767&lt;'user input'!$C$12,IF(B767&gt;'user input'!$C$6,0,F766+E767),'user input'!$C$17*((1-C767)/(1-'user input'!$C$12)))</f>
        <v>0</v>
      </c>
    </row>
    <row r="768" spans="1:6" x14ac:dyDescent="0.2">
      <c r="A768" s="1">
        <v>40944</v>
      </c>
      <c r="B768">
        <v>36</v>
      </c>
      <c r="C768">
        <f>IF(B768&gt;'user input'!$C$6,0,IF('heat units'!H768&gt;1,1,'heat units'!H768))</f>
        <v>0</v>
      </c>
      <c r="D768">
        <f>IF(B768&gt;'user input'!$C$6,0,(C768/(C768+EXP('user input'!$C$15-'user input'!$C$14*C768))))</f>
        <v>0</v>
      </c>
      <c r="E768">
        <f>IF(C768&lt;'user input'!$C$12,(D768-D767)*'user input'!$C$17*(1-EXP(5*(F767-'user input'!$C$17))),F768-F767)</f>
        <v>0</v>
      </c>
      <c r="F768">
        <f>IF(C768&lt;'user input'!$C$12,IF(B768&gt;'user input'!$C$6,0,F767+E768),'user input'!$C$17*((1-C768)/(1-'user input'!$C$12)))</f>
        <v>0</v>
      </c>
    </row>
    <row r="769" spans="1:6" x14ac:dyDescent="0.2">
      <c r="A769" s="1">
        <v>40945</v>
      </c>
      <c r="B769">
        <v>37</v>
      </c>
      <c r="C769">
        <f>IF(B769&gt;'user input'!$C$6,0,IF('heat units'!H769&gt;1,1,'heat units'!H769))</f>
        <v>0</v>
      </c>
      <c r="D769">
        <f>IF(B769&gt;'user input'!$C$6,0,(C769/(C769+EXP('user input'!$C$15-'user input'!$C$14*C769))))</f>
        <v>0</v>
      </c>
      <c r="E769">
        <f>IF(C769&lt;'user input'!$C$12,(D769-D768)*'user input'!$C$17*(1-EXP(5*(F768-'user input'!$C$17))),F769-F768)</f>
        <v>0</v>
      </c>
      <c r="F769">
        <f>IF(C769&lt;'user input'!$C$12,IF(B769&gt;'user input'!$C$6,0,F768+E769),'user input'!$C$17*((1-C769)/(1-'user input'!$C$12)))</f>
        <v>0</v>
      </c>
    </row>
    <row r="770" spans="1:6" x14ac:dyDescent="0.2">
      <c r="A770" s="1">
        <v>40946</v>
      </c>
      <c r="B770">
        <v>38</v>
      </c>
      <c r="C770">
        <f>IF(B770&gt;'user input'!$C$6,0,IF('heat units'!H770&gt;1,1,'heat units'!H770))</f>
        <v>0</v>
      </c>
      <c r="D770">
        <f>IF(B770&gt;'user input'!$C$6,0,(C770/(C770+EXP('user input'!$C$15-'user input'!$C$14*C770))))</f>
        <v>0</v>
      </c>
      <c r="E770">
        <f>IF(C770&lt;'user input'!$C$12,(D770-D769)*'user input'!$C$17*(1-EXP(5*(F769-'user input'!$C$17))),F770-F769)</f>
        <v>0</v>
      </c>
      <c r="F770">
        <f>IF(C770&lt;'user input'!$C$12,IF(B770&gt;'user input'!$C$6,0,F769+E770),'user input'!$C$17*((1-C770)/(1-'user input'!$C$12)))</f>
        <v>0</v>
      </c>
    </row>
    <row r="771" spans="1:6" x14ac:dyDescent="0.2">
      <c r="A771" s="1">
        <v>40947</v>
      </c>
      <c r="B771">
        <v>39</v>
      </c>
      <c r="C771">
        <f>IF(B771&gt;'user input'!$C$6,0,IF('heat units'!H771&gt;1,1,'heat units'!H771))</f>
        <v>0</v>
      </c>
      <c r="D771">
        <f>IF(B771&gt;'user input'!$C$6,0,(C771/(C771+EXP('user input'!$C$15-'user input'!$C$14*C771))))</f>
        <v>0</v>
      </c>
      <c r="E771">
        <f>IF(C771&lt;'user input'!$C$12,(D771-D770)*'user input'!$C$17*(1-EXP(5*(F770-'user input'!$C$17))),F771-F770)</f>
        <v>0</v>
      </c>
      <c r="F771">
        <f>IF(C771&lt;'user input'!$C$12,IF(B771&gt;'user input'!$C$6,0,F770+E771),'user input'!$C$17*((1-C771)/(1-'user input'!$C$12)))</f>
        <v>0</v>
      </c>
    </row>
    <row r="772" spans="1:6" x14ac:dyDescent="0.2">
      <c r="A772" s="1">
        <v>40948</v>
      </c>
      <c r="B772">
        <v>40</v>
      </c>
      <c r="C772">
        <f>IF(B772&gt;'user input'!$C$6,0,IF('heat units'!H772&gt;1,1,'heat units'!H772))</f>
        <v>0</v>
      </c>
      <c r="D772">
        <f>IF(B772&gt;'user input'!$C$6,0,(C772/(C772+EXP('user input'!$C$15-'user input'!$C$14*C772))))</f>
        <v>0</v>
      </c>
      <c r="E772">
        <f>IF(C772&lt;'user input'!$C$12,(D772-D771)*'user input'!$C$17*(1-EXP(5*(F771-'user input'!$C$17))),F772-F771)</f>
        <v>0</v>
      </c>
      <c r="F772">
        <f>IF(C772&lt;'user input'!$C$12,IF(B772&gt;'user input'!$C$6,0,F771+E772),'user input'!$C$17*((1-C772)/(1-'user input'!$C$12)))</f>
        <v>0</v>
      </c>
    </row>
    <row r="773" spans="1:6" x14ac:dyDescent="0.2">
      <c r="A773" s="1">
        <v>40949</v>
      </c>
      <c r="B773">
        <v>41</v>
      </c>
      <c r="C773">
        <f>IF(B773&gt;'user input'!$C$6,0,IF('heat units'!H773&gt;1,1,'heat units'!H773))</f>
        <v>0</v>
      </c>
      <c r="D773">
        <f>IF(B773&gt;'user input'!$C$6,0,(C773/(C773+EXP('user input'!$C$15-'user input'!$C$14*C773))))</f>
        <v>0</v>
      </c>
      <c r="E773">
        <f>IF(C773&lt;'user input'!$C$12,(D773-D772)*'user input'!$C$17*(1-EXP(5*(F772-'user input'!$C$17))),F773-F772)</f>
        <v>0</v>
      </c>
      <c r="F773">
        <f>IF(C773&lt;'user input'!$C$12,IF(B773&gt;'user input'!$C$6,0,F772+E773),'user input'!$C$17*((1-C773)/(1-'user input'!$C$12)))</f>
        <v>0</v>
      </c>
    </row>
    <row r="774" spans="1:6" x14ac:dyDescent="0.2">
      <c r="A774" s="1">
        <v>40950</v>
      </c>
      <c r="B774">
        <v>42</v>
      </c>
      <c r="C774">
        <f>IF(B774&gt;'user input'!$C$6,0,IF('heat units'!H774&gt;1,1,'heat units'!H774))</f>
        <v>0</v>
      </c>
      <c r="D774">
        <f>IF(B774&gt;'user input'!$C$6,0,(C774/(C774+EXP('user input'!$C$15-'user input'!$C$14*C774))))</f>
        <v>0</v>
      </c>
      <c r="E774">
        <f>IF(C774&lt;'user input'!$C$12,(D774-D773)*'user input'!$C$17*(1-EXP(5*(F773-'user input'!$C$17))),F774-F773)</f>
        <v>0</v>
      </c>
      <c r="F774">
        <f>IF(C774&lt;'user input'!$C$12,IF(B774&gt;'user input'!$C$6,0,F773+E774),'user input'!$C$17*((1-C774)/(1-'user input'!$C$12)))</f>
        <v>0</v>
      </c>
    </row>
    <row r="775" spans="1:6" x14ac:dyDescent="0.2">
      <c r="A775" s="1">
        <v>40951</v>
      </c>
      <c r="B775">
        <v>43</v>
      </c>
      <c r="C775">
        <f>IF(B775&gt;'user input'!$C$6,0,IF('heat units'!H775&gt;1,1,'heat units'!H775))</f>
        <v>0</v>
      </c>
      <c r="D775">
        <f>IF(B775&gt;'user input'!$C$6,0,(C775/(C775+EXP('user input'!$C$15-'user input'!$C$14*C775))))</f>
        <v>0</v>
      </c>
      <c r="E775">
        <f>IF(C775&lt;'user input'!$C$12,(D775-D774)*'user input'!$C$17*(1-EXP(5*(F774-'user input'!$C$17))),F775-F774)</f>
        <v>0</v>
      </c>
      <c r="F775">
        <f>IF(C775&lt;'user input'!$C$12,IF(B775&gt;'user input'!$C$6,0,F774+E775),'user input'!$C$17*((1-C775)/(1-'user input'!$C$12)))</f>
        <v>0</v>
      </c>
    </row>
    <row r="776" spans="1:6" x14ac:dyDescent="0.2">
      <c r="A776" s="1">
        <v>40952</v>
      </c>
      <c r="B776">
        <v>44</v>
      </c>
      <c r="C776">
        <f>IF(B776&gt;'user input'!$C$6,0,IF('heat units'!H776&gt;1,1,'heat units'!H776))</f>
        <v>0</v>
      </c>
      <c r="D776">
        <f>IF(B776&gt;'user input'!$C$6,0,(C776/(C776+EXP('user input'!$C$15-'user input'!$C$14*C776))))</f>
        <v>0</v>
      </c>
      <c r="E776">
        <f>IF(C776&lt;'user input'!$C$12,(D776-D775)*'user input'!$C$17*(1-EXP(5*(F775-'user input'!$C$17))),F776-F775)</f>
        <v>0</v>
      </c>
      <c r="F776">
        <f>IF(C776&lt;'user input'!$C$12,IF(B776&gt;'user input'!$C$6,0,F775+E776),'user input'!$C$17*((1-C776)/(1-'user input'!$C$12)))</f>
        <v>0</v>
      </c>
    </row>
    <row r="777" spans="1:6" x14ac:dyDescent="0.2">
      <c r="A777" s="1">
        <v>40953</v>
      </c>
      <c r="B777">
        <v>45</v>
      </c>
      <c r="C777">
        <f>IF(B777&gt;'user input'!$C$6,0,IF('heat units'!H777&gt;1,1,'heat units'!H777))</f>
        <v>0</v>
      </c>
      <c r="D777">
        <f>IF(B777&gt;'user input'!$C$6,0,(C777/(C777+EXP('user input'!$C$15-'user input'!$C$14*C777))))</f>
        <v>0</v>
      </c>
      <c r="E777">
        <f>IF(C777&lt;'user input'!$C$12,(D777-D776)*'user input'!$C$17*(1-EXP(5*(F776-'user input'!$C$17))),F777-F776)</f>
        <v>0</v>
      </c>
      <c r="F777">
        <f>IF(C777&lt;'user input'!$C$12,IF(B777&gt;'user input'!$C$6,0,F776+E777),'user input'!$C$17*((1-C777)/(1-'user input'!$C$12)))</f>
        <v>0</v>
      </c>
    </row>
    <row r="778" spans="1:6" x14ac:dyDescent="0.2">
      <c r="A778" s="1">
        <v>40954</v>
      </c>
      <c r="B778">
        <v>46</v>
      </c>
      <c r="C778">
        <f>IF(B778&gt;'user input'!$C$6,0,IF('heat units'!H778&gt;1,1,'heat units'!H778))</f>
        <v>0</v>
      </c>
      <c r="D778">
        <f>IF(B778&gt;'user input'!$C$6,0,(C778/(C778+EXP('user input'!$C$15-'user input'!$C$14*C778))))</f>
        <v>0</v>
      </c>
      <c r="E778">
        <f>IF(C778&lt;'user input'!$C$12,(D778-D777)*'user input'!$C$17*(1-EXP(5*(F777-'user input'!$C$17))),F778-F777)</f>
        <v>0</v>
      </c>
      <c r="F778">
        <f>IF(C778&lt;'user input'!$C$12,IF(B778&gt;'user input'!$C$6,0,F777+E778),'user input'!$C$17*((1-C778)/(1-'user input'!$C$12)))</f>
        <v>0</v>
      </c>
    </row>
    <row r="779" spans="1:6" x14ac:dyDescent="0.2">
      <c r="A779" s="1">
        <v>40955</v>
      </c>
      <c r="B779">
        <v>47</v>
      </c>
      <c r="C779">
        <f>IF(B779&gt;'user input'!$C$6,0,IF('heat units'!H779&gt;1,1,'heat units'!H779))</f>
        <v>0</v>
      </c>
      <c r="D779">
        <f>IF(B779&gt;'user input'!$C$6,0,(C779/(C779+EXP('user input'!$C$15-'user input'!$C$14*C779))))</f>
        <v>0</v>
      </c>
      <c r="E779">
        <f>IF(C779&lt;'user input'!$C$12,(D779-D778)*'user input'!$C$17*(1-EXP(5*(F778-'user input'!$C$17))),F779-F778)</f>
        <v>0</v>
      </c>
      <c r="F779">
        <f>IF(C779&lt;'user input'!$C$12,IF(B779&gt;'user input'!$C$6,0,F778+E779),'user input'!$C$17*((1-C779)/(1-'user input'!$C$12)))</f>
        <v>0</v>
      </c>
    </row>
    <row r="780" spans="1:6" x14ac:dyDescent="0.2">
      <c r="A780" s="1">
        <v>40956</v>
      </c>
      <c r="B780">
        <v>48</v>
      </c>
      <c r="C780">
        <f>IF(B780&gt;'user input'!$C$6,0,IF('heat units'!H780&gt;1,1,'heat units'!H780))</f>
        <v>0</v>
      </c>
      <c r="D780">
        <f>IF(B780&gt;'user input'!$C$6,0,(C780/(C780+EXP('user input'!$C$15-'user input'!$C$14*C780))))</f>
        <v>0</v>
      </c>
      <c r="E780">
        <f>IF(C780&lt;'user input'!$C$12,(D780-D779)*'user input'!$C$17*(1-EXP(5*(F779-'user input'!$C$17))),F780-F779)</f>
        <v>0</v>
      </c>
      <c r="F780">
        <f>IF(C780&lt;'user input'!$C$12,IF(B780&gt;'user input'!$C$6,0,F779+E780),'user input'!$C$17*((1-C780)/(1-'user input'!$C$12)))</f>
        <v>0</v>
      </c>
    </row>
    <row r="781" spans="1:6" x14ac:dyDescent="0.2">
      <c r="A781" s="1">
        <v>40957</v>
      </c>
      <c r="B781">
        <v>49</v>
      </c>
      <c r="C781">
        <f>IF(B781&gt;'user input'!$C$6,0,IF('heat units'!H781&gt;1,1,'heat units'!H781))</f>
        <v>0</v>
      </c>
      <c r="D781">
        <f>IF(B781&gt;'user input'!$C$6,0,(C781/(C781+EXP('user input'!$C$15-'user input'!$C$14*C781))))</f>
        <v>0</v>
      </c>
      <c r="E781">
        <f>IF(C781&lt;'user input'!$C$12,(D781-D780)*'user input'!$C$17*(1-EXP(5*(F780-'user input'!$C$17))),F781-F780)</f>
        <v>0</v>
      </c>
      <c r="F781">
        <f>IF(C781&lt;'user input'!$C$12,IF(B781&gt;'user input'!$C$6,0,F780+E781),'user input'!$C$17*((1-C781)/(1-'user input'!$C$12)))</f>
        <v>0</v>
      </c>
    </row>
    <row r="782" spans="1:6" x14ac:dyDescent="0.2">
      <c r="A782" s="1">
        <v>40958</v>
      </c>
      <c r="B782">
        <v>50</v>
      </c>
      <c r="C782">
        <f>IF(B782&gt;'user input'!$C$6,0,IF('heat units'!H782&gt;1,1,'heat units'!H782))</f>
        <v>0</v>
      </c>
      <c r="D782">
        <f>IF(B782&gt;'user input'!$C$6,0,(C782/(C782+EXP('user input'!$C$15-'user input'!$C$14*C782))))</f>
        <v>0</v>
      </c>
      <c r="E782">
        <f>IF(C782&lt;'user input'!$C$12,(D782-D781)*'user input'!$C$17*(1-EXP(5*(F781-'user input'!$C$17))),F782-F781)</f>
        <v>0</v>
      </c>
      <c r="F782">
        <f>IF(C782&lt;'user input'!$C$12,IF(B782&gt;'user input'!$C$6,0,F781+E782),'user input'!$C$17*((1-C782)/(1-'user input'!$C$12)))</f>
        <v>0</v>
      </c>
    </row>
    <row r="783" spans="1:6" x14ac:dyDescent="0.2">
      <c r="A783" s="1">
        <v>40959</v>
      </c>
      <c r="B783">
        <v>51</v>
      </c>
      <c r="C783">
        <f>IF(B783&gt;'user input'!$C$6,0,IF('heat units'!H783&gt;1,1,'heat units'!H783))</f>
        <v>0</v>
      </c>
      <c r="D783">
        <f>IF(B783&gt;'user input'!$C$6,0,(C783/(C783+EXP('user input'!$C$15-'user input'!$C$14*C783))))</f>
        <v>0</v>
      </c>
      <c r="E783">
        <f>IF(C783&lt;'user input'!$C$12,(D783-D782)*'user input'!$C$17*(1-EXP(5*(F782-'user input'!$C$17))),F783-F782)</f>
        <v>0</v>
      </c>
      <c r="F783">
        <f>IF(C783&lt;'user input'!$C$12,IF(B783&gt;'user input'!$C$6,0,F782+E783),'user input'!$C$17*((1-C783)/(1-'user input'!$C$12)))</f>
        <v>0</v>
      </c>
    </row>
    <row r="784" spans="1:6" x14ac:dyDescent="0.2">
      <c r="A784" s="1">
        <v>40960</v>
      </c>
      <c r="B784">
        <v>52</v>
      </c>
      <c r="C784">
        <f>IF(B784&gt;'user input'!$C$6,0,IF('heat units'!H784&gt;1,1,'heat units'!H784))</f>
        <v>0</v>
      </c>
      <c r="D784">
        <f>IF(B784&gt;'user input'!$C$6,0,(C784/(C784+EXP('user input'!$C$15-'user input'!$C$14*C784))))</f>
        <v>0</v>
      </c>
      <c r="E784">
        <f>IF(C784&lt;'user input'!$C$12,(D784-D783)*'user input'!$C$17*(1-EXP(5*(F783-'user input'!$C$17))),F784-F783)</f>
        <v>0</v>
      </c>
      <c r="F784">
        <f>IF(C784&lt;'user input'!$C$12,IF(B784&gt;'user input'!$C$6,0,F783+E784),'user input'!$C$17*((1-C784)/(1-'user input'!$C$12)))</f>
        <v>0</v>
      </c>
    </row>
    <row r="785" spans="1:6" x14ac:dyDescent="0.2">
      <c r="A785" s="1">
        <v>40961</v>
      </c>
      <c r="B785">
        <v>53</v>
      </c>
      <c r="C785">
        <f>IF(B785&gt;'user input'!$C$6,0,IF('heat units'!H785&gt;1,1,'heat units'!H785))</f>
        <v>0</v>
      </c>
      <c r="D785">
        <f>IF(B785&gt;'user input'!$C$6,0,(C785/(C785+EXP('user input'!$C$15-'user input'!$C$14*C785))))</f>
        <v>0</v>
      </c>
      <c r="E785">
        <f>IF(C785&lt;'user input'!$C$12,(D785-D784)*'user input'!$C$17*(1-EXP(5*(F784-'user input'!$C$17))),F785-F784)</f>
        <v>0</v>
      </c>
      <c r="F785">
        <f>IF(C785&lt;'user input'!$C$12,IF(B785&gt;'user input'!$C$6,0,F784+E785),'user input'!$C$17*((1-C785)/(1-'user input'!$C$12)))</f>
        <v>0</v>
      </c>
    </row>
    <row r="786" spans="1:6" x14ac:dyDescent="0.2">
      <c r="A786" s="1">
        <v>40962</v>
      </c>
      <c r="B786">
        <v>54</v>
      </c>
      <c r="C786">
        <f>IF(B786&gt;'user input'!$C$6,0,IF('heat units'!H786&gt;1,1,'heat units'!H786))</f>
        <v>0</v>
      </c>
      <c r="D786">
        <f>IF(B786&gt;'user input'!$C$6,0,(C786/(C786+EXP('user input'!$C$15-'user input'!$C$14*C786))))</f>
        <v>0</v>
      </c>
      <c r="E786">
        <f>IF(C786&lt;'user input'!$C$12,(D786-D785)*'user input'!$C$17*(1-EXP(5*(F785-'user input'!$C$17))),F786-F785)</f>
        <v>0</v>
      </c>
      <c r="F786">
        <f>IF(C786&lt;'user input'!$C$12,IF(B786&gt;'user input'!$C$6,0,F785+E786),'user input'!$C$17*((1-C786)/(1-'user input'!$C$12)))</f>
        <v>0</v>
      </c>
    </row>
    <row r="787" spans="1:6" x14ac:dyDescent="0.2">
      <c r="A787" s="1">
        <v>40963</v>
      </c>
      <c r="B787">
        <v>55</v>
      </c>
      <c r="C787">
        <f>IF(B787&gt;'user input'!$C$6,0,IF('heat units'!H787&gt;1,1,'heat units'!H787))</f>
        <v>0</v>
      </c>
      <c r="D787">
        <f>IF(B787&gt;'user input'!$C$6,0,(C787/(C787+EXP('user input'!$C$15-'user input'!$C$14*C787))))</f>
        <v>0</v>
      </c>
      <c r="E787">
        <f>IF(C787&lt;'user input'!$C$12,(D787-D786)*'user input'!$C$17*(1-EXP(5*(F786-'user input'!$C$17))),F787-F786)</f>
        <v>0</v>
      </c>
      <c r="F787">
        <f>IF(C787&lt;'user input'!$C$12,IF(B787&gt;'user input'!$C$6,0,F786+E787),'user input'!$C$17*((1-C787)/(1-'user input'!$C$12)))</f>
        <v>0</v>
      </c>
    </row>
    <row r="788" spans="1:6" x14ac:dyDescent="0.2">
      <c r="A788" s="1">
        <v>40964</v>
      </c>
      <c r="B788">
        <v>56</v>
      </c>
      <c r="C788">
        <f>IF(B788&gt;'user input'!$C$6,0,IF('heat units'!H788&gt;1,1,'heat units'!H788))</f>
        <v>0</v>
      </c>
      <c r="D788">
        <f>IF(B788&gt;'user input'!$C$6,0,(C788/(C788+EXP('user input'!$C$15-'user input'!$C$14*C788))))</f>
        <v>0</v>
      </c>
      <c r="E788">
        <f>IF(C788&lt;'user input'!$C$12,(D788-D787)*'user input'!$C$17*(1-EXP(5*(F787-'user input'!$C$17))),F788-F787)</f>
        <v>0</v>
      </c>
      <c r="F788">
        <f>IF(C788&lt;'user input'!$C$12,IF(B788&gt;'user input'!$C$6,0,F787+E788),'user input'!$C$17*((1-C788)/(1-'user input'!$C$12)))</f>
        <v>0</v>
      </c>
    </row>
    <row r="789" spans="1:6" x14ac:dyDescent="0.2">
      <c r="A789" s="1">
        <v>40965</v>
      </c>
      <c r="B789">
        <v>57</v>
      </c>
      <c r="C789">
        <f>IF(B789&gt;'user input'!$C$6,0,IF('heat units'!H789&gt;1,1,'heat units'!H789))</f>
        <v>0</v>
      </c>
      <c r="D789">
        <f>IF(B789&gt;'user input'!$C$6,0,(C789/(C789+EXP('user input'!$C$15-'user input'!$C$14*C789))))</f>
        <v>0</v>
      </c>
      <c r="E789">
        <f>IF(C789&lt;'user input'!$C$12,(D789-D788)*'user input'!$C$17*(1-EXP(5*(F788-'user input'!$C$17))),F789-F788)</f>
        <v>0</v>
      </c>
      <c r="F789">
        <f>IF(C789&lt;'user input'!$C$12,IF(B789&gt;'user input'!$C$6,0,F788+E789),'user input'!$C$17*((1-C789)/(1-'user input'!$C$12)))</f>
        <v>0</v>
      </c>
    </row>
    <row r="790" spans="1:6" x14ac:dyDescent="0.2">
      <c r="A790" s="1">
        <v>40966</v>
      </c>
      <c r="B790">
        <v>58</v>
      </c>
      <c r="C790">
        <f>IF(B790&gt;'user input'!$C$6,0,IF('heat units'!H790&gt;1,1,'heat units'!H790))</f>
        <v>0</v>
      </c>
      <c r="D790">
        <f>IF(B790&gt;'user input'!$C$6,0,(C790/(C790+EXP('user input'!$C$15-'user input'!$C$14*C790))))</f>
        <v>0</v>
      </c>
      <c r="E790">
        <f>IF(C790&lt;'user input'!$C$12,(D790-D789)*'user input'!$C$17*(1-EXP(5*(F789-'user input'!$C$17))),F790-F789)</f>
        <v>0</v>
      </c>
      <c r="F790">
        <f>IF(C790&lt;'user input'!$C$12,IF(B790&gt;'user input'!$C$6,0,F789+E790),'user input'!$C$17*((1-C790)/(1-'user input'!$C$12)))</f>
        <v>0</v>
      </c>
    </row>
    <row r="791" spans="1:6" x14ac:dyDescent="0.2">
      <c r="A791" s="1">
        <v>40967</v>
      </c>
      <c r="B791">
        <v>59</v>
      </c>
      <c r="C791">
        <f>IF(B791&gt;'user input'!$C$6,0,IF('heat units'!H791&gt;1,1,'heat units'!H791))</f>
        <v>0</v>
      </c>
      <c r="D791">
        <f>IF(B791&gt;'user input'!$C$6,0,(C791/(C791+EXP('user input'!$C$15-'user input'!$C$14*C791))))</f>
        <v>0</v>
      </c>
      <c r="E791">
        <f>IF(C791&lt;'user input'!$C$12,(D791-D790)*'user input'!$C$17*(1-EXP(5*(F790-'user input'!$C$17))),F791-F790)</f>
        <v>0</v>
      </c>
      <c r="F791">
        <f>IF(C791&lt;'user input'!$C$12,IF(B791&gt;'user input'!$C$6,0,F790+E791),'user input'!$C$17*((1-C791)/(1-'user input'!$C$12)))</f>
        <v>0</v>
      </c>
    </row>
    <row r="792" spans="1:6" x14ac:dyDescent="0.2">
      <c r="A792" s="1">
        <v>40968</v>
      </c>
      <c r="B792">
        <v>60</v>
      </c>
      <c r="C792">
        <f>IF(B792&gt;'user input'!$C$6,0,IF('heat units'!H792&gt;1,1,'heat units'!H792))</f>
        <v>0</v>
      </c>
      <c r="D792">
        <f>IF(B792&gt;'user input'!$C$6,0,(C792/(C792+EXP('user input'!$C$15-'user input'!$C$14*C792))))</f>
        <v>0</v>
      </c>
      <c r="E792">
        <f>IF(C792&lt;'user input'!$C$12,(D792-D791)*'user input'!$C$17*(1-EXP(5*(F791-'user input'!$C$17))),F792-F791)</f>
        <v>0</v>
      </c>
      <c r="F792">
        <f>IF(C792&lt;'user input'!$C$12,IF(B792&gt;'user input'!$C$6,0,F791+E792),'user input'!$C$17*((1-C792)/(1-'user input'!$C$12)))</f>
        <v>0</v>
      </c>
    </row>
    <row r="793" spans="1:6" x14ac:dyDescent="0.2">
      <c r="A793" s="1">
        <v>40969</v>
      </c>
      <c r="B793">
        <v>61</v>
      </c>
      <c r="C793">
        <f>IF(B793&gt;'user input'!$C$6,0,IF('heat units'!H793&gt;1,1,'heat units'!H793))</f>
        <v>0</v>
      </c>
      <c r="D793">
        <f>IF(B793&gt;'user input'!$C$6,0,(C793/(C793+EXP('user input'!$C$15-'user input'!$C$14*C793))))</f>
        <v>0</v>
      </c>
      <c r="E793">
        <f>IF(C793&lt;'user input'!$C$12,(D793-D792)*'user input'!$C$17*(1-EXP(5*(F792-'user input'!$C$17))),F793-F792)</f>
        <v>0</v>
      </c>
      <c r="F793">
        <f>IF(C793&lt;'user input'!$C$12,IF(B793&gt;'user input'!$C$6,0,F792+E793),'user input'!$C$17*((1-C793)/(1-'user input'!$C$12)))</f>
        <v>0</v>
      </c>
    </row>
    <row r="794" spans="1:6" x14ac:dyDescent="0.2">
      <c r="A794" s="1">
        <v>40970</v>
      </c>
      <c r="B794">
        <v>62</v>
      </c>
      <c r="C794">
        <f>IF(B794&gt;'user input'!$C$6,0,IF('heat units'!H794&gt;1,1,'heat units'!H794))</f>
        <v>0</v>
      </c>
      <c r="D794">
        <f>IF(B794&gt;'user input'!$C$6,0,(C794/(C794+EXP('user input'!$C$15-'user input'!$C$14*C794))))</f>
        <v>0</v>
      </c>
      <c r="E794">
        <f>IF(C794&lt;'user input'!$C$12,(D794-D793)*'user input'!$C$17*(1-EXP(5*(F793-'user input'!$C$17))),F794-F793)</f>
        <v>0</v>
      </c>
      <c r="F794">
        <f>IF(C794&lt;'user input'!$C$12,IF(B794&gt;'user input'!$C$6,0,F793+E794),'user input'!$C$17*((1-C794)/(1-'user input'!$C$12)))</f>
        <v>0</v>
      </c>
    </row>
    <row r="795" spans="1:6" x14ac:dyDescent="0.2">
      <c r="A795" s="1">
        <v>40971</v>
      </c>
      <c r="B795">
        <v>63</v>
      </c>
      <c r="C795">
        <f>IF(B795&gt;'user input'!$C$6,0,IF('heat units'!H795&gt;1,1,'heat units'!H795))</f>
        <v>0</v>
      </c>
      <c r="D795">
        <f>IF(B795&gt;'user input'!$C$6,0,(C795/(C795+EXP('user input'!$C$15-'user input'!$C$14*C795))))</f>
        <v>0</v>
      </c>
      <c r="E795">
        <f>IF(C795&lt;'user input'!$C$12,(D795-D794)*'user input'!$C$17*(1-EXP(5*(F794-'user input'!$C$17))),F795-F794)</f>
        <v>0</v>
      </c>
      <c r="F795">
        <f>IF(C795&lt;'user input'!$C$12,IF(B795&gt;'user input'!$C$6,0,F794+E795),'user input'!$C$17*((1-C795)/(1-'user input'!$C$12)))</f>
        <v>0</v>
      </c>
    </row>
    <row r="796" spans="1:6" x14ac:dyDescent="0.2">
      <c r="A796" s="1">
        <v>40972</v>
      </c>
      <c r="B796">
        <v>64</v>
      </c>
      <c r="C796">
        <f>IF(B796&gt;'user input'!$C$6,0,IF('heat units'!H796&gt;1,1,'heat units'!H796))</f>
        <v>0</v>
      </c>
      <c r="D796">
        <f>IF(B796&gt;'user input'!$C$6,0,(C796/(C796+EXP('user input'!$C$15-'user input'!$C$14*C796))))</f>
        <v>0</v>
      </c>
      <c r="E796">
        <f>IF(C796&lt;'user input'!$C$12,(D796-D795)*'user input'!$C$17*(1-EXP(5*(F795-'user input'!$C$17))),F796-F795)</f>
        <v>0</v>
      </c>
      <c r="F796">
        <f>IF(C796&lt;'user input'!$C$12,IF(B796&gt;'user input'!$C$6,0,F795+E796),'user input'!$C$17*((1-C796)/(1-'user input'!$C$12)))</f>
        <v>0</v>
      </c>
    </row>
    <row r="797" spans="1:6" x14ac:dyDescent="0.2">
      <c r="A797" s="1">
        <v>40973</v>
      </c>
      <c r="B797">
        <v>65</v>
      </c>
      <c r="C797">
        <f>IF(B797&gt;'user input'!$C$6,0,IF('heat units'!H797&gt;1,1,'heat units'!H797))</f>
        <v>0</v>
      </c>
      <c r="D797">
        <f>IF(B797&gt;'user input'!$C$6,0,(C797/(C797+EXP('user input'!$C$15-'user input'!$C$14*C797))))</f>
        <v>0</v>
      </c>
      <c r="E797">
        <f>IF(C797&lt;'user input'!$C$12,(D797-D796)*'user input'!$C$17*(1-EXP(5*(F796-'user input'!$C$17))),F797-F796)</f>
        <v>0</v>
      </c>
      <c r="F797">
        <f>IF(C797&lt;'user input'!$C$12,IF(B797&gt;'user input'!$C$6,0,F796+E797),'user input'!$C$17*((1-C797)/(1-'user input'!$C$12)))</f>
        <v>0</v>
      </c>
    </row>
    <row r="798" spans="1:6" x14ac:dyDescent="0.2">
      <c r="A798" s="1">
        <v>40974</v>
      </c>
      <c r="B798">
        <v>66</v>
      </c>
      <c r="C798">
        <f>IF(B798&gt;'user input'!$C$6,0,IF('heat units'!H798&gt;1,1,'heat units'!H798))</f>
        <v>0</v>
      </c>
      <c r="D798">
        <f>IF(B798&gt;'user input'!$C$6,0,(C798/(C798+EXP('user input'!$C$15-'user input'!$C$14*C798))))</f>
        <v>0</v>
      </c>
      <c r="E798">
        <f>IF(C798&lt;'user input'!$C$12,(D798-D797)*'user input'!$C$17*(1-EXP(5*(F797-'user input'!$C$17))),F798-F797)</f>
        <v>0</v>
      </c>
      <c r="F798">
        <f>IF(C798&lt;'user input'!$C$12,IF(B798&gt;'user input'!$C$6,0,F797+E798),'user input'!$C$17*((1-C798)/(1-'user input'!$C$12)))</f>
        <v>0</v>
      </c>
    </row>
    <row r="799" spans="1:6" x14ac:dyDescent="0.2">
      <c r="A799" s="1">
        <v>40975</v>
      </c>
      <c r="B799">
        <v>67</v>
      </c>
      <c r="C799">
        <f>IF(B799&gt;'user input'!$C$6,0,IF('heat units'!H799&gt;1,1,'heat units'!H799))</f>
        <v>0</v>
      </c>
      <c r="D799">
        <f>IF(B799&gt;'user input'!$C$6,0,(C799/(C799+EXP('user input'!$C$15-'user input'!$C$14*C799))))</f>
        <v>0</v>
      </c>
      <c r="E799">
        <f>IF(C799&lt;'user input'!$C$12,(D799-D798)*'user input'!$C$17*(1-EXP(5*(F798-'user input'!$C$17))),F799-F798)</f>
        <v>0</v>
      </c>
      <c r="F799">
        <f>IF(C799&lt;'user input'!$C$12,IF(B799&gt;'user input'!$C$6,0,F798+E799),'user input'!$C$17*((1-C799)/(1-'user input'!$C$12)))</f>
        <v>0</v>
      </c>
    </row>
    <row r="800" spans="1:6" x14ac:dyDescent="0.2">
      <c r="A800" s="1">
        <v>40976</v>
      </c>
      <c r="B800">
        <v>68</v>
      </c>
      <c r="C800">
        <f>IF(B800&gt;'user input'!$C$6,0,IF('heat units'!H800&gt;1,1,'heat units'!H800))</f>
        <v>0</v>
      </c>
      <c r="D800">
        <f>IF(B800&gt;'user input'!$C$6,0,(C800/(C800+EXP('user input'!$C$15-'user input'!$C$14*C800))))</f>
        <v>0</v>
      </c>
      <c r="E800">
        <f>IF(C800&lt;'user input'!$C$12,(D800-D799)*'user input'!$C$17*(1-EXP(5*(F799-'user input'!$C$17))),F800-F799)</f>
        <v>0</v>
      </c>
      <c r="F800">
        <f>IF(C800&lt;'user input'!$C$12,IF(B800&gt;'user input'!$C$6,0,F799+E800),'user input'!$C$17*((1-C800)/(1-'user input'!$C$12)))</f>
        <v>0</v>
      </c>
    </row>
    <row r="801" spans="1:6" x14ac:dyDescent="0.2">
      <c r="A801" s="1">
        <v>40977</v>
      </c>
      <c r="B801">
        <v>69</v>
      </c>
      <c r="C801">
        <f>IF(B801&gt;'user input'!$C$6,0,IF('heat units'!H801&gt;1,1,'heat units'!H801))</f>
        <v>0</v>
      </c>
      <c r="D801">
        <f>IF(B801&gt;'user input'!$C$6,0,(C801/(C801+EXP('user input'!$C$15-'user input'!$C$14*C801))))</f>
        <v>0</v>
      </c>
      <c r="E801">
        <f>IF(C801&lt;'user input'!$C$12,(D801-D800)*'user input'!$C$17*(1-EXP(5*(F800-'user input'!$C$17))),F801-F800)</f>
        <v>0</v>
      </c>
      <c r="F801">
        <f>IF(C801&lt;'user input'!$C$12,IF(B801&gt;'user input'!$C$6,0,F800+E801),'user input'!$C$17*((1-C801)/(1-'user input'!$C$12)))</f>
        <v>0</v>
      </c>
    </row>
    <row r="802" spans="1:6" x14ac:dyDescent="0.2">
      <c r="A802" s="1">
        <v>40978</v>
      </c>
      <c r="B802">
        <v>70</v>
      </c>
      <c r="C802">
        <f>IF(B802&gt;'user input'!$C$6,0,IF('heat units'!H802&gt;1,1,'heat units'!H802))</f>
        <v>0</v>
      </c>
      <c r="D802">
        <f>IF(B802&gt;'user input'!$C$6,0,(C802/(C802+EXP('user input'!$C$15-'user input'!$C$14*C802))))</f>
        <v>0</v>
      </c>
      <c r="E802">
        <f>IF(C802&lt;'user input'!$C$12,(D802-D801)*'user input'!$C$17*(1-EXP(5*(F801-'user input'!$C$17))),F802-F801)</f>
        <v>0</v>
      </c>
      <c r="F802">
        <f>IF(C802&lt;'user input'!$C$12,IF(B802&gt;'user input'!$C$6,0,F801+E802),'user input'!$C$17*((1-C802)/(1-'user input'!$C$12)))</f>
        <v>0</v>
      </c>
    </row>
    <row r="803" spans="1:6" x14ac:dyDescent="0.2">
      <c r="A803" s="1">
        <v>40979</v>
      </c>
      <c r="B803">
        <v>71</v>
      </c>
      <c r="C803">
        <f>IF(B803&gt;'user input'!$C$6,0,IF('heat units'!H803&gt;1,1,'heat units'!H803))</f>
        <v>0</v>
      </c>
      <c r="D803">
        <f>IF(B803&gt;'user input'!$C$6,0,(C803/(C803+EXP('user input'!$C$15-'user input'!$C$14*C803))))</f>
        <v>0</v>
      </c>
      <c r="E803">
        <f>IF(C803&lt;'user input'!$C$12,(D803-D802)*'user input'!$C$17*(1-EXP(5*(F802-'user input'!$C$17))),F803-F802)</f>
        <v>0</v>
      </c>
      <c r="F803">
        <f>IF(C803&lt;'user input'!$C$12,IF(B803&gt;'user input'!$C$6,0,F802+E803),'user input'!$C$17*((1-C803)/(1-'user input'!$C$12)))</f>
        <v>0</v>
      </c>
    </row>
    <row r="804" spans="1:6" x14ac:dyDescent="0.2">
      <c r="A804" s="1">
        <v>40980</v>
      </c>
      <c r="B804">
        <v>72</v>
      </c>
      <c r="C804">
        <f>IF(B804&gt;'user input'!$C$6,0,IF('heat units'!H804&gt;1,1,'heat units'!H804))</f>
        <v>0</v>
      </c>
      <c r="D804">
        <f>IF(B804&gt;'user input'!$C$6,0,(C804/(C804+EXP('user input'!$C$15-'user input'!$C$14*C804))))</f>
        <v>0</v>
      </c>
      <c r="E804">
        <f>IF(C804&lt;'user input'!$C$12,(D804-D803)*'user input'!$C$17*(1-EXP(5*(F803-'user input'!$C$17))),F804-F803)</f>
        <v>0</v>
      </c>
      <c r="F804">
        <f>IF(C804&lt;'user input'!$C$12,IF(B804&gt;'user input'!$C$6,0,F803+E804),'user input'!$C$17*((1-C804)/(1-'user input'!$C$12)))</f>
        <v>0</v>
      </c>
    </row>
    <row r="805" spans="1:6" x14ac:dyDescent="0.2">
      <c r="A805" s="1">
        <v>40981</v>
      </c>
      <c r="B805">
        <v>73</v>
      </c>
      <c r="C805">
        <f>IF(B805&gt;'user input'!$C$6,0,IF('heat units'!H805&gt;1,1,'heat units'!H805))</f>
        <v>0</v>
      </c>
      <c r="D805">
        <f>IF(B805&gt;'user input'!$C$6,0,(C805/(C805+EXP('user input'!$C$15-'user input'!$C$14*C805))))</f>
        <v>0</v>
      </c>
      <c r="E805">
        <f>IF(C805&lt;'user input'!$C$12,(D805-D804)*'user input'!$C$17*(1-EXP(5*(F804-'user input'!$C$17))),F805-F804)</f>
        <v>0</v>
      </c>
      <c r="F805">
        <f>IF(C805&lt;'user input'!$C$12,IF(B805&gt;'user input'!$C$6,0,F804+E805),'user input'!$C$17*((1-C805)/(1-'user input'!$C$12)))</f>
        <v>0</v>
      </c>
    </row>
    <row r="806" spans="1:6" x14ac:dyDescent="0.2">
      <c r="A806" s="1">
        <v>40982</v>
      </c>
      <c r="B806">
        <v>74</v>
      </c>
      <c r="C806">
        <f>IF(B806&gt;'user input'!$C$6,0,IF('heat units'!H806&gt;1,1,'heat units'!H806))</f>
        <v>0</v>
      </c>
      <c r="D806">
        <f>IF(B806&gt;'user input'!$C$6,0,(C806/(C806+EXP('user input'!$C$15-'user input'!$C$14*C806))))</f>
        <v>0</v>
      </c>
      <c r="E806">
        <f>IF(C806&lt;'user input'!$C$12,(D806-D805)*'user input'!$C$17*(1-EXP(5*(F805-'user input'!$C$17))),F806-F805)</f>
        <v>0</v>
      </c>
      <c r="F806">
        <f>IF(C806&lt;'user input'!$C$12,IF(B806&gt;'user input'!$C$6,0,F805+E806),'user input'!$C$17*((1-C806)/(1-'user input'!$C$12)))</f>
        <v>0</v>
      </c>
    </row>
    <row r="807" spans="1:6" x14ac:dyDescent="0.2">
      <c r="A807" s="1">
        <v>40983</v>
      </c>
      <c r="B807">
        <v>75</v>
      </c>
      <c r="C807">
        <f>IF(B807&gt;'user input'!$C$6,0,IF('heat units'!H807&gt;1,1,'heat units'!H807))</f>
        <v>0</v>
      </c>
      <c r="D807">
        <f>IF(B807&gt;'user input'!$C$6,0,(C807/(C807+EXP('user input'!$C$15-'user input'!$C$14*C807))))</f>
        <v>0</v>
      </c>
      <c r="E807">
        <f>IF(C807&lt;'user input'!$C$12,(D807-D806)*'user input'!$C$17*(1-EXP(5*(F806-'user input'!$C$17))),F807-F806)</f>
        <v>0</v>
      </c>
      <c r="F807">
        <f>IF(C807&lt;'user input'!$C$12,IF(B807&gt;'user input'!$C$6,0,F806+E807),'user input'!$C$17*((1-C807)/(1-'user input'!$C$12)))</f>
        <v>0</v>
      </c>
    </row>
    <row r="808" spans="1:6" x14ac:dyDescent="0.2">
      <c r="A808" s="1">
        <v>40984</v>
      </c>
      <c r="B808">
        <v>76</v>
      </c>
      <c r="C808">
        <f>IF(B808&gt;'user input'!$C$6,0,IF('heat units'!H808&gt;1,1,'heat units'!H808))</f>
        <v>0</v>
      </c>
      <c r="D808">
        <f>IF(B808&gt;'user input'!$C$6,0,(C808/(C808+EXP('user input'!$C$15-'user input'!$C$14*C808))))</f>
        <v>0</v>
      </c>
      <c r="E808">
        <f>IF(C808&lt;'user input'!$C$12,(D808-D807)*'user input'!$C$17*(1-EXP(5*(F807-'user input'!$C$17))),F808-F807)</f>
        <v>0</v>
      </c>
      <c r="F808">
        <f>IF(C808&lt;'user input'!$C$12,IF(B808&gt;'user input'!$C$6,0,F807+E808),'user input'!$C$17*((1-C808)/(1-'user input'!$C$12)))</f>
        <v>0</v>
      </c>
    </row>
    <row r="809" spans="1:6" x14ac:dyDescent="0.2">
      <c r="A809" s="1">
        <v>40985</v>
      </c>
      <c r="B809">
        <v>77</v>
      </c>
      <c r="C809">
        <f>IF(B809&gt;'user input'!$C$6,0,IF('heat units'!H809&gt;1,1,'heat units'!H809))</f>
        <v>0</v>
      </c>
      <c r="D809">
        <f>IF(B809&gt;'user input'!$C$6,0,(C809/(C809+EXP('user input'!$C$15-'user input'!$C$14*C809))))</f>
        <v>0</v>
      </c>
      <c r="E809">
        <f>IF(C809&lt;'user input'!$C$12,(D809-D808)*'user input'!$C$17*(1-EXP(5*(F808-'user input'!$C$17))),F809-F808)</f>
        <v>0</v>
      </c>
      <c r="F809">
        <f>IF(C809&lt;'user input'!$C$12,IF(B809&gt;'user input'!$C$6,0,F808+E809),'user input'!$C$17*((1-C809)/(1-'user input'!$C$12)))</f>
        <v>0</v>
      </c>
    </row>
    <row r="810" spans="1:6" x14ac:dyDescent="0.2">
      <c r="A810" s="1">
        <v>40986</v>
      </c>
      <c r="B810">
        <v>78</v>
      </c>
      <c r="C810">
        <f>IF(B810&gt;'user input'!$C$6,0,IF('heat units'!H810&gt;1,1,'heat units'!H810))</f>
        <v>0</v>
      </c>
      <c r="D810">
        <f>IF(B810&gt;'user input'!$C$6,0,(C810/(C810+EXP('user input'!$C$15-'user input'!$C$14*C810))))</f>
        <v>0</v>
      </c>
      <c r="E810">
        <f>IF(C810&lt;'user input'!$C$12,(D810-D809)*'user input'!$C$17*(1-EXP(5*(F809-'user input'!$C$17))),F810-F809)</f>
        <v>0</v>
      </c>
      <c r="F810">
        <f>IF(C810&lt;'user input'!$C$12,IF(B810&gt;'user input'!$C$6,0,F809+E810),'user input'!$C$17*((1-C810)/(1-'user input'!$C$12)))</f>
        <v>0</v>
      </c>
    </row>
    <row r="811" spans="1:6" x14ac:dyDescent="0.2">
      <c r="A811" s="1">
        <v>40987</v>
      </c>
      <c r="B811">
        <v>79</v>
      </c>
      <c r="C811">
        <f>IF(B811&gt;'user input'!$C$6,0,IF('heat units'!H811&gt;1,1,'heat units'!H811))</f>
        <v>0</v>
      </c>
      <c r="D811">
        <f>IF(B811&gt;'user input'!$C$6,0,(C811/(C811+EXP('user input'!$C$15-'user input'!$C$14*C811))))</f>
        <v>0</v>
      </c>
      <c r="E811">
        <f>IF(C811&lt;'user input'!$C$12,(D811-D810)*'user input'!$C$17*(1-EXP(5*(F810-'user input'!$C$17))),F811-F810)</f>
        <v>0</v>
      </c>
      <c r="F811">
        <f>IF(C811&lt;'user input'!$C$12,IF(B811&gt;'user input'!$C$6,0,F810+E811),'user input'!$C$17*((1-C811)/(1-'user input'!$C$12)))</f>
        <v>0</v>
      </c>
    </row>
    <row r="812" spans="1:6" x14ac:dyDescent="0.2">
      <c r="A812" s="1">
        <v>40988</v>
      </c>
      <c r="B812">
        <v>80</v>
      </c>
      <c r="C812">
        <f>IF(B812&gt;'user input'!$C$6,0,IF('heat units'!H812&gt;1,1,'heat units'!H812))</f>
        <v>0</v>
      </c>
      <c r="D812">
        <f>IF(B812&gt;'user input'!$C$6,0,(C812/(C812+EXP('user input'!$C$15-'user input'!$C$14*C812))))</f>
        <v>0</v>
      </c>
      <c r="E812">
        <f>IF(C812&lt;'user input'!$C$12,(D812-D811)*'user input'!$C$17*(1-EXP(5*(F811-'user input'!$C$17))),F812-F811)</f>
        <v>0</v>
      </c>
      <c r="F812">
        <f>IF(C812&lt;'user input'!$C$12,IF(B812&gt;'user input'!$C$6,0,F811+E812),'user input'!$C$17*((1-C812)/(1-'user input'!$C$12)))</f>
        <v>0</v>
      </c>
    </row>
    <row r="813" spans="1:6" x14ac:dyDescent="0.2">
      <c r="A813" s="1">
        <v>40989</v>
      </c>
      <c r="B813">
        <v>81</v>
      </c>
      <c r="C813">
        <f>IF(B813&gt;'user input'!$C$6,0,IF('heat units'!H813&gt;1,1,'heat units'!H813))</f>
        <v>0</v>
      </c>
      <c r="D813">
        <f>IF(B813&gt;'user input'!$C$6,0,(C813/(C813+EXP('user input'!$C$15-'user input'!$C$14*C813))))</f>
        <v>0</v>
      </c>
      <c r="E813">
        <f>IF(C813&lt;'user input'!$C$12,(D813-D812)*'user input'!$C$17*(1-EXP(5*(F812-'user input'!$C$17))),F813-F812)</f>
        <v>0</v>
      </c>
      <c r="F813">
        <f>IF(C813&lt;'user input'!$C$12,IF(B813&gt;'user input'!$C$6,0,F812+E813),'user input'!$C$17*((1-C813)/(1-'user input'!$C$12)))</f>
        <v>0</v>
      </c>
    </row>
    <row r="814" spans="1:6" x14ac:dyDescent="0.2">
      <c r="A814" s="1">
        <v>40990</v>
      </c>
      <c r="B814">
        <v>82</v>
      </c>
      <c r="C814">
        <f>IF(B814&gt;'user input'!$C$6,0,IF('heat units'!H814&gt;1,1,'heat units'!H814))</f>
        <v>0</v>
      </c>
      <c r="D814">
        <f>IF(B814&gt;'user input'!$C$6,0,(C814/(C814+EXP('user input'!$C$15-'user input'!$C$14*C814))))</f>
        <v>0</v>
      </c>
      <c r="E814">
        <f>IF(C814&lt;'user input'!$C$12,(D814-D813)*'user input'!$C$17*(1-EXP(5*(F813-'user input'!$C$17))),F814-F813)</f>
        <v>0</v>
      </c>
      <c r="F814">
        <f>IF(C814&lt;'user input'!$C$12,IF(B814&gt;'user input'!$C$6,0,F813+E814),'user input'!$C$17*((1-C814)/(1-'user input'!$C$12)))</f>
        <v>0</v>
      </c>
    </row>
    <row r="815" spans="1:6" x14ac:dyDescent="0.2">
      <c r="A815" s="1">
        <v>40991</v>
      </c>
      <c r="B815">
        <v>83</v>
      </c>
      <c r="C815">
        <f>IF(B815&gt;'user input'!$C$6,0,IF('heat units'!H815&gt;1,1,'heat units'!H815))</f>
        <v>0</v>
      </c>
      <c r="D815">
        <f>IF(B815&gt;'user input'!$C$6,0,(C815/(C815+EXP('user input'!$C$15-'user input'!$C$14*C815))))</f>
        <v>0</v>
      </c>
      <c r="E815">
        <f>IF(C815&lt;'user input'!$C$12,(D815-D814)*'user input'!$C$17*(1-EXP(5*(F814-'user input'!$C$17))),F815-F814)</f>
        <v>0</v>
      </c>
      <c r="F815">
        <f>IF(C815&lt;'user input'!$C$12,IF(B815&gt;'user input'!$C$6,0,F814+E815),'user input'!$C$17*((1-C815)/(1-'user input'!$C$12)))</f>
        <v>0</v>
      </c>
    </row>
    <row r="816" spans="1:6" x14ac:dyDescent="0.2">
      <c r="A816" s="1">
        <v>40992</v>
      </c>
      <c r="B816">
        <v>84</v>
      </c>
      <c r="C816">
        <f>IF(B816&gt;'user input'!$C$6,0,IF('heat units'!H816&gt;1,1,'heat units'!H816))</f>
        <v>0</v>
      </c>
      <c r="D816">
        <f>IF(B816&gt;'user input'!$C$6,0,(C816/(C816+EXP('user input'!$C$15-'user input'!$C$14*C816))))</f>
        <v>0</v>
      </c>
      <c r="E816">
        <f>IF(C816&lt;'user input'!$C$12,(D816-D815)*'user input'!$C$17*(1-EXP(5*(F815-'user input'!$C$17))),F816-F815)</f>
        <v>0</v>
      </c>
      <c r="F816">
        <f>IF(C816&lt;'user input'!$C$12,IF(B816&gt;'user input'!$C$6,0,F815+E816),'user input'!$C$17*((1-C816)/(1-'user input'!$C$12)))</f>
        <v>0</v>
      </c>
    </row>
    <row r="817" spans="1:6" x14ac:dyDescent="0.2">
      <c r="A817" s="1">
        <v>40993</v>
      </c>
      <c r="B817">
        <v>85</v>
      </c>
      <c r="C817">
        <f>IF(B817&gt;'user input'!$C$6,0,IF('heat units'!H817&gt;1,1,'heat units'!H817))</f>
        <v>0</v>
      </c>
      <c r="D817">
        <f>IF(B817&gt;'user input'!$C$6,0,(C817/(C817+EXP('user input'!$C$15-'user input'!$C$14*C817))))</f>
        <v>0</v>
      </c>
      <c r="E817">
        <f>IF(C817&lt;'user input'!$C$12,(D817-D816)*'user input'!$C$17*(1-EXP(5*(F816-'user input'!$C$17))),F817-F816)</f>
        <v>0</v>
      </c>
      <c r="F817">
        <f>IF(C817&lt;'user input'!$C$12,IF(B817&gt;'user input'!$C$6,0,F816+E817),'user input'!$C$17*((1-C817)/(1-'user input'!$C$12)))</f>
        <v>0</v>
      </c>
    </row>
    <row r="818" spans="1:6" x14ac:dyDescent="0.2">
      <c r="A818" s="1">
        <v>40994</v>
      </c>
      <c r="B818">
        <v>86</v>
      </c>
      <c r="C818">
        <f>IF(B818&gt;'user input'!$C$6,0,IF('heat units'!H818&gt;1,1,'heat units'!H818))</f>
        <v>0</v>
      </c>
      <c r="D818">
        <f>IF(B818&gt;'user input'!$C$6,0,(C818/(C818+EXP('user input'!$C$15-'user input'!$C$14*C818))))</f>
        <v>0</v>
      </c>
      <c r="E818">
        <f>IF(C818&lt;'user input'!$C$12,(D818-D817)*'user input'!$C$17*(1-EXP(5*(F817-'user input'!$C$17))),F818-F817)</f>
        <v>0</v>
      </c>
      <c r="F818">
        <f>IF(C818&lt;'user input'!$C$12,IF(B818&gt;'user input'!$C$6,0,F817+E818),'user input'!$C$17*((1-C818)/(1-'user input'!$C$12)))</f>
        <v>0</v>
      </c>
    </row>
    <row r="819" spans="1:6" x14ac:dyDescent="0.2">
      <c r="A819" s="1">
        <v>40995</v>
      </c>
      <c r="B819">
        <v>87</v>
      </c>
      <c r="C819">
        <f>IF(B819&gt;'user input'!$C$6,0,IF('heat units'!H819&gt;1,1,'heat units'!H819))</f>
        <v>0</v>
      </c>
      <c r="D819">
        <f>IF(B819&gt;'user input'!$C$6,0,(C819/(C819+EXP('user input'!$C$15-'user input'!$C$14*C819))))</f>
        <v>0</v>
      </c>
      <c r="E819">
        <f>IF(C819&lt;'user input'!$C$12,(D819-D818)*'user input'!$C$17*(1-EXP(5*(F818-'user input'!$C$17))),F819-F818)</f>
        <v>0</v>
      </c>
      <c r="F819">
        <f>IF(C819&lt;'user input'!$C$12,IF(B819&gt;'user input'!$C$6,0,F818+E819),'user input'!$C$17*((1-C819)/(1-'user input'!$C$12)))</f>
        <v>0</v>
      </c>
    </row>
    <row r="820" spans="1:6" x14ac:dyDescent="0.2">
      <c r="A820" s="1">
        <v>40996</v>
      </c>
      <c r="B820">
        <v>88</v>
      </c>
      <c r="C820">
        <f>IF(B820&gt;'user input'!$C$6,0,IF('heat units'!H820&gt;1,1,'heat units'!H820))</f>
        <v>0</v>
      </c>
      <c r="D820">
        <f>IF(B820&gt;'user input'!$C$6,0,(C820/(C820+EXP('user input'!$C$15-'user input'!$C$14*C820))))</f>
        <v>0</v>
      </c>
      <c r="E820">
        <f>IF(C820&lt;'user input'!$C$12,(D820-D819)*'user input'!$C$17*(1-EXP(5*(F819-'user input'!$C$17))),F820-F819)</f>
        <v>0</v>
      </c>
      <c r="F820">
        <f>IF(C820&lt;'user input'!$C$12,IF(B820&gt;'user input'!$C$6,0,F819+E820),'user input'!$C$17*((1-C820)/(1-'user input'!$C$12)))</f>
        <v>0</v>
      </c>
    </row>
    <row r="821" spans="1:6" x14ac:dyDescent="0.2">
      <c r="A821" s="1">
        <v>40997</v>
      </c>
      <c r="B821">
        <v>89</v>
      </c>
      <c r="C821">
        <f>IF(B821&gt;'user input'!$C$6,0,IF('heat units'!H821&gt;1,1,'heat units'!H821))</f>
        <v>0</v>
      </c>
      <c r="D821">
        <f>IF(B821&gt;'user input'!$C$6,0,(C821/(C821+EXP('user input'!$C$15-'user input'!$C$14*C821))))</f>
        <v>0</v>
      </c>
      <c r="E821">
        <f>IF(C821&lt;'user input'!$C$12,(D821-D820)*'user input'!$C$17*(1-EXP(5*(F820-'user input'!$C$17))),F821-F820)</f>
        <v>0</v>
      </c>
      <c r="F821">
        <f>IF(C821&lt;'user input'!$C$12,IF(B821&gt;'user input'!$C$6,0,F820+E821),'user input'!$C$17*((1-C821)/(1-'user input'!$C$12)))</f>
        <v>0</v>
      </c>
    </row>
    <row r="822" spans="1:6" x14ac:dyDescent="0.2">
      <c r="A822" s="1">
        <v>40998</v>
      </c>
      <c r="B822">
        <v>90</v>
      </c>
      <c r="C822">
        <f>IF(B822&gt;'user input'!$C$6,0,IF('heat units'!H822&gt;1,1,'heat units'!H822))</f>
        <v>0</v>
      </c>
      <c r="D822">
        <f>IF(B822&gt;'user input'!$C$6,0,(C822/(C822+EXP('user input'!$C$15-'user input'!$C$14*C822))))</f>
        <v>0</v>
      </c>
      <c r="E822">
        <f>IF(C822&lt;'user input'!$C$12,(D822-D821)*'user input'!$C$17*(1-EXP(5*(F821-'user input'!$C$17))),F822-F821)</f>
        <v>0</v>
      </c>
      <c r="F822">
        <f>IF(C822&lt;'user input'!$C$12,IF(B822&gt;'user input'!$C$6,0,F821+E822),'user input'!$C$17*((1-C822)/(1-'user input'!$C$12)))</f>
        <v>0</v>
      </c>
    </row>
    <row r="823" spans="1:6" x14ac:dyDescent="0.2">
      <c r="A823" s="1">
        <v>40999</v>
      </c>
      <c r="B823">
        <v>91</v>
      </c>
      <c r="C823">
        <f>IF(B823&gt;'user input'!$C$6,0,IF('heat units'!H823&gt;1,1,'heat units'!H823))</f>
        <v>0</v>
      </c>
      <c r="D823">
        <f>IF(B823&gt;'user input'!$C$6,0,(C823/(C823+EXP('user input'!$C$15-'user input'!$C$14*C823))))</f>
        <v>0</v>
      </c>
      <c r="E823">
        <f>IF(C823&lt;'user input'!$C$12,(D823-D822)*'user input'!$C$17*(1-EXP(5*(F822-'user input'!$C$17))),F823-F822)</f>
        <v>0</v>
      </c>
      <c r="F823">
        <f>IF(C823&lt;'user input'!$C$12,IF(B823&gt;'user input'!$C$6,0,F822+E823),'user input'!$C$17*((1-C823)/(1-'user input'!$C$12)))</f>
        <v>0</v>
      </c>
    </row>
    <row r="824" spans="1:6" x14ac:dyDescent="0.2">
      <c r="A824" s="1">
        <v>41000</v>
      </c>
      <c r="B824">
        <v>92</v>
      </c>
      <c r="C824">
        <f>IF(B824&gt;'user input'!$C$6,0,IF('heat units'!H824&gt;1,1,'heat units'!H824))</f>
        <v>0</v>
      </c>
      <c r="D824">
        <f>IF(B824&gt;'user input'!$C$6,0,(C824/(C824+EXP('user input'!$C$15-'user input'!$C$14*C824))))</f>
        <v>0</v>
      </c>
      <c r="E824">
        <f>IF(C824&lt;'user input'!$C$12,(D824-D823)*'user input'!$C$17*(1-EXP(5*(F823-'user input'!$C$17))),F824-F823)</f>
        <v>0</v>
      </c>
      <c r="F824">
        <f>IF(C824&lt;'user input'!$C$12,IF(B824&gt;'user input'!$C$6,0,F823+E824),'user input'!$C$17*((1-C824)/(1-'user input'!$C$12)))</f>
        <v>0</v>
      </c>
    </row>
    <row r="825" spans="1:6" x14ac:dyDescent="0.2">
      <c r="A825" s="1">
        <v>41001</v>
      </c>
      <c r="B825">
        <v>93</v>
      </c>
      <c r="C825">
        <f>IF(B825&gt;'user input'!$C$6,0,IF('heat units'!H825&gt;1,1,'heat units'!H825))</f>
        <v>0</v>
      </c>
      <c r="D825">
        <f>IF(B825&gt;'user input'!$C$6,0,(C825/(C825+EXP('user input'!$C$15-'user input'!$C$14*C825))))</f>
        <v>0</v>
      </c>
      <c r="E825">
        <f>IF(C825&lt;'user input'!$C$12,(D825-D824)*'user input'!$C$17*(1-EXP(5*(F824-'user input'!$C$17))),F825-F824)</f>
        <v>0</v>
      </c>
      <c r="F825">
        <f>IF(C825&lt;'user input'!$C$12,IF(B825&gt;'user input'!$C$6,0,F824+E825),'user input'!$C$17*((1-C825)/(1-'user input'!$C$12)))</f>
        <v>0</v>
      </c>
    </row>
    <row r="826" spans="1:6" x14ac:dyDescent="0.2">
      <c r="A826" s="1">
        <v>41002</v>
      </c>
      <c r="B826">
        <v>94</v>
      </c>
      <c r="C826">
        <f>IF(B826&gt;'user input'!$C$6,0,IF('heat units'!H826&gt;1,1,'heat units'!H826))</f>
        <v>0</v>
      </c>
      <c r="D826">
        <f>IF(B826&gt;'user input'!$C$6,0,(C826/(C826+EXP('user input'!$C$15-'user input'!$C$14*C826))))</f>
        <v>0</v>
      </c>
      <c r="E826">
        <f>IF(C826&lt;'user input'!$C$12,(D826-D825)*'user input'!$C$17*(1-EXP(5*(F825-'user input'!$C$17))),F826-F825)</f>
        <v>0</v>
      </c>
      <c r="F826">
        <f>IF(C826&lt;'user input'!$C$12,IF(B826&gt;'user input'!$C$6,0,F825+E826),'user input'!$C$17*((1-C826)/(1-'user input'!$C$12)))</f>
        <v>0</v>
      </c>
    </row>
    <row r="827" spans="1:6" x14ac:dyDescent="0.2">
      <c r="A827" s="1">
        <v>41003</v>
      </c>
      <c r="B827">
        <v>95</v>
      </c>
      <c r="C827">
        <f>IF(B827&gt;'user input'!$C$6,0,IF('heat units'!H827&gt;1,1,'heat units'!H827))</f>
        <v>0</v>
      </c>
      <c r="D827">
        <f>IF(B827&gt;'user input'!$C$6,0,(C827/(C827+EXP('user input'!$C$15-'user input'!$C$14*C827))))</f>
        <v>0</v>
      </c>
      <c r="E827">
        <f>IF(C827&lt;'user input'!$C$12,(D827-D826)*'user input'!$C$17*(1-EXP(5*(F826-'user input'!$C$17))),F827-F826)</f>
        <v>0</v>
      </c>
      <c r="F827">
        <f>IF(C827&lt;'user input'!$C$12,IF(B827&gt;'user input'!$C$6,0,F826+E827),'user input'!$C$17*((1-C827)/(1-'user input'!$C$12)))</f>
        <v>0</v>
      </c>
    </row>
    <row r="828" spans="1:6" x14ac:dyDescent="0.2">
      <c r="A828" s="1">
        <v>41004</v>
      </c>
      <c r="B828">
        <v>96</v>
      </c>
      <c r="C828">
        <f>IF(B828&gt;'user input'!$C$6,0,IF('heat units'!H828&gt;1,1,'heat units'!H828))</f>
        <v>0</v>
      </c>
      <c r="D828">
        <f>IF(B828&gt;'user input'!$C$6,0,(C828/(C828+EXP('user input'!$C$15-'user input'!$C$14*C828))))</f>
        <v>0</v>
      </c>
      <c r="E828">
        <f>IF(C828&lt;'user input'!$C$12,(D828-D827)*'user input'!$C$17*(1-EXP(5*(F827-'user input'!$C$17))),F828-F827)</f>
        <v>0</v>
      </c>
      <c r="F828">
        <f>IF(C828&lt;'user input'!$C$12,IF(B828&gt;'user input'!$C$6,0,F827+E828),'user input'!$C$17*((1-C828)/(1-'user input'!$C$12)))</f>
        <v>0</v>
      </c>
    </row>
    <row r="829" spans="1:6" x14ac:dyDescent="0.2">
      <c r="A829" s="1">
        <v>41005</v>
      </c>
      <c r="B829">
        <v>97</v>
      </c>
      <c r="C829">
        <f>IF(B829&gt;'user input'!$C$6,0,IF('heat units'!H829&gt;1,1,'heat units'!H829))</f>
        <v>0</v>
      </c>
      <c r="D829">
        <f>IF(B829&gt;'user input'!$C$6,0,(C829/(C829+EXP('user input'!$C$15-'user input'!$C$14*C829))))</f>
        <v>0</v>
      </c>
      <c r="E829">
        <f>IF(C829&lt;'user input'!$C$12,(D829-D828)*'user input'!$C$17*(1-EXP(5*(F828-'user input'!$C$17))),F829-F828)</f>
        <v>0</v>
      </c>
      <c r="F829">
        <f>IF(C829&lt;'user input'!$C$12,IF(B829&gt;'user input'!$C$6,0,F828+E829),'user input'!$C$17*((1-C829)/(1-'user input'!$C$12)))</f>
        <v>0</v>
      </c>
    </row>
    <row r="830" spans="1:6" x14ac:dyDescent="0.2">
      <c r="A830" s="1">
        <v>41006</v>
      </c>
      <c r="B830">
        <v>98</v>
      </c>
      <c r="C830">
        <f>IF(B830&gt;'user input'!$C$6,0,IF('heat units'!H830&gt;1,1,'heat units'!H830))</f>
        <v>0</v>
      </c>
      <c r="D830">
        <f>IF(B830&gt;'user input'!$C$6,0,(C830/(C830+EXP('user input'!$C$15-'user input'!$C$14*C830))))</f>
        <v>0</v>
      </c>
      <c r="E830">
        <f>IF(C830&lt;'user input'!$C$12,(D830-D829)*'user input'!$C$17*(1-EXP(5*(F829-'user input'!$C$17))),F830-F829)</f>
        <v>0</v>
      </c>
      <c r="F830">
        <f>IF(C830&lt;'user input'!$C$12,IF(B830&gt;'user input'!$C$6,0,F829+E830),'user input'!$C$17*((1-C830)/(1-'user input'!$C$12)))</f>
        <v>0</v>
      </c>
    </row>
    <row r="831" spans="1:6" x14ac:dyDescent="0.2">
      <c r="A831" s="1">
        <v>41007</v>
      </c>
      <c r="B831">
        <v>99</v>
      </c>
      <c r="C831">
        <f>IF(B831&gt;'user input'!$C$6,0,IF('heat units'!H831&gt;1,1,'heat units'!H831))</f>
        <v>0</v>
      </c>
      <c r="D831">
        <f>IF(B831&gt;'user input'!$C$6,0,(C831/(C831+EXP('user input'!$C$15-'user input'!$C$14*C831))))</f>
        <v>0</v>
      </c>
      <c r="E831">
        <f>IF(C831&lt;'user input'!$C$12,(D831-D830)*'user input'!$C$17*(1-EXP(5*(F830-'user input'!$C$17))),F831-F830)</f>
        <v>0</v>
      </c>
      <c r="F831">
        <f>IF(C831&lt;'user input'!$C$12,IF(B831&gt;'user input'!$C$6,0,F830+E831),'user input'!$C$17*((1-C831)/(1-'user input'!$C$12)))</f>
        <v>0</v>
      </c>
    </row>
    <row r="832" spans="1:6" x14ac:dyDescent="0.2">
      <c r="A832" s="1">
        <v>41008</v>
      </c>
      <c r="B832">
        <v>100</v>
      </c>
      <c r="C832">
        <f>IF(B832&gt;'user input'!$C$6,0,IF('heat units'!H832&gt;1,1,'heat units'!H832))</f>
        <v>0</v>
      </c>
      <c r="D832">
        <f>IF(B832&gt;'user input'!$C$6,0,(C832/(C832+EXP('user input'!$C$15-'user input'!$C$14*C832))))</f>
        <v>0</v>
      </c>
      <c r="E832">
        <f>IF(C832&lt;'user input'!$C$12,(D832-D831)*'user input'!$C$17*(1-EXP(5*(F831-'user input'!$C$17))),F832-F831)</f>
        <v>0</v>
      </c>
      <c r="F832">
        <f>IF(C832&lt;'user input'!$C$12,IF(B832&gt;'user input'!$C$6,0,F831+E832),'user input'!$C$17*((1-C832)/(1-'user input'!$C$12)))</f>
        <v>0</v>
      </c>
    </row>
    <row r="833" spans="1:6" x14ac:dyDescent="0.2">
      <c r="A833" s="1">
        <v>41009</v>
      </c>
      <c r="B833">
        <v>101</v>
      </c>
      <c r="C833">
        <f>IF(B833&gt;'user input'!$C$6,0,IF('heat units'!H833&gt;1,1,'heat units'!H833))</f>
        <v>0</v>
      </c>
      <c r="D833">
        <f>IF(B833&gt;'user input'!$C$6,0,(C833/(C833+EXP('user input'!$C$15-'user input'!$C$14*C833))))</f>
        <v>0</v>
      </c>
      <c r="E833">
        <f>IF(C833&lt;'user input'!$C$12,(D833-D832)*'user input'!$C$17*(1-EXP(5*(F832-'user input'!$C$17))),F833-F832)</f>
        <v>0</v>
      </c>
      <c r="F833">
        <f>IF(C833&lt;'user input'!$C$12,IF(B833&gt;'user input'!$C$6,0,F832+E833),'user input'!$C$17*((1-C833)/(1-'user input'!$C$12)))</f>
        <v>0</v>
      </c>
    </row>
    <row r="834" spans="1:6" x14ac:dyDescent="0.2">
      <c r="A834" s="1">
        <v>41010</v>
      </c>
      <c r="B834">
        <v>102</v>
      </c>
      <c r="C834">
        <f>IF(B834&gt;'user input'!$C$6,0,IF('heat units'!H834&gt;1,1,'heat units'!H834))</f>
        <v>0</v>
      </c>
      <c r="D834">
        <f>IF(B834&gt;'user input'!$C$6,0,(C834/(C834+EXP('user input'!$C$15-'user input'!$C$14*C834))))</f>
        <v>0</v>
      </c>
      <c r="E834">
        <f>IF(C834&lt;'user input'!$C$12,(D834-D833)*'user input'!$C$17*(1-EXP(5*(F833-'user input'!$C$17))),F834-F833)</f>
        <v>0</v>
      </c>
      <c r="F834">
        <f>IF(C834&lt;'user input'!$C$12,IF(B834&gt;'user input'!$C$6,0,F833+E834),'user input'!$C$17*((1-C834)/(1-'user input'!$C$12)))</f>
        <v>0</v>
      </c>
    </row>
    <row r="835" spans="1:6" x14ac:dyDescent="0.2">
      <c r="A835" s="1">
        <v>41011</v>
      </c>
      <c r="B835">
        <v>103</v>
      </c>
      <c r="C835">
        <f>IF(B835&gt;'user input'!$C$6,0,IF('heat units'!H835&gt;1,1,'heat units'!H835))</f>
        <v>0</v>
      </c>
      <c r="D835">
        <f>IF(B835&gt;'user input'!$C$6,0,(C835/(C835+EXP('user input'!$C$15-'user input'!$C$14*C835))))</f>
        <v>0</v>
      </c>
      <c r="E835">
        <f>IF(C835&lt;'user input'!$C$12,(D835-D834)*'user input'!$C$17*(1-EXP(5*(F834-'user input'!$C$17))),F835-F834)</f>
        <v>0</v>
      </c>
      <c r="F835">
        <f>IF(C835&lt;'user input'!$C$12,IF(B835&gt;'user input'!$C$6,0,F834+E835),'user input'!$C$17*((1-C835)/(1-'user input'!$C$12)))</f>
        <v>0</v>
      </c>
    </row>
    <row r="836" spans="1:6" x14ac:dyDescent="0.2">
      <c r="A836" s="1">
        <v>41012</v>
      </c>
      <c r="B836">
        <v>104</v>
      </c>
      <c r="C836">
        <f>IF(B836&gt;'user input'!$C$6,0,IF('heat units'!H836&gt;1,1,'heat units'!H836))</f>
        <v>0</v>
      </c>
      <c r="D836">
        <f>IF(B836&gt;'user input'!$C$6,0,(C836/(C836+EXP('user input'!$C$15-'user input'!$C$14*C836))))</f>
        <v>0</v>
      </c>
      <c r="E836">
        <f>IF(C836&lt;'user input'!$C$12,(D836-D835)*'user input'!$C$17*(1-EXP(5*(F835-'user input'!$C$17))),F836-F835)</f>
        <v>0</v>
      </c>
      <c r="F836">
        <f>IF(C836&lt;'user input'!$C$12,IF(B836&gt;'user input'!$C$6,0,F835+E836),'user input'!$C$17*((1-C836)/(1-'user input'!$C$12)))</f>
        <v>0</v>
      </c>
    </row>
    <row r="837" spans="1:6" x14ac:dyDescent="0.2">
      <c r="A837" s="1">
        <v>41013</v>
      </c>
      <c r="B837">
        <v>105</v>
      </c>
      <c r="C837">
        <f>IF(B837&gt;'user input'!$C$6,0,IF('heat units'!H837&gt;1,1,'heat units'!H837))</f>
        <v>0</v>
      </c>
      <c r="D837">
        <f>IF(B837&gt;'user input'!$C$6,0,(C837/(C837+EXP('user input'!$C$15-'user input'!$C$14*C837))))</f>
        <v>0</v>
      </c>
      <c r="E837">
        <f>IF(C837&lt;'user input'!$C$12,(D837-D836)*'user input'!$C$17*(1-EXP(5*(F836-'user input'!$C$17))),F837-F836)</f>
        <v>0</v>
      </c>
      <c r="F837">
        <f>IF(C837&lt;'user input'!$C$12,IF(B837&gt;'user input'!$C$6,0,F836+E837),'user input'!$C$17*((1-C837)/(1-'user input'!$C$12)))</f>
        <v>0</v>
      </c>
    </row>
    <row r="838" spans="1:6" x14ac:dyDescent="0.2">
      <c r="A838" s="1">
        <v>41014</v>
      </c>
      <c r="B838">
        <v>106</v>
      </c>
      <c r="C838">
        <f>IF(B838&gt;'user input'!$C$6,0,IF('heat units'!H838&gt;1,1,'heat units'!H838))</f>
        <v>0</v>
      </c>
      <c r="D838">
        <f>IF(B838&gt;'user input'!$C$6,0,(C838/(C838+EXP('user input'!$C$15-'user input'!$C$14*C838))))</f>
        <v>0</v>
      </c>
      <c r="E838">
        <f>IF(C838&lt;'user input'!$C$12,(D838-D837)*'user input'!$C$17*(1-EXP(5*(F837-'user input'!$C$17))),F838-F837)</f>
        <v>0</v>
      </c>
      <c r="F838">
        <f>IF(C838&lt;'user input'!$C$12,IF(B838&gt;'user input'!$C$6,0,F837+E838),'user input'!$C$17*((1-C838)/(1-'user input'!$C$12)))</f>
        <v>0</v>
      </c>
    </row>
    <row r="839" spans="1:6" x14ac:dyDescent="0.2">
      <c r="A839" s="1">
        <v>41015</v>
      </c>
      <c r="B839">
        <v>107</v>
      </c>
      <c r="C839">
        <f>IF(B839&gt;'user input'!$C$6,0,IF('heat units'!H839&gt;1,1,'heat units'!H839))</f>
        <v>0</v>
      </c>
      <c r="D839">
        <f>IF(B839&gt;'user input'!$C$6,0,(C839/(C839+EXP('user input'!$C$15-'user input'!$C$14*C839))))</f>
        <v>0</v>
      </c>
      <c r="E839">
        <f>IF(C839&lt;'user input'!$C$12,(D839-D838)*'user input'!$C$17*(1-EXP(5*(F838-'user input'!$C$17))),F839-F838)</f>
        <v>0</v>
      </c>
      <c r="F839">
        <f>IF(C839&lt;'user input'!$C$12,IF(B839&gt;'user input'!$C$6,0,F838+E839),'user input'!$C$17*((1-C839)/(1-'user input'!$C$12)))</f>
        <v>0</v>
      </c>
    </row>
    <row r="840" spans="1:6" x14ac:dyDescent="0.2">
      <c r="A840" s="1">
        <v>41016</v>
      </c>
      <c r="B840">
        <v>108</v>
      </c>
      <c r="C840">
        <f>IF(B840&gt;'user input'!$C$6,0,IF('heat units'!H840&gt;1,1,'heat units'!H840))</f>
        <v>0</v>
      </c>
      <c r="D840">
        <f>IF(B840&gt;'user input'!$C$6,0,(C840/(C840+EXP('user input'!$C$15-'user input'!$C$14*C840))))</f>
        <v>0</v>
      </c>
      <c r="E840">
        <f>IF(C840&lt;'user input'!$C$12,(D840-D839)*'user input'!$C$17*(1-EXP(5*(F839-'user input'!$C$17))),F840-F839)</f>
        <v>0</v>
      </c>
      <c r="F840">
        <f>IF(C840&lt;'user input'!$C$12,IF(B840&gt;'user input'!$C$6,0,F839+E840),'user input'!$C$17*((1-C840)/(1-'user input'!$C$12)))</f>
        <v>0</v>
      </c>
    </row>
    <row r="841" spans="1:6" x14ac:dyDescent="0.2">
      <c r="A841" s="1">
        <v>41017</v>
      </c>
      <c r="B841">
        <v>109</v>
      </c>
      <c r="C841">
        <f>IF(B841&gt;'user input'!$C$6,0,IF('heat units'!H841&gt;1,1,'heat units'!H841))</f>
        <v>0</v>
      </c>
      <c r="D841">
        <f>IF(B841&gt;'user input'!$C$6,0,(C841/(C841+EXP('user input'!$C$15-'user input'!$C$14*C841))))</f>
        <v>0</v>
      </c>
      <c r="E841">
        <f>IF(C841&lt;'user input'!$C$12,(D841-D840)*'user input'!$C$17*(1-EXP(5*(F840-'user input'!$C$17))),F841-F840)</f>
        <v>0</v>
      </c>
      <c r="F841">
        <f>IF(C841&lt;'user input'!$C$12,IF(B841&gt;'user input'!$C$6,0,F840+E841),'user input'!$C$17*((1-C841)/(1-'user input'!$C$12)))</f>
        <v>0</v>
      </c>
    </row>
    <row r="842" spans="1:6" x14ac:dyDescent="0.2">
      <c r="A842" s="1">
        <v>41018</v>
      </c>
      <c r="B842">
        <v>110</v>
      </c>
      <c r="C842">
        <f>IF(B842&gt;'user input'!$C$6,0,IF('heat units'!H842&gt;1,1,'heat units'!H842))</f>
        <v>0</v>
      </c>
      <c r="D842">
        <f>IF(B842&gt;'user input'!$C$6,0,(C842/(C842+EXP('user input'!$C$15-'user input'!$C$14*C842))))</f>
        <v>0</v>
      </c>
      <c r="E842">
        <f>IF(C842&lt;'user input'!$C$12,(D842-D841)*'user input'!$C$17*(1-EXP(5*(F841-'user input'!$C$17))),F842-F841)</f>
        <v>0</v>
      </c>
      <c r="F842">
        <f>IF(C842&lt;'user input'!$C$12,IF(B842&gt;'user input'!$C$6,0,F841+E842),'user input'!$C$17*((1-C842)/(1-'user input'!$C$12)))</f>
        <v>0</v>
      </c>
    </row>
    <row r="843" spans="1:6" x14ac:dyDescent="0.2">
      <c r="A843" s="1">
        <v>41019</v>
      </c>
      <c r="B843">
        <v>111</v>
      </c>
      <c r="C843">
        <f>IF(B843&gt;'user input'!$C$6,0,IF('heat units'!H843&gt;1,1,'heat units'!H843))</f>
        <v>0</v>
      </c>
      <c r="D843">
        <f>IF(B843&gt;'user input'!$C$6,0,(C843/(C843+EXP('user input'!$C$15-'user input'!$C$14*C843))))</f>
        <v>0</v>
      </c>
      <c r="E843">
        <f>IF(C843&lt;'user input'!$C$12,(D843-D842)*'user input'!$C$17*(1-EXP(5*(F842-'user input'!$C$17))),F843-F842)</f>
        <v>0</v>
      </c>
      <c r="F843">
        <f>IF(C843&lt;'user input'!$C$12,IF(B843&gt;'user input'!$C$6,0,F842+E843),'user input'!$C$17*((1-C843)/(1-'user input'!$C$12)))</f>
        <v>0</v>
      </c>
    </row>
    <row r="844" spans="1:6" x14ac:dyDescent="0.2">
      <c r="A844" s="1">
        <v>41020</v>
      </c>
      <c r="B844">
        <v>112</v>
      </c>
      <c r="C844">
        <f>IF(B844&gt;'user input'!$C$6,0,IF('heat units'!H844&gt;1,1,'heat units'!H844))</f>
        <v>0</v>
      </c>
      <c r="D844">
        <f>IF(B844&gt;'user input'!$C$6,0,(C844/(C844+EXP('user input'!$C$15-'user input'!$C$14*C844))))</f>
        <v>0</v>
      </c>
      <c r="E844">
        <f>IF(C844&lt;'user input'!$C$12,(D844-D843)*'user input'!$C$17*(1-EXP(5*(F843-'user input'!$C$17))),F844-F843)</f>
        <v>0</v>
      </c>
      <c r="F844">
        <f>IF(C844&lt;'user input'!$C$12,IF(B844&gt;'user input'!$C$6,0,F843+E844),'user input'!$C$17*((1-C844)/(1-'user input'!$C$12)))</f>
        <v>0</v>
      </c>
    </row>
    <row r="845" spans="1:6" x14ac:dyDescent="0.2">
      <c r="A845" s="1">
        <v>41021</v>
      </c>
      <c r="B845">
        <v>113</v>
      </c>
      <c r="C845">
        <f>IF(B845&gt;'user input'!$C$6,0,IF('heat units'!H845&gt;1,1,'heat units'!H845))</f>
        <v>0</v>
      </c>
      <c r="D845">
        <f>IF(B845&gt;'user input'!$C$6,0,(C845/(C845+EXP('user input'!$C$15-'user input'!$C$14*C845))))</f>
        <v>0</v>
      </c>
      <c r="E845">
        <f>IF(C845&lt;'user input'!$C$12,(D845-D844)*'user input'!$C$17*(1-EXP(5*(F844-'user input'!$C$17))),F845-F844)</f>
        <v>0</v>
      </c>
      <c r="F845">
        <f>IF(C845&lt;'user input'!$C$12,IF(B845&gt;'user input'!$C$6,0,F844+E845),'user input'!$C$17*((1-C845)/(1-'user input'!$C$12)))</f>
        <v>0</v>
      </c>
    </row>
    <row r="846" spans="1:6" x14ac:dyDescent="0.2">
      <c r="A846" s="1">
        <v>41022</v>
      </c>
      <c r="B846">
        <v>114</v>
      </c>
      <c r="C846">
        <f>IF(B846&gt;'user input'!$C$6,0,IF('heat units'!H846&gt;1,1,'heat units'!H846))</f>
        <v>0</v>
      </c>
      <c r="D846">
        <f>IF(B846&gt;'user input'!$C$6,0,(C846/(C846+EXP('user input'!$C$15-'user input'!$C$14*C846))))</f>
        <v>0</v>
      </c>
      <c r="E846">
        <f>IF(C846&lt;'user input'!$C$12,(D846-D845)*'user input'!$C$17*(1-EXP(5*(F845-'user input'!$C$17))),F846-F845)</f>
        <v>0</v>
      </c>
      <c r="F846">
        <f>IF(C846&lt;'user input'!$C$12,IF(B846&gt;'user input'!$C$6,0,F845+E846),'user input'!$C$17*((1-C846)/(1-'user input'!$C$12)))</f>
        <v>0</v>
      </c>
    </row>
    <row r="847" spans="1:6" x14ac:dyDescent="0.2">
      <c r="A847" s="1">
        <v>41023</v>
      </c>
      <c r="B847">
        <v>115</v>
      </c>
      <c r="C847">
        <f>IF(B847&gt;'user input'!$C$6,0,IF('heat units'!H847&gt;1,1,'heat units'!H847))</f>
        <v>0</v>
      </c>
      <c r="D847">
        <f>IF(B847&gt;'user input'!$C$6,0,(C847/(C847+EXP('user input'!$C$15-'user input'!$C$14*C847))))</f>
        <v>0</v>
      </c>
      <c r="E847">
        <f>IF(C847&lt;'user input'!$C$12,(D847-D846)*'user input'!$C$17*(1-EXP(5*(F846-'user input'!$C$17))),F847-F846)</f>
        <v>0</v>
      </c>
      <c r="F847">
        <f>IF(C847&lt;'user input'!$C$12,IF(B847&gt;'user input'!$C$6,0,F846+E847),'user input'!$C$17*((1-C847)/(1-'user input'!$C$12)))</f>
        <v>0</v>
      </c>
    </row>
    <row r="848" spans="1:6" x14ac:dyDescent="0.2">
      <c r="A848" s="1">
        <v>41024</v>
      </c>
      <c r="B848">
        <v>116</v>
      </c>
      <c r="C848">
        <f>IF(B848&gt;'user input'!$C$6,0,IF('heat units'!H848&gt;1,1,'heat units'!H848))</f>
        <v>0</v>
      </c>
      <c r="D848">
        <f>IF(B848&gt;'user input'!$C$6,0,(C848/(C848+EXP('user input'!$C$15-'user input'!$C$14*C848))))</f>
        <v>0</v>
      </c>
      <c r="E848">
        <f>IF(C848&lt;'user input'!$C$12,(D848-D847)*'user input'!$C$17*(1-EXP(5*(F847-'user input'!$C$17))),F848-F847)</f>
        <v>0</v>
      </c>
      <c r="F848">
        <f>IF(C848&lt;'user input'!$C$12,IF(B848&gt;'user input'!$C$6,0,F847+E848),'user input'!$C$17*((1-C848)/(1-'user input'!$C$12)))</f>
        <v>0</v>
      </c>
    </row>
    <row r="849" spans="1:6" x14ac:dyDescent="0.2">
      <c r="A849" s="1">
        <v>41025</v>
      </c>
      <c r="B849">
        <v>117</v>
      </c>
      <c r="C849">
        <f>IF(B849&gt;'user input'!$C$6,0,IF('heat units'!H849&gt;1,1,'heat units'!H849))</f>
        <v>0</v>
      </c>
      <c r="D849">
        <f>IF(B849&gt;'user input'!$C$6,0,(C849/(C849+EXP('user input'!$C$15-'user input'!$C$14*C849))))</f>
        <v>0</v>
      </c>
      <c r="E849">
        <f>IF(C849&lt;'user input'!$C$12,(D849-D848)*'user input'!$C$17*(1-EXP(5*(F848-'user input'!$C$17))),F849-F848)</f>
        <v>0</v>
      </c>
      <c r="F849">
        <f>IF(C849&lt;'user input'!$C$12,IF(B849&gt;'user input'!$C$6,0,F848+E849),'user input'!$C$17*((1-C849)/(1-'user input'!$C$12)))</f>
        <v>0</v>
      </c>
    </row>
    <row r="850" spans="1:6" x14ac:dyDescent="0.2">
      <c r="A850" s="1">
        <v>41026</v>
      </c>
      <c r="B850">
        <v>118</v>
      </c>
      <c r="C850">
        <f>IF(B850&gt;'user input'!$C$6,0,IF('heat units'!H850&gt;1,1,'heat units'!H850))</f>
        <v>0</v>
      </c>
      <c r="D850">
        <f>IF(B850&gt;'user input'!$C$6,0,(C850/(C850+EXP('user input'!$C$15-'user input'!$C$14*C850))))</f>
        <v>0</v>
      </c>
      <c r="E850">
        <f>IF(C850&lt;'user input'!$C$12,(D850-D849)*'user input'!$C$17*(1-EXP(5*(F849-'user input'!$C$17))),F850-F849)</f>
        <v>0</v>
      </c>
      <c r="F850">
        <f>IF(C850&lt;'user input'!$C$12,IF(B850&gt;'user input'!$C$6,0,F849+E850),'user input'!$C$17*((1-C850)/(1-'user input'!$C$12)))</f>
        <v>0</v>
      </c>
    </row>
    <row r="851" spans="1:6" x14ac:dyDescent="0.2">
      <c r="A851" s="1">
        <v>41027</v>
      </c>
      <c r="B851">
        <v>119</v>
      </c>
      <c r="C851">
        <f>IF(B851&gt;'user input'!$C$6,0,IF('heat units'!H851&gt;1,1,'heat units'!H851))</f>
        <v>0</v>
      </c>
      <c r="D851">
        <f>IF(B851&gt;'user input'!$C$6,0,(C851/(C851+EXP('user input'!$C$15-'user input'!$C$14*C851))))</f>
        <v>0</v>
      </c>
      <c r="E851">
        <f>IF(C851&lt;'user input'!$C$12,(D851-D850)*'user input'!$C$17*(1-EXP(5*(F850-'user input'!$C$17))),F851-F850)</f>
        <v>0</v>
      </c>
      <c r="F851">
        <f>IF(C851&lt;'user input'!$C$12,IF(B851&gt;'user input'!$C$6,0,F850+E851),'user input'!$C$17*((1-C851)/(1-'user input'!$C$12)))</f>
        <v>0</v>
      </c>
    </row>
    <row r="852" spans="1:6" x14ac:dyDescent="0.2">
      <c r="A852" s="1">
        <v>41028</v>
      </c>
      <c r="B852">
        <v>120</v>
      </c>
      <c r="C852">
        <f>IF(B852&gt;'user input'!$C$6,0,IF('heat units'!H852&gt;1,1,'heat units'!H852))</f>
        <v>0</v>
      </c>
      <c r="D852">
        <f>IF(B852&gt;'user input'!$C$6,0,(C852/(C852+EXP('user input'!$C$15-'user input'!$C$14*C852))))</f>
        <v>0</v>
      </c>
      <c r="E852">
        <f>IF(C852&lt;'user input'!$C$12,(D852-D851)*'user input'!$C$17*(1-EXP(5*(F851-'user input'!$C$17))),F852-F851)</f>
        <v>0</v>
      </c>
      <c r="F852">
        <f>IF(C852&lt;'user input'!$C$12,IF(B852&gt;'user input'!$C$6,0,F851+E852),'user input'!$C$17*((1-C852)/(1-'user input'!$C$12)))</f>
        <v>0</v>
      </c>
    </row>
    <row r="853" spans="1:6" x14ac:dyDescent="0.2">
      <c r="A853" s="1">
        <v>41029</v>
      </c>
      <c r="B853">
        <v>121</v>
      </c>
      <c r="C853">
        <f>IF(B853&gt;'user input'!$C$6,0,IF('heat units'!H853&gt;1,1,'heat units'!H853))</f>
        <v>1.3888888888888883E-3</v>
      </c>
      <c r="D853">
        <f>IF(B853&gt;'user input'!$C$6,0,(C853/(C853+EXP('user input'!$C$15-'user input'!$C$14*C853))))</f>
        <v>6.666286728148329E-5</v>
      </c>
      <c r="E853">
        <f>IF(C853&lt;'user input'!$C$12,(D853-D852)*'user input'!$C$17*(1-EXP(5*(F852-'user input'!$C$17))),F853-F852)</f>
        <v>1.999885406674725E-4</v>
      </c>
      <c r="F853">
        <f>IF(C853&lt;'user input'!$C$12,IF(B853&gt;'user input'!$C$6,0,F852+E853),'user input'!$C$17*((1-C853)/(1-'user input'!$C$12)))</f>
        <v>1.999885406674725E-4</v>
      </c>
    </row>
    <row r="854" spans="1:6" x14ac:dyDescent="0.2">
      <c r="A854" s="1">
        <v>41030</v>
      </c>
      <c r="B854">
        <v>122</v>
      </c>
      <c r="C854">
        <f>IF(B854&gt;'user input'!$C$6,0,IF('heat units'!H854&gt;1,1,'heat units'!H854))</f>
        <v>2.3148148148148138E-3</v>
      </c>
      <c r="D854">
        <f>IF(B854&gt;'user input'!$C$6,0,(C854/(C854+EXP('user input'!$C$15-'user input'!$C$14*C854))))</f>
        <v>1.1248521736021454E-4</v>
      </c>
      <c r="E854">
        <f>IF(C854&lt;'user input'!$C$12,(D854-D853)*'user input'!$C$17*(1-EXP(5*(F853-'user input'!$C$17))),F854-F853)</f>
        <v>1.3746700814263398E-4</v>
      </c>
      <c r="F854">
        <f>IF(C854&lt;'user input'!$C$12,IF(B854&gt;'user input'!$C$6,0,F853+E854),'user input'!$C$17*((1-C854)/(1-'user input'!$C$12)))</f>
        <v>3.3745554881010648E-4</v>
      </c>
    </row>
    <row r="855" spans="1:6" x14ac:dyDescent="0.2">
      <c r="A855" s="1">
        <v>41031</v>
      </c>
      <c r="B855">
        <v>123</v>
      </c>
      <c r="C855">
        <f>IF(B855&gt;'user input'!$C$6,0,IF('heat units'!H855&gt;1,1,'heat units'!H855))</f>
        <v>6.0185185185185177E-3</v>
      </c>
      <c r="D855">
        <f>IF(B855&gt;'user input'!$C$6,0,(C855/(C855+EXP('user input'!$C$15-'user input'!$C$14*C855))))</f>
        <v>3.0726610108754913E-4</v>
      </c>
      <c r="E855">
        <f>IF(C855&lt;'user input'!$C$12,(D855-D854)*'user input'!$C$17*(1-EXP(5*(F854-'user input'!$C$17))),F855-F854)</f>
        <v>5.8434247212837238E-4</v>
      </c>
      <c r="F855">
        <f>IF(C855&lt;'user input'!$C$12,IF(B855&gt;'user input'!$C$6,0,F854+E855),'user input'!$C$17*((1-C855)/(1-'user input'!$C$12)))</f>
        <v>9.2179802093847886E-4</v>
      </c>
    </row>
    <row r="856" spans="1:6" x14ac:dyDescent="0.2">
      <c r="A856" s="1">
        <v>41032</v>
      </c>
      <c r="B856">
        <v>124</v>
      </c>
      <c r="C856">
        <f>IF(B856&gt;'user input'!$C$6,0,IF('heat units'!H856&gt;1,1,'heat units'!H856))</f>
        <v>1.5046296296296295E-2</v>
      </c>
      <c r="D856">
        <f>IF(B856&gt;'user input'!$C$6,0,(C856/(C856+EXP('user input'!$C$15-'user input'!$C$14*C856))))</f>
        <v>8.663476578800155E-4</v>
      </c>
      <c r="E856">
        <f>IF(C856&lt;'user input'!$C$12,(D856-D855)*'user input'!$C$17*(1-EXP(5*(F855-'user input'!$C$17))),F856-F855)</f>
        <v>1.677244154934156E-3</v>
      </c>
      <c r="F856">
        <f>IF(C856&lt;'user input'!$C$12,IF(B856&gt;'user input'!$C$6,0,F855+E856),'user input'!$C$17*((1-C856)/(1-'user input'!$C$12)))</f>
        <v>2.5990421758726348E-3</v>
      </c>
    </row>
    <row r="857" spans="1:6" x14ac:dyDescent="0.2">
      <c r="A857" s="1">
        <v>41033</v>
      </c>
      <c r="B857">
        <v>125</v>
      </c>
      <c r="C857">
        <f>IF(B857&gt;'user input'!$C$6,0,IF('heat units'!H857&gt;1,1,'heat units'!H857))</f>
        <v>2.476851851851852E-2</v>
      </c>
      <c r="D857">
        <f>IF(B857&gt;'user input'!$C$6,0,(C857/(C857+EXP('user input'!$C$15-'user input'!$C$14*C857))))</f>
        <v>1.6231214291006729E-3</v>
      </c>
      <c r="E857">
        <f>IF(C857&lt;'user input'!$C$12,(D857-D856)*'user input'!$C$17*(1-EXP(5*(F856-'user input'!$C$17))),F857-F856)</f>
        <v>2.2703206100813883E-3</v>
      </c>
      <c r="F857">
        <f>IF(C857&lt;'user input'!$C$12,IF(B857&gt;'user input'!$C$6,0,F856+E857),'user input'!$C$17*((1-C857)/(1-'user input'!$C$12)))</f>
        <v>4.8693627859540227E-3</v>
      </c>
    </row>
    <row r="858" spans="1:6" x14ac:dyDescent="0.2">
      <c r="A858" s="1">
        <v>41034</v>
      </c>
      <c r="B858">
        <v>126</v>
      </c>
      <c r="C858">
        <f>IF(B858&gt;'user input'!$C$6,0,IF('heat units'!H858&gt;1,1,'heat units'!H858))</f>
        <v>2.8472222222222222E-2</v>
      </c>
      <c r="D858">
        <f>IF(B858&gt;'user input'!$C$6,0,(C858/(C858+EXP('user input'!$C$15-'user input'!$C$14*C858))))</f>
        <v>1.9600007507839848E-3</v>
      </c>
      <c r="E858">
        <f>IF(C858&lt;'user input'!$C$12,(D858-D857)*'user input'!$C$17*(1-EXP(5*(F857-'user input'!$C$17))),F858-F857)</f>
        <v>1.0106376482740841E-3</v>
      </c>
      <c r="F858">
        <f>IF(C858&lt;'user input'!$C$12,IF(B858&gt;'user input'!$C$6,0,F857+E858),'user input'!$C$17*((1-C858)/(1-'user input'!$C$12)))</f>
        <v>5.8800004342281064E-3</v>
      </c>
    </row>
    <row r="859" spans="1:6" x14ac:dyDescent="0.2">
      <c r="A859" s="1">
        <v>41035</v>
      </c>
      <c r="B859">
        <v>127</v>
      </c>
      <c r="C859">
        <f>IF(B859&gt;'user input'!$C$6,0,IF('heat units'!H859&gt;1,1,'heat units'!H859))</f>
        <v>3.2870370370370369E-2</v>
      </c>
      <c r="D859">
        <f>IF(B859&gt;'user input'!$C$6,0,(C859/(C859+EXP('user input'!$C$15-'user input'!$C$14*C859))))</f>
        <v>2.398920495738071E-3</v>
      </c>
      <c r="E859">
        <f>IF(C859&lt;'user input'!$C$12,(D859-D858)*'user input'!$C$17*(1-EXP(5*(F858-'user input'!$C$17))),F859-F858)</f>
        <v>1.31675882004444E-3</v>
      </c>
      <c r="F859">
        <f>IF(C859&lt;'user input'!$C$12,IF(B859&gt;'user input'!$C$6,0,F858+E859),'user input'!$C$17*((1-C859)/(1-'user input'!$C$12)))</f>
        <v>7.1967592542725462E-3</v>
      </c>
    </row>
    <row r="860" spans="1:6" x14ac:dyDescent="0.2">
      <c r="A860" s="1">
        <v>41036</v>
      </c>
      <c r="B860">
        <v>128</v>
      </c>
      <c r="C860">
        <f>IF(B860&gt;'user input'!$C$6,0,IF('heat units'!H860&gt;1,1,'heat units'!H860))</f>
        <v>3.6805555555555557E-2</v>
      </c>
      <c r="D860">
        <f>IF(B860&gt;'user input'!$C$6,0,(C860/(C860+EXP('user input'!$C$15-'user input'!$C$14*C860))))</f>
        <v>2.8301728926951267E-3</v>
      </c>
      <c r="E860">
        <f>IF(C860&lt;'user input'!$C$12,(D860-D859)*'user input'!$C$17*(1-EXP(5*(F859-'user input'!$C$17))),F860-F859)</f>
        <v>1.2937567806074485E-3</v>
      </c>
      <c r="F860">
        <f>IF(C860&lt;'user input'!$C$12,IF(B860&gt;'user input'!$C$6,0,F859+E860),'user input'!$C$17*((1-C860)/(1-'user input'!$C$12)))</f>
        <v>8.4905160348799948E-3</v>
      </c>
    </row>
    <row r="861" spans="1:6" x14ac:dyDescent="0.2">
      <c r="A861" s="1">
        <v>41037</v>
      </c>
      <c r="B861">
        <v>129</v>
      </c>
      <c r="C861">
        <f>IF(B861&gt;'user input'!$C$6,0,IF('heat units'!H861&gt;1,1,'heat units'!H861))</f>
        <v>4.1898148148148143E-2</v>
      </c>
      <c r="D861">
        <f>IF(B861&gt;'user input'!$C$6,0,(C861/(C861+EXP('user input'!$C$15-'user input'!$C$14*C861))))</f>
        <v>3.4469113212288469E-3</v>
      </c>
      <c r="E861">
        <f>IF(C861&lt;'user input'!$C$12,(D861-D860)*'user input'!$C$17*(1-EXP(5*(F860-'user input'!$C$17))),F861-F860)</f>
        <v>1.8502146950711716E-3</v>
      </c>
      <c r="F861">
        <f>IF(C861&lt;'user input'!$C$12,IF(B861&gt;'user input'!$C$6,0,F860+E861),'user input'!$C$17*((1-C861)/(1-'user input'!$C$12)))</f>
        <v>1.0340730729951167E-2</v>
      </c>
    </row>
    <row r="862" spans="1:6" x14ac:dyDescent="0.2">
      <c r="A862" s="1">
        <v>41038</v>
      </c>
      <c r="B862">
        <v>130</v>
      </c>
      <c r="C862">
        <f>IF(B862&gt;'user input'!$C$6,0,IF('heat units'!H862&gt;1,1,'heat units'!H862))</f>
        <v>4.5601851851851845E-2</v>
      </c>
      <c r="D862">
        <f>IF(B862&gt;'user input'!$C$6,0,(C862/(C862+EXP('user input'!$C$15-'user input'!$C$14*C862))))</f>
        <v>3.9403349065354138E-3</v>
      </c>
      <c r="E862">
        <f>IF(C862&lt;'user input'!$C$12,(D862-D861)*'user input'!$C$17*(1-EXP(5*(F861-'user input'!$C$17))),F862-F861)</f>
        <v>1.4802702790732633E-3</v>
      </c>
      <c r="F862">
        <f>IF(C862&lt;'user input'!$C$12,IF(B862&gt;'user input'!$C$6,0,F861+E862),'user input'!$C$17*((1-C862)/(1-'user input'!$C$12)))</f>
        <v>1.182100100902443E-2</v>
      </c>
    </row>
    <row r="863" spans="1:6" x14ac:dyDescent="0.2">
      <c r="A863" s="1">
        <v>41039</v>
      </c>
      <c r="B863">
        <v>131</v>
      </c>
      <c r="C863">
        <f>IF(B863&gt;'user input'!$C$6,0,IF('heat units'!H863&gt;1,1,'heat units'!H863))</f>
        <v>4.8611111111111105E-2</v>
      </c>
      <c r="D863">
        <f>IF(B863&gt;'user input'!$C$6,0,(C863/(C863+EXP('user input'!$C$15-'user input'!$C$14*C863))))</f>
        <v>4.3711110372303217E-3</v>
      </c>
      <c r="E863">
        <f>IF(C863&lt;'user input'!$C$12,(D863-D862)*'user input'!$C$17*(1-EXP(5*(F862-'user input'!$C$17))),F863-F862)</f>
        <v>1.2923279726883851E-3</v>
      </c>
      <c r="F863">
        <f>IF(C863&lt;'user input'!$C$12,IF(B863&gt;'user input'!$C$6,0,F862+E863),'user input'!$C$17*((1-C863)/(1-'user input'!$C$12)))</f>
        <v>1.3113328981712816E-2</v>
      </c>
    </row>
    <row r="864" spans="1:6" x14ac:dyDescent="0.2">
      <c r="A864" s="1">
        <v>41040</v>
      </c>
      <c r="B864">
        <v>132</v>
      </c>
      <c r="C864">
        <f>IF(B864&gt;'user input'!$C$6,0,IF('heat units'!H864&gt;1,1,'heat units'!H864))</f>
        <v>5.3472222222222213E-2</v>
      </c>
      <c r="D864">
        <f>IF(B864&gt;'user input'!$C$6,0,(C864/(C864+EXP('user input'!$C$15-'user input'!$C$14*C864))))</f>
        <v>5.1275883344989396E-3</v>
      </c>
      <c r="E864">
        <f>IF(C864&lt;'user input'!$C$12,(D864-D863)*'user input'!$C$17*(1-EXP(5*(F863-'user input'!$C$17))),F864-F863)</f>
        <v>2.2694311505380162E-3</v>
      </c>
      <c r="F864">
        <f>IF(C864&lt;'user input'!$C$12,IF(B864&gt;'user input'!$C$6,0,F863+E864),'user input'!$C$17*((1-C864)/(1-'user input'!$C$12)))</f>
        <v>1.5382760132250832E-2</v>
      </c>
    </row>
    <row r="865" spans="1:6" x14ac:dyDescent="0.2">
      <c r="A865" s="1">
        <v>41041</v>
      </c>
      <c r="B865">
        <v>133</v>
      </c>
      <c r="C865">
        <f>IF(B865&gt;'user input'!$C$6,0,IF('heat units'!H865&gt;1,1,'heat units'!H865))</f>
        <v>6.0879629629629617E-2</v>
      </c>
      <c r="D865">
        <f>IF(B865&gt;'user input'!$C$6,0,(C865/(C865+EXP('user input'!$C$15-'user input'!$C$14*C865))))</f>
        <v>6.437918286154547E-3</v>
      </c>
      <c r="E865">
        <f>IF(C865&lt;'user input'!$C$12,(D865-D864)*'user input'!$C$17*(1-EXP(5*(F864-'user input'!$C$17))),F865-F864)</f>
        <v>3.9309885563293401E-3</v>
      </c>
      <c r="F865">
        <f>IF(C865&lt;'user input'!$C$12,IF(B865&gt;'user input'!$C$6,0,F864+E865),'user input'!$C$17*((1-C865)/(1-'user input'!$C$12)))</f>
        <v>1.9313748688580171E-2</v>
      </c>
    </row>
    <row r="866" spans="1:6" x14ac:dyDescent="0.2">
      <c r="A866" s="1">
        <v>41042</v>
      </c>
      <c r="B866">
        <v>134</v>
      </c>
      <c r="C866">
        <f>IF(B866&gt;'user input'!$C$6,0,IF('heat units'!H866&gt;1,1,'heat units'!H866))</f>
        <v>6.5046296296296283E-2</v>
      </c>
      <c r="D866">
        <f>IF(B866&gt;'user input'!$C$6,0,(C866/(C866+EXP('user input'!$C$15-'user input'!$C$14*C866))))</f>
        <v>7.2670014723104004E-3</v>
      </c>
      <c r="E866">
        <f>IF(C866&lt;'user input'!$C$12,(D866-D865)*'user input'!$C$17*(1-EXP(5*(F865-'user input'!$C$17))),F866-F865)</f>
        <v>2.4872487204726009E-3</v>
      </c>
      <c r="F866">
        <f>IF(C866&lt;'user input'!$C$12,IF(B866&gt;'user input'!$C$6,0,F865+E866),'user input'!$C$17*((1-C866)/(1-'user input'!$C$12)))</f>
        <v>2.1800997409052773E-2</v>
      </c>
    </row>
    <row r="867" spans="1:6" x14ac:dyDescent="0.2">
      <c r="A867" s="1">
        <v>41043</v>
      </c>
      <c r="B867">
        <v>135</v>
      </c>
      <c r="C867">
        <f>IF(B867&gt;'user input'!$C$6,0,IF('heat units'!H867&gt;1,1,'heat units'!H867))</f>
        <v>7.0601851851851846E-2</v>
      </c>
      <c r="D867">
        <f>IF(B867&gt;'user input'!$C$6,0,(C867/(C867+EXP('user input'!$C$15-'user input'!$C$14*C867))))</f>
        <v>8.4861515562115741E-3</v>
      </c>
      <c r="E867">
        <f>IF(C867&lt;'user input'!$C$12,(D867-D866)*'user input'!$C$17*(1-EXP(5*(F866-'user input'!$C$17))),F867-F866)</f>
        <v>3.6574490040285489E-3</v>
      </c>
      <c r="F867">
        <f>IF(C867&lt;'user input'!$C$12,IF(B867&gt;'user input'!$C$6,0,F866+E867),'user input'!$C$17*((1-C867)/(1-'user input'!$C$12)))</f>
        <v>2.5458446413081322E-2</v>
      </c>
    </row>
    <row r="868" spans="1:6" x14ac:dyDescent="0.2">
      <c r="A868" s="1">
        <v>41044</v>
      </c>
      <c r="B868">
        <v>136</v>
      </c>
      <c r="C868">
        <f>IF(B868&gt;'user input'!$C$6,0,IF('heat units'!H868&gt;1,1,'heat units'!H868))</f>
        <v>7.754629629629628E-2</v>
      </c>
      <c r="D868">
        <f>IF(B868&gt;'user input'!$C$6,0,(C868/(C868+EXP('user input'!$C$15-'user input'!$C$14*C868))))</f>
        <v>1.0211021549981833E-2</v>
      </c>
      <c r="E868">
        <f>IF(C868&lt;'user input'!$C$12,(D868-D867)*'user input'!$C$17*(1-EXP(5*(F867-'user input'!$C$17))),F868-F867)</f>
        <v>5.1746081835052672E-3</v>
      </c>
      <c r="F868">
        <f>IF(C868&lt;'user input'!$C$12,IF(B868&gt;'user input'!$C$6,0,F867+E868),'user input'!$C$17*((1-C868)/(1-'user input'!$C$12)))</f>
        <v>3.0633054596586589E-2</v>
      </c>
    </row>
    <row r="869" spans="1:6" x14ac:dyDescent="0.2">
      <c r="A869" s="1">
        <v>41045</v>
      </c>
      <c r="B869">
        <v>137</v>
      </c>
      <c r="C869">
        <f>IF(B869&gt;'user input'!$C$6,0,IF('heat units'!H869&gt;1,1,'heat units'!H869))</f>
        <v>8.5879629629629625E-2</v>
      </c>
      <c r="D869">
        <f>IF(B869&gt;'user input'!$C$6,0,(C869/(C869+EXP('user input'!$C$15-'user input'!$C$14*C869))))</f>
        <v>1.261208886748094E-2</v>
      </c>
      <c r="E869">
        <f>IF(C869&lt;'user input'!$C$12,(D869-D868)*'user input'!$C$17*(1-EXP(5*(F868-'user input'!$C$17))),F869-F868)</f>
        <v>7.2031993843070545E-3</v>
      </c>
      <c r="F869">
        <f>IF(C869&lt;'user input'!$C$12,IF(B869&gt;'user input'!$C$6,0,F868+E869),'user input'!$C$17*((1-C869)/(1-'user input'!$C$12)))</f>
        <v>3.7836253980893644E-2</v>
      </c>
    </row>
    <row r="870" spans="1:6" x14ac:dyDescent="0.2">
      <c r="A870" s="1">
        <v>41046</v>
      </c>
      <c r="B870">
        <v>138</v>
      </c>
      <c r="C870">
        <f>IF(B870&gt;'user input'!$C$6,0,IF('heat units'!H870&gt;1,1,'heat units'!H870))</f>
        <v>9.0509259259259248E-2</v>
      </c>
      <c r="D870">
        <f>IF(B870&gt;'user input'!$C$6,0,(C870/(C870+EXP('user input'!$C$15-'user input'!$C$14*C870))))</f>
        <v>1.4120144202430683E-2</v>
      </c>
      <c r="E870">
        <f>IF(C870&lt;'user input'!$C$12,(D870-D869)*'user input'!$C$17*(1-EXP(5*(F869-'user input'!$C$17))),F870-F869)</f>
        <v>4.5241643326743861E-3</v>
      </c>
      <c r="F870">
        <f>IF(C870&lt;'user input'!$C$12,IF(B870&gt;'user input'!$C$6,0,F869+E870),'user input'!$C$17*((1-C870)/(1-'user input'!$C$12)))</f>
        <v>4.236041831356803E-2</v>
      </c>
    </row>
    <row r="871" spans="1:6" x14ac:dyDescent="0.2">
      <c r="A871" s="1">
        <v>41047</v>
      </c>
      <c r="B871">
        <v>139</v>
      </c>
      <c r="C871">
        <f>IF(B871&gt;'user input'!$C$6,0,IF('heat units'!H871&gt;1,1,'heat units'!H871))</f>
        <v>9.6296296296296283E-2</v>
      </c>
      <c r="D871">
        <f>IF(B871&gt;'user input'!$C$6,0,(C871/(C871+EXP('user input'!$C$15-'user input'!$C$14*C871))))</f>
        <v>1.6198710480215199E-2</v>
      </c>
      <c r="E871">
        <f>IF(C871&lt;'user input'!$C$12,(D871-D870)*'user input'!$C$17*(1-EXP(5*(F870-'user input'!$C$17))),F871-F870)</f>
        <v>6.2356964758498497E-3</v>
      </c>
      <c r="F871">
        <f>IF(C871&lt;'user input'!$C$12,IF(B871&gt;'user input'!$C$6,0,F870+E871),'user input'!$C$17*((1-C871)/(1-'user input'!$C$12)))</f>
        <v>4.8596114789417881E-2</v>
      </c>
    </row>
    <row r="872" spans="1:6" x14ac:dyDescent="0.2">
      <c r="A872" s="1">
        <v>41048</v>
      </c>
      <c r="B872">
        <v>140</v>
      </c>
      <c r="C872">
        <f>IF(B872&gt;'user input'!$C$6,0,IF('heat units'!H872&gt;1,1,'heat units'!H872))</f>
        <v>0.1060185185185185</v>
      </c>
      <c r="D872">
        <f>IF(B872&gt;'user input'!$C$6,0,(C872/(C872+EXP('user input'!$C$15-'user input'!$C$14*C872))))</f>
        <v>2.0229585377171212E-2</v>
      </c>
      <c r="E872">
        <f>IF(C872&lt;'user input'!$C$12,(D872-D871)*'user input'!$C$17*(1-EXP(5*(F871-'user input'!$C$17))),F872-F871)</f>
        <v>1.2092619974274322E-2</v>
      </c>
      <c r="F872">
        <f>IF(C872&lt;'user input'!$C$12,IF(B872&gt;'user input'!$C$6,0,F871+E872),'user input'!$C$17*((1-C872)/(1-'user input'!$C$12)))</f>
        <v>6.0688734763692201E-2</v>
      </c>
    </row>
    <row r="873" spans="1:6" x14ac:dyDescent="0.2">
      <c r="A873" s="1">
        <v>41049</v>
      </c>
      <c r="B873">
        <v>141</v>
      </c>
      <c r="C873">
        <f>IF(B873&gt;'user input'!$C$6,0,IF('heat units'!H873&gt;1,1,'heat units'!H873))</f>
        <v>0.11689814814814814</v>
      </c>
      <c r="D873">
        <f>IF(B873&gt;'user input'!$C$6,0,(C873/(C873+EXP('user input'!$C$15-'user input'!$C$14*C873))))</f>
        <v>2.5659318773182407E-2</v>
      </c>
      <c r="E873">
        <f>IF(C873&lt;'user input'!$C$12,(D873-D872)*'user input'!$C$17*(1-EXP(5*(F872-'user input'!$C$17))),F873-F872)</f>
        <v>1.6289193438613722E-2</v>
      </c>
      <c r="F873">
        <f>IF(C873&lt;'user input'!$C$12,IF(B873&gt;'user input'!$C$6,0,F872+E873),'user input'!$C$17*((1-C873)/(1-'user input'!$C$12)))</f>
        <v>7.6977928202305923E-2</v>
      </c>
    </row>
    <row r="874" spans="1:6" x14ac:dyDescent="0.2">
      <c r="A874" s="1">
        <v>41050</v>
      </c>
      <c r="B874">
        <v>142</v>
      </c>
      <c r="C874">
        <f>IF(B874&gt;'user input'!$C$6,0,IF('heat units'!H874&gt;1,1,'heat units'!H874))</f>
        <v>0.12430555555555554</v>
      </c>
      <c r="D874">
        <f>IF(B874&gt;'user input'!$C$6,0,(C874/(C874+EXP('user input'!$C$15-'user input'!$C$14*C874))))</f>
        <v>2.9995215737897304E-2</v>
      </c>
      <c r="E874">
        <f>IF(C874&lt;'user input'!$C$12,(D874-D873)*'user input'!$C$17*(1-EXP(5*(F873-'user input'!$C$17))),F874-F873)</f>
        <v>1.3007685047072892E-2</v>
      </c>
      <c r="F874">
        <f>IF(C874&lt;'user input'!$C$12,IF(B874&gt;'user input'!$C$6,0,F873+E874),'user input'!$C$17*((1-C874)/(1-'user input'!$C$12)))</f>
        <v>8.9985613249378815E-2</v>
      </c>
    </row>
    <row r="875" spans="1:6" x14ac:dyDescent="0.2">
      <c r="A875" s="1">
        <v>41051</v>
      </c>
      <c r="B875">
        <v>143</v>
      </c>
      <c r="C875">
        <f>IF(B875&gt;'user input'!$C$6,0,IF('heat units'!H875&gt;1,1,'heat units'!H875))</f>
        <v>0.12962962962962962</v>
      </c>
      <c r="D875">
        <f>IF(B875&gt;'user input'!$C$6,0,(C875/(C875+EXP('user input'!$C$15-'user input'!$C$14*C875))))</f>
        <v>3.3470113012565368E-2</v>
      </c>
      <c r="E875">
        <f>IF(C875&lt;'user input'!$C$12,(D875-D874)*'user input'!$C$17*(1-EXP(5*(F874-'user input'!$C$17))),F875-F874)</f>
        <v>1.0424686823114523E-2</v>
      </c>
      <c r="F875">
        <f>IF(C875&lt;'user input'!$C$12,IF(B875&gt;'user input'!$C$6,0,F874+E875),'user input'!$C$17*((1-C875)/(1-'user input'!$C$12)))</f>
        <v>0.10041030007249334</v>
      </c>
    </row>
    <row r="876" spans="1:6" x14ac:dyDescent="0.2">
      <c r="A876" s="1">
        <v>41052</v>
      </c>
      <c r="B876">
        <v>144</v>
      </c>
      <c r="C876">
        <f>IF(B876&gt;'user input'!$C$6,0,IF('heat units'!H876&gt;1,1,'heat units'!H876))</f>
        <v>0.13564814814814816</v>
      </c>
      <c r="D876">
        <f>IF(B876&gt;'user input'!$C$6,0,(C876/(C876+EXP('user input'!$C$15-'user input'!$C$14*C876))))</f>
        <v>3.7792633403032551E-2</v>
      </c>
      <c r="E876">
        <f>IF(C876&lt;'user input'!$C$12,(D876-D875)*'user input'!$C$17*(1-EXP(5*(F875-'user input'!$C$17))),F876-F875)</f>
        <v>1.2967554617811471E-2</v>
      </c>
      <c r="F876">
        <f>IF(C876&lt;'user input'!$C$12,IF(B876&gt;'user input'!$C$6,0,F875+E876),'user input'!$C$17*((1-C876)/(1-'user input'!$C$12)))</f>
        <v>0.11337785469030481</v>
      </c>
    </row>
    <row r="877" spans="1:6" x14ac:dyDescent="0.2">
      <c r="A877" s="1">
        <v>41053</v>
      </c>
      <c r="B877">
        <v>145</v>
      </c>
      <c r="C877">
        <f>IF(B877&gt;'user input'!$C$6,0,IF('heat units'!H877&gt;1,1,'heat units'!H877))</f>
        <v>0.14374999999999999</v>
      </c>
      <c r="D877">
        <f>IF(B877&gt;'user input'!$C$6,0,(C877/(C877+EXP('user input'!$C$15-'user input'!$C$14*C877))))</f>
        <v>4.4333957139821863E-2</v>
      </c>
      <c r="E877">
        <f>IF(C877&lt;'user input'!$C$12,(D877-D876)*'user input'!$C$17*(1-EXP(5*(F876-'user input'!$C$17))),F877-F876)</f>
        <v>1.9623960628397281E-2</v>
      </c>
      <c r="F877">
        <f>IF(C877&lt;'user input'!$C$12,IF(B877&gt;'user input'!$C$6,0,F876+E877),'user input'!$C$17*((1-C877)/(1-'user input'!$C$12)))</f>
        <v>0.13300181531870209</v>
      </c>
    </row>
    <row r="878" spans="1:6" x14ac:dyDescent="0.2">
      <c r="A878" s="1">
        <v>41054</v>
      </c>
      <c r="B878">
        <v>146</v>
      </c>
      <c r="C878">
        <f>IF(B878&gt;'user input'!$C$6,0,IF('heat units'!H878&gt;1,1,'heat units'!H878))</f>
        <v>0.15254629629629629</v>
      </c>
      <c r="D878">
        <f>IF(B878&gt;'user input'!$C$6,0,(C878/(C878+EXP('user input'!$C$15-'user input'!$C$14*C878))))</f>
        <v>5.2474682768678366E-2</v>
      </c>
      <c r="E878">
        <f>IF(C878&lt;'user input'!$C$12,(D878-D877)*'user input'!$C$17*(1-EXP(5*(F877-'user input'!$C$17))),F878-F877)</f>
        <v>2.4422162359536734E-2</v>
      </c>
      <c r="F878">
        <f>IF(C878&lt;'user input'!$C$12,IF(B878&gt;'user input'!$C$6,0,F877+E878),'user input'!$C$17*((1-C878)/(1-'user input'!$C$12)))</f>
        <v>0.15742397767823882</v>
      </c>
    </row>
    <row r="879" spans="1:6" x14ac:dyDescent="0.2">
      <c r="A879" s="1">
        <v>41055</v>
      </c>
      <c r="B879">
        <v>147</v>
      </c>
      <c r="C879">
        <f>IF(B879&gt;'user input'!$C$6,0,IF('heat units'!H879&gt;1,1,'heat units'!H879))</f>
        <v>0.15949074074074074</v>
      </c>
      <c r="D879">
        <f>IF(B879&gt;'user input'!$C$6,0,(C879/(C879+EXP('user input'!$C$15-'user input'!$C$14*C879))))</f>
        <v>5.9745841363243686E-2</v>
      </c>
      <c r="E879">
        <f>IF(C879&lt;'user input'!$C$12,(D879-D878)*'user input'!$C$17*(1-EXP(5*(F878-'user input'!$C$17))),F879-F878)</f>
        <v>2.1813461123172825E-2</v>
      </c>
      <c r="F879">
        <f>IF(C879&lt;'user input'!$C$12,IF(B879&gt;'user input'!$C$6,0,F878+E879),'user input'!$C$17*((1-C879)/(1-'user input'!$C$12)))</f>
        <v>0.17923743880141163</v>
      </c>
    </row>
    <row r="880" spans="1:6" x14ac:dyDescent="0.2">
      <c r="A880" s="1">
        <v>41056</v>
      </c>
      <c r="B880">
        <v>148</v>
      </c>
      <c r="C880">
        <f>IF(B880&gt;'user input'!$C$6,0,IF('heat units'!H880&gt;1,1,'heat units'!H880))</f>
        <v>0.17060185185185187</v>
      </c>
      <c r="D880">
        <f>IF(B880&gt;'user input'!$C$6,0,(C880/(C880+EXP('user input'!$C$15-'user input'!$C$14*C880))))</f>
        <v>7.3102741103379956E-2</v>
      </c>
      <c r="E880">
        <f>IF(C880&lt;'user input'!$C$12,(D880-D879)*'user input'!$C$17*(1-EXP(5*(F879-'user input'!$C$17))),F880-F879)</f>
        <v>4.0070669186016768E-2</v>
      </c>
      <c r="F880">
        <f>IF(C880&lt;'user input'!$C$12,IF(B880&gt;'user input'!$C$6,0,F879+E880),'user input'!$C$17*((1-C880)/(1-'user input'!$C$12)))</f>
        <v>0.21930810798742839</v>
      </c>
    </row>
    <row r="881" spans="1:6" x14ac:dyDescent="0.2">
      <c r="A881" s="1">
        <v>41057</v>
      </c>
      <c r="B881">
        <v>149</v>
      </c>
      <c r="C881">
        <f>IF(B881&gt;'user input'!$C$6,0,IF('heat units'!H881&gt;1,1,'heat units'!H881))</f>
        <v>0.18194444444444446</v>
      </c>
      <c r="D881">
        <f>IF(B881&gt;'user input'!$C$6,0,(C881/(C881+EXP('user input'!$C$15-'user input'!$C$14*C881))))</f>
        <v>8.9172377970959352E-2</v>
      </c>
      <c r="E881">
        <f>IF(C881&lt;'user input'!$C$12,(D881-D880)*'user input'!$C$17*(1-EXP(5*(F880-'user input'!$C$17))),F881-F880)</f>
        <v>4.8208866452648026E-2</v>
      </c>
      <c r="F881">
        <f>IF(C881&lt;'user input'!$C$12,IF(B881&gt;'user input'!$C$6,0,F880+E881),'user input'!$C$17*((1-C881)/(1-'user input'!$C$12)))</f>
        <v>0.26751697444007644</v>
      </c>
    </row>
    <row r="882" spans="1:6" x14ac:dyDescent="0.2">
      <c r="A882" s="1">
        <v>41058</v>
      </c>
      <c r="B882">
        <v>150</v>
      </c>
      <c r="C882">
        <f>IF(B882&gt;'user input'!$C$6,0,IF('heat units'!H882&gt;1,1,'heat units'!H882))</f>
        <v>0.19143518518518518</v>
      </c>
      <c r="D882">
        <f>IF(B882&gt;'user input'!$C$6,0,(C882/(C882+EXP('user input'!$C$15-'user input'!$C$14*C882))))</f>
        <v>0.10471528786439334</v>
      </c>
      <c r="E882">
        <f>IF(C882&lt;'user input'!$C$12,(D882-D881)*'user input'!$C$17*(1-EXP(5*(F881-'user input'!$C$17))),F882-F881)</f>
        <v>4.6628675337492834E-2</v>
      </c>
      <c r="F882">
        <f>IF(C882&lt;'user input'!$C$12,IF(B882&gt;'user input'!$C$6,0,F881+E882),'user input'!$C$17*((1-C882)/(1-'user input'!$C$12)))</f>
        <v>0.31414564977756926</v>
      </c>
    </row>
    <row r="883" spans="1:6" x14ac:dyDescent="0.2">
      <c r="A883" s="1">
        <v>41059</v>
      </c>
      <c r="B883">
        <v>151</v>
      </c>
      <c r="C883">
        <f>IF(B883&gt;'user input'!$C$6,0,IF('heat units'!H883&gt;1,1,'heat units'!H883))</f>
        <v>0.19699074074074074</v>
      </c>
      <c r="D883">
        <f>IF(B883&gt;'user input'!$C$6,0,(C883/(C883+EXP('user input'!$C$15-'user input'!$C$14*C883))))</f>
        <v>0.11476915890334026</v>
      </c>
      <c r="E883">
        <f>IF(C883&lt;'user input'!$C$12,(D883-D882)*'user input'!$C$17*(1-EXP(5*(F882-'user input'!$C$17))),F883-F882)</f>
        <v>3.0161568735956865E-2</v>
      </c>
      <c r="F883">
        <f>IF(C883&lt;'user input'!$C$12,IF(B883&gt;'user input'!$C$6,0,F882+E883),'user input'!$C$17*((1-C883)/(1-'user input'!$C$12)))</f>
        <v>0.34430721851352614</v>
      </c>
    </row>
    <row r="884" spans="1:6" x14ac:dyDescent="0.2">
      <c r="A884" s="1">
        <v>41060</v>
      </c>
      <c r="B884">
        <v>152</v>
      </c>
      <c r="C884">
        <f>IF(B884&gt;'user input'!$C$6,0,IF('heat units'!H884&gt;1,1,'heat units'!H884))</f>
        <v>0.2</v>
      </c>
      <c r="D884">
        <f>IF(B884&gt;'user input'!$C$6,0,(C884/(C884+EXP('user input'!$C$15-'user input'!$C$14*C884))))</f>
        <v>0.12052321884947383</v>
      </c>
      <c r="E884">
        <f>IF(C884&lt;'user input'!$C$12,(D884-D883)*'user input'!$C$17*(1-EXP(5*(F883-'user input'!$C$17))),F884-F883)</f>
        <v>1.7262150303736755E-2</v>
      </c>
      <c r="F884">
        <f>IF(C884&lt;'user input'!$C$12,IF(B884&gt;'user input'!$C$6,0,F883+E884),'user input'!$C$17*((1-C884)/(1-'user input'!$C$12)))</f>
        <v>0.36156936881726287</v>
      </c>
    </row>
    <row r="885" spans="1:6" x14ac:dyDescent="0.2">
      <c r="A885" s="1">
        <v>41061</v>
      </c>
      <c r="B885">
        <v>153</v>
      </c>
      <c r="C885">
        <f>IF(B885&gt;'user input'!$C$6,0,IF('heat units'!H885&gt;1,1,'heat units'!H885))</f>
        <v>0.20138888888888887</v>
      </c>
      <c r="D885">
        <f>IF(B885&gt;'user input'!$C$6,0,(C885/(C885+EXP('user input'!$C$15-'user input'!$C$14*C885))))</f>
        <v>0.12325363846726095</v>
      </c>
      <c r="E885">
        <f>IF(C885&lt;'user input'!$C$12,(D885-D884)*'user input'!$C$17*(1-EXP(5*(F884-'user input'!$C$17))),F885-F884)</f>
        <v>8.1912435751916486E-3</v>
      </c>
      <c r="F885">
        <f>IF(C885&lt;'user input'!$C$12,IF(B885&gt;'user input'!$C$6,0,F884+E885),'user input'!$C$17*((1-C885)/(1-'user input'!$C$12)))</f>
        <v>0.3697606123924545</v>
      </c>
    </row>
    <row r="886" spans="1:6" x14ac:dyDescent="0.2">
      <c r="A886" s="1">
        <v>41062</v>
      </c>
      <c r="B886">
        <v>154</v>
      </c>
      <c r="C886">
        <f>IF(B886&gt;'user input'!$C$6,0,IF('heat units'!H886&gt;1,1,'heat units'!H886))</f>
        <v>0.20555555555555555</v>
      </c>
      <c r="D886">
        <f>IF(B886&gt;'user input'!$C$6,0,(C886/(C886+EXP('user input'!$C$15-'user input'!$C$14*C886))))</f>
        <v>0.13173299204072078</v>
      </c>
      <c r="E886">
        <f>IF(C886&lt;'user input'!$C$12,(D886-D885)*'user input'!$C$17*(1-EXP(5*(F885-'user input'!$C$17))),F886-F885)</f>
        <v>2.5438011290251038E-2</v>
      </c>
      <c r="F886">
        <f>IF(C886&lt;'user input'!$C$12,IF(B886&gt;'user input'!$C$6,0,F885+E886),'user input'!$C$17*((1-C886)/(1-'user input'!$C$12)))</f>
        <v>0.39519862368270553</v>
      </c>
    </row>
    <row r="887" spans="1:6" x14ac:dyDescent="0.2">
      <c r="A887" s="1">
        <v>41063</v>
      </c>
      <c r="B887">
        <v>155</v>
      </c>
      <c r="C887">
        <f>IF(B887&gt;'user input'!$C$6,0,IF('heat units'!H887&gt;1,1,'heat units'!H887))</f>
        <v>0.21134259259259258</v>
      </c>
      <c r="D887">
        <f>IF(B887&gt;'user input'!$C$6,0,(C887/(C887+EXP('user input'!$C$15-'user input'!$C$14*C887))))</f>
        <v>0.14424189893517755</v>
      </c>
      <c r="E887">
        <f>IF(C887&lt;'user input'!$C$12,(D887-D886)*'user input'!$C$17*(1-EXP(5*(F886-'user input'!$C$17))),F887-F886)</f>
        <v>3.7526637872701205E-2</v>
      </c>
      <c r="F887">
        <f>IF(C887&lt;'user input'!$C$12,IF(B887&gt;'user input'!$C$6,0,F886+E887),'user input'!$C$17*((1-C887)/(1-'user input'!$C$12)))</f>
        <v>0.43272526155540675</v>
      </c>
    </row>
    <row r="888" spans="1:6" x14ac:dyDescent="0.2">
      <c r="A888" s="1">
        <v>41064</v>
      </c>
      <c r="B888">
        <v>156</v>
      </c>
      <c r="C888">
        <f>IF(B888&gt;'user input'!$C$6,0,IF('heat units'!H888&gt;1,1,'heat units'!H888))</f>
        <v>0.218287037037037</v>
      </c>
      <c r="D888">
        <f>IF(B888&gt;'user input'!$C$6,0,(C888/(C888+EXP('user input'!$C$15-'user input'!$C$14*C888))))</f>
        <v>0.1604058935723153</v>
      </c>
      <c r="E888">
        <f>IF(C888&lt;'user input'!$C$12,(D888-D887)*'user input'!$C$17*(1-EXP(5*(F887-'user input'!$C$17))),F888-F887)</f>
        <v>4.8491854818116971E-2</v>
      </c>
      <c r="F888">
        <f>IF(C888&lt;'user input'!$C$12,IF(B888&gt;'user input'!$C$6,0,F887+E888),'user input'!$C$17*((1-C888)/(1-'user input'!$C$12)))</f>
        <v>0.48121711637352371</v>
      </c>
    </row>
    <row r="889" spans="1:6" x14ac:dyDescent="0.2">
      <c r="A889" s="1">
        <v>41065</v>
      </c>
      <c r="B889">
        <v>157</v>
      </c>
      <c r="C889">
        <f>IF(B889&gt;'user input'!$C$6,0,IF('heat units'!H889&gt;1,1,'heat units'!H889))</f>
        <v>0.22430555555555554</v>
      </c>
      <c r="D889">
        <f>IF(B889&gt;'user input'!$C$6,0,(C889/(C889+EXP('user input'!$C$15-'user input'!$C$14*C889))))</f>
        <v>0.17545454518478809</v>
      </c>
      <c r="E889">
        <f>IF(C889&lt;'user input'!$C$12,(D889-D888)*'user input'!$C$17*(1-EXP(5*(F888-'user input'!$C$17))),F889-F888)</f>
        <v>4.5145801675320799E-2</v>
      </c>
      <c r="F889">
        <f>IF(C889&lt;'user input'!$C$12,IF(B889&gt;'user input'!$C$6,0,F888+E889),'user input'!$C$17*((1-C889)/(1-'user input'!$C$12)))</f>
        <v>0.5263629180488445</v>
      </c>
    </row>
    <row r="890" spans="1:6" x14ac:dyDescent="0.2">
      <c r="A890" s="1">
        <v>41066</v>
      </c>
      <c r="B890">
        <v>158</v>
      </c>
      <c r="C890">
        <f>IF(B890&gt;'user input'!$C$6,0,IF('heat units'!H890&gt;1,1,'heat units'!H890))</f>
        <v>0.23032407407407404</v>
      </c>
      <c r="D890">
        <f>IF(B890&gt;'user input'!$C$6,0,(C890/(C890+EXP('user input'!$C$15-'user input'!$C$14*C890))))</f>
        <v>0.19148130848931771</v>
      </c>
      <c r="E890">
        <f>IF(C890&lt;'user input'!$C$12,(D890-D889)*'user input'!$C$17*(1-EXP(5*(F889-'user input'!$C$17))),F890-F889)</f>
        <v>4.8080085489343567E-2</v>
      </c>
      <c r="F890">
        <f>IF(C890&lt;'user input'!$C$12,IF(B890&gt;'user input'!$C$6,0,F889+E890),'user input'!$C$17*((1-C890)/(1-'user input'!$C$12)))</f>
        <v>0.57444300353818811</v>
      </c>
    </row>
    <row r="891" spans="1:6" x14ac:dyDescent="0.2">
      <c r="A891" s="1">
        <v>41067</v>
      </c>
      <c r="B891">
        <v>159</v>
      </c>
      <c r="C891">
        <f>IF(B891&gt;'user input'!$C$6,0,IF('heat units'!H891&gt;1,1,'heat units'!H891))</f>
        <v>0.23680555555555552</v>
      </c>
      <c r="D891">
        <f>IF(B891&gt;'user input'!$C$6,0,(C891/(C891+EXP('user input'!$C$15-'user input'!$C$14*C891))))</f>
        <v>0.20983768753678236</v>
      </c>
      <c r="E891">
        <f>IF(C891&lt;'user input'!$C$12,(D891-D890)*'user input'!$C$17*(1-EXP(5*(F890-'user input'!$C$17))),F891-F890)</f>
        <v>5.5068839374289545E-2</v>
      </c>
      <c r="F891">
        <f>IF(C891&lt;'user input'!$C$12,IF(B891&gt;'user input'!$C$6,0,F890+E891),'user input'!$C$17*((1-C891)/(1-'user input'!$C$12)))</f>
        <v>0.62951184291247764</v>
      </c>
    </row>
    <row r="892" spans="1:6" x14ac:dyDescent="0.2">
      <c r="A892" s="1">
        <v>41068</v>
      </c>
      <c r="B892">
        <v>160</v>
      </c>
      <c r="C892">
        <f>IF(B892&gt;'user input'!$C$6,0,IF('heat units'!H892&gt;1,1,'heat units'!H892))</f>
        <v>0.24421296296296297</v>
      </c>
      <c r="D892">
        <f>IF(B892&gt;'user input'!$C$6,0,(C892/(C892+EXP('user input'!$C$15-'user input'!$C$14*C892))))</f>
        <v>0.23219623063268979</v>
      </c>
      <c r="E892">
        <f>IF(C892&lt;'user input'!$C$12,(D892-D891)*'user input'!$C$17*(1-EXP(5*(F891-'user input'!$C$17))),F892-F891)</f>
        <v>6.7075151631845284E-2</v>
      </c>
      <c r="F892">
        <f>IF(C892&lt;'user input'!$C$12,IF(B892&gt;'user input'!$C$6,0,F891+E892),'user input'!$C$17*((1-C892)/(1-'user input'!$C$12)))</f>
        <v>0.69658699454432293</v>
      </c>
    </row>
    <row r="893" spans="1:6" x14ac:dyDescent="0.2">
      <c r="A893" s="1">
        <v>41069</v>
      </c>
      <c r="B893">
        <v>161</v>
      </c>
      <c r="C893">
        <f>IF(B893&gt;'user input'!$C$6,0,IF('heat units'!H893&gt;1,1,'heat units'!H893))</f>
        <v>0.25416666666666665</v>
      </c>
      <c r="D893">
        <f>IF(B893&gt;'user input'!$C$6,0,(C893/(C893+EXP('user input'!$C$15-'user input'!$C$14*C893))))</f>
        <v>0.26448876459029375</v>
      </c>
      <c r="E893">
        <f>IF(C893&lt;'user input'!$C$12,(D893-D892)*'user input'!$C$17*(1-EXP(5*(F892-'user input'!$C$17))),F893-F892)</f>
        <v>9.6876637098812807E-2</v>
      </c>
      <c r="F893">
        <f>IF(C893&lt;'user input'!$C$12,IF(B893&gt;'user input'!$C$6,0,F892+E893),'user input'!$C$17*((1-C893)/(1-'user input'!$C$12)))</f>
        <v>0.79346363164313571</v>
      </c>
    </row>
    <row r="894" spans="1:6" x14ac:dyDescent="0.2">
      <c r="A894" s="1">
        <v>41070</v>
      </c>
      <c r="B894">
        <v>162</v>
      </c>
      <c r="C894">
        <f>IF(B894&gt;'user input'!$C$6,0,IF('heat units'!H894&gt;1,1,'heat units'!H894))</f>
        <v>0.26574074074074078</v>
      </c>
      <c r="D894">
        <f>IF(B894&gt;'user input'!$C$6,0,(C894/(C894+EXP('user input'!$C$15-'user input'!$C$14*C894))))</f>
        <v>0.30506107187525511</v>
      </c>
      <c r="E894">
        <f>IF(C894&lt;'user input'!$C$12,(D894-D893)*'user input'!$C$17*(1-EXP(5*(F893-'user input'!$C$17))),F894-F893)</f>
        <v>0.1217149543395929</v>
      </c>
      <c r="F894">
        <f>IF(C894&lt;'user input'!$C$12,IF(B894&gt;'user input'!$C$6,0,F893+E894),'user input'!$C$17*((1-C894)/(1-'user input'!$C$12)))</f>
        <v>0.91517858598272861</v>
      </c>
    </row>
    <row r="895" spans="1:6" x14ac:dyDescent="0.2">
      <c r="A895" s="1">
        <v>41071</v>
      </c>
      <c r="B895">
        <v>163</v>
      </c>
      <c r="C895">
        <f>IF(B895&gt;'user input'!$C$6,0,IF('heat units'!H895&gt;1,1,'heat units'!H895))</f>
        <v>0.27754629629629635</v>
      </c>
      <c r="D895">
        <f>IF(B895&gt;'user input'!$C$6,0,(C895/(C895+EXP('user input'!$C$15-'user input'!$C$14*C895))))</f>
        <v>0.34936699679356592</v>
      </c>
      <c r="E895">
        <f>IF(C895&lt;'user input'!$C$12,(D895-D894)*'user input'!$C$17*(1-EXP(5*(F894-'user input'!$C$17))),F895-F894)</f>
        <v>0.13291382608454683</v>
      </c>
      <c r="F895">
        <f>IF(C895&lt;'user input'!$C$12,IF(B895&gt;'user input'!$C$6,0,F894+E895),'user input'!$C$17*((1-C895)/(1-'user input'!$C$12)))</f>
        <v>1.0480924120672754</v>
      </c>
    </row>
    <row r="896" spans="1:6" x14ac:dyDescent="0.2">
      <c r="A896" s="1">
        <v>41072</v>
      </c>
      <c r="B896">
        <v>164</v>
      </c>
      <c r="C896">
        <f>IF(B896&gt;'user input'!$C$6,0,IF('heat units'!H896&gt;1,1,'heat units'!H896))</f>
        <v>0.28587962962962965</v>
      </c>
      <c r="D896">
        <f>IF(B896&gt;'user input'!$C$6,0,(C896/(C896+EXP('user input'!$C$15-'user input'!$C$14*C896))))</f>
        <v>0.38208817828101976</v>
      </c>
      <c r="E896">
        <f>IF(C896&lt;'user input'!$C$12,(D896-D895)*'user input'!$C$17*(1-EXP(5*(F895-'user input'!$C$17))),F896-F895)</f>
        <v>9.815787637209071E-2</v>
      </c>
      <c r="F896">
        <f>IF(C896&lt;'user input'!$C$12,IF(B896&gt;'user input'!$C$6,0,F895+E896),'user input'!$C$17*((1-C896)/(1-'user input'!$C$12)))</f>
        <v>1.1462502884393662</v>
      </c>
    </row>
    <row r="897" spans="1:6" x14ac:dyDescent="0.2">
      <c r="A897" s="1">
        <v>41073</v>
      </c>
      <c r="B897">
        <v>165</v>
      </c>
      <c r="C897">
        <f>IF(B897&gt;'user input'!$C$6,0,IF('heat units'!H897&gt;1,1,'heat units'!H897))</f>
        <v>0.29074074074074074</v>
      </c>
      <c r="D897">
        <f>IF(B897&gt;'user input'!$C$6,0,(C897/(C897+EXP('user input'!$C$15-'user input'!$C$14*C897))))</f>
        <v>0.40160906831086413</v>
      </c>
      <c r="E897">
        <f>IF(C897&lt;'user input'!$C$12,(D897-D896)*'user input'!$C$17*(1-EXP(5*(F896-'user input'!$C$17))),F897-F896)</f>
        <v>5.8557146078761071E-2</v>
      </c>
      <c r="F897">
        <f>IF(C897&lt;'user input'!$C$12,IF(B897&gt;'user input'!$C$6,0,F896+E897),'user input'!$C$17*((1-C897)/(1-'user input'!$C$12)))</f>
        <v>1.2048074345181272</v>
      </c>
    </row>
    <row r="898" spans="1:6" x14ac:dyDescent="0.2">
      <c r="A898" s="1">
        <v>41074</v>
      </c>
      <c r="B898">
        <v>166</v>
      </c>
      <c r="C898">
        <f>IF(B898&gt;'user input'!$C$6,0,IF('heat units'!H898&gt;1,1,'heat units'!H898))</f>
        <v>0.29652777777777783</v>
      </c>
      <c r="D898">
        <f>IF(B898&gt;'user input'!$C$6,0,(C898/(C898+EXP('user input'!$C$15-'user input'!$C$14*C898))))</f>
        <v>0.42516783540651021</v>
      </c>
      <c r="E898">
        <f>IF(C898&lt;'user input'!$C$12,(D898-D897)*'user input'!$C$17*(1-EXP(5*(F897-'user input'!$C$17))),F898-F897)</f>
        <v>7.0667366942576665E-2</v>
      </c>
      <c r="F898">
        <f>IF(C898&lt;'user input'!$C$12,IF(B898&gt;'user input'!$C$6,0,F897+E898),'user input'!$C$17*((1-C898)/(1-'user input'!$C$12)))</f>
        <v>1.2754748014607038</v>
      </c>
    </row>
    <row r="899" spans="1:6" x14ac:dyDescent="0.2">
      <c r="A899" s="1">
        <v>41075</v>
      </c>
      <c r="B899">
        <v>167</v>
      </c>
      <c r="C899">
        <f>IF(B899&gt;'user input'!$C$6,0,IF('heat units'!H899&gt;1,1,'heat units'!H899))</f>
        <v>0.30486111111111114</v>
      </c>
      <c r="D899">
        <f>IF(B899&gt;'user input'!$C$6,0,(C899/(C899+EXP('user input'!$C$15-'user input'!$C$14*C899))))</f>
        <v>0.45950554916192193</v>
      </c>
      <c r="E899">
        <f>IF(C899&lt;'user input'!$C$12,(D899-D898)*'user input'!$C$17*(1-EXP(5*(F898-'user input'!$C$17))),F899-F898)</f>
        <v>0.10299460024110524</v>
      </c>
      <c r="F899">
        <f>IF(C899&lt;'user input'!$C$12,IF(B899&gt;'user input'!$C$6,0,F898+E899),'user input'!$C$17*((1-C899)/(1-'user input'!$C$12)))</f>
        <v>1.3784694017018091</v>
      </c>
    </row>
    <row r="900" spans="1:6" x14ac:dyDescent="0.2">
      <c r="A900" s="1">
        <v>41076</v>
      </c>
      <c r="B900">
        <v>168</v>
      </c>
      <c r="C900">
        <f>IF(B900&gt;'user input'!$C$6,0,IF('heat units'!H900&gt;1,1,'heat units'!H900))</f>
        <v>0.31620370370370371</v>
      </c>
      <c r="D900">
        <f>IF(B900&gt;'user input'!$C$6,0,(C900/(C900+EXP('user input'!$C$15-'user input'!$C$14*C900))))</f>
        <v>0.50650528698091601</v>
      </c>
      <c r="E900">
        <f>IF(C900&lt;'user input'!$C$12,(D900-D899)*'user input'!$C$17*(1-EXP(5*(F899-'user input'!$C$17))),F900-F899)</f>
        <v>0.14095674096582245</v>
      </c>
      <c r="F900">
        <f>IF(C900&lt;'user input'!$C$12,IF(B900&gt;'user input'!$C$6,0,F899+E900),'user input'!$C$17*((1-C900)/(1-'user input'!$C$12)))</f>
        <v>1.5194261426676317</v>
      </c>
    </row>
    <row r="901" spans="1:6" x14ac:dyDescent="0.2">
      <c r="A901" s="1">
        <v>41077</v>
      </c>
      <c r="B901">
        <v>169</v>
      </c>
      <c r="C901">
        <f>IF(B901&gt;'user input'!$C$6,0,IF('heat units'!H901&gt;1,1,'heat units'!H901))</f>
        <v>0.32962962962962961</v>
      </c>
      <c r="D901">
        <f>IF(B901&gt;'user input'!$C$6,0,(C901/(C901+EXP('user input'!$C$15-'user input'!$C$14*C901))))</f>
        <v>0.56151617052785985</v>
      </c>
      <c r="E901">
        <f>IF(C901&lt;'user input'!$C$12,(D901-D900)*'user input'!$C$17*(1-EXP(5*(F900-'user input'!$C$17))),F901-F900)</f>
        <v>0.16493206300666338</v>
      </c>
      <c r="F901">
        <f>IF(C901&lt;'user input'!$C$12,IF(B901&gt;'user input'!$C$6,0,F900+E901),'user input'!$C$17*((1-C901)/(1-'user input'!$C$12)))</f>
        <v>1.684358205674295</v>
      </c>
    </row>
    <row r="902" spans="1:6" x14ac:dyDescent="0.2">
      <c r="A902" s="1">
        <v>41078</v>
      </c>
      <c r="B902">
        <v>170</v>
      </c>
      <c r="C902">
        <f>IF(B902&gt;'user input'!$C$6,0,IF('heat units'!H902&gt;1,1,'heat units'!H902))</f>
        <v>0.3435185185185185</v>
      </c>
      <c r="D902">
        <f>IF(B902&gt;'user input'!$C$6,0,(C902/(C902+EXP('user input'!$C$15-'user input'!$C$14*C902))))</f>
        <v>0.61644779611759093</v>
      </c>
      <c r="E902">
        <f>IF(C902&lt;'user input'!$C$12,(D902-D901)*'user input'!$C$17*(1-EXP(5*(F901-'user input'!$C$17))),F902-F901)</f>
        <v>0.16456575632171963</v>
      </c>
      <c r="F902">
        <f>IF(C902&lt;'user input'!$C$12,IF(B902&gt;'user input'!$C$6,0,F901+E902),'user input'!$C$17*((1-C902)/(1-'user input'!$C$12)))</f>
        <v>1.8489239619960145</v>
      </c>
    </row>
    <row r="903" spans="1:6" x14ac:dyDescent="0.2">
      <c r="A903" s="1">
        <v>41079</v>
      </c>
      <c r="B903">
        <v>171</v>
      </c>
      <c r="C903">
        <f>IF(B903&gt;'user input'!$C$6,0,IF('heat units'!H903&gt;1,1,'heat units'!H903))</f>
        <v>0.35787037037037039</v>
      </c>
      <c r="D903">
        <f>IF(B903&gt;'user input'!$C$6,0,(C903/(C903+EXP('user input'!$C$15-'user input'!$C$14*C903))))</f>
        <v>0.6698559487790976</v>
      </c>
      <c r="E903">
        <f>IF(C903&lt;'user input'!$C$12,(D903-D902)*'user input'!$C$17*(1-EXP(5*(F902-'user input'!$C$17))),F903-F902)</f>
        <v>0.15971723496706691</v>
      </c>
      <c r="F903">
        <f>IF(C903&lt;'user input'!$C$12,IF(B903&gt;'user input'!$C$6,0,F902+E903),'user input'!$C$17*((1-C903)/(1-'user input'!$C$12)))</f>
        <v>2.0086411969630813</v>
      </c>
    </row>
    <row r="904" spans="1:6" x14ac:dyDescent="0.2">
      <c r="A904" s="1">
        <v>41080</v>
      </c>
      <c r="B904">
        <v>172</v>
      </c>
      <c r="C904">
        <f>IF(B904&gt;'user input'!$C$6,0,IF('heat units'!H904&gt;1,1,'heat units'!H904))</f>
        <v>0.37222222222222223</v>
      </c>
      <c r="D904">
        <f>IF(B904&gt;'user input'!$C$6,0,(C904/(C904+EXP('user input'!$C$15-'user input'!$C$14*C904))))</f>
        <v>0.71888947966587324</v>
      </c>
      <c r="E904">
        <f>IF(C904&lt;'user input'!$C$12,(D904-D903)*'user input'!$C$17*(1-EXP(5*(F903-'user input'!$C$17))),F904-F903)</f>
        <v>0.14606567419994229</v>
      </c>
      <c r="F904">
        <f>IF(C904&lt;'user input'!$C$12,IF(B904&gt;'user input'!$C$6,0,F903+E904),'user input'!$C$17*((1-C904)/(1-'user input'!$C$12)))</f>
        <v>2.1547068711630235</v>
      </c>
    </row>
    <row r="905" spans="1:6" x14ac:dyDescent="0.2">
      <c r="A905" s="1">
        <v>41081</v>
      </c>
      <c r="B905">
        <v>173</v>
      </c>
      <c r="C905">
        <f>IF(B905&gt;'user input'!$C$6,0,IF('heat units'!H905&gt;1,1,'heat units'!H905))</f>
        <v>0.38379629629629636</v>
      </c>
      <c r="D905">
        <f>IF(B905&gt;'user input'!$C$6,0,(C905/(C905+EXP('user input'!$C$15-'user input'!$C$14*C905))))</f>
        <v>0.75482334076835977</v>
      </c>
      <c r="E905">
        <f>IF(C905&lt;'user input'!$C$12,(D905-D904)*'user input'!$C$17*(1-EXP(5*(F904-'user input'!$C$17))),F905-F904)</f>
        <v>0.10622725816159938</v>
      </c>
      <c r="F905">
        <f>IF(C905&lt;'user input'!$C$12,IF(B905&gt;'user input'!$C$6,0,F904+E905),'user input'!$C$17*((1-C905)/(1-'user input'!$C$12)))</f>
        <v>2.2609341293246228</v>
      </c>
    </row>
    <row r="906" spans="1:6" x14ac:dyDescent="0.2">
      <c r="A906" s="1">
        <v>41082</v>
      </c>
      <c r="B906">
        <v>174</v>
      </c>
      <c r="C906">
        <f>IF(B906&gt;'user input'!$C$6,0,IF('heat units'!H906&gt;1,1,'heat units'!H906))</f>
        <v>0.39236111111111116</v>
      </c>
      <c r="D906">
        <f>IF(B906&gt;'user input'!$C$6,0,(C906/(C906+EXP('user input'!$C$15-'user input'!$C$14*C906))))</f>
        <v>0.77923592424770183</v>
      </c>
      <c r="E906">
        <f>IF(C906&lt;'user input'!$C$12,(D906-D905)*'user input'!$C$17*(1-EXP(5*(F905-'user input'!$C$17))),F906-F905)</f>
        <v>7.1418578076909545E-2</v>
      </c>
      <c r="F906">
        <f>IF(C906&lt;'user input'!$C$12,IF(B906&gt;'user input'!$C$6,0,F905+E906),'user input'!$C$17*((1-C906)/(1-'user input'!$C$12)))</f>
        <v>2.3323527074015322</v>
      </c>
    </row>
    <row r="907" spans="1:6" x14ac:dyDescent="0.2">
      <c r="A907" s="1">
        <v>41083</v>
      </c>
      <c r="B907">
        <v>175</v>
      </c>
      <c r="C907">
        <f>IF(B907&gt;'user input'!$C$6,0,IF('heat units'!H907&gt;1,1,'heat units'!H907))</f>
        <v>0.40092592592592596</v>
      </c>
      <c r="D907">
        <f>IF(B907&gt;'user input'!$C$6,0,(C907/(C907+EXP('user input'!$C$15-'user input'!$C$14*C907))))</f>
        <v>0.80178006926606027</v>
      </c>
      <c r="E907">
        <f>IF(C907&lt;'user input'!$C$12,(D907-D906)*'user input'!$C$17*(1-EXP(5*(F906-'user input'!$C$17))),F907-F906)</f>
        <v>6.5231516936775147E-2</v>
      </c>
      <c r="F907">
        <f>IF(C907&lt;'user input'!$C$12,IF(B907&gt;'user input'!$C$6,0,F906+E907),'user input'!$C$17*((1-C907)/(1-'user input'!$C$12)))</f>
        <v>2.3975842243383072</v>
      </c>
    </row>
    <row r="908" spans="1:6" x14ac:dyDescent="0.2">
      <c r="A908" s="1">
        <v>41084</v>
      </c>
      <c r="B908">
        <v>176</v>
      </c>
      <c r="C908">
        <f>IF(B908&gt;'user input'!$C$6,0,IF('heat units'!H908&gt;1,1,'heat units'!H908))</f>
        <v>0.41018518518518521</v>
      </c>
      <c r="D908">
        <f>IF(B908&gt;'user input'!$C$6,0,(C908/(C908+EXP('user input'!$C$15-'user input'!$C$14*C908))))</f>
        <v>0.82407858396195144</v>
      </c>
      <c r="E908">
        <f>IF(C908&lt;'user input'!$C$12,(D908-D907)*'user input'!$C$17*(1-EXP(5*(F907-'user input'!$C$17))),F908-F907)</f>
        <v>6.3604998177876015E-2</v>
      </c>
      <c r="F908">
        <f>IF(C908&lt;'user input'!$C$12,IF(B908&gt;'user input'!$C$6,0,F907+E908),'user input'!$C$17*((1-C908)/(1-'user input'!$C$12)))</f>
        <v>2.4611892225161833</v>
      </c>
    </row>
    <row r="909" spans="1:6" x14ac:dyDescent="0.2">
      <c r="A909" s="1">
        <v>41085</v>
      </c>
      <c r="B909">
        <v>177</v>
      </c>
      <c r="C909">
        <f>IF(B909&gt;'user input'!$C$6,0,IF('heat units'!H909&gt;1,1,'heat units'!H909))</f>
        <v>0.41990740740740745</v>
      </c>
      <c r="D909">
        <f>IF(B909&gt;'user input'!$C$6,0,(C909/(C909+EXP('user input'!$C$15-'user input'!$C$14*C909))))</f>
        <v>0.84524590877854333</v>
      </c>
      <c r="E909">
        <f>IF(C909&lt;'user input'!$C$12,(D909-D908)*'user input'!$C$17*(1-EXP(5*(F908-'user input'!$C$17))),F909-F908)</f>
        <v>5.9208839980387611E-2</v>
      </c>
      <c r="F909">
        <f>IF(C909&lt;'user input'!$C$12,IF(B909&gt;'user input'!$C$6,0,F908+E909),'user input'!$C$17*((1-C909)/(1-'user input'!$C$12)))</f>
        <v>2.5203980624965707</v>
      </c>
    </row>
    <row r="910" spans="1:6" x14ac:dyDescent="0.2">
      <c r="A910" s="1">
        <v>41086</v>
      </c>
      <c r="B910">
        <v>178</v>
      </c>
      <c r="C910">
        <f>IF(B910&gt;'user input'!$C$6,0,IF('heat units'!H910&gt;1,1,'heat units'!H910))</f>
        <v>0.42662037037037037</v>
      </c>
      <c r="D910">
        <f>IF(B910&gt;'user input'!$C$6,0,(C910/(C910+EXP('user input'!$C$15-'user input'!$C$14*C910))))</f>
        <v>0.85857525105771304</v>
      </c>
      <c r="E910">
        <f>IF(C910&lt;'user input'!$C$12,(D910-D909)*'user input'!$C$17*(1-EXP(5*(F909-'user input'!$C$17))),F910-F909)</f>
        <v>3.635316757565546E-2</v>
      </c>
      <c r="F910">
        <f>IF(C910&lt;'user input'!$C$12,IF(B910&gt;'user input'!$C$6,0,F909+E910),'user input'!$C$17*((1-C910)/(1-'user input'!$C$12)))</f>
        <v>2.5567512300722264</v>
      </c>
    </row>
    <row r="911" spans="1:6" x14ac:dyDescent="0.2">
      <c r="A911" s="1">
        <v>41087</v>
      </c>
      <c r="B911">
        <v>179</v>
      </c>
      <c r="C911">
        <f>IF(B911&gt;'user input'!$C$6,0,IF('heat units'!H911&gt;1,1,'heat units'!H911))</f>
        <v>0.43449074074074079</v>
      </c>
      <c r="D911">
        <f>IF(B911&gt;'user input'!$C$6,0,(C911/(C911+EXP('user input'!$C$15-'user input'!$C$14*C911))))</f>
        <v>0.87293197288813174</v>
      </c>
      <c r="E911">
        <f>IF(C911&lt;'user input'!$C$12,(D911-D910)*'user input'!$C$17*(1-EXP(5*(F910-'user input'!$C$17))),F911-F910)</f>
        <v>3.8374749593781787E-2</v>
      </c>
      <c r="F911">
        <f>IF(C911&lt;'user input'!$C$12,IF(B911&gt;'user input'!$C$6,0,F910+E911),'user input'!$C$17*((1-C911)/(1-'user input'!$C$12)))</f>
        <v>2.5951259796660082</v>
      </c>
    </row>
    <row r="912" spans="1:6" x14ac:dyDescent="0.2">
      <c r="A912" s="1">
        <v>41088</v>
      </c>
      <c r="B912">
        <v>180</v>
      </c>
      <c r="C912">
        <f>IF(B912&gt;'user input'!$C$6,0,IF('heat units'!H912&gt;1,1,'heat units'!H912))</f>
        <v>0.4462962962962963</v>
      </c>
      <c r="D912">
        <f>IF(B912&gt;'user input'!$C$6,0,(C912/(C912+EXP('user input'!$C$15-'user input'!$C$14*C912))))</f>
        <v>0.89206078910316278</v>
      </c>
      <c r="E912">
        <f>IF(C912&lt;'user input'!$C$12,(D912-D911)*'user input'!$C$17*(1-EXP(5*(F911-'user input'!$C$17))),F912-F911)</f>
        <v>4.9807017974140846E-2</v>
      </c>
      <c r="F912">
        <f>IF(C912&lt;'user input'!$C$12,IF(B912&gt;'user input'!$C$6,0,F911+E912),'user input'!$C$17*((1-C912)/(1-'user input'!$C$12)))</f>
        <v>2.644932997640149</v>
      </c>
    </row>
    <row r="913" spans="1:6" x14ac:dyDescent="0.2">
      <c r="A913" s="1">
        <v>41089</v>
      </c>
      <c r="B913">
        <v>181</v>
      </c>
      <c r="C913">
        <f>IF(B913&gt;'user input'!$C$6,0,IF('heat units'!H913&gt;1,1,'heat units'!H913))</f>
        <v>0.45601851851851849</v>
      </c>
      <c r="D913">
        <f>IF(B913&gt;'user input'!$C$6,0,(C913/(C913+EXP('user input'!$C$15-'user input'!$C$14*C913))))</f>
        <v>0.90582169831746984</v>
      </c>
      <c r="E913">
        <f>IF(C913&lt;'user input'!$C$12,(D913-D912)*'user input'!$C$17*(1-EXP(5*(F912-'user input'!$C$17))),F913-F912)</f>
        <v>3.4288332154813445E-2</v>
      </c>
      <c r="F913">
        <f>IF(C913&lt;'user input'!$C$12,IF(B913&gt;'user input'!$C$6,0,F912+E913),'user input'!$C$17*((1-C913)/(1-'user input'!$C$12)))</f>
        <v>2.6792213297949625</v>
      </c>
    </row>
    <row r="914" spans="1:6" x14ac:dyDescent="0.2">
      <c r="A914" s="1">
        <v>41090</v>
      </c>
      <c r="B914">
        <v>182</v>
      </c>
      <c r="C914">
        <f>IF(B914&gt;'user input'!$C$6,0,IF('heat units'!H914&gt;1,1,'heat units'!H914))</f>
        <v>0.46643518518518512</v>
      </c>
      <c r="D914">
        <f>IF(B914&gt;'user input'!$C$6,0,(C914/(C914+EXP('user input'!$C$15-'user input'!$C$14*C914))))</f>
        <v>0.91876394309323706</v>
      </c>
      <c r="E914">
        <f>IF(C914&lt;'user input'!$C$12,(D914-D913)*'user input'!$C$17*(1-EXP(5*(F913-'user input'!$C$17))),F914-F913)</f>
        <v>3.1018212436602632E-2</v>
      </c>
      <c r="F914">
        <f>IF(C914&lt;'user input'!$C$12,IF(B914&gt;'user input'!$C$6,0,F913+E914),'user input'!$C$17*((1-C914)/(1-'user input'!$C$12)))</f>
        <v>2.710239542231565</v>
      </c>
    </row>
    <row r="915" spans="1:6" x14ac:dyDescent="0.2">
      <c r="A915" s="1">
        <v>41091</v>
      </c>
      <c r="B915">
        <v>183</v>
      </c>
      <c r="C915">
        <f>IF(B915&gt;'user input'!$C$6,0,IF('heat units'!H915&gt;1,1,'heat units'!H915))</f>
        <v>0.47731481481481475</v>
      </c>
      <c r="D915">
        <f>IF(B915&gt;'user input'!$C$6,0,(C915/(C915+EXP('user input'!$C$15-'user input'!$C$14*C915))))</f>
        <v>0.9304974493540511</v>
      </c>
      <c r="E915">
        <f>IF(C915&lt;'user input'!$C$12,(D915-D914)*'user input'!$C$17*(1-EXP(5*(F914-'user input'!$C$17))),F915-F914)</f>
        <v>2.69336275298106E-2</v>
      </c>
      <c r="F915">
        <f>IF(C915&lt;'user input'!$C$12,IF(B915&gt;'user input'!$C$6,0,F914+E915),'user input'!$C$17*((1-C915)/(1-'user input'!$C$12)))</f>
        <v>2.7371731697613755</v>
      </c>
    </row>
    <row r="916" spans="1:6" x14ac:dyDescent="0.2">
      <c r="A916" s="1">
        <v>41092</v>
      </c>
      <c r="B916">
        <v>184</v>
      </c>
      <c r="C916">
        <f>IF(B916&gt;'user input'!$C$6,0,IF('heat units'!H916&gt;1,1,'heat units'!H916))</f>
        <v>0.49004629629629631</v>
      </c>
      <c r="D916">
        <f>IF(B916&gt;'user input'!$C$6,0,(C916/(C916+EXP('user input'!$C$15-'user input'!$C$14*C916))))</f>
        <v>0.94219276862500656</v>
      </c>
      <c r="E916">
        <f>IF(C916&lt;'user input'!$C$12,(D916-D915)*'user input'!$C$17*(1-EXP(5*(F915-'user input'!$C$17))),F916-F915)</f>
        <v>2.5658119484266332E-2</v>
      </c>
      <c r="F916">
        <f>IF(C916&lt;'user input'!$C$12,IF(B916&gt;'user input'!$C$6,0,F915+E916),'user input'!$C$17*((1-C916)/(1-'user input'!$C$12)))</f>
        <v>2.7628312892456419</v>
      </c>
    </row>
    <row r="917" spans="1:6" x14ac:dyDescent="0.2">
      <c r="A917" s="1">
        <v>41093</v>
      </c>
      <c r="B917">
        <v>185</v>
      </c>
      <c r="C917">
        <f>IF(B917&gt;'user input'!$C$6,0,IF('heat units'!H917&gt;1,1,'heat units'!H917))</f>
        <v>0.50300925925925921</v>
      </c>
      <c r="D917">
        <f>IF(B917&gt;'user input'!$C$6,0,(C917/(C917+EXP('user input'!$C$15-'user input'!$C$14*C917))))</f>
        <v>0.95215310987452262</v>
      </c>
      <c r="E917">
        <f>IF(C917&lt;'user input'!$C$12,(D917-D916)*'user input'!$C$17*(1-EXP(5*(F916-'user input'!$C$17))),F917-F916)</f>
        <v>2.0752718363044015E-2</v>
      </c>
      <c r="F917">
        <f>IF(C917&lt;'user input'!$C$12,IF(B917&gt;'user input'!$C$6,0,F916+E917),'user input'!$C$17*((1-C917)/(1-'user input'!$C$12)))</f>
        <v>2.783584007608686</v>
      </c>
    </row>
    <row r="918" spans="1:6" x14ac:dyDescent="0.2">
      <c r="A918" s="1">
        <v>41094</v>
      </c>
      <c r="B918">
        <v>186</v>
      </c>
      <c r="C918">
        <f>IF(B918&gt;'user input'!$C$6,0,IF('heat units'!H918&gt;1,1,'heat units'!H918))</f>
        <v>0.51689814814814805</v>
      </c>
      <c r="D918">
        <f>IF(B918&gt;'user input'!$C$6,0,(C918/(C918+EXP('user input'!$C$15-'user input'!$C$14*C918))))</f>
        <v>0.96097950024186296</v>
      </c>
      <c r="E918">
        <f>IF(C918&lt;'user input'!$C$12,(D918-D917)*'user input'!$C$17*(1-EXP(5*(F917-'user input'!$C$17))),F918-F917)</f>
        <v>1.7505647085839942E-2</v>
      </c>
      <c r="F918">
        <f>IF(C918&lt;'user input'!$C$12,IF(B918&gt;'user input'!$C$6,0,F917+E918),'user input'!$C$17*((1-C918)/(1-'user input'!$C$12)))</f>
        <v>2.8010896546945259</v>
      </c>
    </row>
    <row r="919" spans="1:6" x14ac:dyDescent="0.2">
      <c r="A919" s="1">
        <v>41095</v>
      </c>
      <c r="B919">
        <v>187</v>
      </c>
      <c r="C919">
        <f>IF(B919&gt;'user input'!$C$6,0,IF('heat units'!H919&gt;1,1,'heat units'!H919))</f>
        <v>0.53055555555555556</v>
      </c>
      <c r="D919">
        <f>IF(B919&gt;'user input'!$C$6,0,(C919/(C919+EXP('user input'!$C$15-'user input'!$C$14*C919))))</f>
        <v>0.9681007978273185</v>
      </c>
      <c r="E919">
        <f>IF(C919&lt;'user input'!$C$12,(D919-D918)*'user input'!$C$17*(1-EXP(5*(F918-'user input'!$C$17))),F919-F918)</f>
        <v>1.3461619151841304E-2</v>
      </c>
      <c r="F919">
        <f>IF(C919&lt;'user input'!$C$12,IF(B919&gt;'user input'!$C$6,0,F918+E919),'user input'!$C$17*((1-C919)/(1-'user input'!$C$12)))</f>
        <v>2.8145512738463672</v>
      </c>
    </row>
    <row r="920" spans="1:6" x14ac:dyDescent="0.2">
      <c r="A920" s="1">
        <v>41096</v>
      </c>
      <c r="B920">
        <v>188</v>
      </c>
      <c r="C920">
        <f>IF(B920&gt;'user input'!$C$6,0,IF('heat units'!H920&gt;1,1,'heat units'!H920))</f>
        <v>0.54467592592592595</v>
      </c>
      <c r="D920">
        <f>IF(B920&gt;'user input'!$C$6,0,(C920/(C920+EXP('user input'!$C$15-'user input'!$C$14*C920))))</f>
        <v>0.97411911537709606</v>
      </c>
      <c r="E920">
        <f>IF(C920&lt;'user input'!$C$12,(D920-D919)*'user input'!$C$17*(1-EXP(5*(F919-'user input'!$C$17))),F920-F919)</f>
        <v>1.0911641599155383E-2</v>
      </c>
      <c r="F920">
        <f>IF(C920&lt;'user input'!$C$12,IF(B920&gt;'user input'!$C$6,0,F919+E920),'user input'!$C$17*((1-C920)/(1-'user input'!$C$12)))</f>
        <v>2.8254629154455224</v>
      </c>
    </row>
    <row r="921" spans="1:6" x14ac:dyDescent="0.2">
      <c r="A921" s="1">
        <v>41097</v>
      </c>
      <c r="B921">
        <v>189</v>
      </c>
      <c r="C921">
        <f>IF(B921&gt;'user input'!$C$6,0,IF('heat units'!H921&gt;1,1,'heat units'!H921))</f>
        <v>0.55833333333333335</v>
      </c>
      <c r="D921">
        <f>IF(B921&gt;'user input'!$C$6,0,(C921/(C921+EXP('user input'!$C$15-'user input'!$C$14*C921))))</f>
        <v>0.9788679222086677</v>
      </c>
      <c r="E921">
        <f>IF(C921&lt;'user input'!$C$12,(D921-D920)*'user input'!$C$17*(1-EXP(5*(F920-'user input'!$C$17))),F921-F920)</f>
        <v>8.2938671621253408E-3</v>
      </c>
      <c r="F921">
        <f>IF(C921&lt;'user input'!$C$12,IF(B921&gt;'user input'!$C$6,0,F920+E921),'user input'!$C$17*((1-C921)/(1-'user input'!$C$12)))</f>
        <v>2.8337567826076477</v>
      </c>
    </row>
    <row r="922" spans="1:6" x14ac:dyDescent="0.2">
      <c r="A922" s="1">
        <v>41098</v>
      </c>
      <c r="B922">
        <v>190</v>
      </c>
      <c r="C922">
        <f>IF(B922&gt;'user input'!$C$6,0,IF('heat units'!H922&gt;1,1,'heat units'!H922))</f>
        <v>0.56944444444444453</v>
      </c>
      <c r="D922">
        <f>IF(B922&gt;'user input'!$C$6,0,(C922/(C922+EXP('user input'!$C$15-'user input'!$C$14*C922))))</f>
        <v>0.98208495194938727</v>
      </c>
      <c r="E922">
        <f>IF(C922&lt;'user input'!$C$12,(D922-D921)*'user input'!$C$17*(1-EXP(5*(F921-'user input'!$C$17))),F922-F921)</f>
        <v>5.4478532643312547E-3</v>
      </c>
      <c r="F922">
        <f>IF(C922&lt;'user input'!$C$12,IF(B922&gt;'user input'!$C$6,0,F921+E922),'user input'!$C$17*((1-C922)/(1-'user input'!$C$12)))</f>
        <v>2.8392046358719791</v>
      </c>
    </row>
    <row r="923" spans="1:6" x14ac:dyDescent="0.2">
      <c r="A923" s="1">
        <v>41099</v>
      </c>
      <c r="B923">
        <v>191</v>
      </c>
      <c r="C923">
        <f>IF(B923&gt;'user input'!$C$6,0,IF('heat units'!H923&gt;1,1,'heat units'!H923))</f>
        <v>0.5805555555555556</v>
      </c>
      <c r="D923">
        <f>IF(B923&gt;'user input'!$C$6,0,(C923/(C923+EXP('user input'!$C$15-'user input'!$C$14*C923))))</f>
        <v>0.98481414000179324</v>
      </c>
      <c r="E923">
        <f>IF(C923&lt;'user input'!$C$12,(D923-D922)*'user input'!$C$17*(1-EXP(5*(F922-'user input'!$C$17))),F923-F922)</f>
        <v>4.5232557472832009E-3</v>
      </c>
      <c r="F923">
        <f>IF(C923&lt;'user input'!$C$12,IF(B923&gt;'user input'!$C$6,0,F922+E923),'user input'!$C$17*((1-C923)/(1-'user input'!$C$12)))</f>
        <v>2.8437278916192623</v>
      </c>
    </row>
    <row r="924" spans="1:6" x14ac:dyDescent="0.2">
      <c r="A924" s="1">
        <v>41100</v>
      </c>
      <c r="B924">
        <v>192</v>
      </c>
      <c r="C924">
        <f>IF(B924&gt;'user input'!$C$6,0,IF('heat units'!H924&gt;1,1,'heat units'!H924))</f>
        <v>0.59143518518518523</v>
      </c>
      <c r="D924">
        <f>IF(B924&gt;'user input'!$C$6,0,(C924/(C924+EXP('user input'!$C$15-'user input'!$C$14*C924))))</f>
        <v>0.98708393852955634</v>
      </c>
      <c r="E924">
        <f>IF(C924&lt;'user input'!$C$12,(D924-D923)*'user input'!$C$17*(1-EXP(5*(F923-'user input'!$C$17))),F924-F923)</f>
        <v>3.6921717146660184E-3</v>
      </c>
      <c r="F924">
        <f>IF(C924&lt;'user input'!$C$12,IF(B924&gt;'user input'!$C$6,0,F923+E924),'user input'!$C$17*((1-C924)/(1-'user input'!$C$12)))</f>
        <v>2.8474200633339284</v>
      </c>
    </row>
    <row r="925" spans="1:6" x14ac:dyDescent="0.2">
      <c r="A925" s="1">
        <v>41101</v>
      </c>
      <c r="B925">
        <v>193</v>
      </c>
      <c r="C925">
        <f>IF(B925&gt;'user input'!$C$6,0,IF('heat units'!H925&gt;1,1,'heat units'!H925))</f>
        <v>0.60092592592592597</v>
      </c>
      <c r="D925">
        <f>IF(B925&gt;'user input'!$C$6,0,(C925/(C925+EXP('user input'!$C$15-'user input'!$C$14*C925))))</f>
        <v>0.98878517816133094</v>
      </c>
      <c r="E925">
        <f>IF(C925&lt;'user input'!$C$12,(D925-D924)*'user input'!$C$17*(1-EXP(5*(F924-'user input'!$C$17))),F925-F924)</f>
        <v>2.7237919646183203E-3</v>
      </c>
      <c r="F925">
        <f>IF(C925&lt;'user input'!$C$12,IF(B925&gt;'user input'!$C$6,0,F924+E925),'user input'!$C$17*((1-C925)/(1-'user input'!$C$12)))</f>
        <v>2.8501438552985467</v>
      </c>
    </row>
    <row r="926" spans="1:6" x14ac:dyDescent="0.2">
      <c r="A926" s="1">
        <v>41102</v>
      </c>
      <c r="B926">
        <v>194</v>
      </c>
      <c r="C926">
        <f>IF(B926&gt;'user input'!$C$6,0,IF('heat units'!H926&gt;1,1,'heat units'!H926))</f>
        <v>0.61064814814814816</v>
      </c>
      <c r="D926">
        <f>IF(B926&gt;'user input'!$C$6,0,(C926/(C926+EXP('user input'!$C$15-'user input'!$C$14*C926))))</f>
        <v>0.99029562144256822</v>
      </c>
      <c r="E926">
        <f>IF(C926&lt;'user input'!$C$12,(D926-D925)*'user input'!$C$17*(1-EXP(5*(F925-'user input'!$C$17))),F926-F925)</f>
        <v>2.3893410578792688E-3</v>
      </c>
      <c r="F926">
        <f>IF(C926&lt;'user input'!$C$12,IF(B926&gt;'user input'!$C$6,0,F925+E926),'user input'!$C$17*((1-C926)/(1-'user input'!$C$12)))</f>
        <v>2.852533196356426</v>
      </c>
    </row>
    <row r="927" spans="1:6" x14ac:dyDescent="0.2">
      <c r="A927" s="1">
        <v>41103</v>
      </c>
      <c r="B927">
        <v>195</v>
      </c>
      <c r="C927">
        <f>IF(B927&gt;'user input'!$C$6,0,IF('heat units'!H927&gt;1,1,'heat units'!H927))</f>
        <v>0.62083333333333335</v>
      </c>
      <c r="D927">
        <f>IF(B927&gt;'user input'!$C$6,0,(C927/(C927+EXP('user input'!$C$15-'user input'!$C$14*C927))))</f>
        <v>0.99165986919231963</v>
      </c>
      <c r="E927">
        <f>IF(C927&lt;'user input'!$C$12,(D927-D926)*'user input'!$C$17*(1-EXP(5*(F926-'user input'!$C$17))),F927-F926)</f>
        <v>2.1348256715173282E-3</v>
      </c>
      <c r="F927">
        <f>IF(C927&lt;'user input'!$C$12,IF(B927&gt;'user input'!$C$6,0,F926+E927),'user input'!$C$17*((1-C927)/(1-'user input'!$C$12)))</f>
        <v>2.8546680220279432</v>
      </c>
    </row>
    <row r="928" spans="1:6" x14ac:dyDescent="0.2">
      <c r="A928" s="1">
        <v>41104</v>
      </c>
      <c r="B928">
        <v>196</v>
      </c>
      <c r="C928">
        <f>IF(B928&gt;'user input'!$C$6,0,IF('heat units'!H928&gt;1,1,'heat units'!H928))</f>
        <v>0.63171296296296298</v>
      </c>
      <c r="D928">
        <f>IF(B928&gt;'user input'!$C$6,0,(C928/(C928+EXP('user input'!$C$15-'user input'!$C$14*C928))))</f>
        <v>0.99290540658703164</v>
      </c>
      <c r="E928">
        <f>IF(C928&lt;'user input'!$C$12,(D928-D927)*'user input'!$C$17*(1-EXP(5*(F927-'user input'!$C$17))),F928-F927)</f>
        <v>1.9298805645587996E-3</v>
      </c>
      <c r="F928">
        <f>IF(C928&lt;'user input'!$C$12,IF(B928&gt;'user input'!$C$6,0,F927+E928),'user input'!$C$17*((1-C928)/(1-'user input'!$C$12)))</f>
        <v>2.8565979025925019</v>
      </c>
    </row>
    <row r="929" spans="1:6" x14ac:dyDescent="0.2">
      <c r="A929" s="1">
        <v>41105</v>
      </c>
      <c r="B929">
        <v>197</v>
      </c>
      <c r="C929">
        <f>IF(B929&gt;'user input'!$C$6,0,IF('heat units'!H929&gt;1,1,'heat units'!H929))</f>
        <v>0.64467592592592593</v>
      </c>
      <c r="D929">
        <f>IF(B929&gt;'user input'!$C$6,0,(C929/(C929+EXP('user input'!$C$15-'user input'!$C$14*C929))))</f>
        <v>0.9941481595673145</v>
      </c>
      <c r="E929">
        <f>IF(C929&lt;'user input'!$C$12,(D929-D928)*'user input'!$C$17*(1-EXP(5*(F928-'user input'!$C$17))),F929-F928)</f>
        <v>1.9080871890508415E-3</v>
      </c>
      <c r="F929">
        <f>IF(C929&lt;'user input'!$C$12,IF(B929&gt;'user input'!$C$6,0,F928+E929),'user input'!$C$17*((1-C929)/(1-'user input'!$C$12)))</f>
        <v>2.8585059897815528</v>
      </c>
    </row>
    <row r="930" spans="1:6" x14ac:dyDescent="0.2">
      <c r="A930" s="1">
        <v>41106</v>
      </c>
      <c r="B930">
        <v>198</v>
      </c>
      <c r="C930">
        <f>IF(B930&gt;'user input'!$C$6,0,IF('heat units'!H930&gt;1,1,'heat units'!H930))</f>
        <v>0.656712962962963</v>
      </c>
      <c r="D930">
        <f>IF(B930&gt;'user input'!$C$6,0,(C930/(C930+EXP('user input'!$C$15-'user input'!$C$14*C930))))</f>
        <v>0.99510556700361064</v>
      </c>
      <c r="E930">
        <f>IF(C930&lt;'user input'!$C$12,(D930-D929)*'user input'!$C$17*(1-EXP(5*(F929-'user input'!$C$17))),F930-F929)</f>
        <v>1.4565337841074585E-3</v>
      </c>
      <c r="F930">
        <f>IF(C930&lt;'user input'!$C$12,IF(B930&gt;'user input'!$C$6,0,F929+E930),'user input'!$C$17*((1-C930)/(1-'user input'!$C$12)))</f>
        <v>2.8599625235656601</v>
      </c>
    </row>
    <row r="931" spans="1:6" x14ac:dyDescent="0.2">
      <c r="A931" s="1">
        <v>41107</v>
      </c>
      <c r="B931">
        <v>199</v>
      </c>
      <c r="C931">
        <f>IF(B931&gt;'user input'!$C$6,0,IF('heat units'!H931&gt;1,1,'heat units'!H931))</f>
        <v>0.66944444444444451</v>
      </c>
      <c r="D931">
        <f>IF(B931&gt;'user input'!$C$6,0,(C931/(C931+EXP('user input'!$C$15-'user input'!$C$14*C931))))</f>
        <v>0.9959475302469486</v>
      </c>
      <c r="E931">
        <f>IF(C931&lt;'user input'!$C$12,(D931-D930)*'user input'!$C$17*(1-EXP(5*(F930-'user input'!$C$17))),F931-F930)</f>
        <v>1.2718050262247658E-3</v>
      </c>
      <c r="F931">
        <f>IF(C931&lt;'user input'!$C$12,IF(B931&gt;'user input'!$C$6,0,F930+E931),'user input'!$C$17*((1-C931)/(1-'user input'!$C$12)))</f>
        <v>2.8612343285918849</v>
      </c>
    </row>
    <row r="932" spans="1:6" x14ac:dyDescent="0.2">
      <c r="A932" s="1">
        <v>41108</v>
      </c>
      <c r="B932">
        <v>200</v>
      </c>
      <c r="C932">
        <f>IF(B932&gt;'user input'!$C$6,0,IF('heat units'!H932&gt;1,1,'heat units'!H932))</f>
        <v>0.68263888888888891</v>
      </c>
      <c r="D932">
        <f>IF(B932&gt;'user input'!$C$6,0,(C932/(C932+EXP('user input'!$C$15-'user input'!$C$14*C932))))</f>
        <v>0.99666685205811212</v>
      </c>
      <c r="E932">
        <f>IF(C932&lt;'user input'!$C$12,(D932-D931)*'user input'!$C$17*(1-EXP(5*(F931-'user input'!$C$17))),F932-F931)</f>
        <v>1.0797174441270182E-3</v>
      </c>
      <c r="F932">
        <f>IF(C932&lt;'user input'!$C$12,IF(B932&gt;'user input'!$C$6,0,F931+E932),'user input'!$C$17*((1-C932)/(1-'user input'!$C$12)))</f>
        <v>2.8623140460360119</v>
      </c>
    </row>
    <row r="933" spans="1:6" x14ac:dyDescent="0.2">
      <c r="A933" s="1">
        <v>41109</v>
      </c>
      <c r="B933">
        <v>201</v>
      </c>
      <c r="C933">
        <f>IF(B933&gt;'user input'!$C$6,0,IF('heat units'!H933&gt;1,1,'heat units'!H933))</f>
        <v>0.69560185185185186</v>
      </c>
      <c r="D933">
        <f>IF(B933&gt;'user input'!$C$6,0,(C933/(C933+EXP('user input'!$C$15-'user input'!$C$14*C933))))</f>
        <v>0.99724842331464603</v>
      </c>
      <c r="E933">
        <f>IF(C933&lt;'user input'!$C$12,(D933-D932)*'user input'!$C$17*(1-EXP(5*(F932-'user input'!$C$17))),F933-F932)</f>
        <v>8.6823189708247755E-4</v>
      </c>
      <c r="F933">
        <f>IF(C933&lt;'user input'!$C$12,IF(B933&gt;'user input'!$C$6,0,F932+E933),'user input'!$C$17*((1-C933)/(1-'user input'!$C$12)))</f>
        <v>2.8631822779330944</v>
      </c>
    </row>
    <row r="934" spans="1:6" x14ac:dyDescent="0.2">
      <c r="A934" s="1">
        <v>41110</v>
      </c>
      <c r="B934">
        <v>202</v>
      </c>
      <c r="C934">
        <f>IF(B934&gt;'user input'!$C$6,0,IF('heat units'!H934&gt;1,1,'heat units'!H934))</f>
        <v>0.70393518518518527</v>
      </c>
      <c r="D934">
        <f>IF(B934&gt;'user input'!$C$6,0,(C934/(C934+EXP('user input'!$C$15-'user input'!$C$14*C934))))</f>
        <v>0.99756720816941147</v>
      </c>
      <c r="E934">
        <f>IF(C934&lt;'user input'!$C$12,(D934-D933)*'user input'!$C$17*(1-EXP(5*(F933-'user input'!$C$17))),F934-F933)</f>
        <v>4.738260012203289E-4</v>
      </c>
      <c r="F934">
        <f>IF(C934&lt;'user input'!$C$12,IF(B934&gt;'user input'!$C$6,0,F933+E934),'user input'!$C$17*((1-C934)/(1-'user input'!$C$12)))</f>
        <v>2.8636561039343147</v>
      </c>
    </row>
    <row r="935" spans="1:6" x14ac:dyDescent="0.2">
      <c r="A935" s="1">
        <v>41111</v>
      </c>
      <c r="B935">
        <v>203</v>
      </c>
      <c r="C935">
        <f>IF(B935&gt;'user input'!$C$6,0,IF('heat units'!H935&gt;1,1,'heat units'!H935))</f>
        <v>0.7148148148148149</v>
      </c>
      <c r="D935">
        <f>IF(B935&gt;'user input'!$C$6,0,(C935/(C935+EXP('user input'!$C$15-'user input'!$C$14*C935))))</f>
        <v>0.99792816356509595</v>
      </c>
      <c r="E935">
        <f>IF(C935&lt;'user input'!$C$12,(D935-D934)*'user input'!$C$17*(1-EXP(5*(F934-'user input'!$C$17))),F935-F934)</f>
        <v>5.3521026987778846E-4</v>
      </c>
      <c r="F935">
        <f>IF(C935&lt;'user input'!$C$12,IF(B935&gt;'user input'!$C$6,0,F934+E935),'user input'!$C$17*((1-C935)/(1-'user input'!$C$12)))</f>
        <v>2.8641913142041924</v>
      </c>
    </row>
    <row r="936" spans="1:6" x14ac:dyDescent="0.2">
      <c r="A936" s="1">
        <v>41112</v>
      </c>
      <c r="B936">
        <v>204</v>
      </c>
      <c r="C936">
        <f>IF(B936&gt;'user input'!$C$6,0,IF('heat units'!H936&gt;1,1,'heat units'!H936))</f>
        <v>0.72731481481481486</v>
      </c>
      <c r="D936">
        <f>IF(B936&gt;'user input'!$C$6,0,(C936/(C936+EXP('user input'!$C$15-'user input'!$C$14*C936))))</f>
        <v>0.99827688995963826</v>
      </c>
      <c r="E936">
        <f>IF(C936&lt;'user input'!$C$12,(D936-D935)*'user input'!$C$17*(1-EXP(5*(F935-'user input'!$C$17))),F936-F935)</f>
        <v>5.1565979531214949E-4</v>
      </c>
      <c r="F936">
        <f>IF(C936&lt;'user input'!$C$12,IF(B936&gt;'user input'!$C$6,0,F935+E936),'user input'!$C$17*((1-C936)/(1-'user input'!$C$12)))</f>
        <v>2.8647069739995046</v>
      </c>
    </row>
    <row r="937" spans="1:6" x14ac:dyDescent="0.2">
      <c r="A937" s="1">
        <v>41113</v>
      </c>
      <c r="B937">
        <v>205</v>
      </c>
      <c r="C937">
        <f>IF(B937&gt;'user input'!$C$6,0,IF('heat units'!H937&gt;1,1,'heat units'!H937))</f>
        <v>0.74050925925925937</v>
      </c>
      <c r="D937">
        <f>IF(B937&gt;'user input'!$C$6,0,(C937/(C937+EXP('user input'!$C$15-'user input'!$C$14*C937))))</f>
        <v>0.9985811547231298</v>
      </c>
      <c r="E937">
        <f>IF(C937&lt;'user input'!$C$12,(D937-D936)*'user input'!$C$17*(1-EXP(5*(F936-'user input'!$C$17))),F937-F936)</f>
        <v>4.487196448083566E-4</v>
      </c>
      <c r="F937">
        <f>IF(C937&lt;'user input'!$C$12,IF(B937&gt;'user input'!$C$6,0,F936+E937),'user input'!$C$17*((1-C937)/(1-'user input'!$C$12)))</f>
        <v>2.8651556936443128</v>
      </c>
    </row>
    <row r="938" spans="1:6" x14ac:dyDescent="0.2">
      <c r="A938" s="1">
        <v>41114</v>
      </c>
      <c r="B938">
        <v>206</v>
      </c>
      <c r="C938">
        <f>IF(B938&gt;'user input'!$C$6,0,IF('heat units'!H938&gt;1,1,'heat units'!H938))</f>
        <v>0.75370370370370376</v>
      </c>
      <c r="D938">
        <f>IF(B938&gt;'user input'!$C$6,0,(C938/(C938+EXP('user input'!$C$15-'user input'!$C$14*C938))))</f>
        <v>0.99883138506084335</v>
      </c>
      <c r="E938">
        <f>IF(C938&lt;'user input'!$C$12,(D938-D937)*'user input'!$C$17*(1-EXP(5*(F937-'user input'!$C$17))),F938-F937)</f>
        <v>3.6817420260143718E-4</v>
      </c>
      <c r="F938">
        <f>IF(C938&lt;'user input'!$C$12,IF(B938&gt;'user input'!$C$6,0,F937+E938),'user input'!$C$17*((1-C938)/(1-'user input'!$C$12)))</f>
        <v>2.8655238678469144</v>
      </c>
    </row>
    <row r="939" spans="1:6" x14ac:dyDescent="0.2">
      <c r="A939" s="1">
        <v>41115</v>
      </c>
      <c r="B939">
        <v>207</v>
      </c>
      <c r="C939">
        <f>IF(B939&gt;'user input'!$C$6,0,IF('heat units'!H939&gt;1,1,'heat units'!H939))</f>
        <v>0.76435185185185195</v>
      </c>
      <c r="D939">
        <f>IF(B939&gt;'user input'!$C$6,0,(C939/(C939+EXP('user input'!$C$15-'user input'!$C$14*C939))))</f>
        <v>0.99900057031420675</v>
      </c>
      <c r="E939">
        <f>IF(C939&lt;'user input'!$C$12,(D939-D938)*'user input'!$C$17*(1-EXP(5*(F938-'user input'!$C$17))),F939-F938)</f>
        <v>2.4845269526993182E-4</v>
      </c>
      <c r="F939">
        <f>IF(C939&lt;'user input'!$C$12,IF(B939&gt;'user input'!$C$6,0,F938+E939),'user input'!$C$17*((1-C939)/(1-'user input'!$C$12)))</f>
        <v>2.8657723205421841</v>
      </c>
    </row>
    <row r="940" spans="1:6" x14ac:dyDescent="0.2">
      <c r="A940" s="1">
        <v>41116</v>
      </c>
      <c r="B940">
        <v>208</v>
      </c>
      <c r="C940">
        <f>IF(B940&gt;'user input'!$C$6,0,IF('heat units'!H940&gt;1,1,'heat units'!H940))</f>
        <v>0.77662037037037046</v>
      </c>
      <c r="D940">
        <f>IF(B940&gt;'user input'!$C$6,0,(C940/(C940+EXP('user input'!$C$15-'user input'!$C$14*C940))))</f>
        <v>0.99916518796898124</v>
      </c>
      <c r="E940">
        <f>IF(C940&lt;'user input'!$C$12,(D940-D939)*'user input'!$C$17*(1-EXP(5*(F939-'user input'!$C$17))),F940-F939)</f>
        <v>2.4143168563776004E-4</v>
      </c>
      <c r="F940">
        <f>IF(C940&lt;'user input'!$C$12,IF(B940&gt;'user input'!$C$6,0,F939+E940),'user input'!$C$17*((1-C940)/(1-'user input'!$C$12)))</f>
        <v>2.866013752227822</v>
      </c>
    </row>
    <row r="941" spans="1:6" x14ac:dyDescent="0.2">
      <c r="A941" s="1">
        <v>41117</v>
      </c>
      <c r="B941">
        <v>209</v>
      </c>
      <c r="C941">
        <f>IF(B941&gt;'user input'!$C$6,0,IF('heat units'!H941&gt;1,1,'heat units'!H941))</f>
        <v>0.78819444444444453</v>
      </c>
      <c r="D941">
        <f>IF(B941&gt;'user input'!$C$6,0,(C941/(C941+EXP('user input'!$C$15-'user input'!$C$14*C941))))</f>
        <v>0.99929540749727597</v>
      </c>
      <c r="E941">
        <f>IF(C941&lt;'user input'!$C$12,(D941-D940)*'user input'!$C$17*(1-EXP(5*(F940-'user input'!$C$17))),F941-F940)</f>
        <v>1.907414899584233E-4</v>
      </c>
      <c r="F941">
        <f>IF(C941&lt;'user input'!$C$12,IF(B941&gt;'user input'!$C$6,0,F940+E941),'user input'!$C$17*((1-C941)/(1-'user input'!$C$12)))</f>
        <v>2.8662044937177802</v>
      </c>
    </row>
    <row r="942" spans="1:6" x14ac:dyDescent="0.2">
      <c r="A942" s="1">
        <v>41118</v>
      </c>
      <c r="B942">
        <v>210</v>
      </c>
      <c r="C942">
        <f>IF(B942&gt;'user input'!$C$6,0,IF('heat units'!H942&gt;1,1,'heat units'!H942))</f>
        <v>0.79722222222222239</v>
      </c>
      <c r="D942">
        <f>IF(B942&gt;'user input'!$C$6,0,(C942/(C942+EXP('user input'!$C$15-'user input'!$C$14*C942))))</f>
        <v>0.9993826244896219</v>
      </c>
      <c r="E942">
        <f>IF(C942&lt;'user input'!$C$12,(D942-D941)*'user input'!$C$17*(1-EXP(5*(F941-'user input'!$C$17))),F942-F941)</f>
        <v>1.2762496034349907E-4</v>
      </c>
      <c r="F942">
        <f>IF(C942&lt;'user input'!$C$12,IF(B942&gt;'user input'!$C$6,0,F941+E942),'user input'!$C$17*((1-C942)/(1-'user input'!$C$12)))</f>
        <v>2.8663321186781237</v>
      </c>
    </row>
    <row r="943" spans="1:6" x14ac:dyDescent="0.2">
      <c r="A943" s="1">
        <v>41119</v>
      </c>
      <c r="B943">
        <v>211</v>
      </c>
      <c r="C943">
        <f>IF(B943&gt;'user input'!$C$6,0,IF('heat units'!H943&gt;1,1,'heat units'!H943))</f>
        <v>0.80717592592592613</v>
      </c>
      <c r="D943">
        <f>IF(B943&gt;'user input'!$C$6,0,(C943/(C943+EXP('user input'!$C$15-'user input'!$C$14*C943))))</f>
        <v>0.99946625499479591</v>
      </c>
      <c r="E943">
        <f>IF(C943&lt;'user input'!$C$12,(D943-D942)*'user input'!$C$17*(1-EXP(5*(F942-'user input'!$C$17))),F943-F942)</f>
        <v>1.2229480529763216E-4</v>
      </c>
      <c r="F943">
        <f>IF(C943&lt;'user input'!$C$12,IF(B943&gt;'user input'!$C$6,0,F942+E943),'user input'!$C$17*((1-C943)/(1-'user input'!$C$12)))</f>
        <v>2.8664544134834213</v>
      </c>
    </row>
    <row r="944" spans="1:6" x14ac:dyDescent="0.2">
      <c r="A944" s="1">
        <v>41120</v>
      </c>
      <c r="B944">
        <v>212</v>
      </c>
      <c r="C944">
        <f>IF(B944&gt;'user input'!$C$6,0,IF('heat units'!H944&gt;1,1,'heat units'!H944))</f>
        <v>0.81805555555555576</v>
      </c>
      <c r="D944">
        <f>IF(B944&gt;'user input'!$C$6,0,(C944/(C944+EXP('user input'!$C$15-'user input'!$C$14*C944))))</f>
        <v>0.9995446895890262</v>
      </c>
      <c r="E944">
        <f>IF(C944&lt;'user input'!$C$12,(D944-D943)*'user input'!$C$17*(1-EXP(5*(F943-'user input'!$C$17))),F944-F943)</f>
        <v>1.1462293493929863E-4</v>
      </c>
      <c r="F944">
        <f>IF(C944&lt;'user input'!$C$12,IF(B944&gt;'user input'!$C$6,0,F943+E944),'user input'!$C$17*((1-C944)/(1-'user input'!$C$12)))</f>
        <v>2.8665690364183605</v>
      </c>
    </row>
    <row r="945" spans="1:6" x14ac:dyDescent="0.2">
      <c r="A945" s="1">
        <v>41121</v>
      </c>
      <c r="B945">
        <v>213</v>
      </c>
      <c r="C945">
        <f>IF(B945&gt;'user input'!$C$6,0,IF('heat units'!H945&gt;1,1,'heat units'!H945))</f>
        <v>0.82986111111111127</v>
      </c>
      <c r="D945">
        <f>IF(B945&gt;'user input'!$C$6,0,(C945/(C945+EXP('user input'!$C$15-'user input'!$C$14*C945))))</f>
        <v>0.99961674490986097</v>
      </c>
      <c r="E945">
        <f>IF(C945&lt;'user input'!$C$12,(D945-D944)*'user input'!$C$17*(1-EXP(5*(F944-'user input'!$C$17))),F945-F944)</f>
        <v>1.0523682021985187E-4</v>
      </c>
      <c r="F945">
        <f>IF(C945&lt;'user input'!$C$12,IF(B945&gt;'user input'!$C$6,0,F944+E945),'user input'!$C$17*((1-C945)/(1-'user input'!$C$12)))</f>
        <v>2.8666742732385804</v>
      </c>
    </row>
    <row r="946" spans="1:6" x14ac:dyDescent="0.2">
      <c r="A946" s="1">
        <v>41122</v>
      </c>
      <c r="B946">
        <v>214</v>
      </c>
      <c r="C946">
        <f>IF(B946&gt;'user input'!$C$6,0,IF('heat units'!H946&gt;1,1,'heat units'!H946))</f>
        <v>0.8402777777777779</v>
      </c>
      <c r="D946">
        <f>IF(B946&gt;'user input'!$C$6,0,(C946/(C946+EXP('user input'!$C$15-'user input'!$C$14*C946))))</f>
        <v>0.99967073959644337</v>
      </c>
      <c r="E946">
        <f>IF(C946&lt;'user input'!$C$12,(D946-D945)*'user input'!$C$17*(1-EXP(5*(F945-'user input'!$C$17))),F946-F945)</f>
        <v>7.8815507384873018E-5</v>
      </c>
      <c r="F946">
        <f>IF(C946&lt;'user input'!$C$12,IF(B946&gt;'user input'!$C$6,0,F945+E946),'user input'!$C$17*((1-C946)/(1-'user input'!$C$12)))</f>
        <v>2.8667530887459653</v>
      </c>
    </row>
    <row r="947" spans="1:6" x14ac:dyDescent="0.2">
      <c r="A947" s="1">
        <v>41123</v>
      </c>
      <c r="B947">
        <v>215</v>
      </c>
      <c r="C947">
        <f>IF(B947&gt;'user input'!$C$6,0,IF('heat units'!H947&gt;1,1,'heat units'!H947))</f>
        <v>0.85092592592592609</v>
      </c>
      <c r="D947">
        <f>IF(B947&gt;'user input'!$C$6,0,(C947/(C947+EXP('user input'!$C$15-'user input'!$C$14*C947))))</f>
        <v>0.99971803766141087</v>
      </c>
      <c r="E947">
        <f>IF(C947&lt;'user input'!$C$12,(D947-D946)*'user input'!$C$17*(1-EXP(5*(F946-'user input'!$C$17))),F947-F946)</f>
        <v>6.9011799710831038E-5</v>
      </c>
      <c r="F947">
        <f>IF(C947&lt;'user input'!$C$12,IF(B947&gt;'user input'!$C$6,0,F946+E947),'user input'!$C$17*((1-C947)/(1-'user input'!$C$12)))</f>
        <v>2.8668221005456762</v>
      </c>
    </row>
    <row r="948" spans="1:6" x14ac:dyDescent="0.2">
      <c r="A948" s="1">
        <v>41124</v>
      </c>
      <c r="B948">
        <v>216</v>
      </c>
      <c r="C948">
        <f>IF(B948&gt;'user input'!$C$6,0,IF('heat units'!H948&gt;1,1,'heat units'!H948))</f>
        <v>0.8631944444444446</v>
      </c>
      <c r="D948">
        <f>IF(B948&gt;'user input'!$C$6,0,(C948/(C948+EXP('user input'!$C$15-'user input'!$C$14*C948))))</f>
        <v>0.99976412897332712</v>
      </c>
      <c r="E948">
        <f>IF(C948&lt;'user input'!$C$12,(D948-D947)*'user input'!$C$17*(1-EXP(5*(F947-'user input'!$C$17))),F948-F947)</f>
        <v>6.7226535604809212E-5</v>
      </c>
      <c r="F948">
        <f>IF(C948&lt;'user input'!$C$12,IF(B948&gt;'user input'!$C$6,0,F947+E948),'user input'!$C$17*((1-C948)/(1-'user input'!$C$12)))</f>
        <v>2.8668893270812812</v>
      </c>
    </row>
    <row r="949" spans="1:6" x14ac:dyDescent="0.2">
      <c r="A949" s="1">
        <v>41125</v>
      </c>
      <c r="B949">
        <v>217</v>
      </c>
      <c r="C949">
        <f>IF(B949&gt;'user input'!$C$6,0,IF('heat units'!H949&gt;1,1,'heat units'!H949))</f>
        <v>0.87569444444444455</v>
      </c>
      <c r="D949">
        <f>IF(B949&gt;'user input'!$C$6,0,(C949/(C949+EXP('user input'!$C$15-'user input'!$C$14*C949))))</f>
        <v>0.99980330996517996</v>
      </c>
      <c r="E949">
        <f>IF(C949&lt;'user input'!$C$12,(D949-D948)*'user input'!$C$17*(1-EXP(5*(F948-'user input'!$C$17))),F949-F948)</f>
        <v>5.7127176076985427E-5</v>
      </c>
      <c r="F949">
        <f>IF(C949&lt;'user input'!$C$12,IF(B949&gt;'user input'!$C$6,0,F948+E949),'user input'!$C$17*((1-C949)/(1-'user input'!$C$12)))</f>
        <v>2.8669464542573584</v>
      </c>
    </row>
    <row r="950" spans="1:6" x14ac:dyDescent="0.2">
      <c r="A950" s="1">
        <v>41126</v>
      </c>
      <c r="B950">
        <v>218</v>
      </c>
      <c r="C950">
        <f>IF(B950&gt;'user input'!$C$6,0,IF('heat units'!H950&gt;1,1,'heat units'!H950))</f>
        <v>0.88611111111111118</v>
      </c>
      <c r="D950">
        <f>IF(B950&gt;'user input'!$C$6,0,(C950/(C950+EXP('user input'!$C$15-'user input'!$C$14*C950))))</f>
        <v>0.99983091528801049</v>
      </c>
      <c r="E950">
        <f>IF(C950&lt;'user input'!$C$12,(D950-D949)*'user input'!$C$17*(1-EXP(5*(F949-'user input'!$C$17))),F950-F949)</f>
        <v>4.0237309280740715E-5</v>
      </c>
      <c r="F950">
        <f>IF(C950&lt;'user input'!$C$12,IF(B950&gt;'user input'!$C$6,0,F949+E950),'user input'!$C$17*((1-C950)/(1-'user input'!$C$12)))</f>
        <v>2.8669866915666393</v>
      </c>
    </row>
    <row r="951" spans="1:6" x14ac:dyDescent="0.2">
      <c r="A951" s="1">
        <v>41127</v>
      </c>
      <c r="B951">
        <v>219</v>
      </c>
      <c r="C951">
        <f>IF(B951&gt;'user input'!$C$6,0,IF('heat units'!H951&gt;1,1,'heat units'!H951))</f>
        <v>0.89259259259259272</v>
      </c>
      <c r="D951">
        <f>IF(B951&gt;'user input'!$C$6,0,(C951/(C951+EXP('user input'!$C$15-'user input'!$C$14*C951))))</f>
        <v>0.99984608975395495</v>
      </c>
      <c r="E951">
        <f>IF(C951&lt;'user input'!$C$12,(D951-D950)*'user input'!$C$17*(1-EXP(5*(F950-'user input'!$C$17))),F951-F950)</f>
        <v>2.2113477235080318E-5</v>
      </c>
      <c r="F951">
        <f>IF(C951&lt;'user input'!$C$12,IF(B951&gt;'user input'!$C$6,0,F950+E951),'user input'!$C$17*((1-C951)/(1-'user input'!$C$12)))</f>
        <v>2.8670088050438745</v>
      </c>
    </row>
    <row r="952" spans="1:6" x14ac:dyDescent="0.2">
      <c r="A952" s="1">
        <v>41128</v>
      </c>
      <c r="B952">
        <v>220</v>
      </c>
      <c r="C952">
        <f>IF(B952&gt;'user input'!$C$6,0,IF('heat units'!H952&gt;1,1,'heat units'!H952))</f>
        <v>0.90046296296296302</v>
      </c>
      <c r="D952">
        <f>IF(B952&gt;'user input'!$C$6,0,(C952/(C952+EXP('user input'!$C$15-'user input'!$C$14*C952))))</f>
        <v>0.99986268754291308</v>
      </c>
      <c r="E952">
        <f>IF(C952&lt;'user input'!$C$12,(D952-D951)*'user input'!$C$17*(1-EXP(5*(F951-'user input'!$C$17))),F952-F951)</f>
        <v>0.11910230606723538</v>
      </c>
      <c r="F952">
        <f>IF(C952&lt;'user input'!$C$12,IF(B952&gt;'user input'!$C$6,0,F951+E952),'user input'!$C$17*((1-C952)/(1-'user input'!$C$12)))</f>
        <v>2.9861111111111098</v>
      </c>
    </row>
    <row r="953" spans="1:6" x14ac:dyDescent="0.2">
      <c r="A953" s="1">
        <v>41129</v>
      </c>
      <c r="B953">
        <v>221</v>
      </c>
      <c r="C953">
        <f>IF(B953&gt;'user input'!$C$6,0,IF('heat units'!H953&gt;1,1,'heat units'!H953))</f>
        <v>0.91041666666666665</v>
      </c>
      <c r="D953">
        <f>IF(B953&gt;'user input'!$C$6,0,(C953/(C953+EXP('user input'!$C$15-'user input'!$C$14*C953))))</f>
        <v>0.99988112774752813</v>
      </c>
      <c r="E953">
        <f>IF(C953&lt;'user input'!$C$12,(D953-D952)*'user input'!$C$17*(1-EXP(5*(F952-'user input'!$C$17))),F953-F952)</f>
        <v>-0.29861111111110894</v>
      </c>
      <c r="F953">
        <f>IF(C953&lt;'user input'!$C$12,IF(B953&gt;'user input'!$C$6,0,F952+E953),'user input'!$C$17*((1-C953)/(1-'user input'!$C$12)))</f>
        <v>2.6875000000000009</v>
      </c>
    </row>
    <row r="954" spans="1:6" x14ac:dyDescent="0.2">
      <c r="A954" s="1">
        <v>41130</v>
      </c>
      <c r="B954">
        <v>222</v>
      </c>
      <c r="C954">
        <f>IF(B954&gt;'user input'!$C$6,0,IF('heat units'!H954&gt;1,1,'heat units'!H954))</f>
        <v>0.91921296296296306</v>
      </c>
      <c r="D954">
        <f>IF(B954&gt;'user input'!$C$6,0,(C954/(C954+EXP('user input'!$C$15-'user input'!$C$14*C954))))</f>
        <v>0.99989534116821721</v>
      </c>
      <c r="E954">
        <f>IF(C954&lt;'user input'!$C$12,(D954-D953)*'user input'!$C$17*(1-EXP(5*(F953-'user input'!$C$17))),F954-F953)</f>
        <v>-0.26388888888889195</v>
      </c>
      <c r="F954">
        <f>IF(C954&lt;'user input'!$C$12,IF(B954&gt;'user input'!$C$6,0,F953+E954),'user input'!$C$17*((1-C954)/(1-'user input'!$C$12)))</f>
        <v>2.4236111111111089</v>
      </c>
    </row>
    <row r="955" spans="1:6" x14ac:dyDescent="0.2">
      <c r="A955" s="1">
        <v>41131</v>
      </c>
      <c r="B955">
        <v>223</v>
      </c>
      <c r="C955">
        <f>IF(B955&gt;'user input'!$C$6,0,IF('heat units'!H955&gt;1,1,'heat units'!H955))</f>
        <v>0.92500000000000004</v>
      </c>
      <c r="D955">
        <f>IF(B955&gt;'user input'!$C$6,0,(C955/(C955+EXP('user input'!$C$15-'user input'!$C$14*C955))))</f>
        <v>0.99990374737157051</v>
      </c>
      <c r="E955">
        <f>IF(C955&lt;'user input'!$C$12,(D955-D954)*'user input'!$C$17*(1-EXP(5*(F954-'user input'!$C$17))),F955-F954)</f>
        <v>-0.17361111111110983</v>
      </c>
      <c r="F955">
        <f>IF(C955&lt;'user input'!$C$12,IF(B955&gt;'user input'!$C$6,0,F954+E955),'user input'!$C$17*((1-C955)/(1-'user input'!$C$12)))</f>
        <v>2.2499999999999991</v>
      </c>
    </row>
    <row r="956" spans="1:6" x14ac:dyDescent="0.2">
      <c r="A956" s="1">
        <v>41132</v>
      </c>
      <c r="B956">
        <v>224</v>
      </c>
      <c r="C956">
        <f>IF(B956&gt;'user input'!$C$6,0,IF('heat units'!H956&gt;1,1,'heat units'!H956))</f>
        <v>0.93078703703703691</v>
      </c>
      <c r="D956">
        <f>IF(B956&gt;'user input'!$C$6,0,(C956/(C956+EXP('user input'!$C$15-'user input'!$C$14*C956))))</f>
        <v>0.99991147498333666</v>
      </c>
      <c r="E956">
        <f>IF(C956&lt;'user input'!$C$12,(D956-D955)*'user input'!$C$17*(1-EXP(5*(F955-'user input'!$C$17))),F956-F955)</f>
        <v>-0.17361111111110628</v>
      </c>
      <c r="F956">
        <f>IF(C956&lt;'user input'!$C$12,IF(B956&gt;'user input'!$C$6,0,F955+E956),'user input'!$C$17*((1-C956)/(1-'user input'!$C$12)))</f>
        <v>2.0763888888888928</v>
      </c>
    </row>
    <row r="957" spans="1:6" x14ac:dyDescent="0.2">
      <c r="A957" s="1">
        <v>41133</v>
      </c>
      <c r="B957">
        <v>225</v>
      </c>
      <c r="C957">
        <f>IF(B957&gt;'user input'!$C$6,0,IF('heat units'!H957&gt;1,1,'heat units'!H957))</f>
        <v>0.937037037037037</v>
      </c>
      <c r="D957">
        <f>IF(B957&gt;'user input'!$C$6,0,(C957/(C957+EXP('user input'!$C$15-'user input'!$C$14*C957))))</f>
        <v>0.99991912202726951</v>
      </c>
      <c r="E957">
        <f>IF(C957&lt;'user input'!$C$12,(D957-D956)*'user input'!$C$17*(1-EXP(5*(F956-'user input'!$C$17))),F957-F956)</f>
        <v>-0.18750000000000266</v>
      </c>
      <c r="F957">
        <f>IF(C957&lt;'user input'!$C$12,IF(B957&gt;'user input'!$C$6,0,F956+E957),'user input'!$C$17*((1-C957)/(1-'user input'!$C$12)))</f>
        <v>1.8888888888888902</v>
      </c>
    </row>
    <row r="958" spans="1:6" x14ac:dyDescent="0.2">
      <c r="A958" s="1">
        <v>41134</v>
      </c>
      <c r="B958">
        <v>226</v>
      </c>
      <c r="C958">
        <f>IF(B958&gt;'user input'!$C$6,0,IF('heat units'!H958&gt;1,1,'heat units'!H958))</f>
        <v>0.94444444444444442</v>
      </c>
      <c r="D958">
        <f>IF(B958&gt;'user input'!$C$6,0,(C958/(C958+EXP('user input'!$C$15-'user input'!$C$14*C958))))</f>
        <v>0.99992733032081704</v>
      </c>
      <c r="E958">
        <f>IF(C958&lt;'user input'!$C$12,(D958-D957)*'user input'!$C$17*(1-EXP(5*(F957-'user input'!$C$17))),F958-F957)</f>
        <v>-0.22222222222222232</v>
      </c>
      <c r="F958">
        <f>IF(C958&lt;'user input'!$C$12,IF(B958&gt;'user input'!$C$6,0,F957+E958),'user input'!$C$17*((1-C958)/(1-'user input'!$C$12)))</f>
        <v>1.6666666666666679</v>
      </c>
    </row>
    <row r="959" spans="1:6" x14ac:dyDescent="0.2">
      <c r="A959" s="1">
        <v>41135</v>
      </c>
      <c r="B959">
        <v>227</v>
      </c>
      <c r="C959">
        <f>IF(B959&gt;'user input'!$C$6,0,IF('heat units'!H959&gt;1,1,'heat units'!H959))</f>
        <v>0.95185185185185184</v>
      </c>
      <c r="D959">
        <f>IF(B959&gt;'user input'!$C$6,0,(C959/(C959+EXP('user input'!$C$15-'user input'!$C$14*C959))))</f>
        <v>0.9999347015937029</v>
      </c>
      <c r="E959">
        <f>IF(C959&lt;'user input'!$C$12,(D959-D958)*'user input'!$C$17*(1-EXP(5*(F958-'user input'!$C$17))),F959-F958)</f>
        <v>-0.22222222222222276</v>
      </c>
      <c r="F959">
        <f>IF(C959&lt;'user input'!$C$12,IF(B959&gt;'user input'!$C$6,0,F958+E959),'user input'!$C$17*((1-C959)/(1-'user input'!$C$12)))</f>
        <v>1.4444444444444451</v>
      </c>
    </row>
    <row r="960" spans="1:6" x14ac:dyDescent="0.2">
      <c r="A960" s="1">
        <v>41136</v>
      </c>
      <c r="B960">
        <v>228</v>
      </c>
      <c r="C960">
        <f>IF(B960&gt;'user input'!$C$6,0,IF('heat units'!H960&gt;1,1,'heat units'!H960))</f>
        <v>0.96018518518518514</v>
      </c>
      <c r="D960">
        <f>IF(B960&gt;'user input'!$C$6,0,(C960/(C960+EXP('user input'!$C$15-'user input'!$C$14*C960))))</f>
        <v>0.99994210025929653</v>
      </c>
      <c r="E960">
        <f>IF(C960&lt;'user input'!$C$12,(D960-D959)*'user input'!$C$17*(1-EXP(5*(F959-'user input'!$C$17))),F960-F959)</f>
        <v>-0.24999999999999911</v>
      </c>
      <c r="F960">
        <f>IF(C960&lt;'user input'!$C$12,IF(B960&gt;'user input'!$C$6,0,F959+E960),'user input'!$C$17*((1-C960)/(1-'user input'!$C$12)))</f>
        <v>1.194444444444446</v>
      </c>
    </row>
    <row r="961" spans="1:6" x14ac:dyDescent="0.2">
      <c r="A961" s="1">
        <v>41137</v>
      </c>
      <c r="B961">
        <v>229</v>
      </c>
      <c r="C961">
        <f>IF(B961&gt;'user input'!$C$6,0,IF('heat units'!H961&gt;1,1,'heat units'!H961))</f>
        <v>0.97129629629629621</v>
      </c>
      <c r="D961">
        <f>IF(B961&gt;'user input'!$C$6,0,(C961/(C961+EXP('user input'!$C$15-'user input'!$C$14*C961))))</f>
        <v>0.9999506721450484</v>
      </c>
      <c r="E961">
        <f>IF(C961&lt;'user input'!$C$12,(D961-D960)*'user input'!$C$17*(1-EXP(5*(F960-'user input'!$C$17))),F961-F960)</f>
        <v>-0.33333333333333215</v>
      </c>
      <c r="F961">
        <f>IF(C961&lt;'user input'!$C$12,IF(B961&gt;'user input'!$C$6,0,F960+E961),'user input'!$C$17*((1-C961)/(1-'user input'!$C$12)))</f>
        <v>0.86111111111111382</v>
      </c>
    </row>
    <row r="962" spans="1:6" x14ac:dyDescent="0.2">
      <c r="A962" s="1">
        <v>41138</v>
      </c>
      <c r="B962">
        <v>230</v>
      </c>
      <c r="C962">
        <f>IF(B962&gt;'user input'!$C$6,0,IF('heat units'!H962&gt;1,1,'heat units'!H962))</f>
        <v>0.97685185185185186</v>
      </c>
      <c r="D962">
        <f>IF(B962&gt;'user input'!$C$6,0,(C962/(C962+EXP('user input'!$C$15-'user input'!$C$14*C962))))</f>
        <v>0.99995446752922557</v>
      </c>
      <c r="E962">
        <f>IF(C962&lt;'user input'!$C$12,(D962-D961)*'user input'!$C$17*(1-EXP(5*(F961-'user input'!$C$17))),F962-F961)</f>
        <v>-0.16666666666666941</v>
      </c>
      <c r="F962">
        <f>IF(C962&lt;'user input'!$C$12,IF(B962&gt;'user input'!$C$6,0,F961+E962),'user input'!$C$17*((1-C962)/(1-'user input'!$C$12)))</f>
        <v>0.69444444444444442</v>
      </c>
    </row>
    <row r="963" spans="1:6" x14ac:dyDescent="0.2">
      <c r="A963" s="1">
        <v>41139</v>
      </c>
      <c r="B963">
        <v>231</v>
      </c>
      <c r="C963">
        <f>IF(B963&gt;'user input'!$C$6,0,IF('heat units'!H963&gt;1,1,'heat units'!H963))</f>
        <v>0.98217592592592595</v>
      </c>
      <c r="D963">
        <f>IF(B963&gt;'user input'!$C$6,0,(C963/(C963+EXP('user input'!$C$15-'user input'!$C$14*C963))))</f>
        <v>0.99995782917855969</v>
      </c>
      <c r="E963">
        <f>IF(C963&lt;'user input'!$C$12,(D963-D962)*'user input'!$C$17*(1-EXP(5*(F962-'user input'!$C$17))),F963-F962)</f>
        <v>-0.15972222222222288</v>
      </c>
      <c r="F963">
        <f>IF(C963&lt;'user input'!$C$12,IF(B963&gt;'user input'!$C$6,0,F962+E963),'user input'!$C$17*((1-C963)/(1-'user input'!$C$12)))</f>
        <v>0.53472222222222154</v>
      </c>
    </row>
    <row r="964" spans="1:6" x14ac:dyDescent="0.2">
      <c r="A964" s="1">
        <v>41140</v>
      </c>
      <c r="B964">
        <v>232</v>
      </c>
      <c r="C964">
        <f>IF(B964&gt;'user input'!$C$6,0,IF('heat units'!H964&gt;1,1,'heat units'!H964))</f>
        <v>0.98819444444444438</v>
      </c>
      <c r="D964">
        <f>IF(B964&gt;'user input'!$C$6,0,(C964/(C964+EXP('user input'!$C$15-'user input'!$C$14*C964))))</f>
        <v>0.99996133006332932</v>
      </c>
      <c r="E964">
        <f>IF(C964&lt;'user input'!$C$12,(D964-D963)*'user input'!$C$17*(1-EXP(5*(F963-'user input'!$C$17))),F964-F963)</f>
        <v>-0.18055555555555269</v>
      </c>
      <c r="F964">
        <f>IF(C964&lt;'user input'!$C$12,IF(B964&gt;'user input'!$C$6,0,F963+E964),'user input'!$C$17*((1-C964)/(1-'user input'!$C$12)))</f>
        <v>0.35416666666666885</v>
      </c>
    </row>
    <row r="965" spans="1:6" x14ac:dyDescent="0.2">
      <c r="A965" s="1">
        <v>41141</v>
      </c>
      <c r="B965">
        <v>233</v>
      </c>
      <c r="C965">
        <f>IF(B965&gt;'user input'!$C$6,0,IF('heat units'!H965&gt;1,1,'heat units'!H965))</f>
        <v>0.99467592592592591</v>
      </c>
      <c r="D965">
        <f>IF(B965&gt;'user input'!$C$6,0,(C965/(C965+EXP('user input'!$C$15-'user input'!$C$14*C965))))</f>
        <v>0.99996477447673504</v>
      </c>
      <c r="E965">
        <f>IF(C965&lt;'user input'!$C$12,(D965-D964)*'user input'!$C$17*(1-EXP(5*(F964-'user input'!$C$17))),F965-F964)</f>
        <v>-0.19444444444444603</v>
      </c>
      <c r="F965">
        <f>IF(C965&lt;'user input'!$C$12,IF(B965&gt;'user input'!$C$6,0,F964+E965),'user input'!$C$17*((1-C965)/(1-'user input'!$C$12)))</f>
        <v>0.15972222222222282</v>
      </c>
    </row>
    <row r="966" spans="1:6" x14ac:dyDescent="0.2">
      <c r="A966" s="1">
        <v>41142</v>
      </c>
      <c r="B966">
        <v>234</v>
      </c>
      <c r="C966">
        <f>IF(B966&gt;'user input'!$C$6,0,IF('heat units'!H966&gt;1,1,'heat units'!H966))</f>
        <v>1</v>
      </c>
      <c r="D966">
        <f>IF(B966&gt;'user input'!$C$6,0,(C966/(C966+EXP('user input'!$C$15-'user input'!$C$14*C966))))</f>
        <v>0.99996737202265329</v>
      </c>
      <c r="E966">
        <f>IF(C966&lt;'user input'!$C$12,(D966-D965)*'user input'!$C$17*(1-EXP(5*(F965-'user input'!$C$17))),F966-F965)</f>
        <v>-0.15972222222222282</v>
      </c>
      <c r="F966">
        <f>IF(C966&lt;'user input'!$C$12,IF(B966&gt;'user input'!$C$6,0,F965+E966),'user input'!$C$17*((1-C966)/(1-'user input'!$C$12)))</f>
        <v>0</v>
      </c>
    </row>
    <row r="967" spans="1:6" x14ac:dyDescent="0.2">
      <c r="A967" s="1">
        <v>41143</v>
      </c>
      <c r="B967">
        <v>235</v>
      </c>
      <c r="C967">
        <f>IF(B967&gt;'user input'!$C$6,0,IF('heat units'!H967&gt;1,1,'heat units'!H967))</f>
        <v>1</v>
      </c>
      <c r="D967">
        <f>IF(B967&gt;'user input'!$C$6,0,(C967/(C967+EXP('user input'!$C$15-'user input'!$C$14*C967))))</f>
        <v>0.99996737202265329</v>
      </c>
      <c r="E967">
        <f>IF(C967&lt;'user input'!$C$12,(D967-D966)*'user input'!$C$17*(1-EXP(5*(F966-'user input'!$C$17))),F967-F966)</f>
        <v>0</v>
      </c>
      <c r="F967">
        <f>IF(C967&lt;'user input'!$C$12,IF(B967&gt;'user input'!$C$6,0,F966+E967),'user input'!$C$17*((1-C967)/(1-'user input'!$C$12)))</f>
        <v>0</v>
      </c>
    </row>
    <row r="968" spans="1:6" x14ac:dyDescent="0.2">
      <c r="A968" s="1">
        <v>41144</v>
      </c>
      <c r="B968">
        <v>236</v>
      </c>
      <c r="C968">
        <f>IF(B968&gt;'user input'!$C$6,0,IF('heat units'!H968&gt;1,1,'heat units'!H968))</f>
        <v>1</v>
      </c>
      <c r="D968">
        <f>IF(B968&gt;'user input'!$C$6,0,(C968/(C968+EXP('user input'!$C$15-'user input'!$C$14*C968))))</f>
        <v>0.99996737202265329</v>
      </c>
      <c r="E968">
        <f>IF(C968&lt;'user input'!$C$12,(D968-D967)*'user input'!$C$17*(1-EXP(5*(F967-'user input'!$C$17))),F968-F967)</f>
        <v>0</v>
      </c>
      <c r="F968">
        <f>IF(C968&lt;'user input'!$C$12,IF(B968&gt;'user input'!$C$6,0,F967+E968),'user input'!$C$17*((1-C968)/(1-'user input'!$C$12)))</f>
        <v>0</v>
      </c>
    </row>
    <row r="969" spans="1:6" x14ac:dyDescent="0.2">
      <c r="A969" s="1">
        <v>41145</v>
      </c>
      <c r="B969">
        <v>237</v>
      </c>
      <c r="C969">
        <f>IF(B969&gt;'user input'!$C$6,0,IF('heat units'!H969&gt;1,1,'heat units'!H969))</f>
        <v>1</v>
      </c>
      <c r="D969">
        <f>IF(B969&gt;'user input'!$C$6,0,(C969/(C969+EXP('user input'!$C$15-'user input'!$C$14*C969))))</f>
        <v>0.99996737202265329</v>
      </c>
      <c r="E969">
        <f>IF(C969&lt;'user input'!$C$12,(D969-D968)*'user input'!$C$17*(1-EXP(5*(F968-'user input'!$C$17))),F969-F968)</f>
        <v>0</v>
      </c>
      <c r="F969">
        <f>IF(C969&lt;'user input'!$C$12,IF(B969&gt;'user input'!$C$6,0,F968+E969),'user input'!$C$17*((1-C969)/(1-'user input'!$C$12)))</f>
        <v>0</v>
      </c>
    </row>
    <row r="970" spans="1:6" x14ac:dyDescent="0.2">
      <c r="A970" s="1">
        <v>41146</v>
      </c>
      <c r="B970">
        <v>238</v>
      </c>
      <c r="C970">
        <f>IF(B970&gt;'user input'!$C$6,0,IF('heat units'!H970&gt;1,1,'heat units'!H970))</f>
        <v>1</v>
      </c>
      <c r="D970">
        <f>IF(B970&gt;'user input'!$C$6,0,(C970/(C970+EXP('user input'!$C$15-'user input'!$C$14*C970))))</f>
        <v>0.99996737202265329</v>
      </c>
      <c r="E970">
        <f>IF(C970&lt;'user input'!$C$12,(D970-D969)*'user input'!$C$17*(1-EXP(5*(F969-'user input'!$C$17))),F970-F969)</f>
        <v>0</v>
      </c>
      <c r="F970">
        <f>IF(C970&lt;'user input'!$C$12,IF(B970&gt;'user input'!$C$6,0,F969+E970),'user input'!$C$17*((1-C970)/(1-'user input'!$C$12)))</f>
        <v>0</v>
      </c>
    </row>
    <row r="971" spans="1:6" x14ac:dyDescent="0.2">
      <c r="A971" s="1">
        <v>41147</v>
      </c>
      <c r="B971">
        <v>239</v>
      </c>
      <c r="C971">
        <f>IF(B971&gt;'user input'!$C$6,0,IF('heat units'!H971&gt;1,1,'heat units'!H971))</f>
        <v>1</v>
      </c>
      <c r="D971">
        <f>IF(B971&gt;'user input'!$C$6,0,(C971/(C971+EXP('user input'!$C$15-'user input'!$C$14*C971))))</f>
        <v>0.99996737202265329</v>
      </c>
      <c r="E971">
        <f>IF(C971&lt;'user input'!$C$12,(D971-D970)*'user input'!$C$17*(1-EXP(5*(F970-'user input'!$C$17))),F971-F970)</f>
        <v>0</v>
      </c>
      <c r="F971">
        <f>IF(C971&lt;'user input'!$C$12,IF(B971&gt;'user input'!$C$6,0,F970+E971),'user input'!$C$17*((1-C971)/(1-'user input'!$C$12)))</f>
        <v>0</v>
      </c>
    </row>
    <row r="972" spans="1:6" x14ac:dyDescent="0.2">
      <c r="A972" s="1">
        <v>41148</v>
      </c>
      <c r="B972">
        <v>240</v>
      </c>
      <c r="C972">
        <f>IF(B972&gt;'user input'!$C$6,0,IF('heat units'!H972&gt;1,1,'heat units'!H972))</f>
        <v>1</v>
      </c>
      <c r="D972">
        <f>IF(B972&gt;'user input'!$C$6,0,(C972/(C972+EXP('user input'!$C$15-'user input'!$C$14*C972))))</f>
        <v>0.99996737202265329</v>
      </c>
      <c r="E972">
        <f>IF(C972&lt;'user input'!$C$12,(D972-D971)*'user input'!$C$17*(1-EXP(5*(F971-'user input'!$C$17))),F972-F971)</f>
        <v>0</v>
      </c>
      <c r="F972">
        <f>IF(C972&lt;'user input'!$C$12,IF(B972&gt;'user input'!$C$6,0,F971+E972),'user input'!$C$17*((1-C972)/(1-'user input'!$C$12)))</f>
        <v>0</v>
      </c>
    </row>
    <row r="973" spans="1:6" x14ac:dyDescent="0.2">
      <c r="A973" s="1">
        <v>41149</v>
      </c>
      <c r="B973">
        <v>241</v>
      </c>
      <c r="C973">
        <f>IF(B973&gt;'user input'!$C$6,0,IF('heat units'!H973&gt;1,1,'heat units'!H973))</f>
        <v>1</v>
      </c>
      <c r="D973">
        <f>IF(B973&gt;'user input'!$C$6,0,(C973/(C973+EXP('user input'!$C$15-'user input'!$C$14*C973))))</f>
        <v>0.99996737202265329</v>
      </c>
      <c r="E973">
        <f>IF(C973&lt;'user input'!$C$12,(D973-D972)*'user input'!$C$17*(1-EXP(5*(F972-'user input'!$C$17))),F973-F972)</f>
        <v>0</v>
      </c>
      <c r="F973">
        <f>IF(C973&lt;'user input'!$C$12,IF(B973&gt;'user input'!$C$6,0,F972+E973),'user input'!$C$17*((1-C973)/(1-'user input'!$C$12)))</f>
        <v>0</v>
      </c>
    </row>
    <row r="974" spans="1:6" x14ac:dyDescent="0.2">
      <c r="A974" s="1">
        <v>41150</v>
      </c>
      <c r="B974">
        <v>242</v>
      </c>
      <c r="C974">
        <f>IF(B974&gt;'user input'!$C$6,0,IF('heat units'!H974&gt;1,1,'heat units'!H974))</f>
        <v>1</v>
      </c>
      <c r="D974">
        <f>IF(B974&gt;'user input'!$C$6,0,(C974/(C974+EXP('user input'!$C$15-'user input'!$C$14*C974))))</f>
        <v>0.99996737202265329</v>
      </c>
      <c r="E974">
        <f>IF(C974&lt;'user input'!$C$12,(D974-D973)*'user input'!$C$17*(1-EXP(5*(F973-'user input'!$C$17))),F974-F973)</f>
        <v>0</v>
      </c>
      <c r="F974">
        <f>IF(C974&lt;'user input'!$C$12,IF(B974&gt;'user input'!$C$6,0,F973+E974),'user input'!$C$17*((1-C974)/(1-'user input'!$C$12)))</f>
        <v>0</v>
      </c>
    </row>
    <row r="975" spans="1:6" x14ac:dyDescent="0.2">
      <c r="A975" s="1">
        <v>41151</v>
      </c>
      <c r="B975">
        <v>243</v>
      </c>
      <c r="C975">
        <f>IF(B975&gt;'user input'!$C$6,0,IF('heat units'!H975&gt;1,1,'heat units'!H975))</f>
        <v>1</v>
      </c>
      <c r="D975">
        <f>IF(B975&gt;'user input'!$C$6,0,(C975/(C975+EXP('user input'!$C$15-'user input'!$C$14*C975))))</f>
        <v>0.99996737202265329</v>
      </c>
      <c r="E975">
        <f>IF(C975&lt;'user input'!$C$12,(D975-D974)*'user input'!$C$17*(1-EXP(5*(F974-'user input'!$C$17))),F975-F974)</f>
        <v>0</v>
      </c>
      <c r="F975">
        <f>IF(C975&lt;'user input'!$C$12,IF(B975&gt;'user input'!$C$6,0,F974+E975),'user input'!$C$17*((1-C975)/(1-'user input'!$C$12)))</f>
        <v>0</v>
      </c>
    </row>
    <row r="976" spans="1:6" x14ac:dyDescent="0.2">
      <c r="A976" s="1">
        <v>41152</v>
      </c>
      <c r="B976">
        <v>244</v>
      </c>
      <c r="C976">
        <f>IF(B976&gt;'user input'!$C$6,0,IF('heat units'!H976&gt;1,1,'heat units'!H976))</f>
        <v>1</v>
      </c>
      <c r="D976">
        <f>IF(B976&gt;'user input'!$C$6,0,(C976/(C976+EXP('user input'!$C$15-'user input'!$C$14*C976))))</f>
        <v>0.99996737202265329</v>
      </c>
      <c r="E976">
        <f>IF(C976&lt;'user input'!$C$12,(D976-D975)*'user input'!$C$17*(1-EXP(5*(F975-'user input'!$C$17))),F976-F975)</f>
        <v>0</v>
      </c>
      <c r="F976">
        <f>IF(C976&lt;'user input'!$C$12,IF(B976&gt;'user input'!$C$6,0,F975+E976),'user input'!$C$17*((1-C976)/(1-'user input'!$C$12)))</f>
        <v>0</v>
      </c>
    </row>
    <row r="977" spans="1:6" x14ac:dyDescent="0.2">
      <c r="A977" s="1">
        <v>41153</v>
      </c>
      <c r="B977">
        <v>245</v>
      </c>
      <c r="C977">
        <f>IF(B977&gt;'user input'!$C$6,0,IF('heat units'!H977&gt;1,1,'heat units'!H977))</f>
        <v>1</v>
      </c>
      <c r="D977">
        <f>IF(B977&gt;'user input'!$C$6,0,(C977/(C977+EXP('user input'!$C$15-'user input'!$C$14*C977))))</f>
        <v>0.99996737202265329</v>
      </c>
      <c r="E977">
        <f>IF(C977&lt;'user input'!$C$12,(D977-D976)*'user input'!$C$17*(1-EXP(5*(F976-'user input'!$C$17))),F977-F976)</f>
        <v>0</v>
      </c>
      <c r="F977">
        <f>IF(C977&lt;'user input'!$C$12,IF(B977&gt;'user input'!$C$6,0,F976+E977),'user input'!$C$17*((1-C977)/(1-'user input'!$C$12)))</f>
        <v>0</v>
      </c>
    </row>
    <row r="978" spans="1:6" x14ac:dyDescent="0.2">
      <c r="A978" s="1">
        <v>41154</v>
      </c>
      <c r="B978">
        <v>246</v>
      </c>
      <c r="C978">
        <f>IF(B978&gt;'user input'!$C$6,0,IF('heat units'!H978&gt;1,1,'heat units'!H978))</f>
        <v>1</v>
      </c>
      <c r="D978">
        <f>IF(B978&gt;'user input'!$C$6,0,(C978/(C978+EXP('user input'!$C$15-'user input'!$C$14*C978))))</f>
        <v>0.99996737202265329</v>
      </c>
      <c r="E978">
        <f>IF(C978&lt;'user input'!$C$12,(D978-D977)*'user input'!$C$17*(1-EXP(5*(F977-'user input'!$C$17))),F978-F977)</f>
        <v>0</v>
      </c>
      <c r="F978">
        <f>IF(C978&lt;'user input'!$C$12,IF(B978&gt;'user input'!$C$6,0,F977+E978),'user input'!$C$17*((1-C978)/(1-'user input'!$C$12)))</f>
        <v>0</v>
      </c>
    </row>
    <row r="979" spans="1:6" x14ac:dyDescent="0.2">
      <c r="A979" s="1">
        <v>41155</v>
      </c>
      <c r="B979">
        <v>247</v>
      </c>
      <c r="C979">
        <f>IF(B979&gt;'user input'!$C$6,0,IF('heat units'!H979&gt;1,1,'heat units'!H979))</f>
        <v>1</v>
      </c>
      <c r="D979">
        <f>IF(B979&gt;'user input'!$C$6,0,(C979/(C979+EXP('user input'!$C$15-'user input'!$C$14*C979))))</f>
        <v>0.99996737202265329</v>
      </c>
      <c r="E979">
        <f>IF(C979&lt;'user input'!$C$12,(D979-D978)*'user input'!$C$17*(1-EXP(5*(F978-'user input'!$C$17))),F979-F978)</f>
        <v>0</v>
      </c>
      <c r="F979">
        <f>IF(C979&lt;'user input'!$C$12,IF(B979&gt;'user input'!$C$6,0,F978+E979),'user input'!$C$17*((1-C979)/(1-'user input'!$C$12)))</f>
        <v>0</v>
      </c>
    </row>
    <row r="980" spans="1:6" x14ac:dyDescent="0.2">
      <c r="A980" s="1">
        <v>41156</v>
      </c>
      <c r="B980">
        <v>248</v>
      </c>
      <c r="C980">
        <f>IF(B980&gt;'user input'!$C$6,0,IF('heat units'!H980&gt;1,1,'heat units'!H980))</f>
        <v>1</v>
      </c>
      <c r="D980">
        <f>IF(B980&gt;'user input'!$C$6,0,(C980/(C980+EXP('user input'!$C$15-'user input'!$C$14*C980))))</f>
        <v>0.99996737202265329</v>
      </c>
      <c r="E980">
        <f>IF(C980&lt;'user input'!$C$12,(D980-D979)*'user input'!$C$17*(1-EXP(5*(F979-'user input'!$C$17))),F980-F979)</f>
        <v>0</v>
      </c>
      <c r="F980">
        <f>IF(C980&lt;'user input'!$C$12,IF(B980&gt;'user input'!$C$6,0,F979+E980),'user input'!$C$17*((1-C980)/(1-'user input'!$C$12)))</f>
        <v>0</v>
      </c>
    </row>
    <row r="981" spans="1:6" x14ac:dyDescent="0.2">
      <c r="A981" s="1">
        <v>41157</v>
      </c>
      <c r="B981">
        <v>249</v>
      </c>
      <c r="C981">
        <f>IF(B981&gt;'user input'!$C$6,0,IF('heat units'!H981&gt;1,1,'heat units'!H981))</f>
        <v>1</v>
      </c>
      <c r="D981">
        <f>IF(B981&gt;'user input'!$C$6,0,(C981/(C981+EXP('user input'!$C$15-'user input'!$C$14*C981))))</f>
        <v>0.99996737202265329</v>
      </c>
      <c r="E981">
        <f>IF(C981&lt;'user input'!$C$12,(D981-D980)*'user input'!$C$17*(1-EXP(5*(F980-'user input'!$C$17))),F981-F980)</f>
        <v>0</v>
      </c>
      <c r="F981">
        <f>IF(C981&lt;'user input'!$C$12,IF(B981&gt;'user input'!$C$6,0,F980+E981),'user input'!$C$17*((1-C981)/(1-'user input'!$C$12)))</f>
        <v>0</v>
      </c>
    </row>
    <row r="982" spans="1:6" x14ac:dyDescent="0.2">
      <c r="A982" s="1">
        <v>41158</v>
      </c>
      <c r="B982">
        <v>250</v>
      </c>
      <c r="C982">
        <f>IF(B982&gt;'user input'!$C$6,0,IF('heat units'!H982&gt;1,1,'heat units'!H982))</f>
        <v>1</v>
      </c>
      <c r="D982">
        <f>IF(B982&gt;'user input'!$C$6,0,(C982/(C982+EXP('user input'!$C$15-'user input'!$C$14*C982))))</f>
        <v>0.99996737202265329</v>
      </c>
      <c r="E982">
        <f>IF(C982&lt;'user input'!$C$12,(D982-D981)*'user input'!$C$17*(1-EXP(5*(F981-'user input'!$C$17))),F982-F981)</f>
        <v>0</v>
      </c>
      <c r="F982">
        <f>IF(C982&lt;'user input'!$C$12,IF(B982&gt;'user input'!$C$6,0,F981+E982),'user input'!$C$17*((1-C982)/(1-'user input'!$C$12)))</f>
        <v>0</v>
      </c>
    </row>
    <row r="983" spans="1:6" x14ac:dyDescent="0.2">
      <c r="A983" s="1">
        <v>41159</v>
      </c>
      <c r="B983">
        <v>251</v>
      </c>
      <c r="C983">
        <f>IF(B983&gt;'user input'!$C$6,0,IF('heat units'!H983&gt;1,1,'heat units'!H983))</f>
        <v>1</v>
      </c>
      <c r="D983">
        <f>IF(B983&gt;'user input'!$C$6,0,(C983/(C983+EXP('user input'!$C$15-'user input'!$C$14*C983))))</f>
        <v>0.99996737202265329</v>
      </c>
      <c r="E983">
        <f>IF(C983&lt;'user input'!$C$12,(D983-D982)*'user input'!$C$17*(1-EXP(5*(F982-'user input'!$C$17))),F983-F982)</f>
        <v>0</v>
      </c>
      <c r="F983">
        <f>IF(C983&lt;'user input'!$C$12,IF(B983&gt;'user input'!$C$6,0,F982+E983),'user input'!$C$17*((1-C983)/(1-'user input'!$C$12)))</f>
        <v>0</v>
      </c>
    </row>
    <row r="984" spans="1:6" x14ac:dyDescent="0.2">
      <c r="A984" s="1">
        <v>41160</v>
      </c>
      <c r="B984">
        <v>252</v>
      </c>
      <c r="C984">
        <f>IF(B984&gt;'user input'!$C$6,0,IF('heat units'!H984&gt;1,1,'heat units'!H984))</f>
        <v>1</v>
      </c>
      <c r="D984">
        <f>IF(B984&gt;'user input'!$C$6,0,(C984/(C984+EXP('user input'!$C$15-'user input'!$C$14*C984))))</f>
        <v>0.99996737202265329</v>
      </c>
      <c r="E984">
        <f>IF(C984&lt;'user input'!$C$12,(D984-D983)*'user input'!$C$17*(1-EXP(5*(F983-'user input'!$C$17))),F984-F983)</f>
        <v>0</v>
      </c>
      <c r="F984">
        <f>IF(C984&lt;'user input'!$C$12,IF(B984&gt;'user input'!$C$6,0,F983+E984),'user input'!$C$17*((1-C984)/(1-'user input'!$C$12)))</f>
        <v>0</v>
      </c>
    </row>
    <row r="985" spans="1:6" x14ac:dyDescent="0.2">
      <c r="A985" s="1">
        <v>41161</v>
      </c>
      <c r="B985">
        <v>253</v>
      </c>
      <c r="C985">
        <f>IF(B985&gt;'user input'!$C$6,0,IF('heat units'!H985&gt;1,1,'heat units'!H985))</f>
        <v>1</v>
      </c>
      <c r="D985">
        <f>IF(B985&gt;'user input'!$C$6,0,(C985/(C985+EXP('user input'!$C$15-'user input'!$C$14*C985))))</f>
        <v>0.99996737202265329</v>
      </c>
      <c r="E985">
        <f>IF(C985&lt;'user input'!$C$12,(D985-D984)*'user input'!$C$17*(1-EXP(5*(F984-'user input'!$C$17))),F985-F984)</f>
        <v>0</v>
      </c>
      <c r="F985">
        <f>IF(C985&lt;'user input'!$C$12,IF(B985&gt;'user input'!$C$6,0,F984+E985),'user input'!$C$17*((1-C985)/(1-'user input'!$C$12)))</f>
        <v>0</v>
      </c>
    </row>
    <row r="986" spans="1:6" x14ac:dyDescent="0.2">
      <c r="A986" s="1">
        <v>41162</v>
      </c>
      <c r="B986">
        <v>254</v>
      </c>
      <c r="C986">
        <f>IF(B986&gt;'user input'!$C$6,0,IF('heat units'!H986&gt;1,1,'heat units'!H986))</f>
        <v>1</v>
      </c>
      <c r="D986">
        <f>IF(B986&gt;'user input'!$C$6,0,(C986/(C986+EXP('user input'!$C$15-'user input'!$C$14*C986))))</f>
        <v>0.99996737202265329</v>
      </c>
      <c r="E986">
        <f>IF(C986&lt;'user input'!$C$12,(D986-D985)*'user input'!$C$17*(1-EXP(5*(F985-'user input'!$C$17))),F986-F985)</f>
        <v>0</v>
      </c>
      <c r="F986">
        <f>IF(C986&lt;'user input'!$C$12,IF(B986&gt;'user input'!$C$6,0,F985+E986),'user input'!$C$17*((1-C986)/(1-'user input'!$C$12)))</f>
        <v>0</v>
      </c>
    </row>
    <row r="987" spans="1:6" x14ac:dyDescent="0.2">
      <c r="A987" s="1">
        <v>41163</v>
      </c>
      <c r="B987">
        <v>255</v>
      </c>
      <c r="C987">
        <f>IF(B987&gt;'user input'!$C$6,0,IF('heat units'!H987&gt;1,1,'heat units'!H987))</f>
        <v>1</v>
      </c>
      <c r="D987">
        <f>IF(B987&gt;'user input'!$C$6,0,(C987/(C987+EXP('user input'!$C$15-'user input'!$C$14*C987))))</f>
        <v>0.99996737202265329</v>
      </c>
      <c r="E987">
        <f>IF(C987&lt;'user input'!$C$12,(D987-D986)*'user input'!$C$17*(1-EXP(5*(F986-'user input'!$C$17))),F987-F986)</f>
        <v>0</v>
      </c>
      <c r="F987">
        <f>IF(C987&lt;'user input'!$C$12,IF(B987&gt;'user input'!$C$6,0,F986+E987),'user input'!$C$17*((1-C987)/(1-'user input'!$C$12)))</f>
        <v>0</v>
      </c>
    </row>
    <row r="988" spans="1:6" x14ac:dyDescent="0.2">
      <c r="A988" s="1">
        <v>41164</v>
      </c>
      <c r="B988">
        <v>256</v>
      </c>
      <c r="C988">
        <f>IF(B988&gt;'user input'!$C$6,0,IF('heat units'!H988&gt;1,1,'heat units'!H988))</f>
        <v>1</v>
      </c>
      <c r="D988">
        <f>IF(B988&gt;'user input'!$C$6,0,(C988/(C988+EXP('user input'!$C$15-'user input'!$C$14*C988))))</f>
        <v>0.99996737202265329</v>
      </c>
      <c r="E988">
        <f>IF(C988&lt;'user input'!$C$12,(D988-D987)*'user input'!$C$17*(1-EXP(5*(F987-'user input'!$C$17))),F988-F987)</f>
        <v>0</v>
      </c>
      <c r="F988">
        <f>IF(C988&lt;'user input'!$C$12,IF(B988&gt;'user input'!$C$6,0,F987+E988),'user input'!$C$17*((1-C988)/(1-'user input'!$C$12)))</f>
        <v>0</v>
      </c>
    </row>
    <row r="989" spans="1:6" x14ac:dyDescent="0.2">
      <c r="A989" s="1">
        <v>41165</v>
      </c>
      <c r="B989">
        <v>257</v>
      </c>
      <c r="C989">
        <f>IF(B989&gt;'user input'!$C$6,0,IF('heat units'!H989&gt;1,1,'heat units'!H989))</f>
        <v>1</v>
      </c>
      <c r="D989">
        <f>IF(B989&gt;'user input'!$C$6,0,(C989/(C989+EXP('user input'!$C$15-'user input'!$C$14*C989))))</f>
        <v>0.99996737202265329</v>
      </c>
      <c r="E989">
        <f>IF(C989&lt;'user input'!$C$12,(D989-D988)*'user input'!$C$17*(1-EXP(5*(F988-'user input'!$C$17))),F989-F988)</f>
        <v>0</v>
      </c>
      <c r="F989">
        <f>IF(C989&lt;'user input'!$C$12,IF(B989&gt;'user input'!$C$6,0,F988+E989),'user input'!$C$17*((1-C989)/(1-'user input'!$C$12)))</f>
        <v>0</v>
      </c>
    </row>
    <row r="990" spans="1:6" x14ac:dyDescent="0.2">
      <c r="A990" s="1">
        <v>41166</v>
      </c>
      <c r="B990">
        <v>258</v>
      </c>
      <c r="C990">
        <f>IF(B990&gt;'user input'!$C$6,0,IF('heat units'!H990&gt;1,1,'heat units'!H990))</f>
        <v>1</v>
      </c>
      <c r="D990">
        <f>IF(B990&gt;'user input'!$C$6,0,(C990/(C990+EXP('user input'!$C$15-'user input'!$C$14*C990))))</f>
        <v>0.99996737202265329</v>
      </c>
      <c r="E990">
        <f>IF(C990&lt;'user input'!$C$12,(D990-D989)*'user input'!$C$17*(1-EXP(5*(F989-'user input'!$C$17))),F990-F989)</f>
        <v>0</v>
      </c>
      <c r="F990">
        <f>IF(C990&lt;'user input'!$C$12,IF(B990&gt;'user input'!$C$6,0,F989+E990),'user input'!$C$17*((1-C990)/(1-'user input'!$C$12)))</f>
        <v>0</v>
      </c>
    </row>
    <row r="991" spans="1:6" x14ac:dyDescent="0.2">
      <c r="A991" s="1">
        <v>41167</v>
      </c>
      <c r="B991">
        <v>259</v>
      </c>
      <c r="C991">
        <f>IF(B991&gt;'user input'!$C$6,0,IF('heat units'!H991&gt;1,1,'heat units'!H991))</f>
        <v>1</v>
      </c>
      <c r="D991">
        <f>IF(B991&gt;'user input'!$C$6,0,(C991/(C991+EXP('user input'!$C$15-'user input'!$C$14*C991))))</f>
        <v>0.99996737202265329</v>
      </c>
      <c r="E991">
        <f>IF(C991&lt;'user input'!$C$12,(D991-D990)*'user input'!$C$17*(1-EXP(5*(F990-'user input'!$C$17))),F991-F990)</f>
        <v>0</v>
      </c>
      <c r="F991">
        <f>IF(C991&lt;'user input'!$C$12,IF(B991&gt;'user input'!$C$6,0,F990+E991),'user input'!$C$17*((1-C991)/(1-'user input'!$C$12)))</f>
        <v>0</v>
      </c>
    </row>
    <row r="992" spans="1:6" x14ac:dyDescent="0.2">
      <c r="A992" s="1">
        <v>41168</v>
      </c>
      <c r="B992">
        <v>260</v>
      </c>
      <c r="C992">
        <f>IF(B992&gt;'user input'!$C$6,0,IF('heat units'!H992&gt;1,1,'heat units'!H992))</f>
        <v>1</v>
      </c>
      <c r="D992">
        <f>IF(B992&gt;'user input'!$C$6,0,(C992/(C992+EXP('user input'!$C$15-'user input'!$C$14*C992))))</f>
        <v>0.99996737202265329</v>
      </c>
      <c r="E992">
        <f>IF(C992&lt;'user input'!$C$12,(D992-D991)*'user input'!$C$17*(1-EXP(5*(F991-'user input'!$C$17))),F992-F991)</f>
        <v>0</v>
      </c>
      <c r="F992">
        <f>IF(C992&lt;'user input'!$C$12,IF(B992&gt;'user input'!$C$6,0,F991+E992),'user input'!$C$17*((1-C992)/(1-'user input'!$C$12)))</f>
        <v>0</v>
      </c>
    </row>
    <row r="993" spans="1:6" x14ac:dyDescent="0.2">
      <c r="A993" s="1">
        <v>41169</v>
      </c>
      <c r="B993">
        <v>261</v>
      </c>
      <c r="C993">
        <f>IF(B993&gt;'user input'!$C$6,0,IF('heat units'!H993&gt;1,1,'heat units'!H993))</f>
        <v>1</v>
      </c>
      <c r="D993">
        <f>IF(B993&gt;'user input'!$C$6,0,(C993/(C993+EXP('user input'!$C$15-'user input'!$C$14*C993))))</f>
        <v>0.99996737202265329</v>
      </c>
      <c r="E993">
        <f>IF(C993&lt;'user input'!$C$12,(D993-D992)*'user input'!$C$17*(1-EXP(5*(F992-'user input'!$C$17))),F993-F992)</f>
        <v>0</v>
      </c>
      <c r="F993">
        <f>IF(C993&lt;'user input'!$C$12,IF(B993&gt;'user input'!$C$6,0,F992+E993),'user input'!$C$17*((1-C993)/(1-'user input'!$C$12)))</f>
        <v>0</v>
      </c>
    </row>
    <row r="994" spans="1:6" x14ac:dyDescent="0.2">
      <c r="A994" s="1">
        <v>41170</v>
      </c>
      <c r="B994">
        <v>262</v>
      </c>
      <c r="C994">
        <f>IF(B994&gt;'user input'!$C$6,0,IF('heat units'!H994&gt;1,1,'heat units'!H994))</f>
        <v>1</v>
      </c>
      <c r="D994">
        <f>IF(B994&gt;'user input'!$C$6,0,(C994/(C994+EXP('user input'!$C$15-'user input'!$C$14*C994))))</f>
        <v>0.99996737202265329</v>
      </c>
      <c r="E994">
        <f>IF(C994&lt;'user input'!$C$12,(D994-D993)*'user input'!$C$17*(1-EXP(5*(F993-'user input'!$C$17))),F994-F993)</f>
        <v>0</v>
      </c>
      <c r="F994">
        <f>IF(C994&lt;'user input'!$C$12,IF(B994&gt;'user input'!$C$6,0,F993+E994),'user input'!$C$17*((1-C994)/(1-'user input'!$C$12)))</f>
        <v>0</v>
      </c>
    </row>
    <row r="995" spans="1:6" x14ac:dyDescent="0.2">
      <c r="A995" s="1">
        <v>41171</v>
      </c>
      <c r="B995">
        <v>263</v>
      </c>
      <c r="C995">
        <f>IF(B995&gt;'user input'!$C$6,0,IF('heat units'!H995&gt;1,1,'heat units'!H995))</f>
        <v>1</v>
      </c>
      <c r="D995">
        <f>IF(B995&gt;'user input'!$C$6,0,(C995/(C995+EXP('user input'!$C$15-'user input'!$C$14*C995))))</f>
        <v>0.99996737202265329</v>
      </c>
      <c r="E995">
        <f>IF(C995&lt;'user input'!$C$12,(D995-D994)*'user input'!$C$17*(1-EXP(5*(F994-'user input'!$C$17))),F995-F994)</f>
        <v>0</v>
      </c>
      <c r="F995">
        <f>IF(C995&lt;'user input'!$C$12,IF(B995&gt;'user input'!$C$6,0,F994+E995),'user input'!$C$17*((1-C995)/(1-'user input'!$C$12)))</f>
        <v>0</v>
      </c>
    </row>
    <row r="996" spans="1:6" x14ac:dyDescent="0.2">
      <c r="A996" s="1">
        <v>41172</v>
      </c>
      <c r="B996">
        <v>264</v>
      </c>
      <c r="C996">
        <f>IF(B996&gt;'user input'!$C$6,0,IF('heat units'!H996&gt;1,1,'heat units'!H996))</f>
        <v>1</v>
      </c>
      <c r="D996">
        <f>IF(B996&gt;'user input'!$C$6,0,(C996/(C996+EXP('user input'!$C$15-'user input'!$C$14*C996))))</f>
        <v>0.99996737202265329</v>
      </c>
      <c r="E996">
        <f>IF(C996&lt;'user input'!$C$12,(D996-D995)*'user input'!$C$17*(1-EXP(5*(F995-'user input'!$C$17))),F996-F995)</f>
        <v>0</v>
      </c>
      <c r="F996">
        <f>IF(C996&lt;'user input'!$C$12,IF(B996&gt;'user input'!$C$6,0,F995+E996),'user input'!$C$17*((1-C996)/(1-'user input'!$C$12)))</f>
        <v>0</v>
      </c>
    </row>
    <row r="997" spans="1:6" x14ac:dyDescent="0.2">
      <c r="A997" s="1">
        <v>41173</v>
      </c>
      <c r="B997">
        <v>265</v>
      </c>
      <c r="C997">
        <f>IF(B997&gt;'user input'!$C$6,0,IF('heat units'!H997&gt;1,1,'heat units'!H997))</f>
        <v>1</v>
      </c>
      <c r="D997">
        <f>IF(B997&gt;'user input'!$C$6,0,(C997/(C997+EXP('user input'!$C$15-'user input'!$C$14*C997))))</f>
        <v>0.99996737202265329</v>
      </c>
      <c r="E997">
        <f>IF(C997&lt;'user input'!$C$12,(D997-D996)*'user input'!$C$17*(1-EXP(5*(F996-'user input'!$C$17))),F997-F996)</f>
        <v>0</v>
      </c>
      <c r="F997">
        <f>IF(C997&lt;'user input'!$C$12,IF(B997&gt;'user input'!$C$6,0,F996+E997),'user input'!$C$17*((1-C997)/(1-'user input'!$C$12)))</f>
        <v>0</v>
      </c>
    </row>
    <row r="998" spans="1:6" x14ac:dyDescent="0.2">
      <c r="A998" s="1">
        <v>41174</v>
      </c>
      <c r="B998">
        <v>266</v>
      </c>
      <c r="C998">
        <f>IF(B998&gt;'user input'!$C$6,0,IF('heat units'!H998&gt;1,1,'heat units'!H998))</f>
        <v>1</v>
      </c>
      <c r="D998">
        <f>IF(B998&gt;'user input'!$C$6,0,(C998/(C998+EXP('user input'!$C$15-'user input'!$C$14*C998))))</f>
        <v>0.99996737202265329</v>
      </c>
      <c r="E998">
        <f>IF(C998&lt;'user input'!$C$12,(D998-D997)*'user input'!$C$17*(1-EXP(5*(F997-'user input'!$C$17))),F998-F997)</f>
        <v>0</v>
      </c>
      <c r="F998">
        <f>IF(C998&lt;'user input'!$C$12,IF(B998&gt;'user input'!$C$6,0,F997+E998),'user input'!$C$17*((1-C998)/(1-'user input'!$C$12)))</f>
        <v>0</v>
      </c>
    </row>
    <row r="999" spans="1:6" x14ac:dyDescent="0.2">
      <c r="A999" s="1">
        <v>41175</v>
      </c>
      <c r="B999">
        <v>267</v>
      </c>
      <c r="C999">
        <f>IF(B999&gt;'user input'!$C$6,0,IF('heat units'!H999&gt;1,1,'heat units'!H999))</f>
        <v>1</v>
      </c>
      <c r="D999">
        <f>IF(B999&gt;'user input'!$C$6,0,(C999/(C999+EXP('user input'!$C$15-'user input'!$C$14*C999))))</f>
        <v>0.99996737202265329</v>
      </c>
      <c r="E999">
        <f>IF(C999&lt;'user input'!$C$12,(D999-D998)*'user input'!$C$17*(1-EXP(5*(F998-'user input'!$C$17))),F999-F998)</f>
        <v>0</v>
      </c>
      <c r="F999">
        <f>IF(C999&lt;'user input'!$C$12,IF(B999&gt;'user input'!$C$6,0,F998+E999),'user input'!$C$17*((1-C999)/(1-'user input'!$C$12)))</f>
        <v>0</v>
      </c>
    </row>
    <row r="1000" spans="1:6" x14ac:dyDescent="0.2">
      <c r="A1000" s="1">
        <v>41176</v>
      </c>
      <c r="B1000">
        <v>268</v>
      </c>
      <c r="C1000">
        <f>IF(B1000&gt;'user input'!$C$6,0,IF('heat units'!H1000&gt;1,1,'heat units'!H1000))</f>
        <v>1</v>
      </c>
      <c r="D1000">
        <f>IF(B1000&gt;'user input'!$C$6,0,(C1000/(C1000+EXP('user input'!$C$15-'user input'!$C$14*C1000))))</f>
        <v>0.99996737202265329</v>
      </c>
      <c r="E1000">
        <f>IF(C1000&lt;'user input'!$C$12,(D1000-D999)*'user input'!$C$17*(1-EXP(5*(F999-'user input'!$C$17))),F1000-F999)</f>
        <v>0</v>
      </c>
      <c r="F1000">
        <f>IF(C1000&lt;'user input'!$C$12,IF(B1000&gt;'user input'!$C$6,0,F999+E1000),'user input'!$C$17*((1-C1000)/(1-'user input'!$C$12)))</f>
        <v>0</v>
      </c>
    </row>
    <row r="1001" spans="1:6" x14ac:dyDescent="0.2">
      <c r="A1001" s="1">
        <v>41177</v>
      </c>
      <c r="B1001">
        <v>269</v>
      </c>
      <c r="C1001">
        <f>IF(B1001&gt;'user input'!$C$6,0,IF('heat units'!H1001&gt;1,1,'heat units'!H1001))</f>
        <v>1</v>
      </c>
      <c r="D1001">
        <f>IF(B1001&gt;'user input'!$C$6,0,(C1001/(C1001+EXP('user input'!$C$15-'user input'!$C$14*C1001))))</f>
        <v>0.99996737202265329</v>
      </c>
      <c r="E1001">
        <f>IF(C1001&lt;'user input'!$C$12,(D1001-D1000)*'user input'!$C$17*(1-EXP(5*(F1000-'user input'!$C$17))),F1001-F1000)</f>
        <v>0</v>
      </c>
      <c r="F1001">
        <f>IF(C1001&lt;'user input'!$C$12,IF(B1001&gt;'user input'!$C$6,0,F1000+E1001),'user input'!$C$17*((1-C1001)/(1-'user input'!$C$12)))</f>
        <v>0</v>
      </c>
    </row>
    <row r="1002" spans="1:6" x14ac:dyDescent="0.2">
      <c r="A1002" s="1">
        <v>41178</v>
      </c>
      <c r="B1002">
        <v>270</v>
      </c>
      <c r="C1002">
        <f>IF(B1002&gt;'user input'!$C$6,0,IF('heat units'!H1002&gt;1,1,'heat units'!H1002))</f>
        <v>1</v>
      </c>
      <c r="D1002">
        <f>IF(B1002&gt;'user input'!$C$6,0,(C1002/(C1002+EXP('user input'!$C$15-'user input'!$C$14*C1002))))</f>
        <v>0.99996737202265329</v>
      </c>
      <c r="E1002">
        <f>IF(C1002&lt;'user input'!$C$12,(D1002-D1001)*'user input'!$C$17*(1-EXP(5*(F1001-'user input'!$C$17))),F1002-F1001)</f>
        <v>0</v>
      </c>
      <c r="F1002">
        <f>IF(C1002&lt;'user input'!$C$12,IF(B1002&gt;'user input'!$C$6,0,F1001+E1002),'user input'!$C$17*((1-C1002)/(1-'user input'!$C$12)))</f>
        <v>0</v>
      </c>
    </row>
    <row r="1003" spans="1:6" x14ac:dyDescent="0.2">
      <c r="A1003" s="1">
        <v>41179</v>
      </c>
      <c r="B1003">
        <v>271</v>
      </c>
      <c r="C1003">
        <f>IF(B1003&gt;'user input'!$C$6,0,IF('heat units'!H1003&gt;1,1,'heat units'!H1003))</f>
        <v>1</v>
      </c>
      <c r="D1003">
        <f>IF(B1003&gt;'user input'!$C$6,0,(C1003/(C1003+EXP('user input'!$C$15-'user input'!$C$14*C1003))))</f>
        <v>0.99996737202265329</v>
      </c>
      <c r="E1003">
        <f>IF(C1003&lt;'user input'!$C$12,(D1003-D1002)*'user input'!$C$17*(1-EXP(5*(F1002-'user input'!$C$17))),F1003-F1002)</f>
        <v>0</v>
      </c>
      <c r="F1003">
        <f>IF(C1003&lt;'user input'!$C$12,IF(B1003&gt;'user input'!$C$6,0,F1002+E1003),'user input'!$C$17*((1-C1003)/(1-'user input'!$C$12)))</f>
        <v>0</v>
      </c>
    </row>
    <row r="1004" spans="1:6" x14ac:dyDescent="0.2">
      <c r="A1004" s="1">
        <v>41180</v>
      </c>
      <c r="B1004">
        <v>272</v>
      </c>
      <c r="C1004">
        <f>IF(B1004&gt;'user input'!$C$6,0,IF('heat units'!H1004&gt;1,1,'heat units'!H1004))</f>
        <v>1</v>
      </c>
      <c r="D1004">
        <f>IF(B1004&gt;'user input'!$C$6,0,(C1004/(C1004+EXP('user input'!$C$15-'user input'!$C$14*C1004))))</f>
        <v>0.99996737202265329</v>
      </c>
      <c r="E1004">
        <f>IF(C1004&lt;'user input'!$C$12,(D1004-D1003)*'user input'!$C$17*(1-EXP(5*(F1003-'user input'!$C$17))),F1004-F1003)</f>
        <v>0</v>
      </c>
      <c r="F1004">
        <f>IF(C1004&lt;'user input'!$C$12,IF(B1004&gt;'user input'!$C$6,0,F1003+E1004),'user input'!$C$17*((1-C1004)/(1-'user input'!$C$12)))</f>
        <v>0</v>
      </c>
    </row>
    <row r="1005" spans="1:6" x14ac:dyDescent="0.2">
      <c r="A1005" s="1">
        <v>41181</v>
      </c>
      <c r="B1005">
        <v>273</v>
      </c>
      <c r="C1005">
        <f>IF(B1005&gt;'user input'!$C$6,0,IF('heat units'!H1005&gt;1,1,'heat units'!H1005))</f>
        <v>1</v>
      </c>
      <c r="D1005">
        <f>IF(B1005&gt;'user input'!$C$6,0,(C1005/(C1005+EXP('user input'!$C$15-'user input'!$C$14*C1005))))</f>
        <v>0.99996737202265329</v>
      </c>
      <c r="E1005">
        <f>IF(C1005&lt;'user input'!$C$12,(D1005-D1004)*'user input'!$C$17*(1-EXP(5*(F1004-'user input'!$C$17))),F1005-F1004)</f>
        <v>0</v>
      </c>
      <c r="F1005">
        <f>IF(C1005&lt;'user input'!$C$12,IF(B1005&gt;'user input'!$C$6,0,F1004+E1005),'user input'!$C$17*((1-C1005)/(1-'user input'!$C$12)))</f>
        <v>0</v>
      </c>
    </row>
    <row r="1006" spans="1:6" x14ac:dyDescent="0.2">
      <c r="A1006" s="1">
        <v>41182</v>
      </c>
      <c r="B1006">
        <v>274</v>
      </c>
      <c r="C1006">
        <f>IF(B1006&gt;'user input'!$C$6,0,IF('heat units'!H1006&gt;1,1,'heat units'!H1006))</f>
        <v>1</v>
      </c>
      <c r="D1006">
        <f>IF(B1006&gt;'user input'!$C$6,0,(C1006/(C1006+EXP('user input'!$C$15-'user input'!$C$14*C1006))))</f>
        <v>0.99996737202265329</v>
      </c>
      <c r="E1006">
        <f>IF(C1006&lt;'user input'!$C$12,(D1006-D1005)*'user input'!$C$17*(1-EXP(5*(F1005-'user input'!$C$17))),F1006-F1005)</f>
        <v>0</v>
      </c>
      <c r="F1006">
        <f>IF(C1006&lt;'user input'!$C$12,IF(B1006&gt;'user input'!$C$6,0,F1005+E1006),'user input'!$C$17*((1-C1006)/(1-'user input'!$C$12)))</f>
        <v>0</v>
      </c>
    </row>
    <row r="1007" spans="1:6" x14ac:dyDescent="0.2">
      <c r="A1007" s="1">
        <v>41183</v>
      </c>
      <c r="B1007">
        <v>275</v>
      </c>
      <c r="C1007">
        <f>IF(B1007&gt;'user input'!$C$6,0,IF('heat units'!H1007&gt;1,1,'heat units'!H1007))</f>
        <v>1</v>
      </c>
      <c r="D1007">
        <f>IF(B1007&gt;'user input'!$C$6,0,(C1007/(C1007+EXP('user input'!$C$15-'user input'!$C$14*C1007))))</f>
        <v>0.99996737202265329</v>
      </c>
      <c r="E1007">
        <f>IF(C1007&lt;'user input'!$C$12,(D1007-D1006)*'user input'!$C$17*(1-EXP(5*(F1006-'user input'!$C$17))),F1007-F1006)</f>
        <v>0</v>
      </c>
      <c r="F1007">
        <f>IF(C1007&lt;'user input'!$C$12,IF(B1007&gt;'user input'!$C$6,0,F1006+E1007),'user input'!$C$17*((1-C1007)/(1-'user input'!$C$12)))</f>
        <v>0</v>
      </c>
    </row>
    <row r="1008" spans="1:6" x14ac:dyDescent="0.2">
      <c r="A1008" s="1">
        <v>41184</v>
      </c>
      <c r="B1008">
        <v>276</v>
      </c>
      <c r="C1008">
        <f>IF(B1008&gt;'user input'!$C$6,0,IF('heat units'!H1008&gt;1,1,'heat units'!H1008))</f>
        <v>1</v>
      </c>
      <c r="D1008">
        <f>IF(B1008&gt;'user input'!$C$6,0,(C1008/(C1008+EXP('user input'!$C$15-'user input'!$C$14*C1008))))</f>
        <v>0.99996737202265329</v>
      </c>
      <c r="E1008">
        <f>IF(C1008&lt;'user input'!$C$12,(D1008-D1007)*'user input'!$C$17*(1-EXP(5*(F1007-'user input'!$C$17))),F1008-F1007)</f>
        <v>0</v>
      </c>
      <c r="F1008">
        <f>IF(C1008&lt;'user input'!$C$12,IF(B1008&gt;'user input'!$C$6,0,F1007+E1008),'user input'!$C$17*((1-C1008)/(1-'user input'!$C$12)))</f>
        <v>0</v>
      </c>
    </row>
    <row r="1009" spans="1:6" x14ac:dyDescent="0.2">
      <c r="A1009" s="1">
        <v>41185</v>
      </c>
      <c r="B1009">
        <v>277</v>
      </c>
      <c r="C1009">
        <f>IF(B1009&gt;'user input'!$C$6,0,IF('heat units'!H1009&gt;1,1,'heat units'!H1009))</f>
        <v>1</v>
      </c>
      <c r="D1009">
        <f>IF(B1009&gt;'user input'!$C$6,0,(C1009/(C1009+EXP('user input'!$C$15-'user input'!$C$14*C1009))))</f>
        <v>0.99996737202265329</v>
      </c>
      <c r="E1009">
        <f>IF(C1009&lt;'user input'!$C$12,(D1009-D1008)*'user input'!$C$17*(1-EXP(5*(F1008-'user input'!$C$17))),F1009-F1008)</f>
        <v>0</v>
      </c>
      <c r="F1009">
        <f>IF(C1009&lt;'user input'!$C$12,IF(B1009&gt;'user input'!$C$6,0,F1008+E1009),'user input'!$C$17*((1-C1009)/(1-'user input'!$C$12)))</f>
        <v>0</v>
      </c>
    </row>
    <row r="1010" spans="1:6" x14ac:dyDescent="0.2">
      <c r="A1010" s="1">
        <v>41186</v>
      </c>
      <c r="B1010">
        <v>278</v>
      </c>
      <c r="C1010">
        <f>IF(B1010&gt;'user input'!$C$6,0,IF('heat units'!H1010&gt;1,1,'heat units'!H1010))</f>
        <v>1</v>
      </c>
      <c r="D1010">
        <f>IF(B1010&gt;'user input'!$C$6,0,(C1010/(C1010+EXP('user input'!$C$15-'user input'!$C$14*C1010))))</f>
        <v>0.99996737202265329</v>
      </c>
      <c r="E1010">
        <f>IF(C1010&lt;'user input'!$C$12,(D1010-D1009)*'user input'!$C$17*(1-EXP(5*(F1009-'user input'!$C$17))),F1010-F1009)</f>
        <v>0</v>
      </c>
      <c r="F1010">
        <f>IF(C1010&lt;'user input'!$C$12,IF(B1010&gt;'user input'!$C$6,0,F1009+E1010),'user input'!$C$17*((1-C1010)/(1-'user input'!$C$12)))</f>
        <v>0</v>
      </c>
    </row>
    <row r="1011" spans="1:6" x14ac:dyDescent="0.2">
      <c r="A1011" s="1">
        <v>41187</v>
      </c>
      <c r="B1011">
        <v>279</v>
      </c>
      <c r="C1011">
        <f>IF(B1011&gt;'user input'!$C$6,0,IF('heat units'!H1011&gt;1,1,'heat units'!H1011))</f>
        <v>1</v>
      </c>
      <c r="D1011">
        <f>IF(B1011&gt;'user input'!$C$6,0,(C1011/(C1011+EXP('user input'!$C$15-'user input'!$C$14*C1011))))</f>
        <v>0.99996737202265329</v>
      </c>
      <c r="E1011">
        <f>IF(C1011&lt;'user input'!$C$12,(D1011-D1010)*'user input'!$C$17*(1-EXP(5*(F1010-'user input'!$C$17))),F1011-F1010)</f>
        <v>0</v>
      </c>
      <c r="F1011">
        <f>IF(C1011&lt;'user input'!$C$12,IF(B1011&gt;'user input'!$C$6,0,F1010+E1011),'user input'!$C$17*((1-C1011)/(1-'user input'!$C$12)))</f>
        <v>0</v>
      </c>
    </row>
    <row r="1012" spans="1:6" x14ac:dyDescent="0.2">
      <c r="A1012" s="1">
        <v>41188</v>
      </c>
      <c r="B1012">
        <v>280</v>
      </c>
      <c r="C1012">
        <f>IF(B1012&gt;'user input'!$C$6,0,IF('heat units'!H1012&gt;1,1,'heat units'!H1012))</f>
        <v>1</v>
      </c>
      <c r="D1012">
        <f>IF(B1012&gt;'user input'!$C$6,0,(C1012/(C1012+EXP('user input'!$C$15-'user input'!$C$14*C1012))))</f>
        <v>0.99996737202265329</v>
      </c>
      <c r="E1012">
        <f>IF(C1012&lt;'user input'!$C$12,(D1012-D1011)*'user input'!$C$17*(1-EXP(5*(F1011-'user input'!$C$17))),F1012-F1011)</f>
        <v>0</v>
      </c>
      <c r="F1012">
        <f>IF(C1012&lt;'user input'!$C$12,IF(B1012&gt;'user input'!$C$6,0,F1011+E1012),'user input'!$C$17*((1-C1012)/(1-'user input'!$C$12)))</f>
        <v>0</v>
      </c>
    </row>
    <row r="1013" spans="1:6" x14ac:dyDescent="0.2">
      <c r="A1013" s="1">
        <v>41189</v>
      </c>
      <c r="B1013">
        <v>281</v>
      </c>
      <c r="C1013">
        <f>IF(B1013&gt;'user input'!$C$6,0,IF('heat units'!H1013&gt;1,1,'heat units'!H1013))</f>
        <v>1</v>
      </c>
      <c r="D1013">
        <f>IF(B1013&gt;'user input'!$C$6,0,(C1013/(C1013+EXP('user input'!$C$15-'user input'!$C$14*C1013))))</f>
        <v>0.99996737202265329</v>
      </c>
      <c r="E1013">
        <f>IF(C1013&lt;'user input'!$C$12,(D1013-D1012)*'user input'!$C$17*(1-EXP(5*(F1012-'user input'!$C$17))),F1013-F1012)</f>
        <v>0</v>
      </c>
      <c r="F1013">
        <f>IF(C1013&lt;'user input'!$C$12,IF(B1013&gt;'user input'!$C$6,0,F1012+E1013),'user input'!$C$17*((1-C1013)/(1-'user input'!$C$12)))</f>
        <v>0</v>
      </c>
    </row>
    <row r="1014" spans="1:6" x14ac:dyDescent="0.2">
      <c r="A1014" s="1">
        <v>41190</v>
      </c>
      <c r="B1014">
        <v>282</v>
      </c>
      <c r="C1014">
        <f>IF(B1014&gt;'user input'!$C$6,0,IF('heat units'!H1014&gt;1,1,'heat units'!H1014))</f>
        <v>1</v>
      </c>
      <c r="D1014">
        <f>IF(B1014&gt;'user input'!$C$6,0,(C1014/(C1014+EXP('user input'!$C$15-'user input'!$C$14*C1014))))</f>
        <v>0.99996737202265329</v>
      </c>
      <c r="E1014">
        <f>IF(C1014&lt;'user input'!$C$12,(D1014-D1013)*'user input'!$C$17*(1-EXP(5*(F1013-'user input'!$C$17))),F1014-F1013)</f>
        <v>0</v>
      </c>
      <c r="F1014">
        <f>IF(C1014&lt;'user input'!$C$12,IF(B1014&gt;'user input'!$C$6,0,F1013+E1014),'user input'!$C$17*((1-C1014)/(1-'user input'!$C$12)))</f>
        <v>0</v>
      </c>
    </row>
    <row r="1015" spans="1:6" x14ac:dyDescent="0.2">
      <c r="A1015" s="1">
        <v>41191</v>
      </c>
      <c r="B1015">
        <v>283</v>
      </c>
      <c r="C1015">
        <f>IF(B1015&gt;'user input'!$C$6,0,IF('heat units'!H1015&gt;1,1,'heat units'!H1015))</f>
        <v>1</v>
      </c>
      <c r="D1015">
        <f>IF(B1015&gt;'user input'!$C$6,0,(C1015/(C1015+EXP('user input'!$C$15-'user input'!$C$14*C1015))))</f>
        <v>0.99996737202265329</v>
      </c>
      <c r="E1015">
        <f>IF(C1015&lt;'user input'!$C$12,(D1015-D1014)*'user input'!$C$17*(1-EXP(5*(F1014-'user input'!$C$17))),F1015-F1014)</f>
        <v>0</v>
      </c>
      <c r="F1015">
        <f>IF(C1015&lt;'user input'!$C$12,IF(B1015&gt;'user input'!$C$6,0,F1014+E1015),'user input'!$C$17*((1-C1015)/(1-'user input'!$C$12)))</f>
        <v>0</v>
      </c>
    </row>
    <row r="1016" spans="1:6" x14ac:dyDescent="0.2">
      <c r="A1016" s="1">
        <v>41192</v>
      </c>
      <c r="B1016">
        <v>284</v>
      </c>
      <c r="C1016">
        <f>IF(B1016&gt;'user input'!$C$6,0,IF('heat units'!H1016&gt;1,1,'heat units'!H1016))</f>
        <v>1</v>
      </c>
      <c r="D1016">
        <f>IF(B1016&gt;'user input'!$C$6,0,(C1016/(C1016+EXP('user input'!$C$15-'user input'!$C$14*C1016))))</f>
        <v>0.99996737202265329</v>
      </c>
      <c r="E1016">
        <f>IF(C1016&lt;'user input'!$C$12,(D1016-D1015)*'user input'!$C$17*(1-EXP(5*(F1015-'user input'!$C$17))),F1016-F1015)</f>
        <v>0</v>
      </c>
      <c r="F1016">
        <f>IF(C1016&lt;'user input'!$C$12,IF(B1016&gt;'user input'!$C$6,0,F1015+E1016),'user input'!$C$17*((1-C1016)/(1-'user input'!$C$12)))</f>
        <v>0</v>
      </c>
    </row>
    <row r="1017" spans="1:6" x14ac:dyDescent="0.2">
      <c r="A1017" s="1">
        <v>41193</v>
      </c>
      <c r="B1017">
        <v>285</v>
      </c>
      <c r="C1017">
        <f>IF(B1017&gt;'user input'!$C$6,0,IF('heat units'!H1017&gt;1,1,'heat units'!H1017))</f>
        <v>1</v>
      </c>
      <c r="D1017">
        <f>IF(B1017&gt;'user input'!$C$6,0,(C1017/(C1017+EXP('user input'!$C$15-'user input'!$C$14*C1017))))</f>
        <v>0.99996737202265329</v>
      </c>
      <c r="E1017">
        <f>IF(C1017&lt;'user input'!$C$12,(D1017-D1016)*'user input'!$C$17*(1-EXP(5*(F1016-'user input'!$C$17))),F1017-F1016)</f>
        <v>0</v>
      </c>
      <c r="F1017">
        <f>IF(C1017&lt;'user input'!$C$12,IF(B1017&gt;'user input'!$C$6,0,F1016+E1017),'user input'!$C$17*((1-C1017)/(1-'user input'!$C$12)))</f>
        <v>0</v>
      </c>
    </row>
    <row r="1018" spans="1:6" x14ac:dyDescent="0.2">
      <c r="A1018" s="1">
        <v>41194</v>
      </c>
      <c r="B1018">
        <v>286</v>
      </c>
      <c r="C1018">
        <f>IF(B1018&gt;'user input'!$C$6,0,IF('heat units'!H1018&gt;1,1,'heat units'!H1018))</f>
        <v>1</v>
      </c>
      <c r="D1018">
        <f>IF(B1018&gt;'user input'!$C$6,0,(C1018/(C1018+EXP('user input'!$C$15-'user input'!$C$14*C1018))))</f>
        <v>0.99996737202265329</v>
      </c>
      <c r="E1018">
        <f>IF(C1018&lt;'user input'!$C$12,(D1018-D1017)*'user input'!$C$17*(1-EXP(5*(F1017-'user input'!$C$17))),F1018-F1017)</f>
        <v>0</v>
      </c>
      <c r="F1018">
        <f>IF(C1018&lt;'user input'!$C$12,IF(B1018&gt;'user input'!$C$6,0,F1017+E1018),'user input'!$C$17*((1-C1018)/(1-'user input'!$C$12)))</f>
        <v>0</v>
      </c>
    </row>
    <row r="1019" spans="1:6" x14ac:dyDescent="0.2">
      <c r="A1019" s="1">
        <v>41195</v>
      </c>
      <c r="B1019">
        <v>287</v>
      </c>
      <c r="C1019">
        <f>IF(B1019&gt;'user input'!$C$6,0,IF('heat units'!H1019&gt;1,1,'heat units'!H1019))</f>
        <v>1</v>
      </c>
      <c r="D1019">
        <f>IF(B1019&gt;'user input'!$C$6,0,(C1019/(C1019+EXP('user input'!$C$15-'user input'!$C$14*C1019))))</f>
        <v>0.99996737202265329</v>
      </c>
      <c r="E1019">
        <f>IF(C1019&lt;'user input'!$C$12,(D1019-D1018)*'user input'!$C$17*(1-EXP(5*(F1018-'user input'!$C$17))),F1019-F1018)</f>
        <v>0</v>
      </c>
      <c r="F1019">
        <f>IF(C1019&lt;'user input'!$C$12,IF(B1019&gt;'user input'!$C$6,0,F1018+E1019),'user input'!$C$17*((1-C1019)/(1-'user input'!$C$12)))</f>
        <v>0</v>
      </c>
    </row>
    <row r="1020" spans="1:6" x14ac:dyDescent="0.2">
      <c r="A1020" s="1">
        <v>41196</v>
      </c>
      <c r="B1020">
        <v>288</v>
      </c>
      <c r="C1020">
        <f>IF(B1020&gt;'user input'!$C$6,0,IF('heat units'!H1020&gt;1,1,'heat units'!H1020))</f>
        <v>1</v>
      </c>
      <c r="D1020">
        <f>IF(B1020&gt;'user input'!$C$6,0,(C1020/(C1020+EXP('user input'!$C$15-'user input'!$C$14*C1020))))</f>
        <v>0.99996737202265329</v>
      </c>
      <c r="E1020">
        <f>IF(C1020&lt;'user input'!$C$12,(D1020-D1019)*'user input'!$C$17*(1-EXP(5*(F1019-'user input'!$C$17))),F1020-F1019)</f>
        <v>0</v>
      </c>
      <c r="F1020">
        <f>IF(C1020&lt;'user input'!$C$12,IF(B1020&gt;'user input'!$C$6,0,F1019+E1020),'user input'!$C$17*((1-C1020)/(1-'user input'!$C$12)))</f>
        <v>0</v>
      </c>
    </row>
    <row r="1021" spans="1:6" x14ac:dyDescent="0.2">
      <c r="A1021" s="1">
        <v>41197</v>
      </c>
      <c r="B1021">
        <v>289</v>
      </c>
      <c r="C1021">
        <f>IF(B1021&gt;'user input'!$C$6,0,IF('heat units'!H1021&gt;1,1,'heat units'!H1021))</f>
        <v>1</v>
      </c>
      <c r="D1021">
        <f>IF(B1021&gt;'user input'!$C$6,0,(C1021/(C1021+EXP('user input'!$C$15-'user input'!$C$14*C1021))))</f>
        <v>0.99996737202265329</v>
      </c>
      <c r="E1021">
        <f>IF(C1021&lt;'user input'!$C$12,(D1021-D1020)*'user input'!$C$17*(1-EXP(5*(F1020-'user input'!$C$17))),F1021-F1020)</f>
        <v>0</v>
      </c>
      <c r="F1021">
        <f>IF(C1021&lt;'user input'!$C$12,IF(B1021&gt;'user input'!$C$6,0,F1020+E1021),'user input'!$C$17*((1-C1021)/(1-'user input'!$C$12)))</f>
        <v>0</v>
      </c>
    </row>
    <row r="1022" spans="1:6" x14ac:dyDescent="0.2">
      <c r="A1022" s="1">
        <v>41198</v>
      </c>
      <c r="B1022">
        <v>290</v>
      </c>
      <c r="C1022">
        <f>IF(B1022&gt;'user input'!$C$6,0,IF('heat units'!H1022&gt;1,1,'heat units'!H1022))</f>
        <v>1</v>
      </c>
      <c r="D1022">
        <f>IF(B1022&gt;'user input'!$C$6,0,(C1022/(C1022+EXP('user input'!$C$15-'user input'!$C$14*C1022))))</f>
        <v>0.99996737202265329</v>
      </c>
      <c r="E1022">
        <f>IF(C1022&lt;'user input'!$C$12,(D1022-D1021)*'user input'!$C$17*(1-EXP(5*(F1021-'user input'!$C$17))),F1022-F1021)</f>
        <v>0</v>
      </c>
      <c r="F1022">
        <f>IF(C1022&lt;'user input'!$C$12,IF(B1022&gt;'user input'!$C$6,0,F1021+E1022),'user input'!$C$17*((1-C1022)/(1-'user input'!$C$12)))</f>
        <v>0</v>
      </c>
    </row>
    <row r="1023" spans="1:6" x14ac:dyDescent="0.2">
      <c r="A1023" s="1">
        <v>41199</v>
      </c>
      <c r="B1023">
        <v>291</v>
      </c>
      <c r="C1023">
        <f>IF(B1023&gt;'user input'!$C$6,0,IF('heat units'!H1023&gt;1,1,'heat units'!H1023))</f>
        <v>1</v>
      </c>
      <c r="D1023">
        <f>IF(B1023&gt;'user input'!$C$6,0,(C1023/(C1023+EXP('user input'!$C$15-'user input'!$C$14*C1023))))</f>
        <v>0.99996737202265329</v>
      </c>
      <c r="E1023">
        <f>IF(C1023&lt;'user input'!$C$12,(D1023-D1022)*'user input'!$C$17*(1-EXP(5*(F1022-'user input'!$C$17))),F1023-F1022)</f>
        <v>0</v>
      </c>
      <c r="F1023">
        <f>IF(C1023&lt;'user input'!$C$12,IF(B1023&gt;'user input'!$C$6,0,F1022+E1023),'user input'!$C$17*((1-C1023)/(1-'user input'!$C$12)))</f>
        <v>0</v>
      </c>
    </row>
    <row r="1024" spans="1:6" x14ac:dyDescent="0.2">
      <c r="A1024" s="1">
        <v>41200</v>
      </c>
      <c r="B1024">
        <v>292</v>
      </c>
      <c r="C1024">
        <f>IF(B1024&gt;'user input'!$C$6,0,IF('heat units'!H1024&gt;1,1,'heat units'!H1024))</f>
        <v>1</v>
      </c>
      <c r="D1024">
        <f>IF(B1024&gt;'user input'!$C$6,0,(C1024/(C1024+EXP('user input'!$C$15-'user input'!$C$14*C1024))))</f>
        <v>0.99996737202265329</v>
      </c>
      <c r="E1024">
        <f>IF(C1024&lt;'user input'!$C$12,(D1024-D1023)*'user input'!$C$17*(1-EXP(5*(F1023-'user input'!$C$17))),F1024-F1023)</f>
        <v>0</v>
      </c>
      <c r="F1024">
        <f>IF(C1024&lt;'user input'!$C$12,IF(B1024&gt;'user input'!$C$6,0,F1023+E1024),'user input'!$C$17*((1-C1024)/(1-'user input'!$C$12)))</f>
        <v>0</v>
      </c>
    </row>
    <row r="1025" spans="1:6" x14ac:dyDescent="0.2">
      <c r="A1025" s="1">
        <v>41201</v>
      </c>
      <c r="B1025">
        <v>293</v>
      </c>
      <c r="C1025">
        <f>IF(B1025&gt;'user input'!$C$6,0,IF('heat units'!H1025&gt;1,1,'heat units'!H1025))</f>
        <v>1</v>
      </c>
      <c r="D1025">
        <f>IF(B1025&gt;'user input'!$C$6,0,(C1025/(C1025+EXP('user input'!$C$15-'user input'!$C$14*C1025))))</f>
        <v>0.99996737202265329</v>
      </c>
      <c r="E1025">
        <f>IF(C1025&lt;'user input'!$C$12,(D1025-D1024)*'user input'!$C$17*(1-EXP(5*(F1024-'user input'!$C$17))),F1025-F1024)</f>
        <v>0</v>
      </c>
      <c r="F1025">
        <f>IF(C1025&lt;'user input'!$C$12,IF(B1025&gt;'user input'!$C$6,0,F1024+E1025),'user input'!$C$17*((1-C1025)/(1-'user input'!$C$12)))</f>
        <v>0</v>
      </c>
    </row>
    <row r="1026" spans="1:6" x14ac:dyDescent="0.2">
      <c r="A1026" s="1">
        <v>41202</v>
      </c>
      <c r="B1026">
        <v>294</v>
      </c>
      <c r="C1026">
        <f>IF(B1026&gt;'user input'!$C$6,0,IF('heat units'!H1026&gt;1,1,'heat units'!H1026))</f>
        <v>1</v>
      </c>
      <c r="D1026">
        <f>IF(B1026&gt;'user input'!$C$6,0,(C1026/(C1026+EXP('user input'!$C$15-'user input'!$C$14*C1026))))</f>
        <v>0.99996737202265329</v>
      </c>
      <c r="E1026">
        <f>IF(C1026&lt;'user input'!$C$12,(D1026-D1025)*'user input'!$C$17*(1-EXP(5*(F1025-'user input'!$C$17))),F1026-F1025)</f>
        <v>0</v>
      </c>
      <c r="F1026">
        <f>IF(C1026&lt;'user input'!$C$12,IF(B1026&gt;'user input'!$C$6,0,F1025+E1026),'user input'!$C$17*((1-C1026)/(1-'user input'!$C$12)))</f>
        <v>0</v>
      </c>
    </row>
    <row r="1027" spans="1:6" x14ac:dyDescent="0.2">
      <c r="A1027" s="1">
        <v>41203</v>
      </c>
      <c r="B1027">
        <v>295</v>
      </c>
      <c r="C1027">
        <f>IF(B1027&gt;'user input'!$C$6,0,IF('heat units'!H1027&gt;1,1,'heat units'!H1027))</f>
        <v>1</v>
      </c>
      <c r="D1027">
        <f>IF(B1027&gt;'user input'!$C$6,0,(C1027/(C1027+EXP('user input'!$C$15-'user input'!$C$14*C1027))))</f>
        <v>0.99996737202265329</v>
      </c>
      <c r="E1027">
        <f>IF(C1027&lt;'user input'!$C$12,(D1027-D1026)*'user input'!$C$17*(1-EXP(5*(F1026-'user input'!$C$17))),F1027-F1026)</f>
        <v>0</v>
      </c>
      <c r="F1027">
        <f>IF(C1027&lt;'user input'!$C$12,IF(B1027&gt;'user input'!$C$6,0,F1026+E1027),'user input'!$C$17*((1-C1027)/(1-'user input'!$C$12)))</f>
        <v>0</v>
      </c>
    </row>
    <row r="1028" spans="1:6" x14ac:dyDescent="0.2">
      <c r="A1028" s="1">
        <v>41204</v>
      </c>
      <c r="B1028">
        <v>296</v>
      </c>
      <c r="C1028">
        <f>IF(B1028&gt;'user input'!$C$6,0,IF('heat units'!H1028&gt;1,1,'heat units'!H1028))</f>
        <v>1</v>
      </c>
      <c r="D1028">
        <f>IF(B1028&gt;'user input'!$C$6,0,(C1028/(C1028+EXP('user input'!$C$15-'user input'!$C$14*C1028))))</f>
        <v>0.99996737202265329</v>
      </c>
      <c r="E1028">
        <f>IF(C1028&lt;'user input'!$C$12,(D1028-D1027)*'user input'!$C$17*(1-EXP(5*(F1027-'user input'!$C$17))),F1028-F1027)</f>
        <v>0</v>
      </c>
      <c r="F1028">
        <f>IF(C1028&lt;'user input'!$C$12,IF(B1028&gt;'user input'!$C$6,0,F1027+E1028),'user input'!$C$17*((1-C1028)/(1-'user input'!$C$12)))</f>
        <v>0</v>
      </c>
    </row>
    <row r="1029" spans="1:6" x14ac:dyDescent="0.2">
      <c r="A1029" s="1">
        <v>41205</v>
      </c>
      <c r="B1029">
        <v>297</v>
      </c>
      <c r="C1029">
        <f>IF(B1029&gt;'user input'!$C$6,0,IF('heat units'!H1029&gt;1,1,'heat units'!H1029))</f>
        <v>1</v>
      </c>
      <c r="D1029">
        <f>IF(B1029&gt;'user input'!$C$6,0,(C1029/(C1029+EXP('user input'!$C$15-'user input'!$C$14*C1029))))</f>
        <v>0.99996737202265329</v>
      </c>
      <c r="E1029">
        <f>IF(C1029&lt;'user input'!$C$12,(D1029-D1028)*'user input'!$C$17*(1-EXP(5*(F1028-'user input'!$C$17))),F1029-F1028)</f>
        <v>0</v>
      </c>
      <c r="F1029">
        <f>IF(C1029&lt;'user input'!$C$12,IF(B1029&gt;'user input'!$C$6,0,F1028+E1029),'user input'!$C$17*((1-C1029)/(1-'user input'!$C$12)))</f>
        <v>0</v>
      </c>
    </row>
    <row r="1030" spans="1:6" x14ac:dyDescent="0.2">
      <c r="A1030" s="1">
        <v>41206</v>
      </c>
      <c r="B1030">
        <v>298</v>
      </c>
      <c r="C1030">
        <f>IF(B1030&gt;'user input'!$C$6,0,IF('heat units'!H1030&gt;1,1,'heat units'!H1030))</f>
        <v>1</v>
      </c>
      <c r="D1030">
        <f>IF(B1030&gt;'user input'!$C$6,0,(C1030/(C1030+EXP('user input'!$C$15-'user input'!$C$14*C1030))))</f>
        <v>0.99996737202265329</v>
      </c>
      <c r="E1030">
        <f>IF(C1030&lt;'user input'!$C$12,(D1030-D1029)*'user input'!$C$17*(1-EXP(5*(F1029-'user input'!$C$17))),F1030-F1029)</f>
        <v>0</v>
      </c>
      <c r="F1030">
        <f>IF(C1030&lt;'user input'!$C$12,IF(B1030&gt;'user input'!$C$6,0,F1029+E1030),'user input'!$C$17*((1-C1030)/(1-'user input'!$C$12)))</f>
        <v>0</v>
      </c>
    </row>
    <row r="1031" spans="1:6" x14ac:dyDescent="0.2">
      <c r="A1031" s="1">
        <v>41207</v>
      </c>
      <c r="B1031">
        <v>299</v>
      </c>
      <c r="C1031">
        <f>IF(B1031&gt;'user input'!$C$6,0,IF('heat units'!H1031&gt;1,1,'heat units'!H1031))</f>
        <v>1</v>
      </c>
      <c r="D1031">
        <f>IF(B1031&gt;'user input'!$C$6,0,(C1031/(C1031+EXP('user input'!$C$15-'user input'!$C$14*C1031))))</f>
        <v>0.99996737202265329</v>
      </c>
      <c r="E1031">
        <f>IF(C1031&lt;'user input'!$C$12,(D1031-D1030)*'user input'!$C$17*(1-EXP(5*(F1030-'user input'!$C$17))),F1031-F1030)</f>
        <v>0</v>
      </c>
      <c r="F1031">
        <f>IF(C1031&lt;'user input'!$C$12,IF(B1031&gt;'user input'!$C$6,0,F1030+E1031),'user input'!$C$17*((1-C1031)/(1-'user input'!$C$12)))</f>
        <v>0</v>
      </c>
    </row>
    <row r="1032" spans="1:6" x14ac:dyDescent="0.2">
      <c r="A1032" s="1">
        <v>41208</v>
      </c>
      <c r="B1032">
        <v>300</v>
      </c>
      <c r="C1032">
        <f>IF(B1032&gt;'user input'!$C$6,0,IF('heat units'!H1032&gt;1,1,'heat units'!H1032))</f>
        <v>1</v>
      </c>
      <c r="D1032">
        <f>IF(B1032&gt;'user input'!$C$6,0,(C1032/(C1032+EXP('user input'!$C$15-'user input'!$C$14*C1032))))</f>
        <v>0.99996737202265329</v>
      </c>
      <c r="E1032">
        <f>IF(C1032&lt;'user input'!$C$12,(D1032-D1031)*'user input'!$C$17*(1-EXP(5*(F1031-'user input'!$C$17))),F1032-F1031)</f>
        <v>0</v>
      </c>
      <c r="F1032">
        <f>IF(C1032&lt;'user input'!$C$12,IF(B1032&gt;'user input'!$C$6,0,F1031+E1032),'user input'!$C$17*((1-C1032)/(1-'user input'!$C$12)))</f>
        <v>0</v>
      </c>
    </row>
    <row r="1033" spans="1:6" x14ac:dyDescent="0.2">
      <c r="A1033" s="1">
        <v>41209</v>
      </c>
      <c r="B1033">
        <v>301</v>
      </c>
      <c r="C1033">
        <f>IF(B1033&gt;'user input'!$C$6,0,IF('heat units'!H1033&gt;1,1,'heat units'!H1033))</f>
        <v>1</v>
      </c>
      <c r="D1033">
        <f>IF(B1033&gt;'user input'!$C$6,0,(C1033/(C1033+EXP('user input'!$C$15-'user input'!$C$14*C1033))))</f>
        <v>0.99996737202265329</v>
      </c>
      <c r="E1033">
        <f>IF(C1033&lt;'user input'!$C$12,(D1033-D1032)*'user input'!$C$17*(1-EXP(5*(F1032-'user input'!$C$17))),F1033-F1032)</f>
        <v>0</v>
      </c>
      <c r="F1033">
        <f>IF(C1033&lt;'user input'!$C$12,IF(B1033&gt;'user input'!$C$6,0,F1032+E1033),'user input'!$C$17*((1-C1033)/(1-'user input'!$C$12)))</f>
        <v>0</v>
      </c>
    </row>
    <row r="1034" spans="1:6" x14ac:dyDescent="0.2">
      <c r="A1034" s="1">
        <v>41210</v>
      </c>
      <c r="B1034">
        <v>302</v>
      </c>
      <c r="C1034">
        <f>IF(B1034&gt;'user input'!$C$6,0,IF('heat units'!H1034&gt;1,1,'heat units'!H1034))</f>
        <v>1</v>
      </c>
      <c r="D1034">
        <f>IF(B1034&gt;'user input'!$C$6,0,(C1034/(C1034+EXP('user input'!$C$15-'user input'!$C$14*C1034))))</f>
        <v>0.99996737202265329</v>
      </c>
      <c r="E1034">
        <f>IF(C1034&lt;'user input'!$C$12,(D1034-D1033)*'user input'!$C$17*(1-EXP(5*(F1033-'user input'!$C$17))),F1034-F1033)</f>
        <v>0</v>
      </c>
      <c r="F1034">
        <f>IF(C1034&lt;'user input'!$C$12,IF(B1034&gt;'user input'!$C$6,0,F1033+E1034),'user input'!$C$17*((1-C1034)/(1-'user input'!$C$12)))</f>
        <v>0</v>
      </c>
    </row>
    <row r="1035" spans="1:6" x14ac:dyDescent="0.2">
      <c r="A1035" s="1">
        <v>41211</v>
      </c>
      <c r="B1035">
        <v>303</v>
      </c>
      <c r="C1035">
        <f>IF(B1035&gt;'user input'!$C$6,0,IF('heat units'!H1035&gt;1,1,'heat units'!H1035))</f>
        <v>1</v>
      </c>
      <c r="D1035">
        <f>IF(B1035&gt;'user input'!$C$6,0,(C1035/(C1035+EXP('user input'!$C$15-'user input'!$C$14*C1035))))</f>
        <v>0.99996737202265329</v>
      </c>
      <c r="E1035">
        <f>IF(C1035&lt;'user input'!$C$12,(D1035-D1034)*'user input'!$C$17*(1-EXP(5*(F1034-'user input'!$C$17))),F1035-F1034)</f>
        <v>0</v>
      </c>
      <c r="F1035">
        <f>IF(C1035&lt;'user input'!$C$12,IF(B1035&gt;'user input'!$C$6,0,F1034+E1035),'user input'!$C$17*((1-C1035)/(1-'user input'!$C$12)))</f>
        <v>0</v>
      </c>
    </row>
    <row r="1036" spans="1:6" x14ac:dyDescent="0.2">
      <c r="A1036" s="1">
        <v>41212</v>
      </c>
      <c r="B1036">
        <v>304</v>
      </c>
      <c r="C1036">
        <f>IF(B1036&gt;'user input'!$C$6,0,IF('heat units'!H1036&gt;1,1,'heat units'!H1036))</f>
        <v>1</v>
      </c>
      <c r="D1036">
        <f>IF(B1036&gt;'user input'!$C$6,0,(C1036/(C1036+EXP('user input'!$C$15-'user input'!$C$14*C1036))))</f>
        <v>0.99996737202265329</v>
      </c>
      <c r="E1036">
        <f>IF(C1036&lt;'user input'!$C$12,(D1036-D1035)*'user input'!$C$17*(1-EXP(5*(F1035-'user input'!$C$17))),F1036-F1035)</f>
        <v>0</v>
      </c>
      <c r="F1036">
        <f>IF(C1036&lt;'user input'!$C$12,IF(B1036&gt;'user input'!$C$6,0,F1035+E1036),'user input'!$C$17*((1-C1036)/(1-'user input'!$C$12)))</f>
        <v>0</v>
      </c>
    </row>
    <row r="1037" spans="1:6" x14ac:dyDescent="0.2">
      <c r="A1037" s="1">
        <v>41213</v>
      </c>
      <c r="B1037">
        <v>305</v>
      </c>
      <c r="C1037">
        <f>IF(B1037&gt;'user input'!$C$6,0,IF('heat units'!H1037&gt;1,1,'heat units'!H1037))</f>
        <v>1</v>
      </c>
      <c r="D1037">
        <f>IF(B1037&gt;'user input'!$C$6,0,(C1037/(C1037+EXP('user input'!$C$15-'user input'!$C$14*C1037))))</f>
        <v>0.99996737202265329</v>
      </c>
      <c r="E1037">
        <f>IF(C1037&lt;'user input'!$C$12,(D1037-D1036)*'user input'!$C$17*(1-EXP(5*(F1036-'user input'!$C$17))),F1037-F1036)</f>
        <v>0</v>
      </c>
      <c r="F1037">
        <f>IF(C1037&lt;'user input'!$C$12,IF(B1037&gt;'user input'!$C$6,0,F1036+E1037),'user input'!$C$17*((1-C1037)/(1-'user input'!$C$12)))</f>
        <v>0</v>
      </c>
    </row>
    <row r="1038" spans="1:6" x14ac:dyDescent="0.2">
      <c r="A1038" s="1">
        <v>41214</v>
      </c>
      <c r="B1038">
        <v>306</v>
      </c>
      <c r="C1038">
        <f>IF(B1038&gt;'user input'!$C$6,0,IF('heat units'!H1038&gt;1,1,'heat units'!H1038))</f>
        <v>1</v>
      </c>
      <c r="D1038">
        <f>IF(B1038&gt;'user input'!$C$6,0,(C1038/(C1038+EXP('user input'!$C$15-'user input'!$C$14*C1038))))</f>
        <v>0.99996737202265329</v>
      </c>
      <c r="E1038">
        <f>IF(C1038&lt;'user input'!$C$12,(D1038-D1037)*'user input'!$C$17*(1-EXP(5*(F1037-'user input'!$C$17))),F1038-F1037)</f>
        <v>0</v>
      </c>
      <c r="F1038">
        <f>IF(C1038&lt;'user input'!$C$12,IF(B1038&gt;'user input'!$C$6,0,F1037+E1038),'user input'!$C$17*((1-C1038)/(1-'user input'!$C$12)))</f>
        <v>0</v>
      </c>
    </row>
    <row r="1039" spans="1:6" x14ac:dyDescent="0.2">
      <c r="A1039" s="1">
        <v>41215</v>
      </c>
      <c r="B1039">
        <v>307</v>
      </c>
      <c r="C1039">
        <f>IF(B1039&gt;'user input'!$C$6,0,IF('heat units'!H1039&gt;1,1,'heat units'!H1039))</f>
        <v>1</v>
      </c>
      <c r="D1039">
        <f>IF(B1039&gt;'user input'!$C$6,0,(C1039/(C1039+EXP('user input'!$C$15-'user input'!$C$14*C1039))))</f>
        <v>0.99996737202265329</v>
      </c>
      <c r="E1039">
        <f>IF(C1039&lt;'user input'!$C$12,(D1039-D1038)*'user input'!$C$17*(1-EXP(5*(F1038-'user input'!$C$17))),F1039-F1038)</f>
        <v>0</v>
      </c>
      <c r="F1039">
        <f>IF(C1039&lt;'user input'!$C$12,IF(B1039&gt;'user input'!$C$6,0,F1038+E1039),'user input'!$C$17*((1-C1039)/(1-'user input'!$C$12)))</f>
        <v>0</v>
      </c>
    </row>
    <row r="1040" spans="1:6" x14ac:dyDescent="0.2">
      <c r="A1040" s="1">
        <v>41216</v>
      </c>
      <c r="B1040">
        <v>308</v>
      </c>
      <c r="C1040">
        <f>IF(B1040&gt;'user input'!$C$6,0,IF('heat units'!H1040&gt;1,1,'heat units'!H1040))</f>
        <v>1</v>
      </c>
      <c r="D1040">
        <f>IF(B1040&gt;'user input'!$C$6,0,(C1040/(C1040+EXP('user input'!$C$15-'user input'!$C$14*C1040))))</f>
        <v>0.99996737202265329</v>
      </c>
      <c r="E1040">
        <f>IF(C1040&lt;'user input'!$C$12,(D1040-D1039)*'user input'!$C$17*(1-EXP(5*(F1039-'user input'!$C$17))),F1040-F1039)</f>
        <v>0</v>
      </c>
      <c r="F1040">
        <f>IF(C1040&lt;'user input'!$C$12,IF(B1040&gt;'user input'!$C$6,0,F1039+E1040),'user input'!$C$17*((1-C1040)/(1-'user input'!$C$12)))</f>
        <v>0</v>
      </c>
    </row>
    <row r="1041" spans="1:6" x14ac:dyDescent="0.2">
      <c r="A1041" s="1">
        <v>41217</v>
      </c>
      <c r="B1041">
        <v>309</v>
      </c>
      <c r="C1041">
        <f>IF(B1041&gt;'user input'!$C$6,0,IF('heat units'!H1041&gt;1,1,'heat units'!H1041))</f>
        <v>1</v>
      </c>
      <c r="D1041">
        <f>IF(B1041&gt;'user input'!$C$6,0,(C1041/(C1041+EXP('user input'!$C$15-'user input'!$C$14*C1041))))</f>
        <v>0.99996737202265329</v>
      </c>
      <c r="E1041">
        <f>IF(C1041&lt;'user input'!$C$12,(D1041-D1040)*'user input'!$C$17*(1-EXP(5*(F1040-'user input'!$C$17))),F1041-F1040)</f>
        <v>0</v>
      </c>
      <c r="F1041">
        <f>IF(C1041&lt;'user input'!$C$12,IF(B1041&gt;'user input'!$C$6,0,F1040+E1041),'user input'!$C$17*((1-C1041)/(1-'user input'!$C$12)))</f>
        <v>0</v>
      </c>
    </row>
    <row r="1042" spans="1:6" x14ac:dyDescent="0.2">
      <c r="A1042" s="1">
        <v>41218</v>
      </c>
      <c r="B1042">
        <v>310</v>
      </c>
      <c r="C1042">
        <f>IF(B1042&gt;'user input'!$C$6,0,IF('heat units'!H1042&gt;1,1,'heat units'!H1042))</f>
        <v>1</v>
      </c>
      <c r="D1042">
        <f>IF(B1042&gt;'user input'!$C$6,0,(C1042/(C1042+EXP('user input'!$C$15-'user input'!$C$14*C1042))))</f>
        <v>0.99996737202265329</v>
      </c>
      <c r="E1042">
        <f>IF(C1042&lt;'user input'!$C$12,(D1042-D1041)*'user input'!$C$17*(1-EXP(5*(F1041-'user input'!$C$17))),F1042-F1041)</f>
        <v>0</v>
      </c>
      <c r="F1042">
        <f>IF(C1042&lt;'user input'!$C$12,IF(B1042&gt;'user input'!$C$6,0,F1041+E1042),'user input'!$C$17*((1-C1042)/(1-'user input'!$C$12)))</f>
        <v>0</v>
      </c>
    </row>
    <row r="1043" spans="1:6" x14ac:dyDescent="0.2">
      <c r="A1043" s="1">
        <v>41219</v>
      </c>
      <c r="B1043">
        <v>311</v>
      </c>
      <c r="C1043">
        <f>IF(B1043&gt;'user input'!$C$6,0,IF('heat units'!H1043&gt;1,1,'heat units'!H1043))</f>
        <v>1</v>
      </c>
      <c r="D1043">
        <f>IF(B1043&gt;'user input'!$C$6,0,(C1043/(C1043+EXP('user input'!$C$15-'user input'!$C$14*C1043))))</f>
        <v>0.99996737202265329</v>
      </c>
      <c r="E1043">
        <f>IF(C1043&lt;'user input'!$C$12,(D1043-D1042)*'user input'!$C$17*(1-EXP(5*(F1042-'user input'!$C$17))),F1043-F1042)</f>
        <v>0</v>
      </c>
      <c r="F1043">
        <f>IF(C1043&lt;'user input'!$C$12,IF(B1043&gt;'user input'!$C$6,0,F1042+E1043),'user input'!$C$17*((1-C1043)/(1-'user input'!$C$12)))</f>
        <v>0</v>
      </c>
    </row>
    <row r="1044" spans="1:6" x14ac:dyDescent="0.2">
      <c r="A1044" s="1">
        <v>41220</v>
      </c>
      <c r="B1044">
        <v>312</v>
      </c>
      <c r="C1044">
        <f>IF(B1044&gt;'user input'!$C$6,0,IF('heat units'!H1044&gt;1,1,'heat units'!H1044))</f>
        <v>1</v>
      </c>
      <c r="D1044">
        <f>IF(B1044&gt;'user input'!$C$6,0,(C1044/(C1044+EXP('user input'!$C$15-'user input'!$C$14*C1044))))</f>
        <v>0.99996737202265329</v>
      </c>
      <c r="E1044">
        <f>IF(C1044&lt;'user input'!$C$12,(D1044-D1043)*'user input'!$C$17*(1-EXP(5*(F1043-'user input'!$C$17))),F1044-F1043)</f>
        <v>0</v>
      </c>
      <c r="F1044">
        <f>IF(C1044&lt;'user input'!$C$12,IF(B1044&gt;'user input'!$C$6,0,F1043+E1044),'user input'!$C$17*((1-C1044)/(1-'user input'!$C$12)))</f>
        <v>0</v>
      </c>
    </row>
    <row r="1045" spans="1:6" x14ac:dyDescent="0.2">
      <c r="A1045" s="1">
        <v>41221</v>
      </c>
      <c r="B1045">
        <v>313</v>
      </c>
      <c r="C1045">
        <f>IF(B1045&gt;'user input'!$C$6,0,IF('heat units'!H1045&gt;1,1,'heat units'!H1045))</f>
        <v>1</v>
      </c>
      <c r="D1045">
        <f>IF(B1045&gt;'user input'!$C$6,0,(C1045/(C1045+EXP('user input'!$C$15-'user input'!$C$14*C1045))))</f>
        <v>0.99996737202265329</v>
      </c>
      <c r="E1045">
        <f>IF(C1045&lt;'user input'!$C$12,(D1045-D1044)*'user input'!$C$17*(1-EXP(5*(F1044-'user input'!$C$17))),F1045-F1044)</f>
        <v>0</v>
      </c>
      <c r="F1045">
        <f>IF(C1045&lt;'user input'!$C$12,IF(B1045&gt;'user input'!$C$6,0,F1044+E1045),'user input'!$C$17*((1-C1045)/(1-'user input'!$C$12)))</f>
        <v>0</v>
      </c>
    </row>
    <row r="1046" spans="1:6" x14ac:dyDescent="0.2">
      <c r="A1046" s="1">
        <v>41222</v>
      </c>
      <c r="B1046">
        <v>314</v>
      </c>
      <c r="C1046">
        <f>IF(B1046&gt;'user input'!$C$6,0,IF('heat units'!H1046&gt;1,1,'heat units'!H1046))</f>
        <v>1</v>
      </c>
      <c r="D1046">
        <f>IF(B1046&gt;'user input'!$C$6,0,(C1046/(C1046+EXP('user input'!$C$15-'user input'!$C$14*C1046))))</f>
        <v>0.99996737202265329</v>
      </c>
      <c r="E1046">
        <f>IF(C1046&lt;'user input'!$C$12,(D1046-D1045)*'user input'!$C$17*(1-EXP(5*(F1045-'user input'!$C$17))),F1046-F1045)</f>
        <v>0</v>
      </c>
      <c r="F1046">
        <f>IF(C1046&lt;'user input'!$C$12,IF(B1046&gt;'user input'!$C$6,0,F1045+E1046),'user input'!$C$17*((1-C1046)/(1-'user input'!$C$12)))</f>
        <v>0</v>
      </c>
    </row>
    <row r="1047" spans="1:6" x14ac:dyDescent="0.2">
      <c r="A1047" s="1">
        <v>41223</v>
      </c>
      <c r="B1047">
        <v>315</v>
      </c>
      <c r="C1047">
        <f>IF(B1047&gt;'user input'!$C$6,0,IF('heat units'!H1047&gt;1,1,'heat units'!H1047))</f>
        <v>1</v>
      </c>
      <c r="D1047">
        <f>IF(B1047&gt;'user input'!$C$6,0,(C1047/(C1047+EXP('user input'!$C$15-'user input'!$C$14*C1047))))</f>
        <v>0.99996737202265329</v>
      </c>
      <c r="E1047">
        <f>IF(C1047&lt;'user input'!$C$12,(D1047-D1046)*'user input'!$C$17*(1-EXP(5*(F1046-'user input'!$C$17))),F1047-F1046)</f>
        <v>0</v>
      </c>
      <c r="F1047">
        <f>IF(C1047&lt;'user input'!$C$12,IF(B1047&gt;'user input'!$C$6,0,F1046+E1047),'user input'!$C$17*((1-C1047)/(1-'user input'!$C$12)))</f>
        <v>0</v>
      </c>
    </row>
    <row r="1048" spans="1:6" x14ac:dyDescent="0.2">
      <c r="A1048" s="1">
        <v>41224</v>
      </c>
      <c r="B1048">
        <v>316</v>
      </c>
      <c r="C1048">
        <f>IF(B1048&gt;'user input'!$C$6,0,IF('heat units'!H1048&gt;1,1,'heat units'!H1048))</f>
        <v>1</v>
      </c>
      <c r="D1048">
        <f>IF(B1048&gt;'user input'!$C$6,0,(C1048/(C1048+EXP('user input'!$C$15-'user input'!$C$14*C1048))))</f>
        <v>0.99996737202265329</v>
      </c>
      <c r="E1048">
        <f>IF(C1048&lt;'user input'!$C$12,(D1048-D1047)*'user input'!$C$17*(1-EXP(5*(F1047-'user input'!$C$17))),F1048-F1047)</f>
        <v>0</v>
      </c>
      <c r="F1048">
        <f>IF(C1048&lt;'user input'!$C$12,IF(B1048&gt;'user input'!$C$6,0,F1047+E1048),'user input'!$C$17*((1-C1048)/(1-'user input'!$C$12)))</f>
        <v>0</v>
      </c>
    </row>
    <row r="1049" spans="1:6" x14ac:dyDescent="0.2">
      <c r="A1049" s="1">
        <v>41225</v>
      </c>
      <c r="B1049">
        <v>317</v>
      </c>
      <c r="C1049">
        <f>IF(B1049&gt;'user input'!$C$6,0,IF('heat units'!H1049&gt;1,1,'heat units'!H1049))</f>
        <v>1</v>
      </c>
      <c r="D1049">
        <f>IF(B1049&gt;'user input'!$C$6,0,(C1049/(C1049+EXP('user input'!$C$15-'user input'!$C$14*C1049))))</f>
        <v>0.99996737202265329</v>
      </c>
      <c r="E1049">
        <f>IF(C1049&lt;'user input'!$C$12,(D1049-D1048)*'user input'!$C$17*(1-EXP(5*(F1048-'user input'!$C$17))),F1049-F1048)</f>
        <v>0</v>
      </c>
      <c r="F1049">
        <f>IF(C1049&lt;'user input'!$C$12,IF(B1049&gt;'user input'!$C$6,0,F1048+E1049),'user input'!$C$17*((1-C1049)/(1-'user input'!$C$12)))</f>
        <v>0</v>
      </c>
    </row>
    <row r="1050" spans="1:6" x14ac:dyDescent="0.2">
      <c r="A1050" s="1">
        <v>41226</v>
      </c>
      <c r="B1050">
        <v>318</v>
      </c>
      <c r="C1050">
        <f>IF(B1050&gt;'user input'!$C$6,0,IF('heat units'!H1050&gt;1,1,'heat units'!H1050))</f>
        <v>1</v>
      </c>
      <c r="D1050">
        <f>IF(B1050&gt;'user input'!$C$6,0,(C1050/(C1050+EXP('user input'!$C$15-'user input'!$C$14*C1050))))</f>
        <v>0.99996737202265329</v>
      </c>
      <c r="E1050">
        <f>IF(C1050&lt;'user input'!$C$12,(D1050-D1049)*'user input'!$C$17*(1-EXP(5*(F1049-'user input'!$C$17))),F1050-F1049)</f>
        <v>0</v>
      </c>
      <c r="F1050">
        <f>IF(C1050&lt;'user input'!$C$12,IF(B1050&gt;'user input'!$C$6,0,F1049+E1050),'user input'!$C$17*((1-C1050)/(1-'user input'!$C$12)))</f>
        <v>0</v>
      </c>
    </row>
    <row r="1051" spans="1:6" x14ac:dyDescent="0.2">
      <c r="A1051" s="1">
        <v>41227</v>
      </c>
      <c r="B1051">
        <v>319</v>
      </c>
      <c r="C1051">
        <f>IF(B1051&gt;'user input'!$C$6,0,IF('heat units'!H1051&gt;1,1,'heat units'!H1051))</f>
        <v>1</v>
      </c>
      <c r="D1051">
        <f>IF(B1051&gt;'user input'!$C$6,0,(C1051/(C1051+EXP('user input'!$C$15-'user input'!$C$14*C1051))))</f>
        <v>0.99996737202265329</v>
      </c>
      <c r="E1051">
        <f>IF(C1051&lt;'user input'!$C$12,(D1051-D1050)*'user input'!$C$17*(1-EXP(5*(F1050-'user input'!$C$17))),F1051-F1050)</f>
        <v>0</v>
      </c>
      <c r="F1051">
        <f>IF(C1051&lt;'user input'!$C$12,IF(B1051&gt;'user input'!$C$6,0,F1050+E1051),'user input'!$C$17*((1-C1051)/(1-'user input'!$C$12)))</f>
        <v>0</v>
      </c>
    </row>
    <row r="1052" spans="1:6" x14ac:dyDescent="0.2">
      <c r="A1052" s="1">
        <v>41228</v>
      </c>
      <c r="B1052">
        <v>320</v>
      </c>
      <c r="C1052">
        <f>IF(B1052&gt;'user input'!$C$6,0,IF('heat units'!H1052&gt;1,1,'heat units'!H1052))</f>
        <v>0</v>
      </c>
      <c r="D1052">
        <f>IF(B1052&gt;'user input'!$C$6,0,(C1052/(C1052+EXP('user input'!$C$15-'user input'!$C$14*C1052))))</f>
        <v>0</v>
      </c>
      <c r="E1052">
        <f>IF(C1052&lt;'user input'!$C$12,(D1052-D1051)*'user input'!$C$17*(1-EXP(5*(F1051-'user input'!$C$17))),F1052-F1051)</f>
        <v>-2.9999011983909414</v>
      </c>
      <c r="F1052">
        <f>IF(C1052&lt;'user input'!$C$12,IF(B1052&gt;'user input'!$C$6,0,F1051+E1052),'user input'!$C$17*((1-C1052)/(1-'user input'!$C$12)))</f>
        <v>0</v>
      </c>
    </row>
    <row r="1053" spans="1:6" x14ac:dyDescent="0.2">
      <c r="A1053" s="1">
        <v>41229</v>
      </c>
      <c r="B1053">
        <v>321</v>
      </c>
      <c r="C1053">
        <f>IF(B1053&gt;'user input'!$C$6,0,IF('heat units'!H1053&gt;1,1,'heat units'!H1053))</f>
        <v>0</v>
      </c>
      <c r="D1053">
        <f>IF(B1053&gt;'user input'!$C$6,0,(C1053/(C1053+EXP('user input'!$C$15-'user input'!$C$14*C1053))))</f>
        <v>0</v>
      </c>
      <c r="E1053">
        <f>IF(C1053&lt;'user input'!$C$12,(D1053-D1052)*'user input'!$C$17*(1-EXP(5*(F1052-'user input'!$C$17))),F1053-F1052)</f>
        <v>0</v>
      </c>
      <c r="F1053">
        <f>IF(C1053&lt;'user input'!$C$12,IF(B1053&gt;'user input'!$C$6,0,F1052+E1053),'user input'!$C$17*((1-C1053)/(1-'user input'!$C$12)))</f>
        <v>0</v>
      </c>
    </row>
    <row r="1054" spans="1:6" x14ac:dyDescent="0.2">
      <c r="A1054" s="1">
        <v>41230</v>
      </c>
      <c r="B1054">
        <v>322</v>
      </c>
      <c r="C1054">
        <f>IF(B1054&gt;'user input'!$C$6,0,IF('heat units'!H1054&gt;1,1,'heat units'!H1054))</f>
        <v>0</v>
      </c>
      <c r="D1054">
        <f>IF(B1054&gt;'user input'!$C$6,0,(C1054/(C1054+EXP('user input'!$C$15-'user input'!$C$14*C1054))))</f>
        <v>0</v>
      </c>
      <c r="E1054">
        <f>IF(C1054&lt;'user input'!$C$12,(D1054-D1053)*'user input'!$C$17*(1-EXP(5*(F1053-'user input'!$C$17))),F1054-F1053)</f>
        <v>0</v>
      </c>
      <c r="F1054">
        <f>IF(C1054&lt;'user input'!$C$12,IF(B1054&gt;'user input'!$C$6,0,F1053+E1054),'user input'!$C$17*((1-C1054)/(1-'user input'!$C$12)))</f>
        <v>0</v>
      </c>
    </row>
    <row r="1055" spans="1:6" x14ac:dyDescent="0.2">
      <c r="A1055" s="1">
        <v>41231</v>
      </c>
      <c r="B1055">
        <v>323</v>
      </c>
      <c r="C1055">
        <f>IF(B1055&gt;'user input'!$C$6,0,IF('heat units'!H1055&gt;1,1,'heat units'!H1055))</f>
        <v>0</v>
      </c>
      <c r="D1055">
        <f>IF(B1055&gt;'user input'!$C$6,0,(C1055/(C1055+EXP('user input'!$C$15-'user input'!$C$14*C1055))))</f>
        <v>0</v>
      </c>
      <c r="E1055">
        <f>IF(C1055&lt;'user input'!$C$12,(D1055-D1054)*'user input'!$C$17*(1-EXP(5*(F1054-'user input'!$C$17))),F1055-F1054)</f>
        <v>0</v>
      </c>
      <c r="F1055">
        <f>IF(C1055&lt;'user input'!$C$12,IF(B1055&gt;'user input'!$C$6,0,F1054+E1055),'user input'!$C$17*((1-C1055)/(1-'user input'!$C$12)))</f>
        <v>0</v>
      </c>
    </row>
    <row r="1056" spans="1:6" x14ac:dyDescent="0.2">
      <c r="A1056" s="1">
        <v>41232</v>
      </c>
      <c r="B1056">
        <v>324</v>
      </c>
      <c r="C1056">
        <f>IF(B1056&gt;'user input'!$C$6,0,IF('heat units'!H1056&gt;1,1,'heat units'!H1056))</f>
        <v>0</v>
      </c>
      <c r="D1056">
        <f>IF(B1056&gt;'user input'!$C$6,0,(C1056/(C1056+EXP('user input'!$C$15-'user input'!$C$14*C1056))))</f>
        <v>0</v>
      </c>
      <c r="E1056">
        <f>IF(C1056&lt;'user input'!$C$12,(D1056-D1055)*'user input'!$C$17*(1-EXP(5*(F1055-'user input'!$C$17))),F1056-F1055)</f>
        <v>0</v>
      </c>
      <c r="F1056">
        <f>IF(C1056&lt;'user input'!$C$12,IF(B1056&gt;'user input'!$C$6,0,F1055+E1056),'user input'!$C$17*((1-C1056)/(1-'user input'!$C$12)))</f>
        <v>0</v>
      </c>
    </row>
    <row r="1057" spans="1:6" x14ac:dyDescent="0.2">
      <c r="A1057" s="1">
        <v>41233</v>
      </c>
      <c r="B1057">
        <v>325</v>
      </c>
      <c r="C1057">
        <f>IF(B1057&gt;'user input'!$C$6,0,IF('heat units'!H1057&gt;1,1,'heat units'!H1057))</f>
        <v>0</v>
      </c>
      <c r="D1057">
        <f>IF(B1057&gt;'user input'!$C$6,0,(C1057/(C1057+EXP('user input'!$C$15-'user input'!$C$14*C1057))))</f>
        <v>0</v>
      </c>
      <c r="E1057">
        <f>IF(C1057&lt;'user input'!$C$12,(D1057-D1056)*'user input'!$C$17*(1-EXP(5*(F1056-'user input'!$C$17))),F1057-F1056)</f>
        <v>0</v>
      </c>
      <c r="F1057">
        <f>IF(C1057&lt;'user input'!$C$12,IF(B1057&gt;'user input'!$C$6,0,F1056+E1057),'user input'!$C$17*((1-C1057)/(1-'user input'!$C$12)))</f>
        <v>0</v>
      </c>
    </row>
    <row r="1058" spans="1:6" x14ac:dyDescent="0.2">
      <c r="A1058" s="1">
        <v>41234</v>
      </c>
      <c r="B1058">
        <v>326</v>
      </c>
      <c r="C1058">
        <f>IF(B1058&gt;'user input'!$C$6,0,IF('heat units'!H1058&gt;1,1,'heat units'!H1058))</f>
        <v>0</v>
      </c>
      <c r="D1058">
        <f>IF(B1058&gt;'user input'!$C$6,0,(C1058/(C1058+EXP('user input'!$C$15-'user input'!$C$14*C1058))))</f>
        <v>0</v>
      </c>
      <c r="E1058">
        <f>IF(C1058&lt;'user input'!$C$12,(D1058-D1057)*'user input'!$C$17*(1-EXP(5*(F1057-'user input'!$C$17))),F1058-F1057)</f>
        <v>0</v>
      </c>
      <c r="F1058">
        <f>IF(C1058&lt;'user input'!$C$12,IF(B1058&gt;'user input'!$C$6,0,F1057+E1058),'user input'!$C$17*((1-C1058)/(1-'user input'!$C$12)))</f>
        <v>0</v>
      </c>
    </row>
    <row r="1059" spans="1:6" x14ac:dyDescent="0.2">
      <c r="A1059" s="1">
        <v>41235</v>
      </c>
      <c r="B1059">
        <v>327</v>
      </c>
      <c r="C1059">
        <f>IF(B1059&gt;'user input'!$C$6,0,IF('heat units'!H1059&gt;1,1,'heat units'!H1059))</f>
        <v>0</v>
      </c>
      <c r="D1059">
        <f>IF(B1059&gt;'user input'!$C$6,0,(C1059/(C1059+EXP('user input'!$C$15-'user input'!$C$14*C1059))))</f>
        <v>0</v>
      </c>
      <c r="E1059">
        <f>IF(C1059&lt;'user input'!$C$12,(D1059-D1058)*'user input'!$C$17*(1-EXP(5*(F1058-'user input'!$C$17))),F1059-F1058)</f>
        <v>0</v>
      </c>
      <c r="F1059">
        <f>IF(C1059&lt;'user input'!$C$12,IF(B1059&gt;'user input'!$C$6,0,F1058+E1059),'user input'!$C$17*((1-C1059)/(1-'user input'!$C$12)))</f>
        <v>0</v>
      </c>
    </row>
    <row r="1060" spans="1:6" x14ac:dyDescent="0.2">
      <c r="A1060" s="1">
        <v>41236</v>
      </c>
      <c r="B1060">
        <v>328</v>
      </c>
      <c r="C1060">
        <f>IF(B1060&gt;'user input'!$C$6,0,IF('heat units'!H1060&gt;1,1,'heat units'!H1060))</f>
        <v>0</v>
      </c>
      <c r="D1060">
        <f>IF(B1060&gt;'user input'!$C$6,0,(C1060/(C1060+EXP('user input'!$C$15-'user input'!$C$14*C1060))))</f>
        <v>0</v>
      </c>
      <c r="E1060">
        <f>IF(C1060&lt;'user input'!$C$12,(D1060-D1059)*'user input'!$C$17*(1-EXP(5*(F1059-'user input'!$C$17))),F1060-F1059)</f>
        <v>0</v>
      </c>
      <c r="F1060">
        <f>IF(C1060&lt;'user input'!$C$12,IF(B1060&gt;'user input'!$C$6,0,F1059+E1060),'user input'!$C$17*((1-C1060)/(1-'user input'!$C$12)))</f>
        <v>0</v>
      </c>
    </row>
    <row r="1061" spans="1:6" x14ac:dyDescent="0.2">
      <c r="A1061" s="1">
        <v>41237</v>
      </c>
      <c r="B1061">
        <v>329</v>
      </c>
      <c r="C1061">
        <f>IF(B1061&gt;'user input'!$C$6,0,IF('heat units'!H1061&gt;1,1,'heat units'!H1061))</f>
        <v>0</v>
      </c>
      <c r="D1061">
        <f>IF(B1061&gt;'user input'!$C$6,0,(C1061/(C1061+EXP('user input'!$C$15-'user input'!$C$14*C1061))))</f>
        <v>0</v>
      </c>
      <c r="E1061">
        <f>IF(C1061&lt;'user input'!$C$12,(D1061-D1060)*'user input'!$C$17*(1-EXP(5*(F1060-'user input'!$C$17))),F1061-F1060)</f>
        <v>0</v>
      </c>
      <c r="F1061">
        <f>IF(C1061&lt;'user input'!$C$12,IF(B1061&gt;'user input'!$C$6,0,F1060+E1061),'user input'!$C$17*((1-C1061)/(1-'user input'!$C$12)))</f>
        <v>0</v>
      </c>
    </row>
    <row r="1062" spans="1:6" x14ac:dyDescent="0.2">
      <c r="A1062" s="1">
        <v>41238</v>
      </c>
      <c r="B1062">
        <v>330</v>
      </c>
      <c r="C1062">
        <f>IF(B1062&gt;'user input'!$C$6,0,IF('heat units'!H1062&gt;1,1,'heat units'!H1062))</f>
        <v>0</v>
      </c>
      <c r="D1062">
        <f>IF(B1062&gt;'user input'!$C$6,0,(C1062/(C1062+EXP('user input'!$C$15-'user input'!$C$14*C1062))))</f>
        <v>0</v>
      </c>
      <c r="E1062">
        <f>IF(C1062&lt;'user input'!$C$12,(D1062-D1061)*'user input'!$C$17*(1-EXP(5*(F1061-'user input'!$C$17))),F1062-F1061)</f>
        <v>0</v>
      </c>
      <c r="F1062">
        <f>IF(C1062&lt;'user input'!$C$12,IF(B1062&gt;'user input'!$C$6,0,F1061+E1062),'user input'!$C$17*((1-C1062)/(1-'user input'!$C$12)))</f>
        <v>0</v>
      </c>
    </row>
    <row r="1063" spans="1:6" x14ac:dyDescent="0.2">
      <c r="A1063" s="1">
        <v>41239</v>
      </c>
      <c r="B1063">
        <v>331</v>
      </c>
      <c r="C1063">
        <f>IF(B1063&gt;'user input'!$C$6,0,IF('heat units'!H1063&gt;1,1,'heat units'!H1063))</f>
        <v>0</v>
      </c>
      <c r="D1063">
        <f>IF(B1063&gt;'user input'!$C$6,0,(C1063/(C1063+EXP('user input'!$C$15-'user input'!$C$14*C1063))))</f>
        <v>0</v>
      </c>
      <c r="E1063">
        <f>IF(C1063&lt;'user input'!$C$12,(D1063-D1062)*'user input'!$C$17*(1-EXP(5*(F1062-'user input'!$C$17))),F1063-F1062)</f>
        <v>0</v>
      </c>
      <c r="F1063">
        <f>IF(C1063&lt;'user input'!$C$12,IF(B1063&gt;'user input'!$C$6,0,F1062+E1063),'user input'!$C$17*((1-C1063)/(1-'user input'!$C$12)))</f>
        <v>0</v>
      </c>
    </row>
    <row r="1064" spans="1:6" x14ac:dyDescent="0.2">
      <c r="A1064" s="1">
        <v>41240</v>
      </c>
      <c r="B1064">
        <v>332</v>
      </c>
      <c r="C1064">
        <f>IF(B1064&gt;'user input'!$C$6,0,IF('heat units'!H1064&gt;1,1,'heat units'!H1064))</f>
        <v>0</v>
      </c>
      <c r="D1064">
        <f>IF(B1064&gt;'user input'!$C$6,0,(C1064/(C1064+EXP('user input'!$C$15-'user input'!$C$14*C1064))))</f>
        <v>0</v>
      </c>
      <c r="E1064">
        <f>IF(C1064&lt;'user input'!$C$12,(D1064-D1063)*'user input'!$C$17*(1-EXP(5*(F1063-'user input'!$C$17))),F1064-F1063)</f>
        <v>0</v>
      </c>
      <c r="F1064">
        <f>IF(C1064&lt;'user input'!$C$12,IF(B1064&gt;'user input'!$C$6,0,F1063+E1064),'user input'!$C$17*((1-C1064)/(1-'user input'!$C$12)))</f>
        <v>0</v>
      </c>
    </row>
    <row r="1065" spans="1:6" x14ac:dyDescent="0.2">
      <c r="A1065" s="1">
        <v>41241</v>
      </c>
      <c r="B1065">
        <v>333</v>
      </c>
      <c r="C1065">
        <f>IF(B1065&gt;'user input'!$C$6,0,IF('heat units'!H1065&gt;1,1,'heat units'!H1065))</f>
        <v>0</v>
      </c>
      <c r="D1065">
        <f>IF(B1065&gt;'user input'!$C$6,0,(C1065/(C1065+EXP('user input'!$C$15-'user input'!$C$14*C1065))))</f>
        <v>0</v>
      </c>
      <c r="E1065">
        <f>IF(C1065&lt;'user input'!$C$12,(D1065-D1064)*'user input'!$C$17*(1-EXP(5*(F1064-'user input'!$C$17))),F1065-F1064)</f>
        <v>0</v>
      </c>
      <c r="F1065">
        <f>IF(C1065&lt;'user input'!$C$12,IF(B1065&gt;'user input'!$C$6,0,F1064+E1065),'user input'!$C$17*((1-C1065)/(1-'user input'!$C$12)))</f>
        <v>0</v>
      </c>
    </row>
    <row r="1066" spans="1:6" x14ac:dyDescent="0.2">
      <c r="A1066" s="1">
        <v>41242</v>
      </c>
      <c r="B1066">
        <v>334</v>
      </c>
      <c r="C1066">
        <f>IF(B1066&gt;'user input'!$C$6,0,IF('heat units'!H1066&gt;1,1,'heat units'!H1066))</f>
        <v>0</v>
      </c>
      <c r="D1066">
        <f>IF(B1066&gt;'user input'!$C$6,0,(C1066/(C1066+EXP('user input'!$C$15-'user input'!$C$14*C1066))))</f>
        <v>0</v>
      </c>
      <c r="E1066">
        <f>IF(C1066&lt;'user input'!$C$12,(D1066-D1065)*'user input'!$C$17*(1-EXP(5*(F1065-'user input'!$C$17))),F1066-F1065)</f>
        <v>0</v>
      </c>
      <c r="F1066">
        <f>IF(C1066&lt;'user input'!$C$12,IF(B1066&gt;'user input'!$C$6,0,F1065+E1066),'user input'!$C$17*((1-C1066)/(1-'user input'!$C$12)))</f>
        <v>0</v>
      </c>
    </row>
    <row r="1067" spans="1:6" x14ac:dyDescent="0.2">
      <c r="A1067" s="1">
        <v>41243</v>
      </c>
      <c r="B1067">
        <v>335</v>
      </c>
      <c r="C1067">
        <f>IF(B1067&gt;'user input'!$C$6,0,IF('heat units'!H1067&gt;1,1,'heat units'!H1067))</f>
        <v>0</v>
      </c>
      <c r="D1067">
        <f>IF(B1067&gt;'user input'!$C$6,0,(C1067/(C1067+EXP('user input'!$C$15-'user input'!$C$14*C1067))))</f>
        <v>0</v>
      </c>
      <c r="E1067">
        <f>IF(C1067&lt;'user input'!$C$12,(D1067-D1066)*'user input'!$C$17*(1-EXP(5*(F1066-'user input'!$C$17))),F1067-F1066)</f>
        <v>0</v>
      </c>
      <c r="F1067">
        <f>IF(C1067&lt;'user input'!$C$12,IF(B1067&gt;'user input'!$C$6,0,F1066+E1067),'user input'!$C$17*((1-C1067)/(1-'user input'!$C$12)))</f>
        <v>0</v>
      </c>
    </row>
    <row r="1068" spans="1:6" x14ac:dyDescent="0.2">
      <c r="A1068" s="1">
        <v>41244</v>
      </c>
      <c r="B1068">
        <v>336</v>
      </c>
      <c r="C1068">
        <f>IF(B1068&gt;'user input'!$C$6,0,IF('heat units'!H1068&gt;1,1,'heat units'!H1068))</f>
        <v>0</v>
      </c>
      <c r="D1068">
        <f>IF(B1068&gt;'user input'!$C$6,0,(C1068/(C1068+EXP('user input'!$C$15-'user input'!$C$14*C1068))))</f>
        <v>0</v>
      </c>
      <c r="E1068">
        <f>IF(C1068&lt;'user input'!$C$12,(D1068-D1067)*'user input'!$C$17*(1-EXP(5*(F1067-'user input'!$C$17))),F1068-F1067)</f>
        <v>0</v>
      </c>
      <c r="F1068">
        <f>IF(C1068&lt;'user input'!$C$12,IF(B1068&gt;'user input'!$C$6,0,F1067+E1068),'user input'!$C$17*((1-C1068)/(1-'user input'!$C$12)))</f>
        <v>0</v>
      </c>
    </row>
    <row r="1069" spans="1:6" x14ac:dyDescent="0.2">
      <c r="A1069" s="1">
        <v>41245</v>
      </c>
      <c r="B1069">
        <v>337</v>
      </c>
      <c r="C1069">
        <f>IF(B1069&gt;'user input'!$C$6,0,IF('heat units'!H1069&gt;1,1,'heat units'!H1069))</f>
        <v>0</v>
      </c>
      <c r="D1069">
        <f>IF(B1069&gt;'user input'!$C$6,0,(C1069/(C1069+EXP('user input'!$C$15-'user input'!$C$14*C1069))))</f>
        <v>0</v>
      </c>
      <c r="E1069">
        <f>IF(C1069&lt;'user input'!$C$12,(D1069-D1068)*'user input'!$C$17*(1-EXP(5*(F1068-'user input'!$C$17))),F1069-F1068)</f>
        <v>0</v>
      </c>
      <c r="F1069">
        <f>IF(C1069&lt;'user input'!$C$12,IF(B1069&gt;'user input'!$C$6,0,F1068+E1069),'user input'!$C$17*((1-C1069)/(1-'user input'!$C$12)))</f>
        <v>0</v>
      </c>
    </row>
    <row r="1070" spans="1:6" x14ac:dyDescent="0.2">
      <c r="A1070" s="1">
        <v>41246</v>
      </c>
      <c r="B1070">
        <v>338</v>
      </c>
      <c r="C1070">
        <f>IF(B1070&gt;'user input'!$C$6,0,IF('heat units'!H1070&gt;1,1,'heat units'!H1070))</f>
        <v>0</v>
      </c>
      <c r="D1070">
        <f>IF(B1070&gt;'user input'!$C$6,0,(C1070/(C1070+EXP('user input'!$C$15-'user input'!$C$14*C1070))))</f>
        <v>0</v>
      </c>
      <c r="E1070">
        <f>IF(C1070&lt;'user input'!$C$12,(D1070-D1069)*'user input'!$C$17*(1-EXP(5*(F1069-'user input'!$C$17))),F1070-F1069)</f>
        <v>0</v>
      </c>
      <c r="F1070">
        <f>IF(C1070&lt;'user input'!$C$12,IF(B1070&gt;'user input'!$C$6,0,F1069+E1070),'user input'!$C$17*((1-C1070)/(1-'user input'!$C$12)))</f>
        <v>0</v>
      </c>
    </row>
    <row r="1071" spans="1:6" x14ac:dyDescent="0.2">
      <c r="A1071" s="1">
        <v>41247</v>
      </c>
      <c r="B1071">
        <v>339</v>
      </c>
      <c r="C1071">
        <f>IF(B1071&gt;'user input'!$C$6,0,IF('heat units'!H1071&gt;1,1,'heat units'!H1071))</f>
        <v>0</v>
      </c>
      <c r="D1071">
        <f>IF(B1071&gt;'user input'!$C$6,0,(C1071/(C1071+EXP('user input'!$C$15-'user input'!$C$14*C1071))))</f>
        <v>0</v>
      </c>
      <c r="E1071">
        <f>IF(C1071&lt;'user input'!$C$12,(D1071-D1070)*'user input'!$C$17*(1-EXP(5*(F1070-'user input'!$C$17))),F1071-F1070)</f>
        <v>0</v>
      </c>
      <c r="F1071">
        <f>IF(C1071&lt;'user input'!$C$12,IF(B1071&gt;'user input'!$C$6,0,F1070+E1071),'user input'!$C$17*((1-C1071)/(1-'user input'!$C$12)))</f>
        <v>0</v>
      </c>
    </row>
    <row r="1072" spans="1:6" x14ac:dyDescent="0.2">
      <c r="A1072" s="1">
        <v>41248</v>
      </c>
      <c r="B1072">
        <v>340</v>
      </c>
      <c r="C1072">
        <f>IF(B1072&gt;'user input'!$C$6,0,IF('heat units'!H1072&gt;1,1,'heat units'!H1072))</f>
        <v>0</v>
      </c>
      <c r="D1072">
        <f>IF(B1072&gt;'user input'!$C$6,0,(C1072/(C1072+EXP('user input'!$C$15-'user input'!$C$14*C1072))))</f>
        <v>0</v>
      </c>
      <c r="E1072">
        <f>IF(C1072&lt;'user input'!$C$12,(D1072-D1071)*'user input'!$C$17*(1-EXP(5*(F1071-'user input'!$C$17))),F1072-F1071)</f>
        <v>0</v>
      </c>
      <c r="F1072">
        <f>IF(C1072&lt;'user input'!$C$12,IF(B1072&gt;'user input'!$C$6,0,F1071+E1072),'user input'!$C$17*((1-C1072)/(1-'user input'!$C$12)))</f>
        <v>0</v>
      </c>
    </row>
    <row r="1073" spans="1:6" x14ac:dyDescent="0.2">
      <c r="A1073" s="1">
        <v>41249</v>
      </c>
      <c r="B1073">
        <v>341</v>
      </c>
      <c r="C1073">
        <f>IF(B1073&gt;'user input'!$C$6,0,IF('heat units'!H1073&gt;1,1,'heat units'!H1073))</f>
        <v>0</v>
      </c>
      <c r="D1073">
        <f>IF(B1073&gt;'user input'!$C$6,0,(C1073/(C1073+EXP('user input'!$C$15-'user input'!$C$14*C1073))))</f>
        <v>0</v>
      </c>
      <c r="E1073">
        <f>IF(C1073&lt;'user input'!$C$12,(D1073-D1072)*'user input'!$C$17*(1-EXP(5*(F1072-'user input'!$C$17))),F1073-F1072)</f>
        <v>0</v>
      </c>
      <c r="F1073">
        <f>IF(C1073&lt;'user input'!$C$12,IF(B1073&gt;'user input'!$C$6,0,F1072+E1073),'user input'!$C$17*((1-C1073)/(1-'user input'!$C$12)))</f>
        <v>0</v>
      </c>
    </row>
    <row r="1074" spans="1:6" x14ac:dyDescent="0.2">
      <c r="A1074" s="1">
        <v>41250</v>
      </c>
      <c r="B1074">
        <v>342</v>
      </c>
      <c r="C1074">
        <f>IF(B1074&gt;'user input'!$C$6,0,IF('heat units'!H1074&gt;1,1,'heat units'!H1074))</f>
        <v>0</v>
      </c>
      <c r="D1074">
        <f>IF(B1074&gt;'user input'!$C$6,0,(C1074/(C1074+EXP('user input'!$C$15-'user input'!$C$14*C1074))))</f>
        <v>0</v>
      </c>
      <c r="E1074">
        <f>IF(C1074&lt;'user input'!$C$12,(D1074-D1073)*'user input'!$C$17*(1-EXP(5*(F1073-'user input'!$C$17))),F1074-F1073)</f>
        <v>0</v>
      </c>
      <c r="F1074">
        <f>IF(C1074&lt;'user input'!$C$12,IF(B1074&gt;'user input'!$C$6,0,F1073+E1074),'user input'!$C$17*((1-C1074)/(1-'user input'!$C$12)))</f>
        <v>0</v>
      </c>
    </row>
    <row r="1075" spans="1:6" x14ac:dyDescent="0.2">
      <c r="A1075" s="1">
        <v>41251</v>
      </c>
      <c r="B1075">
        <v>343</v>
      </c>
      <c r="C1075">
        <f>IF(B1075&gt;'user input'!$C$6,0,IF('heat units'!H1075&gt;1,1,'heat units'!H1075))</f>
        <v>0</v>
      </c>
      <c r="D1075">
        <f>IF(B1075&gt;'user input'!$C$6,0,(C1075/(C1075+EXP('user input'!$C$15-'user input'!$C$14*C1075))))</f>
        <v>0</v>
      </c>
      <c r="E1075">
        <f>IF(C1075&lt;'user input'!$C$12,(D1075-D1074)*'user input'!$C$17*(1-EXP(5*(F1074-'user input'!$C$17))),F1075-F1074)</f>
        <v>0</v>
      </c>
      <c r="F1075">
        <f>IF(C1075&lt;'user input'!$C$12,IF(B1075&gt;'user input'!$C$6,0,F1074+E1075),'user input'!$C$17*((1-C1075)/(1-'user input'!$C$12)))</f>
        <v>0</v>
      </c>
    </row>
    <row r="1076" spans="1:6" x14ac:dyDescent="0.2">
      <c r="A1076" s="1">
        <v>41252</v>
      </c>
      <c r="B1076">
        <v>344</v>
      </c>
      <c r="C1076">
        <f>IF(B1076&gt;'user input'!$C$6,0,IF('heat units'!H1076&gt;1,1,'heat units'!H1076))</f>
        <v>0</v>
      </c>
      <c r="D1076">
        <f>IF(B1076&gt;'user input'!$C$6,0,(C1076/(C1076+EXP('user input'!$C$15-'user input'!$C$14*C1076))))</f>
        <v>0</v>
      </c>
      <c r="E1076">
        <f>IF(C1076&lt;'user input'!$C$12,(D1076-D1075)*'user input'!$C$17*(1-EXP(5*(F1075-'user input'!$C$17))),F1076-F1075)</f>
        <v>0</v>
      </c>
      <c r="F1076">
        <f>IF(C1076&lt;'user input'!$C$12,IF(B1076&gt;'user input'!$C$6,0,F1075+E1076),'user input'!$C$17*((1-C1076)/(1-'user input'!$C$12)))</f>
        <v>0</v>
      </c>
    </row>
    <row r="1077" spans="1:6" x14ac:dyDescent="0.2">
      <c r="A1077" s="1">
        <v>41253</v>
      </c>
      <c r="B1077">
        <v>345</v>
      </c>
      <c r="C1077">
        <f>IF(B1077&gt;'user input'!$C$6,0,IF('heat units'!H1077&gt;1,1,'heat units'!H1077))</f>
        <v>0</v>
      </c>
      <c r="D1077">
        <f>IF(B1077&gt;'user input'!$C$6,0,(C1077/(C1077+EXP('user input'!$C$15-'user input'!$C$14*C1077))))</f>
        <v>0</v>
      </c>
      <c r="E1077">
        <f>IF(C1077&lt;'user input'!$C$12,(D1077-D1076)*'user input'!$C$17*(1-EXP(5*(F1076-'user input'!$C$17))),F1077-F1076)</f>
        <v>0</v>
      </c>
      <c r="F1077">
        <f>IF(C1077&lt;'user input'!$C$12,IF(B1077&gt;'user input'!$C$6,0,F1076+E1077),'user input'!$C$17*((1-C1077)/(1-'user input'!$C$12)))</f>
        <v>0</v>
      </c>
    </row>
    <row r="1078" spans="1:6" x14ac:dyDescent="0.2">
      <c r="A1078" s="1">
        <v>41254</v>
      </c>
      <c r="B1078">
        <v>346</v>
      </c>
      <c r="C1078">
        <f>IF(B1078&gt;'user input'!$C$6,0,IF('heat units'!H1078&gt;1,1,'heat units'!H1078))</f>
        <v>0</v>
      </c>
      <c r="D1078">
        <f>IF(B1078&gt;'user input'!$C$6,0,(C1078/(C1078+EXP('user input'!$C$15-'user input'!$C$14*C1078))))</f>
        <v>0</v>
      </c>
      <c r="E1078">
        <f>IF(C1078&lt;'user input'!$C$12,(D1078-D1077)*'user input'!$C$17*(1-EXP(5*(F1077-'user input'!$C$17))),F1078-F1077)</f>
        <v>0</v>
      </c>
      <c r="F1078">
        <f>IF(C1078&lt;'user input'!$C$12,IF(B1078&gt;'user input'!$C$6,0,F1077+E1078),'user input'!$C$17*((1-C1078)/(1-'user input'!$C$12)))</f>
        <v>0</v>
      </c>
    </row>
    <row r="1079" spans="1:6" x14ac:dyDescent="0.2">
      <c r="A1079" s="1">
        <v>41255</v>
      </c>
      <c r="B1079">
        <v>347</v>
      </c>
      <c r="C1079">
        <f>IF(B1079&gt;'user input'!$C$6,0,IF('heat units'!H1079&gt;1,1,'heat units'!H1079))</f>
        <v>0</v>
      </c>
      <c r="D1079">
        <f>IF(B1079&gt;'user input'!$C$6,0,(C1079/(C1079+EXP('user input'!$C$15-'user input'!$C$14*C1079))))</f>
        <v>0</v>
      </c>
      <c r="E1079">
        <f>IF(C1079&lt;'user input'!$C$12,(D1079-D1078)*'user input'!$C$17*(1-EXP(5*(F1078-'user input'!$C$17))),F1079-F1078)</f>
        <v>0</v>
      </c>
      <c r="F1079">
        <f>IF(C1079&lt;'user input'!$C$12,IF(B1079&gt;'user input'!$C$6,0,F1078+E1079),'user input'!$C$17*((1-C1079)/(1-'user input'!$C$12)))</f>
        <v>0</v>
      </c>
    </row>
    <row r="1080" spans="1:6" x14ac:dyDescent="0.2">
      <c r="A1080" s="1">
        <v>41256</v>
      </c>
      <c r="B1080">
        <v>348</v>
      </c>
      <c r="C1080">
        <f>IF(B1080&gt;'user input'!$C$6,0,IF('heat units'!H1080&gt;1,1,'heat units'!H1080))</f>
        <v>0</v>
      </c>
      <c r="D1080">
        <f>IF(B1080&gt;'user input'!$C$6,0,(C1080/(C1080+EXP('user input'!$C$15-'user input'!$C$14*C1080))))</f>
        <v>0</v>
      </c>
      <c r="E1080">
        <f>IF(C1080&lt;'user input'!$C$12,(D1080-D1079)*'user input'!$C$17*(1-EXP(5*(F1079-'user input'!$C$17))),F1080-F1079)</f>
        <v>0</v>
      </c>
      <c r="F1080">
        <f>IF(C1080&lt;'user input'!$C$12,IF(B1080&gt;'user input'!$C$6,0,F1079+E1080),'user input'!$C$17*((1-C1080)/(1-'user input'!$C$12)))</f>
        <v>0</v>
      </c>
    </row>
    <row r="1081" spans="1:6" x14ac:dyDescent="0.2">
      <c r="A1081" s="1">
        <v>41257</v>
      </c>
      <c r="B1081">
        <v>349</v>
      </c>
      <c r="C1081">
        <f>IF(B1081&gt;'user input'!$C$6,0,IF('heat units'!H1081&gt;1,1,'heat units'!H1081))</f>
        <v>0</v>
      </c>
      <c r="D1081">
        <f>IF(B1081&gt;'user input'!$C$6,0,(C1081/(C1081+EXP('user input'!$C$15-'user input'!$C$14*C1081))))</f>
        <v>0</v>
      </c>
      <c r="E1081">
        <f>IF(C1081&lt;'user input'!$C$12,(D1081-D1080)*'user input'!$C$17*(1-EXP(5*(F1080-'user input'!$C$17))),F1081-F1080)</f>
        <v>0</v>
      </c>
      <c r="F1081">
        <f>IF(C1081&lt;'user input'!$C$12,IF(B1081&gt;'user input'!$C$6,0,F1080+E1081),'user input'!$C$17*((1-C1081)/(1-'user input'!$C$12)))</f>
        <v>0</v>
      </c>
    </row>
    <row r="1082" spans="1:6" x14ac:dyDescent="0.2">
      <c r="A1082" s="1">
        <v>41258</v>
      </c>
      <c r="B1082">
        <v>350</v>
      </c>
      <c r="C1082">
        <f>IF(B1082&gt;'user input'!$C$6,0,IF('heat units'!H1082&gt;1,1,'heat units'!H1082))</f>
        <v>0</v>
      </c>
      <c r="D1082">
        <f>IF(B1082&gt;'user input'!$C$6,0,(C1082/(C1082+EXP('user input'!$C$15-'user input'!$C$14*C1082))))</f>
        <v>0</v>
      </c>
      <c r="E1082">
        <f>IF(C1082&lt;'user input'!$C$12,(D1082-D1081)*'user input'!$C$17*(1-EXP(5*(F1081-'user input'!$C$17))),F1082-F1081)</f>
        <v>0</v>
      </c>
      <c r="F1082">
        <f>IF(C1082&lt;'user input'!$C$12,IF(B1082&gt;'user input'!$C$6,0,F1081+E1082),'user input'!$C$17*((1-C1082)/(1-'user input'!$C$12)))</f>
        <v>0</v>
      </c>
    </row>
    <row r="1083" spans="1:6" x14ac:dyDescent="0.2">
      <c r="A1083" s="1">
        <v>41259</v>
      </c>
      <c r="B1083">
        <v>351</v>
      </c>
      <c r="C1083">
        <f>IF(B1083&gt;'user input'!$C$6,0,IF('heat units'!H1083&gt;1,1,'heat units'!H1083))</f>
        <v>0</v>
      </c>
      <c r="D1083">
        <f>IF(B1083&gt;'user input'!$C$6,0,(C1083/(C1083+EXP('user input'!$C$15-'user input'!$C$14*C1083))))</f>
        <v>0</v>
      </c>
      <c r="E1083">
        <f>IF(C1083&lt;'user input'!$C$12,(D1083-D1082)*'user input'!$C$17*(1-EXP(5*(F1082-'user input'!$C$17))),F1083-F1082)</f>
        <v>0</v>
      </c>
      <c r="F1083">
        <f>IF(C1083&lt;'user input'!$C$12,IF(B1083&gt;'user input'!$C$6,0,F1082+E1083),'user input'!$C$17*((1-C1083)/(1-'user input'!$C$12)))</f>
        <v>0</v>
      </c>
    </row>
    <row r="1084" spans="1:6" x14ac:dyDescent="0.2">
      <c r="A1084" s="1">
        <v>41260</v>
      </c>
      <c r="B1084">
        <v>352</v>
      </c>
      <c r="C1084">
        <f>IF(B1084&gt;'user input'!$C$6,0,IF('heat units'!H1084&gt;1,1,'heat units'!H1084))</f>
        <v>0</v>
      </c>
      <c r="D1084">
        <f>IF(B1084&gt;'user input'!$C$6,0,(C1084/(C1084+EXP('user input'!$C$15-'user input'!$C$14*C1084))))</f>
        <v>0</v>
      </c>
      <c r="E1084">
        <f>IF(C1084&lt;'user input'!$C$12,(D1084-D1083)*'user input'!$C$17*(1-EXP(5*(F1083-'user input'!$C$17))),F1084-F1083)</f>
        <v>0</v>
      </c>
      <c r="F1084">
        <f>IF(C1084&lt;'user input'!$C$12,IF(B1084&gt;'user input'!$C$6,0,F1083+E1084),'user input'!$C$17*((1-C1084)/(1-'user input'!$C$12)))</f>
        <v>0</v>
      </c>
    </row>
    <row r="1085" spans="1:6" x14ac:dyDescent="0.2">
      <c r="A1085" s="1">
        <v>41261</v>
      </c>
      <c r="B1085">
        <v>353</v>
      </c>
      <c r="C1085">
        <f>IF(B1085&gt;'user input'!$C$6,0,IF('heat units'!H1085&gt;1,1,'heat units'!H1085))</f>
        <v>0</v>
      </c>
      <c r="D1085">
        <f>IF(B1085&gt;'user input'!$C$6,0,(C1085/(C1085+EXP('user input'!$C$15-'user input'!$C$14*C1085))))</f>
        <v>0</v>
      </c>
      <c r="E1085">
        <f>IF(C1085&lt;'user input'!$C$12,(D1085-D1084)*'user input'!$C$17*(1-EXP(5*(F1084-'user input'!$C$17))),F1085-F1084)</f>
        <v>0</v>
      </c>
      <c r="F1085">
        <f>IF(C1085&lt;'user input'!$C$12,IF(B1085&gt;'user input'!$C$6,0,F1084+E1085),'user input'!$C$17*((1-C1085)/(1-'user input'!$C$12)))</f>
        <v>0</v>
      </c>
    </row>
    <row r="1086" spans="1:6" x14ac:dyDescent="0.2">
      <c r="A1086" s="1">
        <v>41262</v>
      </c>
      <c r="B1086">
        <v>354</v>
      </c>
      <c r="C1086">
        <f>IF(B1086&gt;'user input'!$C$6,0,IF('heat units'!H1086&gt;1,1,'heat units'!H1086))</f>
        <v>0</v>
      </c>
      <c r="D1086">
        <f>IF(B1086&gt;'user input'!$C$6,0,(C1086/(C1086+EXP('user input'!$C$15-'user input'!$C$14*C1086))))</f>
        <v>0</v>
      </c>
      <c r="E1086">
        <f>IF(C1086&lt;'user input'!$C$12,(D1086-D1085)*'user input'!$C$17*(1-EXP(5*(F1085-'user input'!$C$17))),F1086-F1085)</f>
        <v>0</v>
      </c>
      <c r="F1086">
        <f>IF(C1086&lt;'user input'!$C$12,IF(B1086&gt;'user input'!$C$6,0,F1085+E1086),'user input'!$C$17*((1-C1086)/(1-'user input'!$C$12)))</f>
        <v>0</v>
      </c>
    </row>
    <row r="1087" spans="1:6" x14ac:dyDescent="0.2">
      <c r="A1087" s="1">
        <v>41263</v>
      </c>
      <c r="B1087">
        <v>355</v>
      </c>
      <c r="C1087">
        <f>IF(B1087&gt;'user input'!$C$6,0,IF('heat units'!H1087&gt;1,1,'heat units'!H1087))</f>
        <v>0</v>
      </c>
      <c r="D1087">
        <f>IF(B1087&gt;'user input'!$C$6,0,(C1087/(C1087+EXP('user input'!$C$15-'user input'!$C$14*C1087))))</f>
        <v>0</v>
      </c>
      <c r="E1087">
        <f>IF(C1087&lt;'user input'!$C$12,(D1087-D1086)*'user input'!$C$17*(1-EXP(5*(F1086-'user input'!$C$17))),F1087-F1086)</f>
        <v>0</v>
      </c>
      <c r="F1087">
        <f>IF(C1087&lt;'user input'!$C$12,IF(B1087&gt;'user input'!$C$6,0,F1086+E1087),'user input'!$C$17*((1-C1087)/(1-'user input'!$C$12)))</f>
        <v>0</v>
      </c>
    </row>
    <row r="1088" spans="1:6" x14ac:dyDescent="0.2">
      <c r="A1088" s="1">
        <v>41264</v>
      </c>
      <c r="B1088">
        <v>356</v>
      </c>
      <c r="C1088">
        <f>IF(B1088&gt;'user input'!$C$6,0,IF('heat units'!H1088&gt;1,1,'heat units'!H1088))</f>
        <v>0</v>
      </c>
      <c r="D1088">
        <f>IF(B1088&gt;'user input'!$C$6,0,(C1088/(C1088+EXP('user input'!$C$15-'user input'!$C$14*C1088))))</f>
        <v>0</v>
      </c>
      <c r="E1088">
        <f>IF(C1088&lt;'user input'!$C$12,(D1088-D1087)*'user input'!$C$17*(1-EXP(5*(F1087-'user input'!$C$17))),F1088-F1087)</f>
        <v>0</v>
      </c>
      <c r="F1088">
        <f>IF(C1088&lt;'user input'!$C$12,IF(B1088&gt;'user input'!$C$6,0,F1087+E1088),'user input'!$C$17*((1-C1088)/(1-'user input'!$C$12)))</f>
        <v>0</v>
      </c>
    </row>
    <row r="1089" spans="1:6" x14ac:dyDescent="0.2">
      <c r="A1089" s="1">
        <v>41265</v>
      </c>
      <c r="B1089">
        <v>357</v>
      </c>
      <c r="C1089">
        <f>IF(B1089&gt;'user input'!$C$6,0,IF('heat units'!H1089&gt;1,1,'heat units'!H1089))</f>
        <v>0</v>
      </c>
      <c r="D1089">
        <f>IF(B1089&gt;'user input'!$C$6,0,(C1089/(C1089+EXP('user input'!$C$15-'user input'!$C$14*C1089))))</f>
        <v>0</v>
      </c>
      <c r="E1089">
        <f>IF(C1089&lt;'user input'!$C$12,(D1089-D1088)*'user input'!$C$17*(1-EXP(5*(F1088-'user input'!$C$17))),F1089-F1088)</f>
        <v>0</v>
      </c>
      <c r="F1089">
        <f>IF(C1089&lt;'user input'!$C$12,IF(B1089&gt;'user input'!$C$6,0,F1088+E1089),'user input'!$C$17*((1-C1089)/(1-'user input'!$C$12)))</f>
        <v>0</v>
      </c>
    </row>
    <row r="1090" spans="1:6" x14ac:dyDescent="0.2">
      <c r="A1090" s="1">
        <v>41266</v>
      </c>
      <c r="B1090">
        <v>358</v>
      </c>
      <c r="C1090">
        <f>IF(B1090&gt;'user input'!$C$6,0,IF('heat units'!H1090&gt;1,1,'heat units'!H1090))</f>
        <v>0</v>
      </c>
      <c r="D1090">
        <f>IF(B1090&gt;'user input'!$C$6,0,(C1090/(C1090+EXP('user input'!$C$15-'user input'!$C$14*C1090))))</f>
        <v>0</v>
      </c>
      <c r="E1090">
        <f>IF(C1090&lt;'user input'!$C$12,(D1090-D1089)*'user input'!$C$17*(1-EXP(5*(F1089-'user input'!$C$17))),F1090-F1089)</f>
        <v>0</v>
      </c>
      <c r="F1090">
        <f>IF(C1090&lt;'user input'!$C$12,IF(B1090&gt;'user input'!$C$6,0,F1089+E1090),'user input'!$C$17*((1-C1090)/(1-'user input'!$C$12)))</f>
        <v>0</v>
      </c>
    </row>
    <row r="1091" spans="1:6" x14ac:dyDescent="0.2">
      <c r="A1091" s="1">
        <v>41267</v>
      </c>
      <c r="B1091">
        <v>359</v>
      </c>
      <c r="C1091">
        <f>IF(B1091&gt;'user input'!$C$6,0,IF('heat units'!H1091&gt;1,1,'heat units'!H1091))</f>
        <v>0</v>
      </c>
      <c r="D1091">
        <f>IF(B1091&gt;'user input'!$C$6,0,(C1091/(C1091+EXP('user input'!$C$15-'user input'!$C$14*C1091))))</f>
        <v>0</v>
      </c>
      <c r="E1091">
        <f>IF(C1091&lt;'user input'!$C$12,(D1091-D1090)*'user input'!$C$17*(1-EXP(5*(F1090-'user input'!$C$17))),F1091-F1090)</f>
        <v>0</v>
      </c>
      <c r="F1091">
        <f>IF(C1091&lt;'user input'!$C$12,IF(B1091&gt;'user input'!$C$6,0,F1090+E1091),'user input'!$C$17*((1-C1091)/(1-'user input'!$C$12)))</f>
        <v>0</v>
      </c>
    </row>
    <row r="1092" spans="1:6" x14ac:dyDescent="0.2">
      <c r="A1092" s="1">
        <v>41268</v>
      </c>
      <c r="B1092">
        <v>360</v>
      </c>
      <c r="C1092">
        <f>IF(B1092&gt;'user input'!$C$6,0,IF('heat units'!H1092&gt;1,1,'heat units'!H1092))</f>
        <v>0</v>
      </c>
      <c r="D1092">
        <f>IF(B1092&gt;'user input'!$C$6,0,(C1092/(C1092+EXP('user input'!$C$15-'user input'!$C$14*C1092))))</f>
        <v>0</v>
      </c>
      <c r="E1092">
        <f>IF(C1092&lt;'user input'!$C$12,(D1092-D1091)*'user input'!$C$17*(1-EXP(5*(F1091-'user input'!$C$17))),F1092-F1091)</f>
        <v>0</v>
      </c>
      <c r="F1092">
        <f>IF(C1092&lt;'user input'!$C$12,IF(B1092&gt;'user input'!$C$6,0,F1091+E1092),'user input'!$C$17*((1-C1092)/(1-'user input'!$C$12)))</f>
        <v>0</v>
      </c>
    </row>
    <row r="1093" spans="1:6" x14ac:dyDescent="0.2">
      <c r="A1093" s="1">
        <v>41269</v>
      </c>
      <c r="B1093">
        <v>361</v>
      </c>
      <c r="C1093">
        <f>IF(B1093&gt;'user input'!$C$6,0,IF('heat units'!H1093&gt;1,1,'heat units'!H1093))</f>
        <v>0</v>
      </c>
      <c r="D1093">
        <f>IF(B1093&gt;'user input'!$C$6,0,(C1093/(C1093+EXP('user input'!$C$15-'user input'!$C$14*C1093))))</f>
        <v>0</v>
      </c>
      <c r="E1093">
        <f>IF(C1093&lt;'user input'!$C$12,(D1093-D1092)*'user input'!$C$17*(1-EXP(5*(F1092-'user input'!$C$17))),F1093-F1092)</f>
        <v>0</v>
      </c>
      <c r="F1093">
        <f>IF(C1093&lt;'user input'!$C$12,IF(B1093&gt;'user input'!$C$6,0,F1092+E1093),'user input'!$C$17*((1-C1093)/(1-'user input'!$C$12)))</f>
        <v>0</v>
      </c>
    </row>
    <row r="1094" spans="1:6" x14ac:dyDescent="0.2">
      <c r="A1094" s="1">
        <v>41270</v>
      </c>
      <c r="B1094">
        <v>362</v>
      </c>
      <c r="C1094">
        <f>IF(B1094&gt;'user input'!$C$6,0,IF('heat units'!H1094&gt;1,1,'heat units'!H1094))</f>
        <v>0</v>
      </c>
      <c r="D1094">
        <f>IF(B1094&gt;'user input'!$C$6,0,(C1094/(C1094+EXP('user input'!$C$15-'user input'!$C$14*C1094))))</f>
        <v>0</v>
      </c>
      <c r="E1094">
        <f>IF(C1094&lt;'user input'!$C$12,(D1094-D1093)*'user input'!$C$17*(1-EXP(5*(F1093-'user input'!$C$17))),F1094-F1093)</f>
        <v>0</v>
      </c>
      <c r="F1094">
        <f>IF(C1094&lt;'user input'!$C$12,IF(B1094&gt;'user input'!$C$6,0,F1093+E1094),'user input'!$C$17*((1-C1094)/(1-'user input'!$C$12)))</f>
        <v>0</v>
      </c>
    </row>
    <row r="1095" spans="1:6" x14ac:dyDescent="0.2">
      <c r="A1095" s="1">
        <v>41271</v>
      </c>
      <c r="B1095">
        <v>363</v>
      </c>
      <c r="C1095">
        <f>IF(B1095&gt;'user input'!$C$6,0,IF('heat units'!H1095&gt;1,1,'heat units'!H1095))</f>
        <v>0</v>
      </c>
      <c r="D1095">
        <f>IF(B1095&gt;'user input'!$C$6,0,(C1095/(C1095+EXP('user input'!$C$15-'user input'!$C$14*C1095))))</f>
        <v>0</v>
      </c>
      <c r="E1095">
        <f>IF(C1095&lt;'user input'!$C$12,(D1095-D1094)*'user input'!$C$17*(1-EXP(5*(F1094-'user input'!$C$17))),F1095-F1094)</f>
        <v>0</v>
      </c>
      <c r="F1095">
        <f>IF(C1095&lt;'user input'!$C$12,IF(B1095&gt;'user input'!$C$6,0,F1094+E1095),'user input'!$C$17*((1-C1095)/(1-'user input'!$C$12)))</f>
        <v>0</v>
      </c>
    </row>
    <row r="1096" spans="1:6" x14ac:dyDescent="0.2">
      <c r="A1096" s="1">
        <v>41272</v>
      </c>
      <c r="B1096">
        <v>364</v>
      </c>
      <c r="C1096">
        <f>IF(B1096&gt;'user input'!$C$6,0,IF('heat units'!H1096&gt;1,1,'heat units'!H1096))</f>
        <v>0</v>
      </c>
      <c r="D1096">
        <f>IF(B1096&gt;'user input'!$C$6,0,(C1096/(C1096+EXP('user input'!$C$15-'user input'!$C$14*C1096))))</f>
        <v>0</v>
      </c>
      <c r="E1096">
        <f>IF(C1096&lt;'user input'!$C$12,(D1096-D1095)*'user input'!$C$17*(1-EXP(5*(F1095-'user input'!$C$17))),F1096-F1095)</f>
        <v>0</v>
      </c>
      <c r="F1096">
        <f>IF(C1096&lt;'user input'!$C$12,IF(B1096&gt;'user input'!$C$6,0,F1095+E1096),'user input'!$C$17*((1-C1096)/(1-'user input'!$C$12)))</f>
        <v>0</v>
      </c>
    </row>
    <row r="1097" spans="1:6" x14ac:dyDescent="0.2">
      <c r="A1097" s="1">
        <v>41273</v>
      </c>
      <c r="B1097">
        <v>365</v>
      </c>
      <c r="C1097">
        <f>IF(B1097&gt;'user input'!$C$6,0,IF('heat units'!H1097&gt;1,1,'heat units'!H1097))</f>
        <v>0</v>
      </c>
      <c r="D1097">
        <f>IF(B1097&gt;'user input'!$C$6,0,(C1097/(C1097+EXP('user input'!$C$15-'user input'!$C$14*C1097))))</f>
        <v>0</v>
      </c>
      <c r="E1097">
        <f>IF(C1097&lt;'user input'!$C$12,(D1097-D1096)*'user input'!$C$17*(1-EXP(5*(F1096-'user input'!$C$17))),F1097-F1096)</f>
        <v>0</v>
      </c>
      <c r="F1097">
        <f>IF(C1097&lt;'user input'!$C$12,IF(B1097&gt;'user input'!$C$6,0,F1096+E1097),'user input'!$C$17*((1-C1097)/(1-'user input'!$C$12)))</f>
        <v>0</v>
      </c>
    </row>
    <row r="1098" spans="1:6" x14ac:dyDescent="0.2">
      <c r="A1098" s="1">
        <v>41274</v>
      </c>
      <c r="B1098">
        <v>1</v>
      </c>
      <c r="C1098">
        <f>IF(B1098&gt;'user input'!$C$6,0,IF('heat units'!H1098&gt;1,1,'heat units'!H1098))</f>
        <v>0</v>
      </c>
      <c r="D1098">
        <f>IF(B1098&gt;'user input'!$C$6,0,(C1098/(C1098+EXP('user input'!$C$15-'user input'!$C$14*C1098))))</f>
        <v>0</v>
      </c>
      <c r="E1098">
        <f>IF(C1098&lt;'user input'!$C$12,(D1098-D1097)*'user input'!$C$17*(1-EXP(5*(F1097-'user input'!$C$17))),F1098-F1097)</f>
        <v>0</v>
      </c>
      <c r="F1098">
        <f>IF(C1098&lt;'user input'!$C$12,IF(B1098&gt;'user input'!$C$6,0,F1097+E1098),'user input'!$C$17*((1-C1098)/(1-'user input'!$C$12)))</f>
        <v>0</v>
      </c>
    </row>
    <row r="1099" spans="1:6" x14ac:dyDescent="0.2">
      <c r="A1099" s="1">
        <v>41275</v>
      </c>
      <c r="B1099">
        <v>2</v>
      </c>
      <c r="C1099">
        <f>IF(B1099&gt;'user input'!$C$6,0,IF('heat units'!H1099&gt;1,1,'heat units'!H1099))</f>
        <v>0</v>
      </c>
      <c r="D1099">
        <f>IF(B1099&gt;'user input'!$C$6,0,(C1099/(C1099+EXP('user input'!$C$15-'user input'!$C$14*C1099))))</f>
        <v>0</v>
      </c>
      <c r="E1099">
        <f>IF(C1099&lt;'user input'!$C$12,(D1099-D1098)*'user input'!$C$17*(1-EXP(5*(F1098-'user input'!$C$17))),F1099-F1098)</f>
        <v>0</v>
      </c>
      <c r="F1099">
        <f>IF(C1099&lt;'user input'!$C$12,IF(B1099&gt;'user input'!$C$6,0,F1098+E1099),'user input'!$C$17*((1-C1099)/(1-'user input'!$C$12)))</f>
        <v>0</v>
      </c>
    </row>
    <row r="1100" spans="1:6" x14ac:dyDescent="0.2">
      <c r="A1100" s="1">
        <v>41276</v>
      </c>
      <c r="B1100">
        <v>3</v>
      </c>
      <c r="C1100">
        <f>IF(B1100&gt;'user input'!$C$6,0,IF('heat units'!H1100&gt;1,1,'heat units'!H1100))</f>
        <v>0</v>
      </c>
      <c r="D1100">
        <f>IF(B1100&gt;'user input'!$C$6,0,(C1100/(C1100+EXP('user input'!$C$15-'user input'!$C$14*C1100))))</f>
        <v>0</v>
      </c>
      <c r="E1100">
        <f>IF(C1100&lt;'user input'!$C$12,(D1100-D1099)*'user input'!$C$17*(1-EXP(5*(F1099-'user input'!$C$17))),F1100-F1099)</f>
        <v>0</v>
      </c>
      <c r="F1100">
        <f>IF(C1100&lt;'user input'!$C$12,IF(B1100&gt;'user input'!$C$6,0,F1099+E1100),'user input'!$C$17*((1-C1100)/(1-'user input'!$C$12)))</f>
        <v>0</v>
      </c>
    </row>
    <row r="1101" spans="1:6" x14ac:dyDescent="0.2">
      <c r="A1101" s="1">
        <v>41277</v>
      </c>
      <c r="B1101">
        <v>4</v>
      </c>
      <c r="C1101">
        <f>IF(B1101&gt;'user input'!$C$6,0,IF('heat units'!H1101&gt;1,1,'heat units'!H1101))</f>
        <v>0</v>
      </c>
      <c r="D1101">
        <f>IF(B1101&gt;'user input'!$C$6,0,(C1101/(C1101+EXP('user input'!$C$15-'user input'!$C$14*C1101))))</f>
        <v>0</v>
      </c>
      <c r="E1101">
        <f>IF(C1101&lt;'user input'!$C$12,(D1101-D1100)*'user input'!$C$17*(1-EXP(5*(F1100-'user input'!$C$17))),F1101-F1100)</f>
        <v>0</v>
      </c>
      <c r="F1101">
        <f>IF(C1101&lt;'user input'!$C$12,IF(B1101&gt;'user input'!$C$6,0,F1100+E1101),'user input'!$C$17*((1-C1101)/(1-'user input'!$C$12)))</f>
        <v>0</v>
      </c>
    </row>
    <row r="1102" spans="1:6" x14ac:dyDescent="0.2">
      <c r="A1102" s="1">
        <v>41278</v>
      </c>
      <c r="B1102">
        <v>5</v>
      </c>
      <c r="C1102">
        <f>IF(B1102&gt;'user input'!$C$6,0,IF('heat units'!H1102&gt;1,1,'heat units'!H1102))</f>
        <v>0</v>
      </c>
      <c r="D1102">
        <f>IF(B1102&gt;'user input'!$C$6,0,(C1102/(C1102+EXP('user input'!$C$15-'user input'!$C$14*C1102))))</f>
        <v>0</v>
      </c>
      <c r="E1102">
        <f>IF(C1102&lt;'user input'!$C$12,(D1102-D1101)*'user input'!$C$17*(1-EXP(5*(F1101-'user input'!$C$17))),F1102-F1101)</f>
        <v>0</v>
      </c>
      <c r="F1102">
        <f>IF(C1102&lt;'user input'!$C$12,IF(B1102&gt;'user input'!$C$6,0,F1101+E1102),'user input'!$C$17*((1-C1102)/(1-'user input'!$C$12)))</f>
        <v>0</v>
      </c>
    </row>
    <row r="1103" spans="1:6" x14ac:dyDescent="0.2">
      <c r="A1103" s="1">
        <v>41279</v>
      </c>
      <c r="B1103">
        <v>6</v>
      </c>
      <c r="C1103">
        <f>IF(B1103&gt;'user input'!$C$6,0,IF('heat units'!H1103&gt;1,1,'heat units'!H1103))</f>
        <v>0</v>
      </c>
      <c r="D1103">
        <f>IF(B1103&gt;'user input'!$C$6,0,(C1103/(C1103+EXP('user input'!$C$15-'user input'!$C$14*C1103))))</f>
        <v>0</v>
      </c>
      <c r="E1103">
        <f>IF(C1103&lt;'user input'!$C$12,(D1103-D1102)*'user input'!$C$17*(1-EXP(5*(F1102-'user input'!$C$17))),F1103-F1102)</f>
        <v>0</v>
      </c>
      <c r="F1103">
        <f>IF(C1103&lt;'user input'!$C$12,IF(B1103&gt;'user input'!$C$6,0,F1102+E1103),'user input'!$C$17*((1-C1103)/(1-'user input'!$C$12)))</f>
        <v>0</v>
      </c>
    </row>
    <row r="1104" spans="1:6" x14ac:dyDescent="0.2">
      <c r="A1104" s="1">
        <v>41280</v>
      </c>
      <c r="B1104">
        <v>7</v>
      </c>
      <c r="C1104">
        <f>IF(B1104&gt;'user input'!$C$6,0,IF('heat units'!H1104&gt;1,1,'heat units'!H1104))</f>
        <v>0</v>
      </c>
      <c r="D1104">
        <f>IF(B1104&gt;'user input'!$C$6,0,(C1104/(C1104+EXP('user input'!$C$15-'user input'!$C$14*C1104))))</f>
        <v>0</v>
      </c>
      <c r="E1104">
        <f>IF(C1104&lt;'user input'!$C$12,(D1104-D1103)*'user input'!$C$17*(1-EXP(5*(F1103-'user input'!$C$17))),F1104-F1103)</f>
        <v>0</v>
      </c>
      <c r="F1104">
        <f>IF(C1104&lt;'user input'!$C$12,IF(B1104&gt;'user input'!$C$6,0,F1103+E1104),'user input'!$C$17*((1-C1104)/(1-'user input'!$C$12)))</f>
        <v>0</v>
      </c>
    </row>
    <row r="1105" spans="1:6" x14ac:dyDescent="0.2">
      <c r="A1105" s="1">
        <v>41281</v>
      </c>
      <c r="B1105">
        <v>8</v>
      </c>
      <c r="C1105">
        <f>IF(B1105&gt;'user input'!$C$6,0,IF('heat units'!H1105&gt;1,1,'heat units'!H1105))</f>
        <v>0</v>
      </c>
      <c r="D1105">
        <f>IF(B1105&gt;'user input'!$C$6,0,(C1105/(C1105+EXP('user input'!$C$15-'user input'!$C$14*C1105))))</f>
        <v>0</v>
      </c>
      <c r="E1105">
        <f>IF(C1105&lt;'user input'!$C$12,(D1105-D1104)*'user input'!$C$17*(1-EXP(5*(F1104-'user input'!$C$17))),F1105-F1104)</f>
        <v>0</v>
      </c>
      <c r="F1105">
        <f>IF(C1105&lt;'user input'!$C$12,IF(B1105&gt;'user input'!$C$6,0,F1104+E1105),'user input'!$C$17*((1-C1105)/(1-'user input'!$C$12)))</f>
        <v>0</v>
      </c>
    </row>
    <row r="1106" spans="1:6" x14ac:dyDescent="0.2">
      <c r="A1106" s="1">
        <v>41282</v>
      </c>
      <c r="B1106">
        <v>9</v>
      </c>
      <c r="C1106">
        <f>IF(B1106&gt;'user input'!$C$6,0,IF('heat units'!H1106&gt;1,1,'heat units'!H1106))</f>
        <v>0</v>
      </c>
      <c r="D1106">
        <f>IF(B1106&gt;'user input'!$C$6,0,(C1106/(C1106+EXP('user input'!$C$15-'user input'!$C$14*C1106))))</f>
        <v>0</v>
      </c>
      <c r="E1106">
        <f>IF(C1106&lt;'user input'!$C$12,(D1106-D1105)*'user input'!$C$17*(1-EXP(5*(F1105-'user input'!$C$17))),F1106-F1105)</f>
        <v>0</v>
      </c>
      <c r="F1106">
        <f>IF(C1106&lt;'user input'!$C$12,IF(B1106&gt;'user input'!$C$6,0,F1105+E1106),'user input'!$C$17*((1-C1106)/(1-'user input'!$C$12)))</f>
        <v>0</v>
      </c>
    </row>
    <row r="1107" spans="1:6" x14ac:dyDescent="0.2">
      <c r="A1107" s="1">
        <v>41283</v>
      </c>
      <c r="B1107">
        <v>10</v>
      </c>
      <c r="C1107">
        <f>IF(B1107&gt;'user input'!$C$6,0,IF('heat units'!H1107&gt;1,1,'heat units'!H1107))</f>
        <v>0</v>
      </c>
      <c r="D1107">
        <f>IF(B1107&gt;'user input'!$C$6,0,(C1107/(C1107+EXP('user input'!$C$15-'user input'!$C$14*C1107))))</f>
        <v>0</v>
      </c>
      <c r="E1107">
        <f>IF(C1107&lt;'user input'!$C$12,(D1107-D1106)*'user input'!$C$17*(1-EXP(5*(F1106-'user input'!$C$17))),F1107-F1106)</f>
        <v>0</v>
      </c>
      <c r="F1107">
        <f>IF(C1107&lt;'user input'!$C$12,IF(B1107&gt;'user input'!$C$6,0,F1106+E1107),'user input'!$C$17*((1-C1107)/(1-'user input'!$C$12)))</f>
        <v>0</v>
      </c>
    </row>
    <row r="1108" spans="1:6" x14ac:dyDescent="0.2">
      <c r="A1108" s="1">
        <v>41284</v>
      </c>
      <c r="B1108">
        <v>11</v>
      </c>
      <c r="C1108">
        <f>IF(B1108&gt;'user input'!$C$6,0,IF('heat units'!H1108&gt;1,1,'heat units'!H1108))</f>
        <v>0</v>
      </c>
      <c r="D1108">
        <f>IF(B1108&gt;'user input'!$C$6,0,(C1108/(C1108+EXP('user input'!$C$15-'user input'!$C$14*C1108))))</f>
        <v>0</v>
      </c>
      <c r="E1108">
        <f>IF(C1108&lt;'user input'!$C$12,(D1108-D1107)*'user input'!$C$17*(1-EXP(5*(F1107-'user input'!$C$17))),F1108-F1107)</f>
        <v>0</v>
      </c>
      <c r="F1108">
        <f>IF(C1108&lt;'user input'!$C$12,IF(B1108&gt;'user input'!$C$6,0,F1107+E1108),'user input'!$C$17*((1-C1108)/(1-'user input'!$C$12)))</f>
        <v>0</v>
      </c>
    </row>
    <row r="1109" spans="1:6" x14ac:dyDescent="0.2">
      <c r="A1109" s="1">
        <v>41285</v>
      </c>
      <c r="B1109">
        <v>12</v>
      </c>
      <c r="C1109">
        <f>IF(B1109&gt;'user input'!$C$6,0,IF('heat units'!H1109&gt;1,1,'heat units'!H1109))</f>
        <v>0</v>
      </c>
      <c r="D1109">
        <f>IF(B1109&gt;'user input'!$C$6,0,(C1109/(C1109+EXP('user input'!$C$15-'user input'!$C$14*C1109))))</f>
        <v>0</v>
      </c>
      <c r="E1109">
        <f>IF(C1109&lt;'user input'!$C$12,(D1109-D1108)*'user input'!$C$17*(1-EXP(5*(F1108-'user input'!$C$17))),F1109-F1108)</f>
        <v>0</v>
      </c>
      <c r="F1109">
        <f>IF(C1109&lt;'user input'!$C$12,IF(B1109&gt;'user input'!$C$6,0,F1108+E1109),'user input'!$C$17*((1-C1109)/(1-'user input'!$C$12)))</f>
        <v>0</v>
      </c>
    </row>
    <row r="1110" spans="1:6" x14ac:dyDescent="0.2">
      <c r="A1110" s="1">
        <v>41286</v>
      </c>
      <c r="B1110">
        <v>13</v>
      </c>
      <c r="C1110">
        <f>IF(B1110&gt;'user input'!$C$6,0,IF('heat units'!H1110&gt;1,1,'heat units'!H1110))</f>
        <v>0</v>
      </c>
      <c r="D1110">
        <f>IF(B1110&gt;'user input'!$C$6,0,(C1110/(C1110+EXP('user input'!$C$15-'user input'!$C$14*C1110))))</f>
        <v>0</v>
      </c>
      <c r="E1110">
        <f>IF(C1110&lt;'user input'!$C$12,(D1110-D1109)*'user input'!$C$17*(1-EXP(5*(F1109-'user input'!$C$17))),F1110-F1109)</f>
        <v>0</v>
      </c>
      <c r="F1110">
        <f>IF(C1110&lt;'user input'!$C$12,IF(B1110&gt;'user input'!$C$6,0,F1109+E1110),'user input'!$C$17*((1-C1110)/(1-'user input'!$C$12)))</f>
        <v>0</v>
      </c>
    </row>
    <row r="1111" spans="1:6" x14ac:dyDescent="0.2">
      <c r="A1111" s="1">
        <v>41287</v>
      </c>
      <c r="B1111">
        <v>14</v>
      </c>
      <c r="C1111">
        <f>IF(B1111&gt;'user input'!$C$6,0,IF('heat units'!H1111&gt;1,1,'heat units'!H1111))</f>
        <v>0</v>
      </c>
      <c r="D1111">
        <f>IF(B1111&gt;'user input'!$C$6,0,(C1111/(C1111+EXP('user input'!$C$15-'user input'!$C$14*C1111))))</f>
        <v>0</v>
      </c>
      <c r="E1111">
        <f>IF(C1111&lt;'user input'!$C$12,(D1111-D1110)*'user input'!$C$17*(1-EXP(5*(F1110-'user input'!$C$17))),F1111-F1110)</f>
        <v>0</v>
      </c>
      <c r="F1111">
        <f>IF(C1111&lt;'user input'!$C$12,IF(B1111&gt;'user input'!$C$6,0,F1110+E1111),'user input'!$C$17*((1-C1111)/(1-'user input'!$C$12)))</f>
        <v>0</v>
      </c>
    </row>
    <row r="1112" spans="1:6" x14ac:dyDescent="0.2">
      <c r="A1112" s="1">
        <v>41288</v>
      </c>
      <c r="B1112">
        <v>15</v>
      </c>
      <c r="C1112">
        <f>IF(B1112&gt;'user input'!$C$6,0,IF('heat units'!H1112&gt;1,1,'heat units'!H1112))</f>
        <v>0</v>
      </c>
      <c r="D1112">
        <f>IF(B1112&gt;'user input'!$C$6,0,(C1112/(C1112+EXP('user input'!$C$15-'user input'!$C$14*C1112))))</f>
        <v>0</v>
      </c>
      <c r="E1112">
        <f>IF(C1112&lt;'user input'!$C$12,(D1112-D1111)*'user input'!$C$17*(1-EXP(5*(F1111-'user input'!$C$17))),F1112-F1111)</f>
        <v>0</v>
      </c>
      <c r="F1112">
        <f>IF(C1112&lt;'user input'!$C$12,IF(B1112&gt;'user input'!$C$6,0,F1111+E1112),'user input'!$C$17*((1-C1112)/(1-'user input'!$C$12)))</f>
        <v>0</v>
      </c>
    </row>
    <row r="1113" spans="1:6" x14ac:dyDescent="0.2">
      <c r="A1113" s="1">
        <v>41289</v>
      </c>
      <c r="B1113">
        <v>16</v>
      </c>
      <c r="C1113">
        <f>IF(B1113&gt;'user input'!$C$6,0,IF('heat units'!H1113&gt;1,1,'heat units'!H1113))</f>
        <v>0</v>
      </c>
      <c r="D1113">
        <f>IF(B1113&gt;'user input'!$C$6,0,(C1113/(C1113+EXP('user input'!$C$15-'user input'!$C$14*C1113))))</f>
        <v>0</v>
      </c>
      <c r="E1113">
        <f>IF(C1113&lt;'user input'!$C$12,(D1113-D1112)*'user input'!$C$17*(1-EXP(5*(F1112-'user input'!$C$17))),F1113-F1112)</f>
        <v>0</v>
      </c>
      <c r="F1113">
        <f>IF(C1113&lt;'user input'!$C$12,IF(B1113&gt;'user input'!$C$6,0,F1112+E1113),'user input'!$C$17*((1-C1113)/(1-'user input'!$C$12)))</f>
        <v>0</v>
      </c>
    </row>
    <row r="1114" spans="1:6" x14ac:dyDescent="0.2">
      <c r="A1114" s="1">
        <v>41290</v>
      </c>
      <c r="B1114">
        <v>17</v>
      </c>
      <c r="C1114">
        <f>IF(B1114&gt;'user input'!$C$6,0,IF('heat units'!H1114&gt;1,1,'heat units'!H1114))</f>
        <v>0</v>
      </c>
      <c r="D1114">
        <f>IF(B1114&gt;'user input'!$C$6,0,(C1114/(C1114+EXP('user input'!$C$15-'user input'!$C$14*C1114))))</f>
        <v>0</v>
      </c>
      <c r="E1114">
        <f>IF(C1114&lt;'user input'!$C$12,(D1114-D1113)*'user input'!$C$17*(1-EXP(5*(F1113-'user input'!$C$17))),F1114-F1113)</f>
        <v>0</v>
      </c>
      <c r="F1114">
        <f>IF(C1114&lt;'user input'!$C$12,IF(B1114&gt;'user input'!$C$6,0,F1113+E1114),'user input'!$C$17*((1-C1114)/(1-'user input'!$C$12)))</f>
        <v>0</v>
      </c>
    </row>
    <row r="1115" spans="1:6" x14ac:dyDescent="0.2">
      <c r="A1115" s="1">
        <v>41291</v>
      </c>
      <c r="B1115">
        <v>18</v>
      </c>
      <c r="C1115">
        <f>IF(B1115&gt;'user input'!$C$6,0,IF('heat units'!H1115&gt;1,1,'heat units'!H1115))</f>
        <v>0</v>
      </c>
      <c r="D1115">
        <f>IF(B1115&gt;'user input'!$C$6,0,(C1115/(C1115+EXP('user input'!$C$15-'user input'!$C$14*C1115))))</f>
        <v>0</v>
      </c>
      <c r="E1115">
        <f>IF(C1115&lt;'user input'!$C$12,(D1115-D1114)*'user input'!$C$17*(1-EXP(5*(F1114-'user input'!$C$17))),F1115-F1114)</f>
        <v>0</v>
      </c>
      <c r="F1115">
        <f>IF(C1115&lt;'user input'!$C$12,IF(B1115&gt;'user input'!$C$6,0,F1114+E1115),'user input'!$C$17*((1-C1115)/(1-'user input'!$C$12)))</f>
        <v>0</v>
      </c>
    </row>
    <row r="1116" spans="1:6" x14ac:dyDescent="0.2">
      <c r="A1116" s="1">
        <v>41292</v>
      </c>
      <c r="B1116">
        <v>19</v>
      </c>
      <c r="C1116">
        <f>IF(B1116&gt;'user input'!$C$6,0,IF('heat units'!H1116&gt;1,1,'heat units'!H1116))</f>
        <v>0</v>
      </c>
      <c r="D1116">
        <f>IF(B1116&gt;'user input'!$C$6,0,(C1116/(C1116+EXP('user input'!$C$15-'user input'!$C$14*C1116))))</f>
        <v>0</v>
      </c>
      <c r="E1116">
        <f>IF(C1116&lt;'user input'!$C$12,(D1116-D1115)*'user input'!$C$17*(1-EXP(5*(F1115-'user input'!$C$17))),F1116-F1115)</f>
        <v>0</v>
      </c>
      <c r="F1116">
        <f>IF(C1116&lt;'user input'!$C$12,IF(B1116&gt;'user input'!$C$6,0,F1115+E1116),'user input'!$C$17*((1-C1116)/(1-'user input'!$C$12)))</f>
        <v>0</v>
      </c>
    </row>
    <row r="1117" spans="1:6" x14ac:dyDescent="0.2">
      <c r="A1117" s="1">
        <v>41293</v>
      </c>
      <c r="B1117">
        <v>20</v>
      </c>
      <c r="C1117">
        <f>IF(B1117&gt;'user input'!$C$6,0,IF('heat units'!H1117&gt;1,1,'heat units'!H1117))</f>
        <v>0</v>
      </c>
      <c r="D1117">
        <f>IF(B1117&gt;'user input'!$C$6,0,(C1117/(C1117+EXP('user input'!$C$15-'user input'!$C$14*C1117))))</f>
        <v>0</v>
      </c>
      <c r="E1117">
        <f>IF(C1117&lt;'user input'!$C$12,(D1117-D1116)*'user input'!$C$17*(1-EXP(5*(F1116-'user input'!$C$17))),F1117-F1116)</f>
        <v>0</v>
      </c>
      <c r="F1117">
        <f>IF(C1117&lt;'user input'!$C$12,IF(B1117&gt;'user input'!$C$6,0,F1116+E1117),'user input'!$C$17*((1-C1117)/(1-'user input'!$C$12)))</f>
        <v>0</v>
      </c>
    </row>
    <row r="1118" spans="1:6" x14ac:dyDescent="0.2">
      <c r="A1118" s="1">
        <v>41294</v>
      </c>
      <c r="B1118">
        <v>21</v>
      </c>
      <c r="C1118">
        <f>IF(B1118&gt;'user input'!$C$6,0,IF('heat units'!H1118&gt;1,1,'heat units'!H1118))</f>
        <v>0</v>
      </c>
      <c r="D1118">
        <f>IF(B1118&gt;'user input'!$C$6,0,(C1118/(C1118+EXP('user input'!$C$15-'user input'!$C$14*C1118))))</f>
        <v>0</v>
      </c>
      <c r="E1118">
        <f>IF(C1118&lt;'user input'!$C$12,(D1118-D1117)*'user input'!$C$17*(1-EXP(5*(F1117-'user input'!$C$17))),F1118-F1117)</f>
        <v>0</v>
      </c>
      <c r="F1118">
        <f>IF(C1118&lt;'user input'!$C$12,IF(B1118&gt;'user input'!$C$6,0,F1117+E1118),'user input'!$C$17*((1-C1118)/(1-'user input'!$C$12)))</f>
        <v>0</v>
      </c>
    </row>
    <row r="1119" spans="1:6" x14ac:dyDescent="0.2">
      <c r="A1119" s="1">
        <v>41295</v>
      </c>
      <c r="B1119">
        <v>22</v>
      </c>
      <c r="C1119">
        <f>IF(B1119&gt;'user input'!$C$6,0,IF('heat units'!H1119&gt;1,1,'heat units'!H1119))</f>
        <v>0</v>
      </c>
      <c r="D1119">
        <f>IF(B1119&gt;'user input'!$C$6,0,(C1119/(C1119+EXP('user input'!$C$15-'user input'!$C$14*C1119))))</f>
        <v>0</v>
      </c>
      <c r="E1119">
        <f>IF(C1119&lt;'user input'!$C$12,(D1119-D1118)*'user input'!$C$17*(1-EXP(5*(F1118-'user input'!$C$17))),F1119-F1118)</f>
        <v>0</v>
      </c>
      <c r="F1119">
        <f>IF(C1119&lt;'user input'!$C$12,IF(B1119&gt;'user input'!$C$6,0,F1118+E1119),'user input'!$C$17*((1-C1119)/(1-'user input'!$C$12)))</f>
        <v>0</v>
      </c>
    </row>
    <row r="1120" spans="1:6" x14ac:dyDescent="0.2">
      <c r="A1120" s="1">
        <v>41296</v>
      </c>
      <c r="B1120">
        <v>23</v>
      </c>
      <c r="C1120">
        <f>IF(B1120&gt;'user input'!$C$6,0,IF('heat units'!H1120&gt;1,1,'heat units'!H1120))</f>
        <v>0</v>
      </c>
      <c r="D1120">
        <f>IF(B1120&gt;'user input'!$C$6,0,(C1120/(C1120+EXP('user input'!$C$15-'user input'!$C$14*C1120))))</f>
        <v>0</v>
      </c>
      <c r="E1120">
        <f>IF(C1120&lt;'user input'!$C$12,(D1120-D1119)*'user input'!$C$17*(1-EXP(5*(F1119-'user input'!$C$17))),F1120-F1119)</f>
        <v>0</v>
      </c>
      <c r="F1120">
        <f>IF(C1120&lt;'user input'!$C$12,IF(B1120&gt;'user input'!$C$6,0,F1119+E1120),'user input'!$C$17*((1-C1120)/(1-'user input'!$C$12)))</f>
        <v>0</v>
      </c>
    </row>
    <row r="1121" spans="1:6" x14ac:dyDescent="0.2">
      <c r="A1121" s="1">
        <v>41297</v>
      </c>
      <c r="B1121">
        <v>24</v>
      </c>
      <c r="C1121">
        <f>IF(B1121&gt;'user input'!$C$6,0,IF('heat units'!H1121&gt;1,1,'heat units'!H1121))</f>
        <v>0</v>
      </c>
      <c r="D1121">
        <f>IF(B1121&gt;'user input'!$C$6,0,(C1121/(C1121+EXP('user input'!$C$15-'user input'!$C$14*C1121))))</f>
        <v>0</v>
      </c>
      <c r="E1121">
        <f>IF(C1121&lt;'user input'!$C$12,(D1121-D1120)*'user input'!$C$17*(1-EXP(5*(F1120-'user input'!$C$17))),F1121-F1120)</f>
        <v>0</v>
      </c>
      <c r="F1121">
        <f>IF(C1121&lt;'user input'!$C$12,IF(B1121&gt;'user input'!$C$6,0,F1120+E1121),'user input'!$C$17*((1-C1121)/(1-'user input'!$C$12)))</f>
        <v>0</v>
      </c>
    </row>
    <row r="1122" spans="1:6" x14ac:dyDescent="0.2">
      <c r="A1122" s="1">
        <v>41298</v>
      </c>
      <c r="B1122">
        <v>25</v>
      </c>
      <c r="C1122">
        <f>IF(B1122&gt;'user input'!$C$6,0,IF('heat units'!H1122&gt;1,1,'heat units'!H1122))</f>
        <v>0</v>
      </c>
      <c r="D1122">
        <f>IF(B1122&gt;'user input'!$C$6,0,(C1122/(C1122+EXP('user input'!$C$15-'user input'!$C$14*C1122))))</f>
        <v>0</v>
      </c>
      <c r="E1122">
        <f>IF(C1122&lt;'user input'!$C$12,(D1122-D1121)*'user input'!$C$17*(1-EXP(5*(F1121-'user input'!$C$17))),F1122-F1121)</f>
        <v>0</v>
      </c>
      <c r="F1122">
        <f>IF(C1122&lt;'user input'!$C$12,IF(B1122&gt;'user input'!$C$6,0,F1121+E1122),'user input'!$C$17*((1-C1122)/(1-'user input'!$C$12)))</f>
        <v>0</v>
      </c>
    </row>
    <row r="1123" spans="1:6" x14ac:dyDescent="0.2">
      <c r="A1123" s="1">
        <v>41299</v>
      </c>
      <c r="B1123">
        <v>26</v>
      </c>
      <c r="C1123">
        <f>IF(B1123&gt;'user input'!$C$6,0,IF('heat units'!H1123&gt;1,1,'heat units'!H1123))</f>
        <v>0</v>
      </c>
      <c r="D1123">
        <f>IF(B1123&gt;'user input'!$C$6,0,(C1123/(C1123+EXP('user input'!$C$15-'user input'!$C$14*C1123))))</f>
        <v>0</v>
      </c>
      <c r="E1123">
        <f>IF(C1123&lt;'user input'!$C$12,(D1123-D1122)*'user input'!$C$17*(1-EXP(5*(F1122-'user input'!$C$17))),F1123-F1122)</f>
        <v>0</v>
      </c>
      <c r="F1123">
        <f>IF(C1123&lt;'user input'!$C$12,IF(B1123&gt;'user input'!$C$6,0,F1122+E1123),'user input'!$C$17*((1-C1123)/(1-'user input'!$C$12)))</f>
        <v>0</v>
      </c>
    </row>
    <row r="1124" spans="1:6" x14ac:dyDescent="0.2">
      <c r="A1124" s="1">
        <v>41300</v>
      </c>
      <c r="B1124">
        <v>27</v>
      </c>
      <c r="C1124">
        <f>IF(B1124&gt;'user input'!$C$6,0,IF('heat units'!H1124&gt;1,1,'heat units'!H1124))</f>
        <v>0</v>
      </c>
      <c r="D1124">
        <f>IF(B1124&gt;'user input'!$C$6,0,(C1124/(C1124+EXP('user input'!$C$15-'user input'!$C$14*C1124))))</f>
        <v>0</v>
      </c>
      <c r="E1124">
        <f>IF(C1124&lt;'user input'!$C$12,(D1124-D1123)*'user input'!$C$17*(1-EXP(5*(F1123-'user input'!$C$17))),F1124-F1123)</f>
        <v>0</v>
      </c>
      <c r="F1124">
        <f>IF(C1124&lt;'user input'!$C$12,IF(B1124&gt;'user input'!$C$6,0,F1123+E1124),'user input'!$C$17*((1-C1124)/(1-'user input'!$C$12)))</f>
        <v>0</v>
      </c>
    </row>
    <row r="1125" spans="1:6" x14ac:dyDescent="0.2">
      <c r="A1125" s="1">
        <v>41301</v>
      </c>
      <c r="B1125">
        <v>28</v>
      </c>
      <c r="C1125">
        <f>IF(B1125&gt;'user input'!$C$6,0,IF('heat units'!H1125&gt;1,1,'heat units'!H1125))</f>
        <v>0</v>
      </c>
      <c r="D1125">
        <f>IF(B1125&gt;'user input'!$C$6,0,(C1125/(C1125+EXP('user input'!$C$15-'user input'!$C$14*C1125))))</f>
        <v>0</v>
      </c>
      <c r="E1125">
        <f>IF(C1125&lt;'user input'!$C$12,(D1125-D1124)*'user input'!$C$17*(1-EXP(5*(F1124-'user input'!$C$17))),F1125-F1124)</f>
        <v>0</v>
      </c>
      <c r="F1125">
        <f>IF(C1125&lt;'user input'!$C$12,IF(B1125&gt;'user input'!$C$6,0,F1124+E1125),'user input'!$C$17*((1-C1125)/(1-'user input'!$C$12)))</f>
        <v>0</v>
      </c>
    </row>
    <row r="1126" spans="1:6" x14ac:dyDescent="0.2">
      <c r="A1126" s="1">
        <v>41302</v>
      </c>
      <c r="B1126">
        <v>29</v>
      </c>
      <c r="C1126">
        <f>IF(B1126&gt;'user input'!$C$6,0,IF('heat units'!H1126&gt;1,1,'heat units'!H1126))</f>
        <v>0</v>
      </c>
      <c r="D1126">
        <f>IF(B1126&gt;'user input'!$C$6,0,(C1126/(C1126+EXP('user input'!$C$15-'user input'!$C$14*C1126))))</f>
        <v>0</v>
      </c>
      <c r="E1126">
        <f>IF(C1126&lt;'user input'!$C$12,(D1126-D1125)*'user input'!$C$17*(1-EXP(5*(F1125-'user input'!$C$17))),F1126-F1125)</f>
        <v>0</v>
      </c>
      <c r="F1126">
        <f>IF(C1126&lt;'user input'!$C$12,IF(B1126&gt;'user input'!$C$6,0,F1125+E1126),'user input'!$C$17*((1-C1126)/(1-'user input'!$C$12)))</f>
        <v>0</v>
      </c>
    </row>
    <row r="1127" spans="1:6" x14ac:dyDescent="0.2">
      <c r="A1127" s="1">
        <v>41303</v>
      </c>
      <c r="B1127">
        <v>30</v>
      </c>
      <c r="C1127">
        <f>IF(B1127&gt;'user input'!$C$6,0,IF('heat units'!H1127&gt;1,1,'heat units'!H1127))</f>
        <v>0</v>
      </c>
      <c r="D1127">
        <f>IF(B1127&gt;'user input'!$C$6,0,(C1127/(C1127+EXP('user input'!$C$15-'user input'!$C$14*C1127))))</f>
        <v>0</v>
      </c>
      <c r="E1127">
        <f>IF(C1127&lt;'user input'!$C$12,(D1127-D1126)*'user input'!$C$17*(1-EXP(5*(F1126-'user input'!$C$17))),F1127-F1126)</f>
        <v>0</v>
      </c>
      <c r="F1127">
        <f>IF(C1127&lt;'user input'!$C$12,IF(B1127&gt;'user input'!$C$6,0,F1126+E1127),'user input'!$C$17*((1-C1127)/(1-'user input'!$C$12)))</f>
        <v>0</v>
      </c>
    </row>
    <row r="1128" spans="1:6" x14ac:dyDescent="0.2">
      <c r="A1128" s="1">
        <v>41304</v>
      </c>
      <c r="B1128">
        <v>31</v>
      </c>
      <c r="C1128">
        <f>IF(B1128&gt;'user input'!$C$6,0,IF('heat units'!H1128&gt;1,1,'heat units'!H1128))</f>
        <v>0</v>
      </c>
      <c r="D1128">
        <f>IF(B1128&gt;'user input'!$C$6,0,(C1128/(C1128+EXP('user input'!$C$15-'user input'!$C$14*C1128))))</f>
        <v>0</v>
      </c>
      <c r="E1128">
        <f>IF(C1128&lt;'user input'!$C$12,(D1128-D1127)*'user input'!$C$17*(1-EXP(5*(F1127-'user input'!$C$17))),F1128-F1127)</f>
        <v>0</v>
      </c>
      <c r="F1128">
        <f>IF(C1128&lt;'user input'!$C$12,IF(B1128&gt;'user input'!$C$6,0,F1127+E1128),'user input'!$C$17*((1-C1128)/(1-'user input'!$C$12)))</f>
        <v>0</v>
      </c>
    </row>
    <row r="1129" spans="1:6" x14ac:dyDescent="0.2">
      <c r="A1129" s="1">
        <v>41305</v>
      </c>
      <c r="B1129">
        <v>32</v>
      </c>
      <c r="C1129">
        <f>IF(B1129&gt;'user input'!$C$6,0,IF('heat units'!H1129&gt;1,1,'heat units'!H1129))</f>
        <v>0</v>
      </c>
      <c r="D1129">
        <f>IF(B1129&gt;'user input'!$C$6,0,(C1129/(C1129+EXP('user input'!$C$15-'user input'!$C$14*C1129))))</f>
        <v>0</v>
      </c>
      <c r="E1129">
        <f>IF(C1129&lt;'user input'!$C$12,(D1129-D1128)*'user input'!$C$17*(1-EXP(5*(F1128-'user input'!$C$17))),F1129-F1128)</f>
        <v>0</v>
      </c>
      <c r="F1129">
        <f>IF(C1129&lt;'user input'!$C$12,IF(B1129&gt;'user input'!$C$6,0,F1128+E1129),'user input'!$C$17*((1-C1129)/(1-'user input'!$C$12)))</f>
        <v>0</v>
      </c>
    </row>
    <row r="1130" spans="1:6" x14ac:dyDescent="0.2">
      <c r="A1130" s="1">
        <v>41306</v>
      </c>
      <c r="B1130">
        <v>33</v>
      </c>
      <c r="C1130">
        <f>IF(B1130&gt;'user input'!$C$6,0,IF('heat units'!H1130&gt;1,1,'heat units'!H1130))</f>
        <v>0</v>
      </c>
      <c r="D1130">
        <f>IF(B1130&gt;'user input'!$C$6,0,(C1130/(C1130+EXP('user input'!$C$15-'user input'!$C$14*C1130))))</f>
        <v>0</v>
      </c>
      <c r="E1130">
        <f>IF(C1130&lt;'user input'!$C$12,(D1130-D1129)*'user input'!$C$17*(1-EXP(5*(F1129-'user input'!$C$17))),F1130-F1129)</f>
        <v>0</v>
      </c>
      <c r="F1130">
        <f>IF(C1130&lt;'user input'!$C$12,IF(B1130&gt;'user input'!$C$6,0,F1129+E1130),'user input'!$C$17*((1-C1130)/(1-'user input'!$C$12)))</f>
        <v>0</v>
      </c>
    </row>
    <row r="1131" spans="1:6" x14ac:dyDescent="0.2">
      <c r="A1131" s="1">
        <v>41307</v>
      </c>
      <c r="B1131">
        <v>34</v>
      </c>
      <c r="C1131">
        <f>IF(B1131&gt;'user input'!$C$6,0,IF('heat units'!H1131&gt;1,1,'heat units'!H1131))</f>
        <v>0</v>
      </c>
      <c r="D1131">
        <f>IF(B1131&gt;'user input'!$C$6,0,(C1131/(C1131+EXP('user input'!$C$15-'user input'!$C$14*C1131))))</f>
        <v>0</v>
      </c>
      <c r="E1131">
        <f>IF(C1131&lt;'user input'!$C$12,(D1131-D1130)*'user input'!$C$17*(1-EXP(5*(F1130-'user input'!$C$17))),F1131-F1130)</f>
        <v>0</v>
      </c>
      <c r="F1131">
        <f>IF(C1131&lt;'user input'!$C$12,IF(B1131&gt;'user input'!$C$6,0,F1130+E1131),'user input'!$C$17*((1-C1131)/(1-'user input'!$C$12)))</f>
        <v>0</v>
      </c>
    </row>
    <row r="1132" spans="1:6" x14ac:dyDescent="0.2">
      <c r="A1132" s="1">
        <v>41308</v>
      </c>
      <c r="B1132">
        <v>35</v>
      </c>
      <c r="C1132">
        <f>IF(B1132&gt;'user input'!$C$6,0,IF('heat units'!H1132&gt;1,1,'heat units'!H1132))</f>
        <v>0</v>
      </c>
      <c r="D1132">
        <f>IF(B1132&gt;'user input'!$C$6,0,(C1132/(C1132+EXP('user input'!$C$15-'user input'!$C$14*C1132))))</f>
        <v>0</v>
      </c>
      <c r="E1132">
        <f>IF(C1132&lt;'user input'!$C$12,(D1132-D1131)*'user input'!$C$17*(1-EXP(5*(F1131-'user input'!$C$17))),F1132-F1131)</f>
        <v>0</v>
      </c>
      <c r="F1132">
        <f>IF(C1132&lt;'user input'!$C$12,IF(B1132&gt;'user input'!$C$6,0,F1131+E1132),'user input'!$C$17*((1-C1132)/(1-'user input'!$C$12)))</f>
        <v>0</v>
      </c>
    </row>
    <row r="1133" spans="1:6" x14ac:dyDescent="0.2">
      <c r="A1133" s="1">
        <v>41309</v>
      </c>
      <c r="B1133">
        <v>36</v>
      </c>
      <c r="C1133">
        <f>IF(B1133&gt;'user input'!$C$6,0,IF('heat units'!H1133&gt;1,1,'heat units'!H1133))</f>
        <v>0</v>
      </c>
      <c r="D1133">
        <f>IF(B1133&gt;'user input'!$C$6,0,(C1133/(C1133+EXP('user input'!$C$15-'user input'!$C$14*C1133))))</f>
        <v>0</v>
      </c>
      <c r="E1133">
        <f>IF(C1133&lt;'user input'!$C$12,(D1133-D1132)*'user input'!$C$17*(1-EXP(5*(F1132-'user input'!$C$17))),F1133-F1132)</f>
        <v>0</v>
      </c>
      <c r="F1133">
        <f>IF(C1133&lt;'user input'!$C$12,IF(B1133&gt;'user input'!$C$6,0,F1132+E1133),'user input'!$C$17*((1-C1133)/(1-'user input'!$C$12)))</f>
        <v>0</v>
      </c>
    </row>
    <row r="1134" spans="1:6" x14ac:dyDescent="0.2">
      <c r="A1134" s="1">
        <v>41310</v>
      </c>
      <c r="B1134">
        <v>37</v>
      </c>
      <c r="C1134">
        <f>IF(B1134&gt;'user input'!$C$6,0,IF('heat units'!H1134&gt;1,1,'heat units'!H1134))</f>
        <v>0</v>
      </c>
      <c r="D1134">
        <f>IF(B1134&gt;'user input'!$C$6,0,(C1134/(C1134+EXP('user input'!$C$15-'user input'!$C$14*C1134))))</f>
        <v>0</v>
      </c>
      <c r="E1134">
        <f>IF(C1134&lt;'user input'!$C$12,(D1134-D1133)*'user input'!$C$17*(1-EXP(5*(F1133-'user input'!$C$17))),F1134-F1133)</f>
        <v>0</v>
      </c>
      <c r="F1134">
        <f>IF(C1134&lt;'user input'!$C$12,IF(B1134&gt;'user input'!$C$6,0,F1133+E1134),'user input'!$C$17*((1-C1134)/(1-'user input'!$C$12)))</f>
        <v>0</v>
      </c>
    </row>
    <row r="1135" spans="1:6" x14ac:dyDescent="0.2">
      <c r="A1135" s="1">
        <v>41311</v>
      </c>
      <c r="B1135">
        <v>38</v>
      </c>
      <c r="C1135">
        <f>IF(B1135&gt;'user input'!$C$6,0,IF('heat units'!H1135&gt;1,1,'heat units'!H1135))</f>
        <v>0</v>
      </c>
      <c r="D1135">
        <f>IF(B1135&gt;'user input'!$C$6,0,(C1135/(C1135+EXP('user input'!$C$15-'user input'!$C$14*C1135))))</f>
        <v>0</v>
      </c>
      <c r="E1135">
        <f>IF(C1135&lt;'user input'!$C$12,(D1135-D1134)*'user input'!$C$17*(1-EXP(5*(F1134-'user input'!$C$17))),F1135-F1134)</f>
        <v>0</v>
      </c>
      <c r="F1135">
        <f>IF(C1135&lt;'user input'!$C$12,IF(B1135&gt;'user input'!$C$6,0,F1134+E1135),'user input'!$C$17*((1-C1135)/(1-'user input'!$C$12)))</f>
        <v>0</v>
      </c>
    </row>
    <row r="1136" spans="1:6" x14ac:dyDescent="0.2">
      <c r="A1136" s="1">
        <v>41312</v>
      </c>
      <c r="B1136">
        <v>39</v>
      </c>
      <c r="C1136">
        <f>IF(B1136&gt;'user input'!$C$6,0,IF('heat units'!H1136&gt;1,1,'heat units'!H1136))</f>
        <v>0</v>
      </c>
      <c r="D1136">
        <f>IF(B1136&gt;'user input'!$C$6,0,(C1136/(C1136+EXP('user input'!$C$15-'user input'!$C$14*C1136))))</f>
        <v>0</v>
      </c>
      <c r="E1136">
        <f>IF(C1136&lt;'user input'!$C$12,(D1136-D1135)*'user input'!$C$17*(1-EXP(5*(F1135-'user input'!$C$17))),F1136-F1135)</f>
        <v>0</v>
      </c>
      <c r="F1136">
        <f>IF(C1136&lt;'user input'!$C$12,IF(B1136&gt;'user input'!$C$6,0,F1135+E1136),'user input'!$C$17*((1-C1136)/(1-'user input'!$C$12)))</f>
        <v>0</v>
      </c>
    </row>
    <row r="1137" spans="1:6" x14ac:dyDescent="0.2">
      <c r="A1137" s="1">
        <v>41313</v>
      </c>
      <c r="B1137">
        <v>40</v>
      </c>
      <c r="C1137">
        <f>IF(B1137&gt;'user input'!$C$6,0,IF('heat units'!H1137&gt;1,1,'heat units'!H1137))</f>
        <v>0</v>
      </c>
      <c r="D1137">
        <f>IF(B1137&gt;'user input'!$C$6,0,(C1137/(C1137+EXP('user input'!$C$15-'user input'!$C$14*C1137))))</f>
        <v>0</v>
      </c>
      <c r="E1137">
        <f>IF(C1137&lt;'user input'!$C$12,(D1137-D1136)*'user input'!$C$17*(1-EXP(5*(F1136-'user input'!$C$17))),F1137-F1136)</f>
        <v>0</v>
      </c>
      <c r="F1137">
        <f>IF(C1137&lt;'user input'!$C$12,IF(B1137&gt;'user input'!$C$6,0,F1136+E1137),'user input'!$C$17*((1-C1137)/(1-'user input'!$C$12)))</f>
        <v>0</v>
      </c>
    </row>
    <row r="1138" spans="1:6" x14ac:dyDescent="0.2">
      <c r="A1138" s="1">
        <v>41314</v>
      </c>
      <c r="B1138">
        <v>41</v>
      </c>
      <c r="C1138">
        <f>IF(B1138&gt;'user input'!$C$6,0,IF('heat units'!H1138&gt;1,1,'heat units'!H1138))</f>
        <v>0</v>
      </c>
      <c r="D1138">
        <f>IF(B1138&gt;'user input'!$C$6,0,(C1138/(C1138+EXP('user input'!$C$15-'user input'!$C$14*C1138))))</f>
        <v>0</v>
      </c>
      <c r="E1138">
        <f>IF(C1138&lt;'user input'!$C$12,(D1138-D1137)*'user input'!$C$17*(1-EXP(5*(F1137-'user input'!$C$17))),F1138-F1137)</f>
        <v>0</v>
      </c>
      <c r="F1138">
        <f>IF(C1138&lt;'user input'!$C$12,IF(B1138&gt;'user input'!$C$6,0,F1137+E1138),'user input'!$C$17*((1-C1138)/(1-'user input'!$C$12)))</f>
        <v>0</v>
      </c>
    </row>
    <row r="1139" spans="1:6" x14ac:dyDescent="0.2">
      <c r="A1139" s="1">
        <v>41315</v>
      </c>
      <c r="B1139">
        <v>42</v>
      </c>
      <c r="C1139">
        <f>IF(B1139&gt;'user input'!$C$6,0,IF('heat units'!H1139&gt;1,1,'heat units'!H1139))</f>
        <v>0</v>
      </c>
      <c r="D1139">
        <f>IF(B1139&gt;'user input'!$C$6,0,(C1139/(C1139+EXP('user input'!$C$15-'user input'!$C$14*C1139))))</f>
        <v>0</v>
      </c>
      <c r="E1139">
        <f>IF(C1139&lt;'user input'!$C$12,(D1139-D1138)*'user input'!$C$17*(1-EXP(5*(F1138-'user input'!$C$17))),F1139-F1138)</f>
        <v>0</v>
      </c>
      <c r="F1139">
        <f>IF(C1139&lt;'user input'!$C$12,IF(B1139&gt;'user input'!$C$6,0,F1138+E1139),'user input'!$C$17*((1-C1139)/(1-'user input'!$C$12)))</f>
        <v>0</v>
      </c>
    </row>
    <row r="1140" spans="1:6" x14ac:dyDescent="0.2">
      <c r="A1140" s="1">
        <v>41316</v>
      </c>
      <c r="B1140">
        <v>43</v>
      </c>
      <c r="C1140">
        <f>IF(B1140&gt;'user input'!$C$6,0,IF('heat units'!H1140&gt;1,1,'heat units'!H1140))</f>
        <v>0</v>
      </c>
      <c r="D1140">
        <f>IF(B1140&gt;'user input'!$C$6,0,(C1140/(C1140+EXP('user input'!$C$15-'user input'!$C$14*C1140))))</f>
        <v>0</v>
      </c>
      <c r="E1140">
        <f>IF(C1140&lt;'user input'!$C$12,(D1140-D1139)*'user input'!$C$17*(1-EXP(5*(F1139-'user input'!$C$17))),F1140-F1139)</f>
        <v>0</v>
      </c>
      <c r="F1140">
        <f>IF(C1140&lt;'user input'!$C$12,IF(B1140&gt;'user input'!$C$6,0,F1139+E1140),'user input'!$C$17*((1-C1140)/(1-'user input'!$C$12)))</f>
        <v>0</v>
      </c>
    </row>
    <row r="1141" spans="1:6" x14ac:dyDescent="0.2">
      <c r="A1141" s="1">
        <v>41317</v>
      </c>
      <c r="B1141">
        <v>44</v>
      </c>
      <c r="C1141">
        <f>IF(B1141&gt;'user input'!$C$6,0,IF('heat units'!H1141&gt;1,1,'heat units'!H1141))</f>
        <v>0</v>
      </c>
      <c r="D1141">
        <f>IF(B1141&gt;'user input'!$C$6,0,(C1141/(C1141+EXP('user input'!$C$15-'user input'!$C$14*C1141))))</f>
        <v>0</v>
      </c>
      <c r="E1141">
        <f>IF(C1141&lt;'user input'!$C$12,(D1141-D1140)*'user input'!$C$17*(1-EXP(5*(F1140-'user input'!$C$17))),F1141-F1140)</f>
        <v>0</v>
      </c>
      <c r="F1141">
        <f>IF(C1141&lt;'user input'!$C$12,IF(B1141&gt;'user input'!$C$6,0,F1140+E1141),'user input'!$C$17*((1-C1141)/(1-'user input'!$C$12)))</f>
        <v>0</v>
      </c>
    </row>
    <row r="1142" spans="1:6" x14ac:dyDescent="0.2">
      <c r="A1142" s="1">
        <v>41318</v>
      </c>
      <c r="B1142">
        <v>45</v>
      </c>
      <c r="C1142">
        <f>IF(B1142&gt;'user input'!$C$6,0,IF('heat units'!H1142&gt;1,1,'heat units'!H1142))</f>
        <v>0</v>
      </c>
      <c r="D1142">
        <f>IF(B1142&gt;'user input'!$C$6,0,(C1142/(C1142+EXP('user input'!$C$15-'user input'!$C$14*C1142))))</f>
        <v>0</v>
      </c>
      <c r="E1142">
        <f>IF(C1142&lt;'user input'!$C$12,(D1142-D1141)*'user input'!$C$17*(1-EXP(5*(F1141-'user input'!$C$17))),F1142-F1141)</f>
        <v>0</v>
      </c>
      <c r="F1142">
        <f>IF(C1142&lt;'user input'!$C$12,IF(B1142&gt;'user input'!$C$6,0,F1141+E1142),'user input'!$C$17*((1-C1142)/(1-'user input'!$C$12)))</f>
        <v>0</v>
      </c>
    </row>
    <row r="1143" spans="1:6" x14ac:dyDescent="0.2">
      <c r="A1143" s="1">
        <v>41319</v>
      </c>
      <c r="B1143">
        <v>46</v>
      </c>
      <c r="C1143">
        <f>IF(B1143&gt;'user input'!$C$6,0,IF('heat units'!H1143&gt;1,1,'heat units'!H1143))</f>
        <v>0</v>
      </c>
      <c r="D1143">
        <f>IF(B1143&gt;'user input'!$C$6,0,(C1143/(C1143+EXP('user input'!$C$15-'user input'!$C$14*C1143))))</f>
        <v>0</v>
      </c>
      <c r="E1143">
        <f>IF(C1143&lt;'user input'!$C$12,(D1143-D1142)*'user input'!$C$17*(1-EXP(5*(F1142-'user input'!$C$17))),F1143-F1142)</f>
        <v>0</v>
      </c>
      <c r="F1143">
        <f>IF(C1143&lt;'user input'!$C$12,IF(B1143&gt;'user input'!$C$6,0,F1142+E1143),'user input'!$C$17*((1-C1143)/(1-'user input'!$C$12)))</f>
        <v>0</v>
      </c>
    </row>
    <row r="1144" spans="1:6" x14ac:dyDescent="0.2">
      <c r="A1144" s="1">
        <v>41320</v>
      </c>
      <c r="B1144">
        <v>47</v>
      </c>
      <c r="C1144">
        <f>IF(B1144&gt;'user input'!$C$6,0,IF('heat units'!H1144&gt;1,1,'heat units'!H1144))</f>
        <v>0</v>
      </c>
      <c r="D1144">
        <f>IF(B1144&gt;'user input'!$C$6,0,(C1144/(C1144+EXP('user input'!$C$15-'user input'!$C$14*C1144))))</f>
        <v>0</v>
      </c>
      <c r="E1144">
        <f>IF(C1144&lt;'user input'!$C$12,(D1144-D1143)*'user input'!$C$17*(1-EXP(5*(F1143-'user input'!$C$17))),F1144-F1143)</f>
        <v>0</v>
      </c>
      <c r="F1144">
        <f>IF(C1144&lt;'user input'!$C$12,IF(B1144&gt;'user input'!$C$6,0,F1143+E1144),'user input'!$C$17*((1-C1144)/(1-'user input'!$C$12)))</f>
        <v>0</v>
      </c>
    </row>
    <row r="1145" spans="1:6" x14ac:dyDescent="0.2">
      <c r="A1145" s="1">
        <v>41321</v>
      </c>
      <c r="B1145">
        <v>48</v>
      </c>
      <c r="C1145">
        <f>IF(B1145&gt;'user input'!$C$6,0,IF('heat units'!H1145&gt;1,1,'heat units'!H1145))</f>
        <v>0</v>
      </c>
      <c r="D1145">
        <f>IF(B1145&gt;'user input'!$C$6,0,(C1145/(C1145+EXP('user input'!$C$15-'user input'!$C$14*C1145))))</f>
        <v>0</v>
      </c>
      <c r="E1145">
        <f>IF(C1145&lt;'user input'!$C$12,(D1145-D1144)*'user input'!$C$17*(1-EXP(5*(F1144-'user input'!$C$17))),F1145-F1144)</f>
        <v>0</v>
      </c>
      <c r="F1145">
        <f>IF(C1145&lt;'user input'!$C$12,IF(B1145&gt;'user input'!$C$6,0,F1144+E1145),'user input'!$C$17*((1-C1145)/(1-'user input'!$C$12)))</f>
        <v>0</v>
      </c>
    </row>
    <row r="1146" spans="1:6" x14ac:dyDescent="0.2">
      <c r="A1146" s="1">
        <v>41322</v>
      </c>
      <c r="B1146">
        <v>49</v>
      </c>
      <c r="C1146">
        <f>IF(B1146&gt;'user input'!$C$6,0,IF('heat units'!H1146&gt;1,1,'heat units'!H1146))</f>
        <v>0</v>
      </c>
      <c r="D1146">
        <f>IF(B1146&gt;'user input'!$C$6,0,(C1146/(C1146+EXP('user input'!$C$15-'user input'!$C$14*C1146))))</f>
        <v>0</v>
      </c>
      <c r="E1146">
        <f>IF(C1146&lt;'user input'!$C$12,(D1146-D1145)*'user input'!$C$17*(1-EXP(5*(F1145-'user input'!$C$17))),F1146-F1145)</f>
        <v>0</v>
      </c>
      <c r="F1146">
        <f>IF(C1146&lt;'user input'!$C$12,IF(B1146&gt;'user input'!$C$6,0,F1145+E1146),'user input'!$C$17*((1-C1146)/(1-'user input'!$C$12)))</f>
        <v>0</v>
      </c>
    </row>
    <row r="1147" spans="1:6" x14ac:dyDescent="0.2">
      <c r="A1147" s="1">
        <v>41323</v>
      </c>
      <c r="B1147">
        <v>50</v>
      </c>
      <c r="C1147">
        <f>IF(B1147&gt;'user input'!$C$6,0,IF('heat units'!H1147&gt;1,1,'heat units'!H1147))</f>
        <v>0</v>
      </c>
      <c r="D1147">
        <f>IF(B1147&gt;'user input'!$C$6,0,(C1147/(C1147+EXP('user input'!$C$15-'user input'!$C$14*C1147))))</f>
        <v>0</v>
      </c>
      <c r="E1147">
        <f>IF(C1147&lt;'user input'!$C$12,(D1147-D1146)*'user input'!$C$17*(1-EXP(5*(F1146-'user input'!$C$17))),F1147-F1146)</f>
        <v>0</v>
      </c>
      <c r="F1147">
        <f>IF(C1147&lt;'user input'!$C$12,IF(B1147&gt;'user input'!$C$6,0,F1146+E1147),'user input'!$C$17*((1-C1147)/(1-'user input'!$C$12)))</f>
        <v>0</v>
      </c>
    </row>
    <row r="1148" spans="1:6" x14ac:dyDescent="0.2">
      <c r="A1148" s="1">
        <v>41324</v>
      </c>
      <c r="B1148">
        <v>51</v>
      </c>
      <c r="C1148">
        <f>IF(B1148&gt;'user input'!$C$6,0,IF('heat units'!H1148&gt;1,1,'heat units'!H1148))</f>
        <v>0</v>
      </c>
      <c r="D1148">
        <f>IF(B1148&gt;'user input'!$C$6,0,(C1148/(C1148+EXP('user input'!$C$15-'user input'!$C$14*C1148))))</f>
        <v>0</v>
      </c>
      <c r="E1148">
        <f>IF(C1148&lt;'user input'!$C$12,(D1148-D1147)*'user input'!$C$17*(1-EXP(5*(F1147-'user input'!$C$17))),F1148-F1147)</f>
        <v>0</v>
      </c>
      <c r="F1148">
        <f>IF(C1148&lt;'user input'!$C$12,IF(B1148&gt;'user input'!$C$6,0,F1147+E1148),'user input'!$C$17*((1-C1148)/(1-'user input'!$C$12)))</f>
        <v>0</v>
      </c>
    </row>
    <row r="1149" spans="1:6" x14ac:dyDescent="0.2">
      <c r="A1149" s="1">
        <v>41325</v>
      </c>
      <c r="B1149">
        <v>52</v>
      </c>
      <c r="C1149">
        <f>IF(B1149&gt;'user input'!$C$6,0,IF('heat units'!H1149&gt;1,1,'heat units'!H1149))</f>
        <v>0</v>
      </c>
      <c r="D1149">
        <f>IF(B1149&gt;'user input'!$C$6,0,(C1149/(C1149+EXP('user input'!$C$15-'user input'!$C$14*C1149))))</f>
        <v>0</v>
      </c>
      <c r="E1149">
        <f>IF(C1149&lt;'user input'!$C$12,(D1149-D1148)*'user input'!$C$17*(1-EXP(5*(F1148-'user input'!$C$17))),F1149-F1148)</f>
        <v>0</v>
      </c>
      <c r="F1149">
        <f>IF(C1149&lt;'user input'!$C$12,IF(B1149&gt;'user input'!$C$6,0,F1148+E1149),'user input'!$C$17*((1-C1149)/(1-'user input'!$C$12)))</f>
        <v>0</v>
      </c>
    </row>
    <row r="1150" spans="1:6" x14ac:dyDescent="0.2">
      <c r="A1150" s="1">
        <v>41326</v>
      </c>
      <c r="B1150">
        <v>53</v>
      </c>
      <c r="C1150">
        <f>IF(B1150&gt;'user input'!$C$6,0,IF('heat units'!H1150&gt;1,1,'heat units'!H1150))</f>
        <v>0</v>
      </c>
      <c r="D1150">
        <f>IF(B1150&gt;'user input'!$C$6,0,(C1150/(C1150+EXP('user input'!$C$15-'user input'!$C$14*C1150))))</f>
        <v>0</v>
      </c>
      <c r="E1150">
        <f>IF(C1150&lt;'user input'!$C$12,(D1150-D1149)*'user input'!$C$17*(1-EXP(5*(F1149-'user input'!$C$17))),F1150-F1149)</f>
        <v>0</v>
      </c>
      <c r="F1150">
        <f>IF(C1150&lt;'user input'!$C$12,IF(B1150&gt;'user input'!$C$6,0,F1149+E1150),'user input'!$C$17*((1-C1150)/(1-'user input'!$C$12)))</f>
        <v>0</v>
      </c>
    </row>
    <row r="1151" spans="1:6" x14ac:dyDescent="0.2">
      <c r="A1151" s="1">
        <v>41327</v>
      </c>
      <c r="B1151">
        <v>54</v>
      </c>
      <c r="C1151">
        <f>IF(B1151&gt;'user input'!$C$6,0,IF('heat units'!H1151&gt;1,1,'heat units'!H1151))</f>
        <v>0</v>
      </c>
      <c r="D1151">
        <f>IF(B1151&gt;'user input'!$C$6,0,(C1151/(C1151+EXP('user input'!$C$15-'user input'!$C$14*C1151))))</f>
        <v>0</v>
      </c>
      <c r="E1151">
        <f>IF(C1151&lt;'user input'!$C$12,(D1151-D1150)*'user input'!$C$17*(1-EXP(5*(F1150-'user input'!$C$17))),F1151-F1150)</f>
        <v>0</v>
      </c>
      <c r="F1151">
        <f>IF(C1151&lt;'user input'!$C$12,IF(B1151&gt;'user input'!$C$6,0,F1150+E1151),'user input'!$C$17*((1-C1151)/(1-'user input'!$C$12)))</f>
        <v>0</v>
      </c>
    </row>
    <row r="1152" spans="1:6" x14ac:dyDescent="0.2">
      <c r="A1152" s="1">
        <v>41328</v>
      </c>
      <c r="B1152">
        <v>55</v>
      </c>
      <c r="C1152">
        <f>IF(B1152&gt;'user input'!$C$6,0,IF('heat units'!H1152&gt;1,1,'heat units'!H1152))</f>
        <v>0</v>
      </c>
      <c r="D1152">
        <f>IF(B1152&gt;'user input'!$C$6,0,(C1152/(C1152+EXP('user input'!$C$15-'user input'!$C$14*C1152))))</f>
        <v>0</v>
      </c>
      <c r="E1152">
        <f>IF(C1152&lt;'user input'!$C$12,(D1152-D1151)*'user input'!$C$17*(1-EXP(5*(F1151-'user input'!$C$17))),F1152-F1151)</f>
        <v>0</v>
      </c>
      <c r="F1152">
        <f>IF(C1152&lt;'user input'!$C$12,IF(B1152&gt;'user input'!$C$6,0,F1151+E1152),'user input'!$C$17*((1-C1152)/(1-'user input'!$C$12)))</f>
        <v>0</v>
      </c>
    </row>
    <row r="1153" spans="1:6" x14ac:dyDescent="0.2">
      <c r="A1153" s="1">
        <v>41329</v>
      </c>
      <c r="B1153">
        <v>56</v>
      </c>
      <c r="C1153">
        <f>IF(B1153&gt;'user input'!$C$6,0,IF('heat units'!H1153&gt;1,1,'heat units'!H1153))</f>
        <v>0</v>
      </c>
      <c r="D1153">
        <f>IF(B1153&gt;'user input'!$C$6,0,(C1153/(C1153+EXP('user input'!$C$15-'user input'!$C$14*C1153))))</f>
        <v>0</v>
      </c>
      <c r="E1153">
        <f>IF(C1153&lt;'user input'!$C$12,(D1153-D1152)*'user input'!$C$17*(1-EXP(5*(F1152-'user input'!$C$17))),F1153-F1152)</f>
        <v>0</v>
      </c>
      <c r="F1153">
        <f>IF(C1153&lt;'user input'!$C$12,IF(B1153&gt;'user input'!$C$6,0,F1152+E1153),'user input'!$C$17*((1-C1153)/(1-'user input'!$C$12)))</f>
        <v>0</v>
      </c>
    </row>
    <row r="1154" spans="1:6" x14ac:dyDescent="0.2">
      <c r="A1154" s="1">
        <v>41330</v>
      </c>
      <c r="B1154">
        <v>57</v>
      </c>
      <c r="C1154">
        <f>IF(B1154&gt;'user input'!$C$6,0,IF('heat units'!H1154&gt;1,1,'heat units'!H1154))</f>
        <v>0</v>
      </c>
      <c r="D1154">
        <f>IF(B1154&gt;'user input'!$C$6,0,(C1154/(C1154+EXP('user input'!$C$15-'user input'!$C$14*C1154))))</f>
        <v>0</v>
      </c>
      <c r="E1154">
        <f>IF(C1154&lt;'user input'!$C$12,(D1154-D1153)*'user input'!$C$17*(1-EXP(5*(F1153-'user input'!$C$17))),F1154-F1153)</f>
        <v>0</v>
      </c>
      <c r="F1154">
        <f>IF(C1154&lt;'user input'!$C$12,IF(B1154&gt;'user input'!$C$6,0,F1153+E1154),'user input'!$C$17*((1-C1154)/(1-'user input'!$C$12)))</f>
        <v>0</v>
      </c>
    </row>
    <row r="1155" spans="1:6" x14ac:dyDescent="0.2">
      <c r="A1155" s="1">
        <v>41331</v>
      </c>
      <c r="B1155">
        <v>58</v>
      </c>
      <c r="C1155">
        <f>IF(B1155&gt;'user input'!$C$6,0,IF('heat units'!H1155&gt;1,1,'heat units'!H1155))</f>
        <v>0</v>
      </c>
      <c r="D1155">
        <f>IF(B1155&gt;'user input'!$C$6,0,(C1155/(C1155+EXP('user input'!$C$15-'user input'!$C$14*C1155))))</f>
        <v>0</v>
      </c>
      <c r="E1155">
        <f>IF(C1155&lt;'user input'!$C$12,(D1155-D1154)*'user input'!$C$17*(1-EXP(5*(F1154-'user input'!$C$17))),F1155-F1154)</f>
        <v>0</v>
      </c>
      <c r="F1155">
        <f>IF(C1155&lt;'user input'!$C$12,IF(B1155&gt;'user input'!$C$6,0,F1154+E1155),'user input'!$C$17*((1-C1155)/(1-'user input'!$C$12)))</f>
        <v>0</v>
      </c>
    </row>
    <row r="1156" spans="1:6" x14ac:dyDescent="0.2">
      <c r="A1156" s="1">
        <v>41332</v>
      </c>
      <c r="B1156">
        <v>59</v>
      </c>
      <c r="C1156">
        <f>IF(B1156&gt;'user input'!$C$6,0,IF('heat units'!H1156&gt;1,1,'heat units'!H1156))</f>
        <v>0</v>
      </c>
      <c r="D1156">
        <f>IF(B1156&gt;'user input'!$C$6,0,(C1156/(C1156+EXP('user input'!$C$15-'user input'!$C$14*C1156))))</f>
        <v>0</v>
      </c>
      <c r="E1156">
        <f>IF(C1156&lt;'user input'!$C$12,(D1156-D1155)*'user input'!$C$17*(1-EXP(5*(F1155-'user input'!$C$17))),F1156-F1155)</f>
        <v>0</v>
      </c>
      <c r="F1156">
        <f>IF(C1156&lt;'user input'!$C$12,IF(B1156&gt;'user input'!$C$6,0,F1155+E1156),'user input'!$C$17*((1-C1156)/(1-'user input'!$C$12)))</f>
        <v>0</v>
      </c>
    </row>
    <row r="1157" spans="1:6" x14ac:dyDescent="0.2">
      <c r="A1157" s="1">
        <v>41333</v>
      </c>
      <c r="B1157">
        <v>60</v>
      </c>
      <c r="C1157">
        <f>IF(B1157&gt;'user input'!$C$6,0,IF('heat units'!H1157&gt;1,1,'heat units'!H1157))</f>
        <v>0</v>
      </c>
      <c r="D1157">
        <f>IF(B1157&gt;'user input'!$C$6,0,(C1157/(C1157+EXP('user input'!$C$15-'user input'!$C$14*C1157))))</f>
        <v>0</v>
      </c>
      <c r="E1157">
        <f>IF(C1157&lt;'user input'!$C$12,(D1157-D1156)*'user input'!$C$17*(1-EXP(5*(F1156-'user input'!$C$17))),F1157-F1156)</f>
        <v>0</v>
      </c>
      <c r="F1157">
        <f>IF(C1157&lt;'user input'!$C$12,IF(B1157&gt;'user input'!$C$6,0,F1156+E1157),'user input'!$C$17*((1-C1157)/(1-'user input'!$C$12)))</f>
        <v>0</v>
      </c>
    </row>
    <row r="1158" spans="1:6" x14ac:dyDescent="0.2">
      <c r="A1158" s="1">
        <v>41334</v>
      </c>
      <c r="B1158">
        <v>61</v>
      </c>
      <c r="C1158">
        <f>IF(B1158&gt;'user input'!$C$6,0,IF('heat units'!H1158&gt;1,1,'heat units'!H1158))</f>
        <v>0</v>
      </c>
      <c r="D1158">
        <f>IF(B1158&gt;'user input'!$C$6,0,(C1158/(C1158+EXP('user input'!$C$15-'user input'!$C$14*C1158))))</f>
        <v>0</v>
      </c>
      <c r="E1158">
        <f>IF(C1158&lt;'user input'!$C$12,(D1158-D1157)*'user input'!$C$17*(1-EXP(5*(F1157-'user input'!$C$17))),F1158-F1157)</f>
        <v>0</v>
      </c>
      <c r="F1158">
        <f>IF(C1158&lt;'user input'!$C$12,IF(B1158&gt;'user input'!$C$6,0,F1157+E1158),'user input'!$C$17*((1-C1158)/(1-'user input'!$C$12)))</f>
        <v>0</v>
      </c>
    </row>
    <row r="1159" spans="1:6" x14ac:dyDescent="0.2">
      <c r="A1159" s="1">
        <v>41335</v>
      </c>
      <c r="B1159">
        <v>62</v>
      </c>
      <c r="C1159">
        <f>IF(B1159&gt;'user input'!$C$6,0,IF('heat units'!H1159&gt;1,1,'heat units'!H1159))</f>
        <v>0</v>
      </c>
      <c r="D1159">
        <f>IF(B1159&gt;'user input'!$C$6,0,(C1159/(C1159+EXP('user input'!$C$15-'user input'!$C$14*C1159))))</f>
        <v>0</v>
      </c>
      <c r="E1159">
        <f>IF(C1159&lt;'user input'!$C$12,(D1159-D1158)*'user input'!$C$17*(1-EXP(5*(F1158-'user input'!$C$17))),F1159-F1158)</f>
        <v>0</v>
      </c>
      <c r="F1159">
        <f>IF(C1159&lt;'user input'!$C$12,IF(B1159&gt;'user input'!$C$6,0,F1158+E1159),'user input'!$C$17*((1-C1159)/(1-'user input'!$C$12)))</f>
        <v>0</v>
      </c>
    </row>
    <row r="1160" spans="1:6" x14ac:dyDescent="0.2">
      <c r="A1160" s="1">
        <v>41336</v>
      </c>
      <c r="B1160">
        <v>63</v>
      </c>
      <c r="C1160">
        <f>IF(B1160&gt;'user input'!$C$6,0,IF('heat units'!H1160&gt;1,1,'heat units'!H1160))</f>
        <v>0</v>
      </c>
      <c r="D1160">
        <f>IF(B1160&gt;'user input'!$C$6,0,(C1160/(C1160+EXP('user input'!$C$15-'user input'!$C$14*C1160))))</f>
        <v>0</v>
      </c>
      <c r="E1160">
        <f>IF(C1160&lt;'user input'!$C$12,(D1160-D1159)*'user input'!$C$17*(1-EXP(5*(F1159-'user input'!$C$17))),F1160-F1159)</f>
        <v>0</v>
      </c>
      <c r="F1160">
        <f>IF(C1160&lt;'user input'!$C$12,IF(B1160&gt;'user input'!$C$6,0,F1159+E1160),'user input'!$C$17*((1-C1160)/(1-'user input'!$C$12)))</f>
        <v>0</v>
      </c>
    </row>
    <row r="1161" spans="1:6" x14ac:dyDescent="0.2">
      <c r="A1161" s="1">
        <v>41337</v>
      </c>
      <c r="B1161">
        <v>64</v>
      </c>
      <c r="C1161">
        <f>IF(B1161&gt;'user input'!$C$6,0,IF('heat units'!H1161&gt;1,1,'heat units'!H1161))</f>
        <v>0</v>
      </c>
      <c r="D1161">
        <f>IF(B1161&gt;'user input'!$C$6,0,(C1161/(C1161+EXP('user input'!$C$15-'user input'!$C$14*C1161))))</f>
        <v>0</v>
      </c>
      <c r="E1161">
        <f>IF(C1161&lt;'user input'!$C$12,(D1161-D1160)*'user input'!$C$17*(1-EXP(5*(F1160-'user input'!$C$17))),F1161-F1160)</f>
        <v>0</v>
      </c>
      <c r="F1161">
        <f>IF(C1161&lt;'user input'!$C$12,IF(B1161&gt;'user input'!$C$6,0,F1160+E1161),'user input'!$C$17*((1-C1161)/(1-'user input'!$C$12)))</f>
        <v>0</v>
      </c>
    </row>
    <row r="1162" spans="1:6" x14ac:dyDescent="0.2">
      <c r="A1162" s="1">
        <v>41338</v>
      </c>
      <c r="B1162">
        <v>65</v>
      </c>
      <c r="C1162">
        <f>IF(B1162&gt;'user input'!$C$6,0,IF('heat units'!H1162&gt;1,1,'heat units'!H1162))</f>
        <v>0</v>
      </c>
      <c r="D1162">
        <f>IF(B1162&gt;'user input'!$C$6,0,(C1162/(C1162+EXP('user input'!$C$15-'user input'!$C$14*C1162))))</f>
        <v>0</v>
      </c>
      <c r="E1162">
        <f>IF(C1162&lt;'user input'!$C$12,(D1162-D1161)*'user input'!$C$17*(1-EXP(5*(F1161-'user input'!$C$17))),F1162-F1161)</f>
        <v>0</v>
      </c>
      <c r="F1162">
        <f>IF(C1162&lt;'user input'!$C$12,IF(B1162&gt;'user input'!$C$6,0,F1161+E1162),'user input'!$C$17*((1-C1162)/(1-'user input'!$C$12)))</f>
        <v>0</v>
      </c>
    </row>
    <row r="1163" spans="1:6" x14ac:dyDescent="0.2">
      <c r="A1163" s="1">
        <v>41339</v>
      </c>
      <c r="B1163">
        <v>66</v>
      </c>
      <c r="C1163">
        <f>IF(B1163&gt;'user input'!$C$6,0,IF('heat units'!H1163&gt;1,1,'heat units'!H1163))</f>
        <v>0</v>
      </c>
      <c r="D1163">
        <f>IF(B1163&gt;'user input'!$C$6,0,(C1163/(C1163+EXP('user input'!$C$15-'user input'!$C$14*C1163))))</f>
        <v>0</v>
      </c>
      <c r="E1163">
        <f>IF(C1163&lt;'user input'!$C$12,(D1163-D1162)*'user input'!$C$17*(1-EXP(5*(F1162-'user input'!$C$17))),F1163-F1162)</f>
        <v>0</v>
      </c>
      <c r="F1163">
        <f>IF(C1163&lt;'user input'!$C$12,IF(B1163&gt;'user input'!$C$6,0,F1162+E1163),'user input'!$C$17*((1-C1163)/(1-'user input'!$C$12)))</f>
        <v>0</v>
      </c>
    </row>
    <row r="1164" spans="1:6" x14ac:dyDescent="0.2">
      <c r="A1164" s="1">
        <v>41340</v>
      </c>
      <c r="B1164">
        <v>67</v>
      </c>
      <c r="C1164">
        <f>IF(B1164&gt;'user input'!$C$6,0,IF('heat units'!H1164&gt;1,1,'heat units'!H1164))</f>
        <v>0</v>
      </c>
      <c r="D1164">
        <f>IF(B1164&gt;'user input'!$C$6,0,(C1164/(C1164+EXP('user input'!$C$15-'user input'!$C$14*C1164))))</f>
        <v>0</v>
      </c>
      <c r="E1164">
        <f>IF(C1164&lt;'user input'!$C$12,(D1164-D1163)*'user input'!$C$17*(1-EXP(5*(F1163-'user input'!$C$17))),F1164-F1163)</f>
        <v>0</v>
      </c>
      <c r="F1164">
        <f>IF(C1164&lt;'user input'!$C$12,IF(B1164&gt;'user input'!$C$6,0,F1163+E1164),'user input'!$C$17*((1-C1164)/(1-'user input'!$C$12)))</f>
        <v>0</v>
      </c>
    </row>
    <row r="1165" spans="1:6" x14ac:dyDescent="0.2">
      <c r="A1165" s="1">
        <v>41341</v>
      </c>
      <c r="B1165">
        <v>68</v>
      </c>
      <c r="C1165">
        <f>IF(B1165&gt;'user input'!$C$6,0,IF('heat units'!H1165&gt;1,1,'heat units'!H1165))</f>
        <v>0</v>
      </c>
      <c r="D1165">
        <f>IF(B1165&gt;'user input'!$C$6,0,(C1165/(C1165+EXP('user input'!$C$15-'user input'!$C$14*C1165))))</f>
        <v>0</v>
      </c>
      <c r="E1165">
        <f>IF(C1165&lt;'user input'!$C$12,(D1165-D1164)*'user input'!$C$17*(1-EXP(5*(F1164-'user input'!$C$17))),F1165-F1164)</f>
        <v>0</v>
      </c>
      <c r="F1165">
        <f>IF(C1165&lt;'user input'!$C$12,IF(B1165&gt;'user input'!$C$6,0,F1164+E1165),'user input'!$C$17*((1-C1165)/(1-'user input'!$C$12)))</f>
        <v>0</v>
      </c>
    </row>
    <row r="1166" spans="1:6" x14ac:dyDescent="0.2">
      <c r="A1166" s="1">
        <v>41342</v>
      </c>
      <c r="B1166">
        <v>69</v>
      </c>
      <c r="C1166">
        <f>IF(B1166&gt;'user input'!$C$6,0,IF('heat units'!H1166&gt;1,1,'heat units'!H1166))</f>
        <v>0</v>
      </c>
      <c r="D1166">
        <f>IF(B1166&gt;'user input'!$C$6,0,(C1166/(C1166+EXP('user input'!$C$15-'user input'!$C$14*C1166))))</f>
        <v>0</v>
      </c>
      <c r="E1166">
        <f>IF(C1166&lt;'user input'!$C$12,(D1166-D1165)*'user input'!$C$17*(1-EXP(5*(F1165-'user input'!$C$17))),F1166-F1165)</f>
        <v>0</v>
      </c>
      <c r="F1166">
        <f>IF(C1166&lt;'user input'!$C$12,IF(B1166&gt;'user input'!$C$6,0,F1165+E1166),'user input'!$C$17*((1-C1166)/(1-'user input'!$C$12)))</f>
        <v>0</v>
      </c>
    </row>
    <row r="1167" spans="1:6" x14ac:dyDescent="0.2">
      <c r="A1167" s="1">
        <v>41343</v>
      </c>
      <c r="B1167">
        <v>70</v>
      </c>
      <c r="C1167">
        <f>IF(B1167&gt;'user input'!$C$6,0,IF('heat units'!H1167&gt;1,1,'heat units'!H1167))</f>
        <v>0</v>
      </c>
      <c r="D1167">
        <f>IF(B1167&gt;'user input'!$C$6,0,(C1167/(C1167+EXP('user input'!$C$15-'user input'!$C$14*C1167))))</f>
        <v>0</v>
      </c>
      <c r="E1167">
        <f>IF(C1167&lt;'user input'!$C$12,(D1167-D1166)*'user input'!$C$17*(1-EXP(5*(F1166-'user input'!$C$17))),F1167-F1166)</f>
        <v>0</v>
      </c>
      <c r="F1167">
        <f>IF(C1167&lt;'user input'!$C$12,IF(B1167&gt;'user input'!$C$6,0,F1166+E1167),'user input'!$C$17*((1-C1167)/(1-'user input'!$C$12)))</f>
        <v>0</v>
      </c>
    </row>
    <row r="1168" spans="1:6" x14ac:dyDescent="0.2">
      <c r="A1168" s="1">
        <v>41344</v>
      </c>
      <c r="B1168">
        <v>71</v>
      </c>
      <c r="C1168">
        <f>IF(B1168&gt;'user input'!$C$6,0,IF('heat units'!H1168&gt;1,1,'heat units'!H1168))</f>
        <v>0</v>
      </c>
      <c r="D1168">
        <f>IF(B1168&gt;'user input'!$C$6,0,(C1168/(C1168+EXP('user input'!$C$15-'user input'!$C$14*C1168))))</f>
        <v>0</v>
      </c>
      <c r="E1168">
        <f>IF(C1168&lt;'user input'!$C$12,(D1168-D1167)*'user input'!$C$17*(1-EXP(5*(F1167-'user input'!$C$17))),F1168-F1167)</f>
        <v>0</v>
      </c>
      <c r="F1168">
        <f>IF(C1168&lt;'user input'!$C$12,IF(B1168&gt;'user input'!$C$6,0,F1167+E1168),'user input'!$C$17*((1-C1168)/(1-'user input'!$C$12)))</f>
        <v>0</v>
      </c>
    </row>
    <row r="1169" spans="1:6" x14ac:dyDescent="0.2">
      <c r="A1169" s="1">
        <v>41345</v>
      </c>
      <c r="B1169">
        <v>72</v>
      </c>
      <c r="C1169">
        <f>IF(B1169&gt;'user input'!$C$6,0,IF('heat units'!H1169&gt;1,1,'heat units'!H1169))</f>
        <v>0</v>
      </c>
      <c r="D1169">
        <f>IF(B1169&gt;'user input'!$C$6,0,(C1169/(C1169+EXP('user input'!$C$15-'user input'!$C$14*C1169))))</f>
        <v>0</v>
      </c>
      <c r="E1169">
        <f>IF(C1169&lt;'user input'!$C$12,(D1169-D1168)*'user input'!$C$17*(1-EXP(5*(F1168-'user input'!$C$17))),F1169-F1168)</f>
        <v>0</v>
      </c>
      <c r="F1169">
        <f>IF(C1169&lt;'user input'!$C$12,IF(B1169&gt;'user input'!$C$6,0,F1168+E1169),'user input'!$C$17*((1-C1169)/(1-'user input'!$C$12)))</f>
        <v>0</v>
      </c>
    </row>
    <row r="1170" spans="1:6" x14ac:dyDescent="0.2">
      <c r="A1170" s="1">
        <v>41346</v>
      </c>
      <c r="B1170">
        <v>73</v>
      </c>
      <c r="C1170">
        <f>IF(B1170&gt;'user input'!$C$6,0,IF('heat units'!H1170&gt;1,1,'heat units'!H1170))</f>
        <v>0</v>
      </c>
      <c r="D1170">
        <f>IF(B1170&gt;'user input'!$C$6,0,(C1170/(C1170+EXP('user input'!$C$15-'user input'!$C$14*C1170))))</f>
        <v>0</v>
      </c>
      <c r="E1170">
        <f>IF(C1170&lt;'user input'!$C$12,(D1170-D1169)*'user input'!$C$17*(1-EXP(5*(F1169-'user input'!$C$17))),F1170-F1169)</f>
        <v>0</v>
      </c>
      <c r="F1170">
        <f>IF(C1170&lt;'user input'!$C$12,IF(B1170&gt;'user input'!$C$6,0,F1169+E1170),'user input'!$C$17*((1-C1170)/(1-'user input'!$C$12)))</f>
        <v>0</v>
      </c>
    </row>
    <row r="1171" spans="1:6" x14ac:dyDescent="0.2">
      <c r="A1171" s="1">
        <v>41347</v>
      </c>
      <c r="B1171">
        <v>74</v>
      </c>
      <c r="C1171">
        <f>IF(B1171&gt;'user input'!$C$6,0,IF('heat units'!H1171&gt;1,1,'heat units'!H1171))</f>
        <v>0</v>
      </c>
      <c r="D1171">
        <f>IF(B1171&gt;'user input'!$C$6,0,(C1171/(C1171+EXP('user input'!$C$15-'user input'!$C$14*C1171))))</f>
        <v>0</v>
      </c>
      <c r="E1171">
        <f>IF(C1171&lt;'user input'!$C$12,(D1171-D1170)*'user input'!$C$17*(1-EXP(5*(F1170-'user input'!$C$17))),F1171-F1170)</f>
        <v>0</v>
      </c>
      <c r="F1171">
        <f>IF(C1171&lt;'user input'!$C$12,IF(B1171&gt;'user input'!$C$6,0,F1170+E1171),'user input'!$C$17*((1-C1171)/(1-'user input'!$C$12)))</f>
        <v>0</v>
      </c>
    </row>
    <row r="1172" spans="1:6" x14ac:dyDescent="0.2">
      <c r="A1172" s="1">
        <v>41348</v>
      </c>
      <c r="B1172">
        <v>75</v>
      </c>
      <c r="C1172">
        <f>IF(B1172&gt;'user input'!$C$6,0,IF('heat units'!H1172&gt;1,1,'heat units'!H1172))</f>
        <v>0</v>
      </c>
      <c r="D1172">
        <f>IF(B1172&gt;'user input'!$C$6,0,(C1172/(C1172+EXP('user input'!$C$15-'user input'!$C$14*C1172))))</f>
        <v>0</v>
      </c>
      <c r="E1172">
        <f>IF(C1172&lt;'user input'!$C$12,(D1172-D1171)*'user input'!$C$17*(1-EXP(5*(F1171-'user input'!$C$17))),F1172-F1171)</f>
        <v>0</v>
      </c>
      <c r="F1172">
        <f>IF(C1172&lt;'user input'!$C$12,IF(B1172&gt;'user input'!$C$6,0,F1171+E1172),'user input'!$C$17*((1-C1172)/(1-'user input'!$C$12)))</f>
        <v>0</v>
      </c>
    </row>
    <row r="1173" spans="1:6" x14ac:dyDescent="0.2">
      <c r="A1173" s="1">
        <v>41349</v>
      </c>
      <c r="B1173">
        <v>76</v>
      </c>
      <c r="C1173">
        <f>IF(B1173&gt;'user input'!$C$6,0,IF('heat units'!H1173&gt;1,1,'heat units'!H1173))</f>
        <v>0</v>
      </c>
      <c r="D1173">
        <f>IF(B1173&gt;'user input'!$C$6,0,(C1173/(C1173+EXP('user input'!$C$15-'user input'!$C$14*C1173))))</f>
        <v>0</v>
      </c>
      <c r="E1173">
        <f>IF(C1173&lt;'user input'!$C$12,(D1173-D1172)*'user input'!$C$17*(1-EXP(5*(F1172-'user input'!$C$17))),F1173-F1172)</f>
        <v>0</v>
      </c>
      <c r="F1173">
        <f>IF(C1173&lt;'user input'!$C$12,IF(B1173&gt;'user input'!$C$6,0,F1172+E1173),'user input'!$C$17*((1-C1173)/(1-'user input'!$C$12)))</f>
        <v>0</v>
      </c>
    </row>
    <row r="1174" spans="1:6" x14ac:dyDescent="0.2">
      <c r="A1174" s="1">
        <v>41350</v>
      </c>
      <c r="B1174">
        <v>77</v>
      </c>
      <c r="C1174">
        <f>IF(B1174&gt;'user input'!$C$6,0,IF('heat units'!H1174&gt;1,1,'heat units'!H1174))</f>
        <v>0</v>
      </c>
      <c r="D1174">
        <f>IF(B1174&gt;'user input'!$C$6,0,(C1174/(C1174+EXP('user input'!$C$15-'user input'!$C$14*C1174))))</f>
        <v>0</v>
      </c>
      <c r="E1174">
        <f>IF(C1174&lt;'user input'!$C$12,(D1174-D1173)*'user input'!$C$17*(1-EXP(5*(F1173-'user input'!$C$17))),F1174-F1173)</f>
        <v>0</v>
      </c>
      <c r="F1174">
        <f>IF(C1174&lt;'user input'!$C$12,IF(B1174&gt;'user input'!$C$6,0,F1173+E1174),'user input'!$C$17*((1-C1174)/(1-'user input'!$C$12)))</f>
        <v>0</v>
      </c>
    </row>
    <row r="1175" spans="1:6" x14ac:dyDescent="0.2">
      <c r="A1175" s="1">
        <v>41351</v>
      </c>
      <c r="B1175">
        <v>78</v>
      </c>
      <c r="C1175">
        <f>IF(B1175&gt;'user input'!$C$6,0,IF('heat units'!H1175&gt;1,1,'heat units'!H1175))</f>
        <v>0</v>
      </c>
      <c r="D1175">
        <f>IF(B1175&gt;'user input'!$C$6,0,(C1175/(C1175+EXP('user input'!$C$15-'user input'!$C$14*C1175))))</f>
        <v>0</v>
      </c>
      <c r="E1175">
        <f>IF(C1175&lt;'user input'!$C$12,(D1175-D1174)*'user input'!$C$17*(1-EXP(5*(F1174-'user input'!$C$17))),F1175-F1174)</f>
        <v>0</v>
      </c>
      <c r="F1175">
        <f>IF(C1175&lt;'user input'!$C$12,IF(B1175&gt;'user input'!$C$6,0,F1174+E1175),'user input'!$C$17*((1-C1175)/(1-'user input'!$C$12)))</f>
        <v>0</v>
      </c>
    </row>
    <row r="1176" spans="1:6" x14ac:dyDescent="0.2">
      <c r="A1176" s="1">
        <v>41352</v>
      </c>
      <c r="B1176">
        <v>79</v>
      </c>
      <c r="C1176">
        <f>IF(B1176&gt;'user input'!$C$6,0,IF('heat units'!H1176&gt;1,1,'heat units'!H1176))</f>
        <v>0</v>
      </c>
      <c r="D1176">
        <f>IF(B1176&gt;'user input'!$C$6,0,(C1176/(C1176+EXP('user input'!$C$15-'user input'!$C$14*C1176))))</f>
        <v>0</v>
      </c>
      <c r="E1176">
        <f>IF(C1176&lt;'user input'!$C$12,(D1176-D1175)*'user input'!$C$17*(1-EXP(5*(F1175-'user input'!$C$17))),F1176-F1175)</f>
        <v>0</v>
      </c>
      <c r="F1176">
        <f>IF(C1176&lt;'user input'!$C$12,IF(B1176&gt;'user input'!$C$6,0,F1175+E1176),'user input'!$C$17*((1-C1176)/(1-'user input'!$C$12)))</f>
        <v>0</v>
      </c>
    </row>
    <row r="1177" spans="1:6" x14ac:dyDescent="0.2">
      <c r="A1177" s="1">
        <v>41353</v>
      </c>
      <c r="B1177">
        <v>80</v>
      </c>
      <c r="C1177">
        <f>IF(B1177&gt;'user input'!$C$6,0,IF('heat units'!H1177&gt;1,1,'heat units'!H1177))</f>
        <v>0</v>
      </c>
      <c r="D1177">
        <f>IF(B1177&gt;'user input'!$C$6,0,(C1177/(C1177+EXP('user input'!$C$15-'user input'!$C$14*C1177))))</f>
        <v>0</v>
      </c>
      <c r="E1177">
        <f>IF(C1177&lt;'user input'!$C$12,(D1177-D1176)*'user input'!$C$17*(1-EXP(5*(F1176-'user input'!$C$17))),F1177-F1176)</f>
        <v>0</v>
      </c>
      <c r="F1177">
        <f>IF(C1177&lt;'user input'!$C$12,IF(B1177&gt;'user input'!$C$6,0,F1176+E1177),'user input'!$C$17*((1-C1177)/(1-'user input'!$C$12)))</f>
        <v>0</v>
      </c>
    </row>
    <row r="1178" spans="1:6" x14ac:dyDescent="0.2">
      <c r="A1178" s="1">
        <v>41354</v>
      </c>
      <c r="B1178">
        <v>81</v>
      </c>
      <c r="C1178">
        <f>IF(B1178&gt;'user input'!$C$6,0,IF('heat units'!H1178&gt;1,1,'heat units'!H1178))</f>
        <v>0</v>
      </c>
      <c r="D1178">
        <f>IF(B1178&gt;'user input'!$C$6,0,(C1178/(C1178+EXP('user input'!$C$15-'user input'!$C$14*C1178))))</f>
        <v>0</v>
      </c>
      <c r="E1178">
        <f>IF(C1178&lt;'user input'!$C$12,(D1178-D1177)*'user input'!$C$17*(1-EXP(5*(F1177-'user input'!$C$17))),F1178-F1177)</f>
        <v>0</v>
      </c>
      <c r="F1178">
        <f>IF(C1178&lt;'user input'!$C$12,IF(B1178&gt;'user input'!$C$6,0,F1177+E1178),'user input'!$C$17*((1-C1178)/(1-'user input'!$C$12)))</f>
        <v>0</v>
      </c>
    </row>
    <row r="1179" spans="1:6" x14ac:dyDescent="0.2">
      <c r="A1179" s="1">
        <v>41355</v>
      </c>
      <c r="B1179">
        <v>82</v>
      </c>
      <c r="C1179">
        <f>IF(B1179&gt;'user input'!$C$6,0,IF('heat units'!H1179&gt;1,1,'heat units'!H1179))</f>
        <v>0</v>
      </c>
      <c r="D1179">
        <f>IF(B1179&gt;'user input'!$C$6,0,(C1179/(C1179+EXP('user input'!$C$15-'user input'!$C$14*C1179))))</f>
        <v>0</v>
      </c>
      <c r="E1179">
        <f>IF(C1179&lt;'user input'!$C$12,(D1179-D1178)*'user input'!$C$17*(1-EXP(5*(F1178-'user input'!$C$17))),F1179-F1178)</f>
        <v>0</v>
      </c>
      <c r="F1179">
        <f>IF(C1179&lt;'user input'!$C$12,IF(B1179&gt;'user input'!$C$6,0,F1178+E1179),'user input'!$C$17*((1-C1179)/(1-'user input'!$C$12)))</f>
        <v>0</v>
      </c>
    </row>
    <row r="1180" spans="1:6" x14ac:dyDescent="0.2">
      <c r="A1180" s="1">
        <v>41356</v>
      </c>
      <c r="B1180">
        <v>83</v>
      </c>
      <c r="C1180">
        <f>IF(B1180&gt;'user input'!$C$6,0,IF('heat units'!H1180&gt;1,1,'heat units'!H1180))</f>
        <v>0</v>
      </c>
      <c r="D1180">
        <f>IF(B1180&gt;'user input'!$C$6,0,(C1180/(C1180+EXP('user input'!$C$15-'user input'!$C$14*C1180))))</f>
        <v>0</v>
      </c>
      <c r="E1180">
        <f>IF(C1180&lt;'user input'!$C$12,(D1180-D1179)*'user input'!$C$17*(1-EXP(5*(F1179-'user input'!$C$17))),F1180-F1179)</f>
        <v>0</v>
      </c>
      <c r="F1180">
        <f>IF(C1180&lt;'user input'!$C$12,IF(B1180&gt;'user input'!$C$6,0,F1179+E1180),'user input'!$C$17*((1-C1180)/(1-'user input'!$C$12)))</f>
        <v>0</v>
      </c>
    </row>
    <row r="1181" spans="1:6" x14ac:dyDescent="0.2">
      <c r="A1181" s="1">
        <v>41357</v>
      </c>
      <c r="B1181">
        <v>84</v>
      </c>
      <c r="C1181">
        <f>IF(B1181&gt;'user input'!$C$6,0,IF('heat units'!H1181&gt;1,1,'heat units'!H1181))</f>
        <v>0</v>
      </c>
      <c r="D1181">
        <f>IF(B1181&gt;'user input'!$C$6,0,(C1181/(C1181+EXP('user input'!$C$15-'user input'!$C$14*C1181))))</f>
        <v>0</v>
      </c>
      <c r="E1181">
        <f>IF(C1181&lt;'user input'!$C$12,(D1181-D1180)*'user input'!$C$17*(1-EXP(5*(F1180-'user input'!$C$17))),F1181-F1180)</f>
        <v>0</v>
      </c>
      <c r="F1181">
        <f>IF(C1181&lt;'user input'!$C$12,IF(B1181&gt;'user input'!$C$6,0,F1180+E1181),'user input'!$C$17*((1-C1181)/(1-'user input'!$C$12)))</f>
        <v>0</v>
      </c>
    </row>
    <row r="1182" spans="1:6" x14ac:dyDescent="0.2">
      <c r="A1182" s="1">
        <v>41358</v>
      </c>
      <c r="B1182">
        <v>85</v>
      </c>
      <c r="C1182">
        <f>IF(B1182&gt;'user input'!$C$6,0,IF('heat units'!H1182&gt;1,1,'heat units'!H1182))</f>
        <v>0</v>
      </c>
      <c r="D1182">
        <f>IF(B1182&gt;'user input'!$C$6,0,(C1182/(C1182+EXP('user input'!$C$15-'user input'!$C$14*C1182))))</f>
        <v>0</v>
      </c>
      <c r="E1182">
        <f>IF(C1182&lt;'user input'!$C$12,(D1182-D1181)*'user input'!$C$17*(1-EXP(5*(F1181-'user input'!$C$17))),F1182-F1181)</f>
        <v>0</v>
      </c>
      <c r="F1182">
        <f>IF(C1182&lt;'user input'!$C$12,IF(B1182&gt;'user input'!$C$6,0,F1181+E1182),'user input'!$C$17*((1-C1182)/(1-'user input'!$C$12)))</f>
        <v>0</v>
      </c>
    </row>
    <row r="1183" spans="1:6" x14ac:dyDescent="0.2">
      <c r="A1183" s="1">
        <v>41359</v>
      </c>
      <c r="B1183">
        <v>86</v>
      </c>
      <c r="C1183">
        <f>IF(B1183&gt;'user input'!$C$6,0,IF('heat units'!H1183&gt;1,1,'heat units'!H1183))</f>
        <v>0</v>
      </c>
      <c r="D1183">
        <f>IF(B1183&gt;'user input'!$C$6,0,(C1183/(C1183+EXP('user input'!$C$15-'user input'!$C$14*C1183))))</f>
        <v>0</v>
      </c>
      <c r="E1183">
        <f>IF(C1183&lt;'user input'!$C$12,(D1183-D1182)*'user input'!$C$17*(1-EXP(5*(F1182-'user input'!$C$17))),F1183-F1182)</f>
        <v>0</v>
      </c>
      <c r="F1183">
        <f>IF(C1183&lt;'user input'!$C$12,IF(B1183&gt;'user input'!$C$6,0,F1182+E1183),'user input'!$C$17*((1-C1183)/(1-'user input'!$C$12)))</f>
        <v>0</v>
      </c>
    </row>
    <row r="1184" spans="1:6" x14ac:dyDescent="0.2">
      <c r="A1184" s="1">
        <v>41360</v>
      </c>
      <c r="B1184">
        <v>87</v>
      </c>
      <c r="C1184">
        <f>IF(B1184&gt;'user input'!$C$6,0,IF('heat units'!H1184&gt;1,1,'heat units'!H1184))</f>
        <v>0</v>
      </c>
      <c r="D1184">
        <f>IF(B1184&gt;'user input'!$C$6,0,(C1184/(C1184+EXP('user input'!$C$15-'user input'!$C$14*C1184))))</f>
        <v>0</v>
      </c>
      <c r="E1184">
        <f>IF(C1184&lt;'user input'!$C$12,(D1184-D1183)*'user input'!$C$17*(1-EXP(5*(F1183-'user input'!$C$17))),F1184-F1183)</f>
        <v>0</v>
      </c>
      <c r="F1184">
        <f>IF(C1184&lt;'user input'!$C$12,IF(B1184&gt;'user input'!$C$6,0,F1183+E1184),'user input'!$C$17*((1-C1184)/(1-'user input'!$C$12)))</f>
        <v>0</v>
      </c>
    </row>
    <row r="1185" spans="1:6" x14ac:dyDescent="0.2">
      <c r="A1185" s="1">
        <v>41361</v>
      </c>
      <c r="B1185">
        <v>88</v>
      </c>
      <c r="C1185">
        <f>IF(B1185&gt;'user input'!$C$6,0,IF('heat units'!H1185&gt;1,1,'heat units'!H1185))</f>
        <v>0</v>
      </c>
      <c r="D1185">
        <f>IF(B1185&gt;'user input'!$C$6,0,(C1185/(C1185+EXP('user input'!$C$15-'user input'!$C$14*C1185))))</f>
        <v>0</v>
      </c>
      <c r="E1185">
        <f>IF(C1185&lt;'user input'!$C$12,(D1185-D1184)*'user input'!$C$17*(1-EXP(5*(F1184-'user input'!$C$17))),F1185-F1184)</f>
        <v>0</v>
      </c>
      <c r="F1185">
        <f>IF(C1185&lt;'user input'!$C$12,IF(B1185&gt;'user input'!$C$6,0,F1184+E1185),'user input'!$C$17*((1-C1185)/(1-'user input'!$C$12)))</f>
        <v>0</v>
      </c>
    </row>
    <row r="1186" spans="1:6" x14ac:dyDescent="0.2">
      <c r="A1186" s="1">
        <v>41362</v>
      </c>
      <c r="B1186">
        <v>89</v>
      </c>
      <c r="C1186">
        <f>IF(B1186&gt;'user input'!$C$6,0,IF('heat units'!H1186&gt;1,1,'heat units'!H1186))</f>
        <v>0</v>
      </c>
      <c r="D1186">
        <f>IF(B1186&gt;'user input'!$C$6,0,(C1186/(C1186+EXP('user input'!$C$15-'user input'!$C$14*C1186))))</f>
        <v>0</v>
      </c>
      <c r="E1186">
        <f>IF(C1186&lt;'user input'!$C$12,(D1186-D1185)*'user input'!$C$17*(1-EXP(5*(F1185-'user input'!$C$17))),F1186-F1185)</f>
        <v>0</v>
      </c>
      <c r="F1186">
        <f>IF(C1186&lt;'user input'!$C$12,IF(B1186&gt;'user input'!$C$6,0,F1185+E1186),'user input'!$C$17*((1-C1186)/(1-'user input'!$C$12)))</f>
        <v>0</v>
      </c>
    </row>
    <row r="1187" spans="1:6" x14ac:dyDescent="0.2">
      <c r="A1187" s="1">
        <v>41363</v>
      </c>
      <c r="B1187">
        <v>90</v>
      </c>
      <c r="C1187">
        <f>IF(B1187&gt;'user input'!$C$6,0,IF('heat units'!H1187&gt;1,1,'heat units'!H1187))</f>
        <v>0</v>
      </c>
      <c r="D1187">
        <f>IF(B1187&gt;'user input'!$C$6,0,(C1187/(C1187+EXP('user input'!$C$15-'user input'!$C$14*C1187))))</f>
        <v>0</v>
      </c>
      <c r="E1187">
        <f>IF(C1187&lt;'user input'!$C$12,(D1187-D1186)*'user input'!$C$17*(1-EXP(5*(F1186-'user input'!$C$17))),F1187-F1186)</f>
        <v>0</v>
      </c>
      <c r="F1187">
        <f>IF(C1187&lt;'user input'!$C$12,IF(B1187&gt;'user input'!$C$6,0,F1186+E1187),'user input'!$C$17*((1-C1187)/(1-'user input'!$C$12)))</f>
        <v>0</v>
      </c>
    </row>
    <row r="1188" spans="1:6" x14ac:dyDescent="0.2">
      <c r="A1188" s="1">
        <v>41364</v>
      </c>
      <c r="B1188">
        <v>91</v>
      </c>
      <c r="C1188">
        <f>IF(B1188&gt;'user input'!$C$6,0,IF('heat units'!H1188&gt;1,1,'heat units'!H1188))</f>
        <v>0</v>
      </c>
      <c r="D1188">
        <f>IF(B1188&gt;'user input'!$C$6,0,(C1188/(C1188+EXP('user input'!$C$15-'user input'!$C$14*C1188))))</f>
        <v>0</v>
      </c>
      <c r="E1188">
        <f>IF(C1188&lt;'user input'!$C$12,(D1188-D1187)*'user input'!$C$17*(1-EXP(5*(F1187-'user input'!$C$17))),F1188-F1187)</f>
        <v>0</v>
      </c>
      <c r="F1188">
        <f>IF(C1188&lt;'user input'!$C$12,IF(B1188&gt;'user input'!$C$6,0,F1187+E1188),'user input'!$C$17*((1-C1188)/(1-'user input'!$C$12)))</f>
        <v>0</v>
      </c>
    </row>
    <row r="1189" spans="1:6" x14ac:dyDescent="0.2">
      <c r="A1189" s="1">
        <v>41365</v>
      </c>
      <c r="B1189">
        <v>92</v>
      </c>
      <c r="C1189">
        <f>IF(B1189&gt;'user input'!$C$6,0,IF('heat units'!H1189&gt;1,1,'heat units'!H1189))</f>
        <v>0</v>
      </c>
      <c r="D1189">
        <f>IF(B1189&gt;'user input'!$C$6,0,(C1189/(C1189+EXP('user input'!$C$15-'user input'!$C$14*C1189))))</f>
        <v>0</v>
      </c>
      <c r="E1189">
        <f>IF(C1189&lt;'user input'!$C$12,(D1189-D1188)*'user input'!$C$17*(1-EXP(5*(F1188-'user input'!$C$17))),F1189-F1188)</f>
        <v>0</v>
      </c>
      <c r="F1189">
        <f>IF(C1189&lt;'user input'!$C$12,IF(B1189&gt;'user input'!$C$6,0,F1188+E1189),'user input'!$C$17*((1-C1189)/(1-'user input'!$C$12)))</f>
        <v>0</v>
      </c>
    </row>
    <row r="1190" spans="1:6" x14ac:dyDescent="0.2">
      <c r="A1190" s="1">
        <v>41366</v>
      </c>
      <c r="B1190">
        <v>93</v>
      </c>
      <c r="C1190">
        <f>IF(B1190&gt;'user input'!$C$6,0,IF('heat units'!H1190&gt;1,1,'heat units'!H1190))</f>
        <v>0</v>
      </c>
      <c r="D1190">
        <f>IF(B1190&gt;'user input'!$C$6,0,(C1190/(C1190+EXP('user input'!$C$15-'user input'!$C$14*C1190))))</f>
        <v>0</v>
      </c>
      <c r="E1190">
        <f>IF(C1190&lt;'user input'!$C$12,(D1190-D1189)*'user input'!$C$17*(1-EXP(5*(F1189-'user input'!$C$17))),F1190-F1189)</f>
        <v>0</v>
      </c>
      <c r="F1190">
        <f>IF(C1190&lt;'user input'!$C$12,IF(B1190&gt;'user input'!$C$6,0,F1189+E1190),'user input'!$C$17*((1-C1190)/(1-'user input'!$C$12)))</f>
        <v>0</v>
      </c>
    </row>
    <row r="1191" spans="1:6" x14ac:dyDescent="0.2">
      <c r="A1191" s="1">
        <v>41367</v>
      </c>
      <c r="B1191">
        <v>94</v>
      </c>
      <c r="C1191">
        <f>IF(B1191&gt;'user input'!$C$6,0,IF('heat units'!H1191&gt;1,1,'heat units'!H1191))</f>
        <v>0</v>
      </c>
      <c r="D1191">
        <f>IF(B1191&gt;'user input'!$C$6,0,(C1191/(C1191+EXP('user input'!$C$15-'user input'!$C$14*C1191))))</f>
        <v>0</v>
      </c>
      <c r="E1191">
        <f>IF(C1191&lt;'user input'!$C$12,(D1191-D1190)*'user input'!$C$17*(1-EXP(5*(F1190-'user input'!$C$17))),F1191-F1190)</f>
        <v>0</v>
      </c>
      <c r="F1191">
        <f>IF(C1191&lt;'user input'!$C$12,IF(B1191&gt;'user input'!$C$6,0,F1190+E1191),'user input'!$C$17*((1-C1191)/(1-'user input'!$C$12)))</f>
        <v>0</v>
      </c>
    </row>
    <row r="1192" spans="1:6" x14ac:dyDescent="0.2">
      <c r="A1192" s="1">
        <v>41368</v>
      </c>
      <c r="B1192">
        <v>95</v>
      </c>
      <c r="C1192">
        <f>IF(B1192&gt;'user input'!$C$6,0,IF('heat units'!H1192&gt;1,1,'heat units'!H1192))</f>
        <v>0</v>
      </c>
      <c r="D1192">
        <f>IF(B1192&gt;'user input'!$C$6,0,(C1192/(C1192+EXP('user input'!$C$15-'user input'!$C$14*C1192))))</f>
        <v>0</v>
      </c>
      <c r="E1192">
        <f>IF(C1192&lt;'user input'!$C$12,(D1192-D1191)*'user input'!$C$17*(1-EXP(5*(F1191-'user input'!$C$17))),F1192-F1191)</f>
        <v>0</v>
      </c>
      <c r="F1192">
        <f>IF(C1192&lt;'user input'!$C$12,IF(B1192&gt;'user input'!$C$6,0,F1191+E1192),'user input'!$C$17*((1-C1192)/(1-'user input'!$C$12)))</f>
        <v>0</v>
      </c>
    </row>
    <row r="1193" spans="1:6" x14ac:dyDescent="0.2">
      <c r="A1193" s="1">
        <v>41369</v>
      </c>
      <c r="B1193">
        <v>96</v>
      </c>
      <c r="C1193">
        <f>IF(B1193&gt;'user input'!$C$6,0,IF('heat units'!H1193&gt;1,1,'heat units'!H1193))</f>
        <v>0</v>
      </c>
      <c r="D1193">
        <f>IF(B1193&gt;'user input'!$C$6,0,(C1193/(C1193+EXP('user input'!$C$15-'user input'!$C$14*C1193))))</f>
        <v>0</v>
      </c>
      <c r="E1193">
        <f>IF(C1193&lt;'user input'!$C$12,(D1193-D1192)*'user input'!$C$17*(1-EXP(5*(F1192-'user input'!$C$17))),F1193-F1192)</f>
        <v>0</v>
      </c>
      <c r="F1193">
        <f>IF(C1193&lt;'user input'!$C$12,IF(B1193&gt;'user input'!$C$6,0,F1192+E1193),'user input'!$C$17*((1-C1193)/(1-'user input'!$C$12)))</f>
        <v>0</v>
      </c>
    </row>
    <row r="1194" spans="1:6" x14ac:dyDescent="0.2">
      <c r="A1194" s="1">
        <v>41370</v>
      </c>
      <c r="B1194">
        <v>97</v>
      </c>
      <c r="C1194">
        <f>IF(B1194&gt;'user input'!$C$6,0,IF('heat units'!H1194&gt;1,1,'heat units'!H1194))</f>
        <v>0</v>
      </c>
      <c r="D1194">
        <f>IF(B1194&gt;'user input'!$C$6,0,(C1194/(C1194+EXP('user input'!$C$15-'user input'!$C$14*C1194))))</f>
        <v>0</v>
      </c>
      <c r="E1194">
        <f>IF(C1194&lt;'user input'!$C$12,(D1194-D1193)*'user input'!$C$17*(1-EXP(5*(F1193-'user input'!$C$17))),F1194-F1193)</f>
        <v>0</v>
      </c>
      <c r="F1194">
        <f>IF(C1194&lt;'user input'!$C$12,IF(B1194&gt;'user input'!$C$6,0,F1193+E1194),'user input'!$C$17*((1-C1194)/(1-'user input'!$C$12)))</f>
        <v>0</v>
      </c>
    </row>
    <row r="1195" spans="1:6" x14ac:dyDescent="0.2">
      <c r="A1195" s="1">
        <v>41371</v>
      </c>
      <c r="B1195">
        <v>98</v>
      </c>
      <c r="C1195">
        <f>IF(B1195&gt;'user input'!$C$6,0,IF('heat units'!H1195&gt;1,1,'heat units'!H1195))</f>
        <v>0</v>
      </c>
      <c r="D1195">
        <f>IF(B1195&gt;'user input'!$C$6,0,(C1195/(C1195+EXP('user input'!$C$15-'user input'!$C$14*C1195))))</f>
        <v>0</v>
      </c>
      <c r="E1195">
        <f>IF(C1195&lt;'user input'!$C$12,(D1195-D1194)*'user input'!$C$17*(1-EXP(5*(F1194-'user input'!$C$17))),F1195-F1194)</f>
        <v>0</v>
      </c>
      <c r="F1195">
        <f>IF(C1195&lt;'user input'!$C$12,IF(B1195&gt;'user input'!$C$6,0,F1194+E1195),'user input'!$C$17*((1-C1195)/(1-'user input'!$C$12)))</f>
        <v>0</v>
      </c>
    </row>
    <row r="1196" spans="1:6" x14ac:dyDescent="0.2">
      <c r="A1196" s="1">
        <v>41372</v>
      </c>
      <c r="B1196">
        <v>99</v>
      </c>
      <c r="C1196">
        <f>IF(B1196&gt;'user input'!$C$6,0,IF('heat units'!H1196&gt;1,1,'heat units'!H1196))</f>
        <v>0</v>
      </c>
      <c r="D1196">
        <f>IF(B1196&gt;'user input'!$C$6,0,(C1196/(C1196+EXP('user input'!$C$15-'user input'!$C$14*C1196))))</f>
        <v>0</v>
      </c>
      <c r="E1196">
        <f>IF(C1196&lt;'user input'!$C$12,(D1196-D1195)*'user input'!$C$17*(1-EXP(5*(F1195-'user input'!$C$17))),F1196-F1195)</f>
        <v>0</v>
      </c>
      <c r="F1196">
        <f>IF(C1196&lt;'user input'!$C$12,IF(B1196&gt;'user input'!$C$6,0,F1195+E1196),'user input'!$C$17*((1-C1196)/(1-'user input'!$C$12)))</f>
        <v>0</v>
      </c>
    </row>
    <row r="1197" spans="1:6" x14ac:dyDescent="0.2">
      <c r="A1197" s="1">
        <v>41373</v>
      </c>
      <c r="B1197">
        <v>100</v>
      </c>
      <c r="C1197">
        <f>IF(B1197&gt;'user input'!$C$6,0,IF('heat units'!H1197&gt;1,1,'heat units'!H1197))</f>
        <v>0</v>
      </c>
      <c r="D1197">
        <f>IF(B1197&gt;'user input'!$C$6,0,(C1197/(C1197+EXP('user input'!$C$15-'user input'!$C$14*C1197))))</f>
        <v>0</v>
      </c>
      <c r="E1197">
        <f>IF(C1197&lt;'user input'!$C$12,(D1197-D1196)*'user input'!$C$17*(1-EXP(5*(F1196-'user input'!$C$17))),F1197-F1196)</f>
        <v>0</v>
      </c>
      <c r="F1197">
        <f>IF(C1197&lt;'user input'!$C$12,IF(B1197&gt;'user input'!$C$6,0,F1196+E1197),'user input'!$C$17*((1-C1197)/(1-'user input'!$C$12)))</f>
        <v>0</v>
      </c>
    </row>
    <row r="1198" spans="1:6" x14ac:dyDescent="0.2">
      <c r="A1198" s="1">
        <v>41374</v>
      </c>
      <c r="B1198">
        <v>101</v>
      </c>
      <c r="C1198">
        <f>IF(B1198&gt;'user input'!$C$6,0,IF('heat units'!H1198&gt;1,1,'heat units'!H1198))</f>
        <v>0</v>
      </c>
      <c r="D1198">
        <f>IF(B1198&gt;'user input'!$C$6,0,(C1198/(C1198+EXP('user input'!$C$15-'user input'!$C$14*C1198))))</f>
        <v>0</v>
      </c>
      <c r="E1198">
        <f>IF(C1198&lt;'user input'!$C$12,(D1198-D1197)*'user input'!$C$17*(1-EXP(5*(F1197-'user input'!$C$17))),F1198-F1197)</f>
        <v>0</v>
      </c>
      <c r="F1198">
        <f>IF(C1198&lt;'user input'!$C$12,IF(B1198&gt;'user input'!$C$6,0,F1197+E1198),'user input'!$C$17*((1-C1198)/(1-'user input'!$C$12)))</f>
        <v>0</v>
      </c>
    </row>
    <row r="1199" spans="1:6" x14ac:dyDescent="0.2">
      <c r="A1199" s="1">
        <v>41375</v>
      </c>
      <c r="B1199">
        <v>102</v>
      </c>
      <c r="C1199">
        <f>IF(B1199&gt;'user input'!$C$6,0,IF('heat units'!H1199&gt;1,1,'heat units'!H1199))</f>
        <v>0</v>
      </c>
      <c r="D1199">
        <f>IF(B1199&gt;'user input'!$C$6,0,(C1199/(C1199+EXP('user input'!$C$15-'user input'!$C$14*C1199))))</f>
        <v>0</v>
      </c>
      <c r="E1199">
        <f>IF(C1199&lt;'user input'!$C$12,(D1199-D1198)*'user input'!$C$17*(1-EXP(5*(F1198-'user input'!$C$17))),F1199-F1198)</f>
        <v>0</v>
      </c>
      <c r="F1199">
        <f>IF(C1199&lt;'user input'!$C$12,IF(B1199&gt;'user input'!$C$6,0,F1198+E1199),'user input'!$C$17*((1-C1199)/(1-'user input'!$C$12)))</f>
        <v>0</v>
      </c>
    </row>
    <row r="1200" spans="1:6" x14ac:dyDescent="0.2">
      <c r="A1200" s="1">
        <v>41376</v>
      </c>
      <c r="B1200">
        <v>103</v>
      </c>
      <c r="C1200">
        <f>IF(B1200&gt;'user input'!$C$6,0,IF('heat units'!H1200&gt;1,1,'heat units'!H1200))</f>
        <v>0</v>
      </c>
      <c r="D1200">
        <f>IF(B1200&gt;'user input'!$C$6,0,(C1200/(C1200+EXP('user input'!$C$15-'user input'!$C$14*C1200))))</f>
        <v>0</v>
      </c>
      <c r="E1200">
        <f>IF(C1200&lt;'user input'!$C$12,(D1200-D1199)*'user input'!$C$17*(1-EXP(5*(F1199-'user input'!$C$17))),F1200-F1199)</f>
        <v>0</v>
      </c>
      <c r="F1200">
        <f>IF(C1200&lt;'user input'!$C$12,IF(B1200&gt;'user input'!$C$6,0,F1199+E1200),'user input'!$C$17*((1-C1200)/(1-'user input'!$C$12)))</f>
        <v>0</v>
      </c>
    </row>
    <row r="1201" spans="1:6" x14ac:dyDescent="0.2">
      <c r="A1201" s="1">
        <v>41377</v>
      </c>
      <c r="B1201">
        <v>104</v>
      </c>
      <c r="C1201">
        <f>IF(B1201&gt;'user input'!$C$6,0,IF('heat units'!H1201&gt;1,1,'heat units'!H1201))</f>
        <v>0</v>
      </c>
      <c r="D1201">
        <f>IF(B1201&gt;'user input'!$C$6,0,(C1201/(C1201+EXP('user input'!$C$15-'user input'!$C$14*C1201))))</f>
        <v>0</v>
      </c>
      <c r="E1201">
        <f>IF(C1201&lt;'user input'!$C$12,(D1201-D1200)*'user input'!$C$17*(1-EXP(5*(F1200-'user input'!$C$17))),F1201-F1200)</f>
        <v>0</v>
      </c>
      <c r="F1201">
        <f>IF(C1201&lt;'user input'!$C$12,IF(B1201&gt;'user input'!$C$6,0,F1200+E1201),'user input'!$C$17*((1-C1201)/(1-'user input'!$C$12)))</f>
        <v>0</v>
      </c>
    </row>
    <row r="1202" spans="1:6" x14ac:dyDescent="0.2">
      <c r="A1202" s="1">
        <v>41378</v>
      </c>
      <c r="B1202">
        <v>105</v>
      </c>
      <c r="C1202">
        <f>IF(B1202&gt;'user input'!$C$6,0,IF('heat units'!H1202&gt;1,1,'heat units'!H1202))</f>
        <v>0</v>
      </c>
      <c r="D1202">
        <f>IF(B1202&gt;'user input'!$C$6,0,(C1202/(C1202+EXP('user input'!$C$15-'user input'!$C$14*C1202))))</f>
        <v>0</v>
      </c>
      <c r="E1202">
        <f>IF(C1202&lt;'user input'!$C$12,(D1202-D1201)*'user input'!$C$17*(1-EXP(5*(F1201-'user input'!$C$17))),F1202-F1201)</f>
        <v>0</v>
      </c>
      <c r="F1202">
        <f>IF(C1202&lt;'user input'!$C$12,IF(B1202&gt;'user input'!$C$6,0,F1201+E1202),'user input'!$C$17*((1-C1202)/(1-'user input'!$C$12)))</f>
        <v>0</v>
      </c>
    </row>
    <row r="1203" spans="1:6" x14ac:dyDescent="0.2">
      <c r="A1203" s="1">
        <v>41379</v>
      </c>
      <c r="B1203">
        <v>106</v>
      </c>
      <c r="C1203">
        <f>IF(B1203&gt;'user input'!$C$6,0,IF('heat units'!H1203&gt;1,1,'heat units'!H1203))</f>
        <v>0</v>
      </c>
      <c r="D1203">
        <f>IF(B1203&gt;'user input'!$C$6,0,(C1203/(C1203+EXP('user input'!$C$15-'user input'!$C$14*C1203))))</f>
        <v>0</v>
      </c>
      <c r="E1203">
        <f>IF(C1203&lt;'user input'!$C$12,(D1203-D1202)*'user input'!$C$17*(1-EXP(5*(F1202-'user input'!$C$17))),F1203-F1202)</f>
        <v>0</v>
      </c>
      <c r="F1203">
        <f>IF(C1203&lt;'user input'!$C$12,IF(B1203&gt;'user input'!$C$6,0,F1202+E1203),'user input'!$C$17*((1-C1203)/(1-'user input'!$C$12)))</f>
        <v>0</v>
      </c>
    </row>
    <row r="1204" spans="1:6" x14ac:dyDescent="0.2">
      <c r="A1204" s="1">
        <v>41380</v>
      </c>
      <c r="B1204">
        <v>107</v>
      </c>
      <c r="C1204">
        <f>IF(B1204&gt;'user input'!$C$6,0,IF('heat units'!H1204&gt;1,1,'heat units'!H1204))</f>
        <v>0</v>
      </c>
      <c r="D1204">
        <f>IF(B1204&gt;'user input'!$C$6,0,(C1204/(C1204+EXP('user input'!$C$15-'user input'!$C$14*C1204))))</f>
        <v>0</v>
      </c>
      <c r="E1204">
        <f>IF(C1204&lt;'user input'!$C$12,(D1204-D1203)*'user input'!$C$17*(1-EXP(5*(F1203-'user input'!$C$17))),F1204-F1203)</f>
        <v>0</v>
      </c>
      <c r="F1204">
        <f>IF(C1204&lt;'user input'!$C$12,IF(B1204&gt;'user input'!$C$6,0,F1203+E1204),'user input'!$C$17*((1-C1204)/(1-'user input'!$C$12)))</f>
        <v>0</v>
      </c>
    </row>
    <row r="1205" spans="1:6" x14ac:dyDescent="0.2">
      <c r="A1205" s="1">
        <v>41381</v>
      </c>
      <c r="B1205">
        <v>108</v>
      </c>
      <c r="C1205">
        <f>IF(B1205&gt;'user input'!$C$6,0,IF('heat units'!H1205&gt;1,1,'heat units'!H1205))</f>
        <v>0</v>
      </c>
      <c r="D1205">
        <f>IF(B1205&gt;'user input'!$C$6,0,(C1205/(C1205+EXP('user input'!$C$15-'user input'!$C$14*C1205))))</f>
        <v>0</v>
      </c>
      <c r="E1205">
        <f>IF(C1205&lt;'user input'!$C$12,(D1205-D1204)*'user input'!$C$17*(1-EXP(5*(F1204-'user input'!$C$17))),F1205-F1204)</f>
        <v>0</v>
      </c>
      <c r="F1205">
        <f>IF(C1205&lt;'user input'!$C$12,IF(B1205&gt;'user input'!$C$6,0,F1204+E1205),'user input'!$C$17*((1-C1205)/(1-'user input'!$C$12)))</f>
        <v>0</v>
      </c>
    </row>
    <row r="1206" spans="1:6" x14ac:dyDescent="0.2">
      <c r="A1206" s="1">
        <v>41382</v>
      </c>
      <c r="B1206">
        <v>109</v>
      </c>
      <c r="C1206">
        <f>IF(B1206&gt;'user input'!$C$6,0,IF('heat units'!H1206&gt;1,1,'heat units'!H1206))</f>
        <v>0</v>
      </c>
      <c r="D1206">
        <f>IF(B1206&gt;'user input'!$C$6,0,(C1206/(C1206+EXP('user input'!$C$15-'user input'!$C$14*C1206))))</f>
        <v>0</v>
      </c>
      <c r="E1206">
        <f>IF(C1206&lt;'user input'!$C$12,(D1206-D1205)*'user input'!$C$17*(1-EXP(5*(F1205-'user input'!$C$17))),F1206-F1205)</f>
        <v>0</v>
      </c>
      <c r="F1206">
        <f>IF(C1206&lt;'user input'!$C$12,IF(B1206&gt;'user input'!$C$6,0,F1205+E1206),'user input'!$C$17*((1-C1206)/(1-'user input'!$C$12)))</f>
        <v>0</v>
      </c>
    </row>
    <row r="1207" spans="1:6" x14ac:dyDescent="0.2">
      <c r="A1207" s="1">
        <v>41383</v>
      </c>
      <c r="B1207">
        <v>110</v>
      </c>
      <c r="C1207">
        <f>IF(B1207&gt;'user input'!$C$6,0,IF('heat units'!H1207&gt;1,1,'heat units'!H1207))</f>
        <v>0</v>
      </c>
      <c r="D1207">
        <f>IF(B1207&gt;'user input'!$C$6,0,(C1207/(C1207+EXP('user input'!$C$15-'user input'!$C$14*C1207))))</f>
        <v>0</v>
      </c>
      <c r="E1207">
        <f>IF(C1207&lt;'user input'!$C$12,(D1207-D1206)*'user input'!$C$17*(1-EXP(5*(F1206-'user input'!$C$17))),F1207-F1206)</f>
        <v>0</v>
      </c>
      <c r="F1207">
        <f>IF(C1207&lt;'user input'!$C$12,IF(B1207&gt;'user input'!$C$6,0,F1206+E1207),'user input'!$C$17*((1-C1207)/(1-'user input'!$C$12)))</f>
        <v>0</v>
      </c>
    </row>
    <row r="1208" spans="1:6" x14ac:dyDescent="0.2">
      <c r="A1208" s="1">
        <v>41384</v>
      </c>
      <c r="B1208">
        <v>111</v>
      </c>
      <c r="C1208">
        <f>IF(B1208&gt;'user input'!$C$6,0,IF('heat units'!H1208&gt;1,1,'heat units'!H1208))</f>
        <v>0</v>
      </c>
      <c r="D1208">
        <f>IF(B1208&gt;'user input'!$C$6,0,(C1208/(C1208+EXP('user input'!$C$15-'user input'!$C$14*C1208))))</f>
        <v>0</v>
      </c>
      <c r="E1208">
        <f>IF(C1208&lt;'user input'!$C$12,(D1208-D1207)*'user input'!$C$17*(1-EXP(5*(F1207-'user input'!$C$17))),F1208-F1207)</f>
        <v>0</v>
      </c>
      <c r="F1208">
        <f>IF(C1208&lt;'user input'!$C$12,IF(B1208&gt;'user input'!$C$6,0,F1207+E1208),'user input'!$C$17*((1-C1208)/(1-'user input'!$C$12)))</f>
        <v>0</v>
      </c>
    </row>
    <row r="1209" spans="1:6" x14ac:dyDescent="0.2">
      <c r="A1209" s="1">
        <v>41385</v>
      </c>
      <c r="B1209">
        <v>112</v>
      </c>
      <c r="C1209">
        <f>IF(B1209&gt;'user input'!$C$6,0,IF('heat units'!H1209&gt;1,1,'heat units'!H1209))</f>
        <v>0</v>
      </c>
      <c r="D1209">
        <f>IF(B1209&gt;'user input'!$C$6,0,(C1209/(C1209+EXP('user input'!$C$15-'user input'!$C$14*C1209))))</f>
        <v>0</v>
      </c>
      <c r="E1209">
        <f>IF(C1209&lt;'user input'!$C$12,(D1209-D1208)*'user input'!$C$17*(1-EXP(5*(F1208-'user input'!$C$17))),F1209-F1208)</f>
        <v>0</v>
      </c>
      <c r="F1209">
        <f>IF(C1209&lt;'user input'!$C$12,IF(B1209&gt;'user input'!$C$6,0,F1208+E1209),'user input'!$C$17*((1-C1209)/(1-'user input'!$C$12)))</f>
        <v>0</v>
      </c>
    </row>
    <row r="1210" spans="1:6" x14ac:dyDescent="0.2">
      <c r="A1210" s="1">
        <v>41386</v>
      </c>
      <c r="B1210">
        <v>113</v>
      </c>
      <c r="C1210">
        <f>IF(B1210&gt;'user input'!$C$6,0,IF('heat units'!H1210&gt;1,1,'heat units'!H1210))</f>
        <v>0</v>
      </c>
      <c r="D1210">
        <f>IF(B1210&gt;'user input'!$C$6,0,(C1210/(C1210+EXP('user input'!$C$15-'user input'!$C$14*C1210))))</f>
        <v>0</v>
      </c>
      <c r="E1210">
        <f>IF(C1210&lt;'user input'!$C$12,(D1210-D1209)*'user input'!$C$17*(1-EXP(5*(F1209-'user input'!$C$17))),F1210-F1209)</f>
        <v>0</v>
      </c>
      <c r="F1210">
        <f>IF(C1210&lt;'user input'!$C$12,IF(B1210&gt;'user input'!$C$6,0,F1209+E1210),'user input'!$C$17*((1-C1210)/(1-'user input'!$C$12)))</f>
        <v>0</v>
      </c>
    </row>
    <row r="1211" spans="1:6" x14ac:dyDescent="0.2">
      <c r="A1211" s="1">
        <v>41387</v>
      </c>
      <c r="B1211">
        <v>114</v>
      </c>
      <c r="C1211">
        <f>IF(B1211&gt;'user input'!$C$6,0,IF('heat units'!H1211&gt;1,1,'heat units'!H1211))</f>
        <v>0</v>
      </c>
      <c r="D1211">
        <f>IF(B1211&gt;'user input'!$C$6,0,(C1211/(C1211+EXP('user input'!$C$15-'user input'!$C$14*C1211))))</f>
        <v>0</v>
      </c>
      <c r="E1211">
        <f>IF(C1211&lt;'user input'!$C$12,(D1211-D1210)*'user input'!$C$17*(1-EXP(5*(F1210-'user input'!$C$17))),F1211-F1210)</f>
        <v>0</v>
      </c>
      <c r="F1211">
        <f>IF(C1211&lt;'user input'!$C$12,IF(B1211&gt;'user input'!$C$6,0,F1210+E1211),'user input'!$C$17*((1-C1211)/(1-'user input'!$C$12)))</f>
        <v>0</v>
      </c>
    </row>
    <row r="1212" spans="1:6" x14ac:dyDescent="0.2">
      <c r="A1212" s="1">
        <v>41388</v>
      </c>
      <c r="B1212">
        <v>115</v>
      </c>
      <c r="C1212">
        <f>IF(B1212&gt;'user input'!$C$6,0,IF('heat units'!H1212&gt;1,1,'heat units'!H1212))</f>
        <v>0</v>
      </c>
      <c r="D1212">
        <f>IF(B1212&gt;'user input'!$C$6,0,(C1212/(C1212+EXP('user input'!$C$15-'user input'!$C$14*C1212))))</f>
        <v>0</v>
      </c>
      <c r="E1212">
        <f>IF(C1212&lt;'user input'!$C$12,(D1212-D1211)*'user input'!$C$17*(1-EXP(5*(F1211-'user input'!$C$17))),F1212-F1211)</f>
        <v>0</v>
      </c>
      <c r="F1212">
        <f>IF(C1212&lt;'user input'!$C$12,IF(B1212&gt;'user input'!$C$6,0,F1211+E1212),'user input'!$C$17*((1-C1212)/(1-'user input'!$C$12)))</f>
        <v>0</v>
      </c>
    </row>
    <row r="1213" spans="1:6" x14ac:dyDescent="0.2">
      <c r="A1213" s="1">
        <v>41389</v>
      </c>
      <c r="B1213">
        <v>116</v>
      </c>
      <c r="C1213">
        <f>IF(B1213&gt;'user input'!$C$6,0,IF('heat units'!H1213&gt;1,1,'heat units'!H1213))</f>
        <v>0</v>
      </c>
      <c r="D1213">
        <f>IF(B1213&gt;'user input'!$C$6,0,(C1213/(C1213+EXP('user input'!$C$15-'user input'!$C$14*C1213))))</f>
        <v>0</v>
      </c>
      <c r="E1213">
        <f>IF(C1213&lt;'user input'!$C$12,(D1213-D1212)*'user input'!$C$17*(1-EXP(5*(F1212-'user input'!$C$17))),F1213-F1212)</f>
        <v>0</v>
      </c>
      <c r="F1213">
        <f>IF(C1213&lt;'user input'!$C$12,IF(B1213&gt;'user input'!$C$6,0,F1212+E1213),'user input'!$C$17*((1-C1213)/(1-'user input'!$C$12)))</f>
        <v>0</v>
      </c>
    </row>
    <row r="1214" spans="1:6" x14ac:dyDescent="0.2">
      <c r="A1214" s="1">
        <v>41390</v>
      </c>
      <c r="B1214">
        <v>117</v>
      </c>
      <c r="C1214">
        <f>IF(B1214&gt;'user input'!$C$6,0,IF('heat units'!H1214&gt;1,1,'heat units'!H1214))</f>
        <v>0</v>
      </c>
      <c r="D1214">
        <f>IF(B1214&gt;'user input'!$C$6,0,(C1214/(C1214+EXP('user input'!$C$15-'user input'!$C$14*C1214))))</f>
        <v>0</v>
      </c>
      <c r="E1214">
        <f>IF(C1214&lt;'user input'!$C$12,(D1214-D1213)*'user input'!$C$17*(1-EXP(5*(F1213-'user input'!$C$17))),F1214-F1213)</f>
        <v>0</v>
      </c>
      <c r="F1214">
        <f>IF(C1214&lt;'user input'!$C$12,IF(B1214&gt;'user input'!$C$6,0,F1213+E1214),'user input'!$C$17*((1-C1214)/(1-'user input'!$C$12)))</f>
        <v>0</v>
      </c>
    </row>
    <row r="1215" spans="1:6" x14ac:dyDescent="0.2">
      <c r="A1215" s="1">
        <v>41391</v>
      </c>
      <c r="B1215">
        <v>118</v>
      </c>
      <c r="C1215">
        <f>IF(B1215&gt;'user input'!$C$6,0,IF('heat units'!H1215&gt;1,1,'heat units'!H1215))</f>
        <v>0</v>
      </c>
      <c r="D1215">
        <f>IF(B1215&gt;'user input'!$C$6,0,(C1215/(C1215+EXP('user input'!$C$15-'user input'!$C$14*C1215))))</f>
        <v>0</v>
      </c>
      <c r="E1215">
        <f>IF(C1215&lt;'user input'!$C$12,(D1215-D1214)*'user input'!$C$17*(1-EXP(5*(F1214-'user input'!$C$17))),F1215-F1214)</f>
        <v>0</v>
      </c>
      <c r="F1215">
        <f>IF(C1215&lt;'user input'!$C$12,IF(B1215&gt;'user input'!$C$6,0,F1214+E1215),'user input'!$C$17*((1-C1215)/(1-'user input'!$C$12)))</f>
        <v>0</v>
      </c>
    </row>
    <row r="1216" spans="1:6" x14ac:dyDescent="0.2">
      <c r="A1216" s="1">
        <v>41392</v>
      </c>
      <c r="B1216">
        <v>119</v>
      </c>
      <c r="C1216">
        <f>IF(B1216&gt;'user input'!$C$6,0,IF('heat units'!H1216&gt;1,1,'heat units'!H1216))</f>
        <v>0</v>
      </c>
      <c r="D1216">
        <f>IF(B1216&gt;'user input'!$C$6,0,(C1216/(C1216+EXP('user input'!$C$15-'user input'!$C$14*C1216))))</f>
        <v>0</v>
      </c>
      <c r="E1216">
        <f>IF(C1216&lt;'user input'!$C$12,(D1216-D1215)*'user input'!$C$17*(1-EXP(5*(F1215-'user input'!$C$17))),F1216-F1215)</f>
        <v>0</v>
      </c>
      <c r="F1216">
        <f>IF(C1216&lt;'user input'!$C$12,IF(B1216&gt;'user input'!$C$6,0,F1215+E1216),'user input'!$C$17*((1-C1216)/(1-'user input'!$C$12)))</f>
        <v>0</v>
      </c>
    </row>
    <row r="1217" spans="1:6" x14ac:dyDescent="0.2">
      <c r="A1217" s="1">
        <v>41393</v>
      </c>
      <c r="B1217">
        <v>120</v>
      </c>
      <c r="C1217">
        <f>IF(B1217&gt;'user input'!$C$6,0,IF('heat units'!H1217&gt;1,1,'heat units'!H1217))</f>
        <v>0</v>
      </c>
      <c r="D1217">
        <f>IF(B1217&gt;'user input'!$C$6,0,(C1217/(C1217+EXP('user input'!$C$15-'user input'!$C$14*C1217))))</f>
        <v>0</v>
      </c>
      <c r="E1217">
        <f>IF(C1217&lt;'user input'!$C$12,(D1217-D1216)*'user input'!$C$17*(1-EXP(5*(F1216-'user input'!$C$17))),F1217-F1216)</f>
        <v>0</v>
      </c>
      <c r="F1217">
        <f>IF(C1217&lt;'user input'!$C$12,IF(B1217&gt;'user input'!$C$6,0,F1216+E1217),'user input'!$C$17*((1-C1217)/(1-'user input'!$C$12)))</f>
        <v>0</v>
      </c>
    </row>
    <row r="1218" spans="1:6" x14ac:dyDescent="0.2">
      <c r="A1218" s="1">
        <v>41394</v>
      </c>
      <c r="B1218">
        <v>121</v>
      </c>
      <c r="C1218">
        <f>IF(B1218&gt;'user input'!$C$6,0,IF('heat units'!H1218&gt;1,1,'heat units'!H1218))</f>
        <v>2.3148148148148214E-4</v>
      </c>
      <c r="D1218">
        <f>IF(B1218&gt;'user input'!$C$6,0,(C1218/(C1218+EXP('user input'!$C$15-'user input'!$C$14*C1218))))</f>
        <v>1.0940285896308259E-5</v>
      </c>
      <c r="E1218">
        <f>IF(C1218&lt;'user input'!$C$12,(D1218-D1217)*'user input'!$C$17*(1-EXP(5*(F1217-'user input'!$C$17))),F1218-F1217)</f>
        <v>3.2820847648948253E-5</v>
      </c>
      <c r="F1218">
        <f>IF(C1218&lt;'user input'!$C$12,IF(B1218&gt;'user input'!$C$6,0,F1217+E1218),'user input'!$C$17*((1-C1218)/(1-'user input'!$C$12)))</f>
        <v>3.2820847648948253E-5</v>
      </c>
    </row>
    <row r="1219" spans="1:6" x14ac:dyDescent="0.2">
      <c r="A1219" s="1">
        <v>41395</v>
      </c>
      <c r="B1219">
        <v>122</v>
      </c>
      <c r="C1219">
        <f>IF(B1219&gt;'user input'!$C$6,0,IF('heat units'!H1219&gt;1,1,'heat units'!H1219))</f>
        <v>1.1574074074074078E-3</v>
      </c>
      <c r="D1219">
        <f>IF(B1219&gt;'user input'!$C$6,0,(C1219/(C1219+EXP('user input'!$C$15-'user input'!$C$14*C1219))))</f>
        <v>5.5381152530704183E-5</v>
      </c>
      <c r="E1219">
        <f>IF(C1219&lt;'user input'!$C$12,(D1219-D1218)*'user input'!$C$17*(1-EXP(5*(F1218-'user input'!$C$17))),F1219-F1218)</f>
        <v>1.3332255911280175E-4</v>
      </c>
      <c r="F1219">
        <f>IF(C1219&lt;'user input'!$C$12,IF(B1219&gt;'user input'!$C$6,0,F1218+E1219),'user input'!$C$17*((1-C1219)/(1-'user input'!$C$12)))</f>
        <v>1.6614340676174999E-4</v>
      </c>
    </row>
    <row r="1220" spans="1:6" x14ac:dyDescent="0.2">
      <c r="A1220" s="1">
        <v>41396</v>
      </c>
      <c r="B1220">
        <v>123</v>
      </c>
      <c r="C1220">
        <f>IF(B1220&gt;'user input'!$C$6,0,IF('heat units'!H1220&gt;1,1,'heat units'!H1220))</f>
        <v>2.3148148148148156E-3</v>
      </c>
      <c r="D1220">
        <f>IF(B1220&gt;'user input'!$C$6,0,(C1220/(C1220+EXP('user input'!$C$15-'user input'!$C$14*C1220))))</f>
        <v>1.1248521736021462E-4</v>
      </c>
      <c r="E1220">
        <f>IF(C1220&lt;'user input'!$C$12,(D1220-D1219)*'user input'!$C$17*(1-EXP(5*(F1219-'user input'!$C$17))),F1220-F1219)</f>
        <v>1.7131214204018185E-4</v>
      </c>
      <c r="F1220">
        <f>IF(C1220&lt;'user input'!$C$12,IF(B1220&gt;'user input'!$C$6,0,F1219+E1220),'user input'!$C$17*((1-C1220)/(1-'user input'!$C$12)))</f>
        <v>3.3745554880193181E-4</v>
      </c>
    </row>
    <row r="1221" spans="1:6" x14ac:dyDescent="0.2">
      <c r="A1221" s="1">
        <v>41397</v>
      </c>
      <c r="B1221">
        <v>124</v>
      </c>
      <c r="C1221">
        <f>IF(B1221&gt;'user input'!$C$6,0,IF('heat units'!H1221&gt;1,1,'heat units'!H1221))</f>
        <v>4.6296296296296311E-3</v>
      </c>
      <c r="D1221">
        <f>IF(B1221&gt;'user input'!$C$6,0,(C1221/(C1221+EXP('user input'!$C$15-'user input'!$C$14*C1221))))</f>
        <v>2.3202247846765454E-4</v>
      </c>
      <c r="E1221">
        <f>IF(C1221&lt;'user input'!$C$12,(D1221-D1220)*'user input'!$C$17*(1-EXP(5*(F1220-'user input'!$C$17))),F1221-F1220)</f>
        <v>3.5861167343689219E-4</v>
      </c>
      <c r="F1221">
        <f>IF(C1221&lt;'user input'!$C$12,IF(B1221&gt;'user input'!$C$6,0,F1220+E1221),'user input'!$C$17*((1-C1221)/(1-'user input'!$C$12)))</f>
        <v>6.96067222238824E-4</v>
      </c>
    </row>
    <row r="1222" spans="1:6" x14ac:dyDescent="0.2">
      <c r="A1222" s="1">
        <v>41398</v>
      </c>
      <c r="B1222">
        <v>125</v>
      </c>
      <c r="C1222">
        <f>IF(B1222&gt;'user input'!$C$6,0,IF('heat units'!H1222&gt;1,1,'heat units'!H1222))</f>
        <v>8.7962962962962968E-3</v>
      </c>
      <c r="D1222">
        <f>IF(B1222&gt;'user input'!$C$6,0,(C1222/(C1222+EXP('user input'!$C$15-'user input'!$C$14*C1222))))</f>
        <v>4.6601915811617545E-4</v>
      </c>
      <c r="E1222">
        <f>IF(C1222&lt;'user input'!$C$12,(D1222-D1221)*'user input'!$C$17*(1-EXP(5*(F1221-'user input'!$C$17))),F1222-F1221)</f>
        <v>7.0198982345650999E-4</v>
      </c>
      <c r="F1222">
        <f>IF(C1222&lt;'user input'!$C$12,IF(B1222&gt;'user input'!$C$6,0,F1221+E1222),'user input'!$C$17*((1-C1222)/(1-'user input'!$C$12)))</f>
        <v>1.3980570456953341E-3</v>
      </c>
    </row>
    <row r="1223" spans="1:6" x14ac:dyDescent="0.2">
      <c r="A1223" s="1">
        <v>41399</v>
      </c>
      <c r="B1223">
        <v>126</v>
      </c>
      <c r="C1223">
        <f>IF(B1223&gt;'user input'!$C$6,0,IF('heat units'!H1223&gt;1,1,'heat units'!H1223))</f>
        <v>1.1111111111111113E-2</v>
      </c>
      <c r="D1223">
        <f>IF(B1223&gt;'user input'!$C$6,0,(C1223/(C1223+EXP('user input'!$C$15-'user input'!$C$14*C1223))))</f>
        <v>6.0709498843670962E-4</v>
      </c>
      <c r="E1223">
        <f>IF(C1223&lt;'user input'!$C$12,(D1223-D1222)*'user input'!$C$17*(1-EXP(5*(F1222-'user input'!$C$17))),F1223-F1222)</f>
        <v>4.2322736058715424E-4</v>
      </c>
      <c r="F1223">
        <f>IF(C1223&lt;'user input'!$C$12,IF(B1223&gt;'user input'!$C$6,0,F1222+E1223),'user input'!$C$17*((1-C1223)/(1-'user input'!$C$12)))</f>
        <v>1.8212844062824884E-3</v>
      </c>
    </row>
    <row r="1224" spans="1:6" x14ac:dyDescent="0.2">
      <c r="A1224" s="1">
        <v>41400</v>
      </c>
      <c r="B1224">
        <v>127</v>
      </c>
      <c r="C1224">
        <f>IF(B1224&gt;'user input'!$C$6,0,IF('heat units'!H1224&gt;1,1,'heat units'!H1224))</f>
        <v>1.2731481481481484E-2</v>
      </c>
      <c r="D1224">
        <f>IF(B1224&gt;'user input'!$C$6,0,(C1224/(C1224+EXP('user input'!$C$15-'user input'!$C$14*C1224))))</f>
        <v>7.1080848632876334E-4</v>
      </c>
      <c r="E1224">
        <f>IF(C1224&lt;'user input'!$C$12,(D1224-D1223)*'user input'!$C$17*(1-EXP(5*(F1223-'user input'!$C$17))),F1224-F1223)</f>
        <v>3.111403976268672E-4</v>
      </c>
      <c r="F1224">
        <f>IF(C1224&lt;'user input'!$C$12,IF(B1224&gt;'user input'!$C$6,0,F1223+E1224),'user input'!$C$17*((1-C1224)/(1-'user input'!$C$12)))</f>
        <v>2.1324248039093557E-3</v>
      </c>
    </row>
    <row r="1225" spans="1:6" x14ac:dyDescent="0.2">
      <c r="A1225" s="1">
        <v>41401</v>
      </c>
      <c r="B1225">
        <v>128</v>
      </c>
      <c r="C1225">
        <f>IF(B1225&gt;'user input'!$C$6,0,IF('heat units'!H1225&gt;1,1,'heat units'!H1225))</f>
        <v>1.4120370370370372E-2</v>
      </c>
      <c r="D1225">
        <f>IF(B1225&gt;'user input'!$C$6,0,(C1225/(C1225+EXP('user input'!$C$15-'user input'!$C$14*C1225))))</f>
        <v>8.0307031542554356E-4</v>
      </c>
      <c r="E1225">
        <f>IF(C1225&lt;'user input'!$C$12,(D1225-D1224)*'user input'!$C$17*(1-EXP(5*(F1224-'user input'!$C$17))),F1225-F1224)</f>
        <v>2.7678540171343323E-4</v>
      </c>
      <c r="F1225">
        <f>IF(C1225&lt;'user input'!$C$12,IF(B1225&gt;'user input'!$C$6,0,F1224+E1225),'user input'!$C$17*((1-C1225)/(1-'user input'!$C$12)))</f>
        <v>2.4092102056227889E-3</v>
      </c>
    </row>
    <row r="1226" spans="1:6" x14ac:dyDescent="0.2">
      <c r="A1226" s="1">
        <v>41402</v>
      </c>
      <c r="B1226">
        <v>129</v>
      </c>
      <c r="C1226">
        <f>IF(B1226&gt;'user input'!$C$6,0,IF('heat units'!H1226&gt;1,1,'heat units'!H1226))</f>
        <v>1.4120370370370372E-2</v>
      </c>
      <c r="D1226">
        <f>IF(B1226&gt;'user input'!$C$6,0,(C1226/(C1226+EXP('user input'!$C$15-'user input'!$C$14*C1226))))</f>
        <v>8.0307031542554356E-4</v>
      </c>
      <c r="E1226">
        <f>IF(C1226&lt;'user input'!$C$12,(D1226-D1225)*'user input'!$C$17*(1-EXP(5*(F1225-'user input'!$C$17))),F1226-F1225)</f>
        <v>0</v>
      </c>
      <c r="F1226">
        <f>IF(C1226&lt;'user input'!$C$12,IF(B1226&gt;'user input'!$C$6,0,F1225+E1226),'user input'!$C$17*((1-C1226)/(1-'user input'!$C$12)))</f>
        <v>2.4092102056227889E-3</v>
      </c>
    </row>
    <row r="1227" spans="1:6" x14ac:dyDescent="0.2">
      <c r="A1227" s="1">
        <v>41403</v>
      </c>
      <c r="B1227">
        <v>130</v>
      </c>
      <c r="C1227">
        <f>IF(B1227&gt;'user input'!$C$6,0,IF('heat units'!H1227&gt;1,1,'heat units'!H1227))</f>
        <v>1.5509259259259263E-2</v>
      </c>
      <c r="D1227">
        <f>IF(B1227&gt;'user input'!$C$6,0,(C1227/(C1227+EXP('user input'!$C$15-'user input'!$C$14*C1227))))</f>
        <v>8.9852666863825617E-4</v>
      </c>
      <c r="E1227">
        <f>IF(C1227&lt;'user input'!$C$12,(D1227-D1226)*'user input'!$C$17*(1-EXP(5*(F1226-'user input'!$C$17))),F1227-F1226)</f>
        <v>2.8636897097555095E-4</v>
      </c>
      <c r="F1227">
        <f>IF(C1227&lt;'user input'!$C$12,IF(B1227&gt;'user input'!$C$6,0,F1226+E1227),'user input'!$C$17*((1-C1227)/(1-'user input'!$C$12)))</f>
        <v>2.6955791765983397E-3</v>
      </c>
    </row>
    <row r="1228" spans="1:6" x14ac:dyDescent="0.2">
      <c r="A1228" s="1">
        <v>41404</v>
      </c>
      <c r="B1228">
        <v>131</v>
      </c>
      <c r="C1228">
        <f>IF(B1228&gt;'user input'!$C$6,0,IF('heat units'!H1228&gt;1,1,'heat units'!H1228))</f>
        <v>1.6435185185185188E-2</v>
      </c>
      <c r="D1228">
        <f>IF(B1228&gt;'user input'!$C$6,0,(C1228/(C1228+EXP('user input'!$C$15-'user input'!$C$14*C1228))))</f>
        <v>9.6398145599152409E-4</v>
      </c>
      <c r="E1228">
        <f>IF(C1228&lt;'user input'!$C$12,(D1228-D1227)*'user input'!$C$17*(1-EXP(5*(F1227-'user input'!$C$17))),F1228-F1227)</f>
        <v>1.9636430117641487E-4</v>
      </c>
      <c r="F1228">
        <f>IF(C1228&lt;'user input'!$C$12,IF(B1228&gt;'user input'!$C$6,0,F1227+E1228),'user input'!$C$17*((1-C1228)/(1-'user input'!$C$12)))</f>
        <v>2.8919434777747548E-3</v>
      </c>
    </row>
    <row r="1229" spans="1:6" x14ac:dyDescent="0.2">
      <c r="A1229" s="1">
        <v>41405</v>
      </c>
      <c r="B1229">
        <v>132</v>
      </c>
      <c r="C1229">
        <f>IF(B1229&gt;'user input'!$C$6,0,IF('heat units'!H1229&gt;1,1,'heat units'!H1229))</f>
        <v>2.0138888888888894E-2</v>
      </c>
      <c r="D1229">
        <f>IF(B1229&gt;'user input'!$C$6,0,(C1229/(C1229+EXP('user input'!$C$15-'user input'!$C$14*C1229))))</f>
        <v>1.2409081667675128E-3</v>
      </c>
      <c r="E1229">
        <f>IF(C1229&lt;'user input'!$C$12,(D1229-D1228)*'user input'!$C$17*(1-EXP(5*(F1228-'user input'!$C$17))),F1229-F1228)</f>
        <v>8.3077987448894179E-4</v>
      </c>
      <c r="F1229">
        <f>IF(C1229&lt;'user input'!$C$12,IF(B1229&gt;'user input'!$C$6,0,F1228+E1229),'user input'!$C$17*((1-C1229)/(1-'user input'!$C$12)))</f>
        <v>3.7227233522636963E-3</v>
      </c>
    </row>
    <row r="1230" spans="1:6" x14ac:dyDescent="0.2">
      <c r="A1230" s="1">
        <v>41406</v>
      </c>
      <c r="B1230">
        <v>133</v>
      </c>
      <c r="C1230">
        <f>IF(B1230&gt;'user input'!$C$6,0,IF('heat units'!H1230&gt;1,1,'heat units'!H1230))</f>
        <v>2.9166666666666667E-2</v>
      </c>
      <c r="D1230">
        <f>IF(B1230&gt;'user input'!$C$6,0,(C1230/(C1230+EXP('user input'!$C$15-'user input'!$C$14*C1230))))</f>
        <v>2.0264212403482253E-3</v>
      </c>
      <c r="E1230">
        <f>IF(C1230&lt;'user input'!$C$12,(D1230-D1229)*'user input'!$C$17*(1-EXP(5*(F1229-'user input'!$C$17))),F1230-F1229)</f>
        <v>2.3565384863276514E-3</v>
      </c>
      <c r="F1230">
        <f>IF(C1230&lt;'user input'!$C$12,IF(B1230&gt;'user input'!$C$6,0,F1229+E1230),'user input'!$C$17*((1-C1230)/(1-'user input'!$C$12)))</f>
        <v>6.0792618385913481E-3</v>
      </c>
    </row>
    <row r="1231" spans="1:6" x14ac:dyDescent="0.2">
      <c r="A1231" s="1">
        <v>41407</v>
      </c>
      <c r="B1231">
        <v>134</v>
      </c>
      <c r="C1231">
        <f>IF(B1231&gt;'user input'!$C$6,0,IF('heat units'!H1231&gt;1,1,'heat units'!H1231))</f>
        <v>3.888888888888889E-2</v>
      </c>
      <c r="D1231">
        <f>IF(B1231&gt;'user input'!$C$6,0,(C1231/(C1231+EXP('user input'!$C$15-'user input'!$C$14*C1231))))</f>
        <v>3.0741830383014153E-3</v>
      </c>
      <c r="E1231">
        <f>IF(C1231&lt;'user input'!$C$12,(D1231-D1230)*'user input'!$C$17*(1-EXP(5*(F1230-'user input'!$C$17))),F1231-F1230)</f>
        <v>3.1432844026453239E-3</v>
      </c>
      <c r="F1231">
        <f>IF(C1231&lt;'user input'!$C$12,IF(B1231&gt;'user input'!$C$6,0,F1230+E1231),'user input'!$C$17*((1-C1231)/(1-'user input'!$C$12)))</f>
        <v>9.2225462412366711E-3</v>
      </c>
    </row>
    <row r="1232" spans="1:6" x14ac:dyDescent="0.2">
      <c r="A1232" s="1">
        <v>41408</v>
      </c>
      <c r="B1232">
        <v>135</v>
      </c>
      <c r="C1232">
        <f>IF(B1232&gt;'user input'!$C$6,0,IF('heat units'!H1232&gt;1,1,'heat units'!H1232))</f>
        <v>4.2592592592592599E-2</v>
      </c>
      <c r="D1232">
        <f>IF(B1232&gt;'user input'!$C$6,0,(C1232/(C1232+EXP('user input'!$C$15-'user input'!$C$14*C1232))))</f>
        <v>3.5364481759448704E-3</v>
      </c>
      <c r="E1232">
        <f>IF(C1232&lt;'user input'!$C$12,(D1232-D1231)*'user input'!$C$17*(1-EXP(5*(F1231-'user input'!$C$17))),F1232-F1231)</f>
        <v>1.3867949686862612E-3</v>
      </c>
      <c r="F1232">
        <f>IF(C1232&lt;'user input'!$C$12,IF(B1232&gt;'user input'!$C$6,0,F1231+E1232),'user input'!$C$17*((1-C1232)/(1-'user input'!$C$12)))</f>
        <v>1.0609341209922933E-2</v>
      </c>
    </row>
    <row r="1233" spans="1:6" x14ac:dyDescent="0.2">
      <c r="A1233" s="1">
        <v>41409</v>
      </c>
      <c r="B1233">
        <v>136</v>
      </c>
      <c r="C1233">
        <f>IF(B1233&gt;'user input'!$C$6,0,IF('heat units'!H1233&gt;1,1,'heat units'!H1233))</f>
        <v>4.6990740740740743E-2</v>
      </c>
      <c r="D1233">
        <f>IF(B1233&gt;'user input'!$C$6,0,(C1233/(C1233+EXP('user input'!$C$15-'user input'!$C$14*C1233))))</f>
        <v>4.1357251532550378E-3</v>
      </c>
      <c r="E1233">
        <f>IF(C1233&lt;'user input'!$C$12,(D1233-D1232)*'user input'!$C$17*(1-EXP(5*(F1232-'user input'!$C$17))),F1233-F1232)</f>
        <v>1.7978303520085998E-3</v>
      </c>
      <c r="F1233">
        <f>IF(C1233&lt;'user input'!$C$12,IF(B1233&gt;'user input'!$C$6,0,F1232+E1233),'user input'!$C$17*((1-C1233)/(1-'user input'!$C$12)))</f>
        <v>1.2407171561931532E-2</v>
      </c>
    </row>
    <row r="1234" spans="1:6" x14ac:dyDescent="0.2">
      <c r="A1234" s="1">
        <v>41410</v>
      </c>
      <c r="B1234">
        <v>137</v>
      </c>
      <c r="C1234">
        <f>IF(B1234&gt;'user input'!$C$6,0,IF('heat units'!H1234&gt;1,1,'heat units'!H1234))</f>
        <v>5.092592592592593E-2</v>
      </c>
      <c r="D1234">
        <f>IF(B1234&gt;'user input'!$C$6,0,(C1234/(C1234+EXP('user input'!$C$15-'user input'!$C$14*C1234))))</f>
        <v>4.7217045226885636E-3</v>
      </c>
      <c r="E1234">
        <f>IF(C1234&lt;'user input'!$C$12,(D1234-D1233)*'user input'!$C$17*(1-EXP(5*(F1233-'user input'!$C$17))),F1234-F1233)</f>
        <v>1.7579375361264935E-3</v>
      </c>
      <c r="F1234">
        <f>IF(C1234&lt;'user input'!$C$12,IF(B1234&gt;'user input'!$C$6,0,F1233+E1234),'user input'!$C$17*((1-C1234)/(1-'user input'!$C$12)))</f>
        <v>1.4165109098058026E-2</v>
      </c>
    </row>
    <row r="1235" spans="1:6" x14ac:dyDescent="0.2">
      <c r="A1235" s="1">
        <v>41411</v>
      </c>
      <c r="B1235">
        <v>138</v>
      </c>
      <c r="C1235">
        <f>IF(B1235&gt;'user input'!$C$6,0,IF('heat units'!H1235&gt;1,1,'heat units'!H1235))</f>
        <v>5.6018518518518523E-2</v>
      </c>
      <c r="D1235">
        <f>IF(B1235&gt;'user input'!$C$6,0,(C1235/(C1235+EXP('user input'!$C$15-'user input'!$C$14*C1235))))</f>
        <v>5.5556111625414475E-3</v>
      </c>
      <c r="E1235">
        <f>IF(C1235&lt;'user input'!$C$12,(D1235-D1234)*'user input'!$C$17*(1-EXP(5*(F1234-'user input'!$C$17))),F1235-F1234)</f>
        <v>2.5017190981096588E-3</v>
      </c>
      <c r="F1235">
        <f>IF(C1235&lt;'user input'!$C$12,IF(B1235&gt;'user input'!$C$6,0,F1234+E1235),'user input'!$C$17*((1-C1235)/(1-'user input'!$C$12)))</f>
        <v>1.6666828196167684E-2</v>
      </c>
    </row>
    <row r="1236" spans="1:6" x14ac:dyDescent="0.2">
      <c r="A1236" s="1">
        <v>41412</v>
      </c>
      <c r="B1236">
        <v>139</v>
      </c>
      <c r="C1236">
        <f>IF(B1236&gt;'user input'!$C$6,0,IF('heat units'!H1236&gt;1,1,'heat units'!H1236))</f>
        <v>5.9722222222222225E-2</v>
      </c>
      <c r="D1236">
        <f>IF(B1236&gt;'user input'!$C$6,0,(C1236/(C1236+EXP('user input'!$C$15-'user input'!$C$14*C1236))))</f>
        <v>6.2198008499971744E-3</v>
      </c>
      <c r="E1236">
        <f>IF(C1236&lt;'user input'!$C$12,(D1236-D1235)*'user input'!$C$17*(1-EXP(5*(F1235-'user input'!$C$17))),F1236-F1235)</f>
        <v>1.9925683998643895E-3</v>
      </c>
      <c r="F1236">
        <f>IF(C1236&lt;'user input'!$C$12,IF(B1236&gt;'user input'!$C$6,0,F1235+E1236),'user input'!$C$17*((1-C1236)/(1-'user input'!$C$12)))</f>
        <v>1.8659396596032073E-2</v>
      </c>
    </row>
    <row r="1237" spans="1:6" x14ac:dyDescent="0.2">
      <c r="A1237" s="1">
        <v>41413</v>
      </c>
      <c r="B1237">
        <v>140</v>
      </c>
      <c r="C1237">
        <f>IF(B1237&gt;'user input'!$C$6,0,IF('heat units'!H1237&gt;1,1,'heat units'!H1237))</f>
        <v>6.2731481481481485E-2</v>
      </c>
      <c r="D1237">
        <f>IF(B1237&gt;'user input'!$C$6,0,(C1237/(C1237+EXP('user input'!$C$15-'user input'!$C$14*C1237))))</f>
        <v>6.7977768918757418E-3</v>
      </c>
      <c r="E1237">
        <f>IF(C1237&lt;'user input'!$C$12,(D1237-D1236)*'user input'!$C$17*(1-EXP(5*(F1236-'user input'!$C$17))),F1237-F1236)</f>
        <v>1.7339275433552275E-3</v>
      </c>
      <c r="F1237">
        <f>IF(C1237&lt;'user input'!$C$12,IF(B1237&gt;'user input'!$C$6,0,F1236+E1237),'user input'!$C$17*((1-C1237)/(1-'user input'!$C$12)))</f>
        <v>2.0393324139387301E-2</v>
      </c>
    </row>
    <row r="1238" spans="1:6" x14ac:dyDescent="0.2">
      <c r="A1238" s="1">
        <v>41414</v>
      </c>
      <c r="B1238">
        <v>141</v>
      </c>
      <c r="C1238">
        <f>IF(B1238&gt;'user input'!$C$6,0,IF('heat units'!H1238&gt;1,1,'heat units'!H1238))</f>
        <v>6.7592592592592593E-2</v>
      </c>
      <c r="D1238">
        <f>IF(B1238&gt;'user input'!$C$6,0,(C1238/(C1238+EXP('user input'!$C$15-'user input'!$C$14*C1238))))</f>
        <v>7.8090244994690481E-3</v>
      </c>
      <c r="E1238">
        <f>IF(C1238&lt;'user input'!$C$12,(D1238-D1237)*'user input'!$C$17*(1-EXP(5*(F1237-'user input'!$C$17))),F1238-F1237)</f>
        <v>3.0337417951302797E-3</v>
      </c>
      <c r="F1238">
        <f>IF(C1238&lt;'user input'!$C$12,IF(B1238&gt;'user input'!$C$6,0,F1237+E1238),'user input'!$C$17*((1-C1238)/(1-'user input'!$C$12)))</f>
        <v>2.3427065934517582E-2</v>
      </c>
    </row>
    <row r="1239" spans="1:6" x14ac:dyDescent="0.2">
      <c r="A1239" s="1">
        <v>41415</v>
      </c>
      <c r="B1239">
        <v>142</v>
      </c>
      <c r="C1239">
        <f>IF(B1239&gt;'user input'!$C$6,0,IF('heat units'!H1239&gt;1,1,'heat units'!H1239))</f>
        <v>7.4999999999999997E-2</v>
      </c>
      <c r="D1239">
        <f>IF(B1239&gt;'user input'!$C$6,0,(C1239/(C1239+EXP('user input'!$C$15-'user input'!$C$14*C1239))))</f>
        <v>9.551171295403723E-3</v>
      </c>
      <c r="E1239">
        <f>IF(C1239&lt;'user input'!$C$12,(D1239-D1238)*'user input'!$C$17*(1-EXP(5*(F1238-'user input'!$C$17))),F1239-F1238)</f>
        <v>5.2264385903408568E-3</v>
      </c>
      <c r="F1239">
        <f>IF(C1239&lt;'user input'!$C$12,IF(B1239&gt;'user input'!$C$6,0,F1238+E1239),'user input'!$C$17*((1-C1239)/(1-'user input'!$C$12)))</f>
        <v>2.8653504524858438E-2</v>
      </c>
    </row>
    <row r="1240" spans="1:6" x14ac:dyDescent="0.2">
      <c r="A1240" s="1">
        <v>41416</v>
      </c>
      <c r="B1240">
        <v>143</v>
      </c>
      <c r="C1240">
        <f>IF(B1240&gt;'user input'!$C$6,0,IF('heat units'!H1240&gt;1,1,'heat units'!H1240))</f>
        <v>7.9166666666666663E-2</v>
      </c>
      <c r="D1240">
        <f>IF(B1240&gt;'user input'!$C$6,0,(C1240/(C1240+EXP('user input'!$C$15-'user input'!$C$14*C1240))))</f>
        <v>1.0648248587609961E-2</v>
      </c>
      <c r="E1240">
        <f>IF(C1240&lt;'user input'!$C$12,(D1240-D1239)*'user input'!$C$17*(1-EXP(5*(F1239-'user input'!$C$17))),F1240-F1239)</f>
        <v>3.2912307147379915E-3</v>
      </c>
      <c r="F1240">
        <f>IF(C1240&lt;'user input'!$C$12,IF(B1240&gt;'user input'!$C$6,0,F1239+E1240),'user input'!$C$17*((1-C1240)/(1-'user input'!$C$12)))</f>
        <v>3.1944735239596428E-2</v>
      </c>
    </row>
    <row r="1241" spans="1:6" x14ac:dyDescent="0.2">
      <c r="A1241" s="1">
        <v>41417</v>
      </c>
      <c r="B1241">
        <v>144</v>
      </c>
      <c r="C1241">
        <f>IF(B1241&gt;'user input'!$C$6,0,IF('heat units'!H1241&gt;1,1,'heat units'!H1241))</f>
        <v>8.4722222222222227E-2</v>
      </c>
      <c r="D1241">
        <f>IF(B1241&gt;'user input'!$C$6,0,(C1241/(C1241+EXP('user input'!$C$15-'user input'!$C$14*C1241))))</f>
        <v>1.2255268913344409E-2</v>
      </c>
      <c r="E1241">
        <f>IF(C1241&lt;'user input'!$C$12,(D1241-D1240)*'user input'!$C$17*(1-EXP(5*(F1240-'user input'!$C$17))),F1241-F1240)</f>
        <v>4.821059247018482E-3</v>
      </c>
      <c r="F1241">
        <f>IF(C1241&lt;'user input'!$C$12,IF(B1241&gt;'user input'!$C$6,0,F1240+E1241),'user input'!$C$17*((1-C1241)/(1-'user input'!$C$12)))</f>
        <v>3.6765794486614913E-2</v>
      </c>
    </row>
    <row r="1242" spans="1:6" x14ac:dyDescent="0.2">
      <c r="A1242" s="1">
        <v>41418</v>
      </c>
      <c r="B1242">
        <v>145</v>
      </c>
      <c r="C1242">
        <f>IF(B1242&gt;'user input'!$C$6,0,IF('heat units'!H1242&gt;1,1,'heat units'!H1242))</f>
        <v>9.166666666666666E-2</v>
      </c>
      <c r="D1242">
        <f>IF(B1242&gt;'user input'!$C$6,0,(C1242/(C1242+EXP('user input'!$C$15-'user input'!$C$14*C1242))))</f>
        <v>1.4518123225678156E-2</v>
      </c>
      <c r="E1242">
        <f>IF(C1242&lt;'user input'!$C$12,(D1242-D1241)*'user input'!$C$17*(1-EXP(5*(F1241-'user input'!$C$17))),F1242-F1241)</f>
        <v>6.7885604412773965E-3</v>
      </c>
      <c r="F1242">
        <f>IF(C1242&lt;'user input'!$C$12,IF(B1242&gt;'user input'!$C$6,0,F1241+E1242),'user input'!$C$17*((1-C1242)/(1-'user input'!$C$12)))</f>
        <v>4.3554354927892308E-2</v>
      </c>
    </row>
    <row r="1243" spans="1:6" x14ac:dyDescent="0.2">
      <c r="A1243" s="1">
        <v>41419</v>
      </c>
      <c r="B1243">
        <v>146</v>
      </c>
      <c r="C1243">
        <f>IF(B1243&gt;'user input'!$C$6,0,IF('heat units'!H1243&gt;1,1,'heat units'!H1243))</f>
        <v>0.1</v>
      </c>
      <c r="D1243">
        <f>IF(B1243&gt;'user input'!$C$6,0,(C1243/(C1243+EXP('user input'!$C$15-'user input'!$C$14*C1243))))</f>
        <v>1.7650617690756314E-2</v>
      </c>
      <c r="E1243">
        <f>IF(C1243&lt;'user input'!$C$12,(D1243-D1242)*'user input'!$C$17*(1-EXP(5*(F1242-'user input'!$C$17))),F1243-F1242)</f>
        <v>9.3974798210956379E-3</v>
      </c>
      <c r="F1243">
        <f>IF(C1243&lt;'user input'!$C$12,IF(B1243&gt;'user input'!$C$6,0,F1242+E1243),'user input'!$C$17*((1-C1243)/(1-'user input'!$C$12)))</f>
        <v>5.2951834748987944E-2</v>
      </c>
    </row>
    <row r="1244" spans="1:6" x14ac:dyDescent="0.2">
      <c r="A1244" s="1">
        <v>41420</v>
      </c>
      <c r="B1244">
        <v>147</v>
      </c>
      <c r="C1244">
        <f>IF(B1244&gt;'user input'!$C$6,0,IF('heat units'!H1244&gt;1,1,'heat units'!H1244))</f>
        <v>0.10462962962962963</v>
      </c>
      <c r="D1244">
        <f>IF(B1244&gt;'user input'!$C$6,0,(C1244/(C1244+EXP('user input'!$C$15-'user input'!$C$14*C1244))))</f>
        <v>1.9609246296369648E-2</v>
      </c>
      <c r="E1244">
        <f>IF(C1244&lt;'user input'!$C$12,(D1244-D1243)*'user input'!$C$17*(1-EXP(5*(F1243-'user input'!$C$17))),F1244-F1243)</f>
        <v>5.875883474555919E-3</v>
      </c>
      <c r="F1244">
        <f>IF(C1244&lt;'user input'!$C$12,IF(B1244&gt;'user input'!$C$6,0,F1243+E1244),'user input'!$C$17*((1-C1244)/(1-'user input'!$C$12)))</f>
        <v>5.8827718223543865E-2</v>
      </c>
    </row>
    <row r="1245" spans="1:6" x14ac:dyDescent="0.2">
      <c r="A1245" s="1">
        <v>41421</v>
      </c>
      <c r="B1245">
        <v>148</v>
      </c>
      <c r="C1245">
        <f>IF(B1245&gt;'user input'!$C$6,0,IF('heat units'!H1245&gt;1,1,'heat units'!H1245))</f>
        <v>0.11041666666666666</v>
      </c>
      <c r="D1245">
        <f>IF(B1245&gt;'user input'!$C$6,0,(C1245/(C1245+EXP('user input'!$C$15-'user input'!$C$14*C1245))))</f>
        <v>2.2299183450120497E-2</v>
      </c>
      <c r="E1245">
        <f>IF(C1245&lt;'user input'!$C$12,(D1245-D1244)*'user input'!$C$17*(1-EXP(5*(F1244-'user input'!$C$17))),F1245-F1244)</f>
        <v>8.0698081485005325E-3</v>
      </c>
      <c r="F1245">
        <f>IF(C1245&lt;'user input'!$C$12,IF(B1245&gt;'user input'!$C$6,0,F1244+E1245),'user input'!$C$17*((1-C1245)/(1-'user input'!$C$12)))</f>
        <v>6.6897526372044394E-2</v>
      </c>
    </row>
    <row r="1246" spans="1:6" x14ac:dyDescent="0.2">
      <c r="A1246" s="1">
        <v>41422</v>
      </c>
      <c r="B1246">
        <v>149</v>
      </c>
      <c r="C1246">
        <f>IF(B1246&gt;'user input'!$C$6,0,IF('heat units'!H1246&gt;1,1,'heat units'!H1246))</f>
        <v>0.12013888888888888</v>
      </c>
      <c r="D1246">
        <f>IF(B1246&gt;'user input'!$C$6,0,(C1246/(C1246+EXP('user input'!$C$15-'user input'!$C$14*C1246))))</f>
        <v>2.7488076642601021E-2</v>
      </c>
      <c r="E1246">
        <f>IF(C1246&lt;'user input'!$C$12,(D1246-D1245)*'user input'!$C$17*(1-EXP(5*(F1245-'user input'!$C$17))),F1246-F1245)</f>
        <v>1.5566672924022324E-2</v>
      </c>
      <c r="F1246">
        <f>IF(C1246&lt;'user input'!$C$12,IF(B1246&gt;'user input'!$C$6,0,F1245+E1246),'user input'!$C$17*((1-C1246)/(1-'user input'!$C$12)))</f>
        <v>8.2464199296066715E-2</v>
      </c>
    </row>
    <row r="1247" spans="1:6" x14ac:dyDescent="0.2">
      <c r="A1247" s="1">
        <v>41423</v>
      </c>
      <c r="B1247">
        <v>150</v>
      </c>
      <c r="C1247">
        <f>IF(B1247&gt;'user input'!$C$6,0,IF('heat units'!H1247&gt;1,1,'heat units'!H1247))</f>
        <v>0.13101851851851853</v>
      </c>
      <c r="D1247">
        <f>IF(B1247&gt;'user input'!$C$6,0,(C1247/(C1247+EXP('user input'!$C$15-'user input'!$C$14*C1247))))</f>
        <v>3.4429307914583193E-2</v>
      </c>
      <c r="E1247">
        <f>IF(C1247&lt;'user input'!$C$12,(D1247-D1246)*'user input'!$C$17*(1-EXP(5*(F1246-'user input'!$C$17))),F1247-F1246)</f>
        <v>2.0823684195188874E-2</v>
      </c>
      <c r="F1247">
        <f>IF(C1247&lt;'user input'!$C$12,IF(B1247&gt;'user input'!$C$6,0,F1246+E1247),'user input'!$C$17*((1-C1247)/(1-'user input'!$C$12)))</f>
        <v>0.10328788349125559</v>
      </c>
    </row>
    <row r="1248" spans="1:6" x14ac:dyDescent="0.2">
      <c r="A1248" s="1">
        <v>41424</v>
      </c>
      <c r="B1248">
        <v>151</v>
      </c>
      <c r="C1248">
        <f>IF(B1248&gt;'user input'!$C$6,0,IF('heat units'!H1248&gt;1,1,'heat units'!H1248))</f>
        <v>0.13842592592592592</v>
      </c>
      <c r="D1248">
        <f>IF(B1248&gt;'user input'!$C$6,0,(C1248/(C1248+EXP('user input'!$C$15-'user input'!$C$14*C1248))))</f>
        <v>3.9938252308336898E-2</v>
      </c>
      <c r="E1248">
        <f>IF(C1248&lt;'user input'!$C$12,(D1248-D1247)*'user input'!$C$17*(1-EXP(5*(F1247-'user input'!$C$17))),F1248-F1247)</f>
        <v>1.6526824707831934E-2</v>
      </c>
      <c r="F1248">
        <f>IF(C1248&lt;'user input'!$C$12,IF(B1248&gt;'user input'!$C$6,0,F1247+E1248),'user input'!$C$17*((1-C1248)/(1-'user input'!$C$12)))</f>
        <v>0.11981470819908752</v>
      </c>
    </row>
    <row r="1249" spans="1:6" x14ac:dyDescent="0.2">
      <c r="A1249" s="1">
        <v>41425</v>
      </c>
      <c r="B1249">
        <v>152</v>
      </c>
      <c r="C1249">
        <f>IF(B1249&gt;'user input'!$C$6,0,IF('heat units'!H1249&gt;1,1,'heat units'!H1249))</f>
        <v>0.14374999999999999</v>
      </c>
      <c r="D1249">
        <f>IF(B1249&gt;'user input'!$C$6,0,(C1249/(C1249+EXP('user input'!$C$15-'user input'!$C$14*C1249))))</f>
        <v>4.4333957139821863E-2</v>
      </c>
      <c r="E1249">
        <f>IF(C1249&lt;'user input'!$C$12,(D1249-D1248)*'user input'!$C$17*(1-EXP(5*(F1248-'user input'!$C$17))),F1249-F1248)</f>
        <v>1.3187107150890939E-2</v>
      </c>
      <c r="F1249">
        <f>IF(C1249&lt;'user input'!$C$12,IF(B1249&gt;'user input'!$C$6,0,F1248+E1249),'user input'!$C$17*((1-C1249)/(1-'user input'!$C$12)))</f>
        <v>0.13300181534997846</v>
      </c>
    </row>
    <row r="1250" spans="1:6" x14ac:dyDescent="0.2">
      <c r="A1250" s="1">
        <v>41426</v>
      </c>
      <c r="B1250">
        <v>153</v>
      </c>
      <c r="C1250">
        <f>IF(B1250&gt;'user input'!$C$6,0,IF('heat units'!H1250&gt;1,1,'heat units'!H1250))</f>
        <v>0.14976851851851852</v>
      </c>
      <c r="D1250">
        <f>IF(B1250&gt;'user input'!$C$6,0,(C1250/(C1250+EXP('user input'!$C$15-'user input'!$C$14*C1250))))</f>
        <v>4.9779923206743314E-2</v>
      </c>
      <c r="E1250">
        <f>IF(C1250&lt;'user input'!$C$12,(D1250-D1249)*'user input'!$C$17*(1-EXP(5*(F1249-'user input'!$C$17))),F1250-F1249)</f>
        <v>1.6337888482499528E-2</v>
      </c>
      <c r="F1250">
        <f>IF(C1250&lt;'user input'!$C$12,IF(B1250&gt;'user input'!$C$6,0,F1249+E1250),'user input'!$C$17*((1-C1250)/(1-'user input'!$C$12)))</f>
        <v>0.14933970383247799</v>
      </c>
    </row>
    <row r="1251" spans="1:6" x14ac:dyDescent="0.2">
      <c r="A1251" s="1">
        <v>41427</v>
      </c>
      <c r="B1251">
        <v>154</v>
      </c>
      <c r="C1251">
        <f>IF(B1251&gt;'user input'!$C$6,0,IF('heat units'!H1251&gt;1,1,'heat units'!H1251))</f>
        <v>0.15787037037037038</v>
      </c>
      <c r="D1251">
        <f>IF(B1251&gt;'user input'!$C$6,0,(C1251/(C1251+EXP('user input'!$C$15-'user input'!$C$14*C1251))))</f>
        <v>5.7978730733811754E-2</v>
      </c>
      <c r="E1251">
        <f>IF(C1251&lt;'user input'!$C$12,(D1251-D1250)*'user input'!$C$17*(1-EXP(5*(F1250-'user input'!$C$17))),F1251-F1250)</f>
        <v>2.4596406705180693E-2</v>
      </c>
      <c r="F1251">
        <f>IF(C1251&lt;'user input'!$C$12,IF(B1251&gt;'user input'!$C$6,0,F1250+E1251),'user input'!$C$17*((1-C1251)/(1-'user input'!$C$12)))</f>
        <v>0.17393611053765867</v>
      </c>
    </row>
    <row r="1252" spans="1:6" x14ac:dyDescent="0.2">
      <c r="A1252" s="1">
        <v>41428</v>
      </c>
      <c r="B1252">
        <v>155</v>
      </c>
      <c r="C1252">
        <f>IF(B1252&gt;'user input'!$C$6,0,IF('heat units'!H1252&gt;1,1,'heat units'!H1252))</f>
        <v>0.16666666666666666</v>
      </c>
      <c r="D1252">
        <f>IF(B1252&gt;'user input'!$C$6,0,(C1252/(C1252+EXP('user input'!$C$15-'user input'!$C$14*C1252))))</f>
        <v>6.81165374783015E-2</v>
      </c>
      <c r="E1252">
        <f>IF(C1252&lt;'user input'!$C$12,(D1252-D1251)*'user input'!$C$17*(1-EXP(5*(F1251-'user input'!$C$17))),F1252-F1251)</f>
        <v>3.041339803385135E-2</v>
      </c>
      <c r="F1252">
        <f>IF(C1252&lt;'user input'!$C$12,IF(B1252&gt;'user input'!$C$6,0,F1251+E1252),'user input'!$C$17*((1-C1252)/(1-'user input'!$C$12)))</f>
        <v>0.20434950857151002</v>
      </c>
    </row>
    <row r="1253" spans="1:6" x14ac:dyDescent="0.2">
      <c r="A1253" s="1">
        <v>41429</v>
      </c>
      <c r="B1253">
        <v>156</v>
      </c>
      <c r="C1253">
        <f>IF(B1253&gt;'user input'!$C$6,0,IF('heat units'!H1253&gt;1,1,'heat units'!H1253))</f>
        <v>0.17361111111111113</v>
      </c>
      <c r="D1253">
        <f>IF(B1253&gt;'user input'!$C$6,0,(C1253/(C1253+EXP('user input'!$C$15-'user input'!$C$14*C1253))))</f>
        <v>7.7114682506185514E-2</v>
      </c>
      <c r="E1253">
        <f>IF(C1253&lt;'user input'!$C$12,(D1253-D1252)*'user input'!$C$17*(1-EXP(5*(F1252-'user input'!$C$17))),F1253-F1252)</f>
        <v>2.6994412143497751E-2</v>
      </c>
      <c r="F1253">
        <f>IF(C1253&lt;'user input'!$C$12,IF(B1253&gt;'user input'!$C$6,0,F1252+E1253),'user input'!$C$17*((1-C1253)/(1-'user input'!$C$12)))</f>
        <v>0.23134392071500776</v>
      </c>
    </row>
    <row r="1254" spans="1:6" x14ac:dyDescent="0.2">
      <c r="A1254" s="1">
        <v>41430</v>
      </c>
      <c r="B1254">
        <v>157</v>
      </c>
      <c r="C1254">
        <f>IF(B1254&gt;'user input'!$C$6,0,IF('heat units'!H1254&gt;1,1,'heat units'!H1254))</f>
        <v>0.18472222222222223</v>
      </c>
      <c r="D1254">
        <f>IF(B1254&gt;'user input'!$C$6,0,(C1254/(C1254+EXP('user input'!$C$15-'user input'!$C$14*C1254))))</f>
        <v>9.351532978118722E-2</v>
      </c>
      <c r="E1254">
        <f>IF(C1254&lt;'user input'!$C$12,(D1254-D1253)*'user input'!$C$17*(1-EXP(5*(F1253-'user input'!$C$17))),F1254-F1253)</f>
        <v>4.9201893970596287E-2</v>
      </c>
      <c r="F1254">
        <f>IF(C1254&lt;'user input'!$C$12,IF(B1254&gt;'user input'!$C$6,0,F1253+E1254),'user input'!$C$17*((1-C1254)/(1-'user input'!$C$12)))</f>
        <v>0.28054581468560402</v>
      </c>
    </row>
    <row r="1255" spans="1:6" x14ac:dyDescent="0.2">
      <c r="A1255" s="1">
        <v>41431</v>
      </c>
      <c r="B1255">
        <v>158</v>
      </c>
      <c r="C1255">
        <f>IF(B1255&gt;'user input'!$C$6,0,IF('heat units'!H1255&gt;1,1,'heat units'!H1255))</f>
        <v>0.19606481481481483</v>
      </c>
      <c r="D1255">
        <f>IF(B1255&gt;'user input'!$C$6,0,(C1255/(C1255+EXP('user input'!$C$15-'user input'!$C$14*C1255))))</f>
        <v>0.11304272042817548</v>
      </c>
      <c r="E1255">
        <f>IF(C1255&lt;'user input'!$C$12,(D1255-D1254)*'user input'!$C$17*(1-EXP(5*(F1254-'user input'!$C$17))),F1255-F1254)</f>
        <v>5.8582099071473638E-2</v>
      </c>
      <c r="F1255">
        <f>IF(C1255&lt;'user input'!$C$12,IF(B1255&gt;'user input'!$C$6,0,F1254+E1255),'user input'!$C$17*((1-C1255)/(1-'user input'!$C$12)))</f>
        <v>0.33912791375707768</v>
      </c>
    </row>
    <row r="1256" spans="1:6" x14ac:dyDescent="0.2">
      <c r="A1256" s="1">
        <v>41432</v>
      </c>
      <c r="B1256">
        <v>159</v>
      </c>
      <c r="C1256">
        <f>IF(B1256&gt;'user input'!$C$6,0,IF('heat units'!H1256&gt;1,1,'heat units'!H1256))</f>
        <v>0.20555555555555557</v>
      </c>
      <c r="D1256">
        <f>IF(B1256&gt;'user input'!$C$6,0,(C1256/(C1256+EXP('user input'!$C$15-'user input'!$C$14*C1256))))</f>
        <v>0.13173299204072086</v>
      </c>
      <c r="E1256">
        <f>IF(C1256&lt;'user input'!$C$12,(D1256-D1255)*'user input'!$C$17*(1-EXP(5*(F1255-'user input'!$C$17))),F1256-F1255)</f>
        <v>5.6070721355947921E-2</v>
      </c>
      <c r="F1256">
        <f>IF(C1256&lt;'user input'!$C$12,IF(B1256&gt;'user input'!$C$6,0,F1255+E1256),'user input'!$C$17*((1-C1256)/(1-'user input'!$C$12)))</f>
        <v>0.39519863511302561</v>
      </c>
    </row>
    <row r="1257" spans="1:6" x14ac:dyDescent="0.2">
      <c r="A1257" s="1">
        <v>41433</v>
      </c>
      <c r="B1257">
        <v>160</v>
      </c>
      <c r="C1257">
        <f>IF(B1257&gt;'user input'!$C$6,0,IF('heat units'!H1257&gt;1,1,'heat units'!H1257))</f>
        <v>0.21111111111111111</v>
      </c>
      <c r="D1257">
        <f>IF(B1257&gt;'user input'!$C$6,0,(C1257/(C1257+EXP('user input'!$C$15-'user input'!$C$14*C1257))))</f>
        <v>0.14372493377473514</v>
      </c>
      <c r="E1257">
        <f>IF(C1257&lt;'user input'!$C$12,(D1257-D1256)*'user input'!$C$17*(1-EXP(5*(F1256-'user input'!$C$17))),F1257-F1256)</f>
        <v>3.5975745813749009E-2</v>
      </c>
      <c r="F1257">
        <f>IF(C1257&lt;'user input'!$C$12,IF(B1257&gt;'user input'!$C$6,0,F1256+E1257),'user input'!$C$17*((1-C1257)/(1-'user input'!$C$12)))</f>
        <v>0.43117438092677463</v>
      </c>
    </row>
    <row r="1258" spans="1:6" x14ac:dyDescent="0.2">
      <c r="A1258" s="1">
        <v>41434</v>
      </c>
      <c r="B1258">
        <v>161</v>
      </c>
      <c r="C1258">
        <f>IF(B1258&gt;'user input'!$C$6,0,IF('heat units'!H1258&gt;1,1,'heat units'!H1258))</f>
        <v>0.21412037037037038</v>
      </c>
      <c r="D1258">
        <f>IF(B1258&gt;'user input'!$C$6,0,(C1258/(C1258+EXP('user input'!$C$15-'user input'!$C$14*C1258))))</f>
        <v>0.15055479191253357</v>
      </c>
      <c r="E1258">
        <f>IF(C1258&lt;'user input'!$C$12,(D1258-D1257)*'user input'!$C$17*(1-EXP(5*(F1257-'user input'!$C$17))),F1258-F1257)</f>
        <v>2.0489520288261728E-2</v>
      </c>
      <c r="F1258">
        <f>IF(C1258&lt;'user input'!$C$12,IF(B1258&gt;'user input'!$C$6,0,F1257+E1258),'user input'!$C$17*((1-C1258)/(1-'user input'!$C$12)))</f>
        <v>0.45166390121503636</v>
      </c>
    </row>
    <row r="1259" spans="1:6" x14ac:dyDescent="0.2">
      <c r="A1259" s="1">
        <v>41435</v>
      </c>
      <c r="B1259">
        <v>162</v>
      </c>
      <c r="C1259">
        <f>IF(B1259&gt;'user input'!$C$6,0,IF('heat units'!H1259&gt;1,1,'heat units'!H1259))</f>
        <v>0.21550925925925929</v>
      </c>
      <c r="D1259">
        <f>IF(B1259&gt;'user input'!$C$6,0,(C1259/(C1259+EXP('user input'!$C$15-'user input'!$C$14*C1259))))</f>
        <v>0.15378734484100853</v>
      </c>
      <c r="E1259">
        <f>IF(C1259&lt;'user input'!$C$12,(D1259-D1258)*'user input'!$C$17*(1-EXP(5*(F1258-'user input'!$C$17))),F1259-F1258)</f>
        <v>9.6976304045767025E-3</v>
      </c>
      <c r="F1259">
        <f>IF(C1259&lt;'user input'!$C$12,IF(B1259&gt;'user input'!$C$6,0,F1258+E1259),'user input'!$C$17*((1-C1259)/(1-'user input'!$C$12)))</f>
        <v>0.46136153161961307</v>
      </c>
    </row>
    <row r="1260" spans="1:6" x14ac:dyDescent="0.2">
      <c r="A1260" s="1">
        <v>41436</v>
      </c>
      <c r="B1260">
        <v>163</v>
      </c>
      <c r="C1260">
        <f>IF(B1260&gt;'user input'!$C$6,0,IF('heat units'!H1260&gt;1,1,'heat units'!H1260))</f>
        <v>0.21967592592592594</v>
      </c>
      <c r="D1260">
        <f>IF(B1260&gt;'user input'!$C$6,0,(C1260/(C1260+EXP('user input'!$C$15-'user input'!$C$14*C1260))))</f>
        <v>0.16379231974840427</v>
      </c>
      <c r="E1260">
        <f>IF(C1260&lt;'user input'!$C$12,(D1260-D1259)*'user input'!$C$17*(1-EXP(5*(F1259-'user input'!$C$17))),F1260-F1259)</f>
        <v>3.0014832517315786E-2</v>
      </c>
      <c r="F1260">
        <f>IF(C1260&lt;'user input'!$C$12,IF(B1260&gt;'user input'!$C$6,0,F1259+E1260),'user input'!$C$17*((1-C1260)/(1-'user input'!$C$12)))</f>
        <v>0.49137636413692887</v>
      </c>
    </row>
    <row r="1261" spans="1:6" x14ac:dyDescent="0.2">
      <c r="A1261" s="1">
        <v>41437</v>
      </c>
      <c r="B1261">
        <v>164</v>
      </c>
      <c r="C1261">
        <f>IF(B1261&gt;'user input'!$C$6,0,IF('heat units'!H1261&gt;1,1,'heat units'!H1261))</f>
        <v>0.225462962962963</v>
      </c>
      <c r="D1261">
        <f>IF(B1261&gt;'user input'!$C$6,0,(C1261/(C1261+EXP('user input'!$C$15-'user input'!$C$14*C1261))))</f>
        <v>0.17846043707118395</v>
      </c>
      <c r="E1261">
        <f>IF(C1261&lt;'user input'!$C$12,(D1261-D1260)*'user input'!$C$17*(1-EXP(5*(F1260-'user input'!$C$17))),F1261-F1260)</f>
        <v>4.4004194900011777E-2</v>
      </c>
      <c r="F1261">
        <f>IF(C1261&lt;'user input'!$C$12,IF(B1261&gt;'user input'!$C$6,0,F1260+E1261),'user input'!$C$17*((1-C1261)/(1-'user input'!$C$12)))</f>
        <v>0.5353805590369406</v>
      </c>
    </row>
    <row r="1262" spans="1:6" x14ac:dyDescent="0.2">
      <c r="A1262" s="1">
        <v>41438</v>
      </c>
      <c r="B1262">
        <v>165</v>
      </c>
      <c r="C1262">
        <f>IF(B1262&gt;'user input'!$C$6,0,IF('heat units'!H1262&gt;1,1,'heat units'!H1262))</f>
        <v>0.23240740740740742</v>
      </c>
      <c r="D1262">
        <f>IF(B1262&gt;'user input'!$C$6,0,(C1262/(C1262+EXP('user input'!$C$15-'user input'!$C$14*C1262))))</f>
        <v>0.19725770776340296</v>
      </c>
      <c r="E1262">
        <f>IF(C1262&lt;'user input'!$C$12,(D1262-D1261)*'user input'!$C$17*(1-EXP(5*(F1261-'user input'!$C$17))),F1262-F1261)</f>
        <v>5.6391561256211878E-2</v>
      </c>
      <c r="F1262">
        <f>IF(C1262&lt;'user input'!$C$12,IF(B1262&gt;'user input'!$C$6,0,F1261+E1262),'user input'!$C$17*((1-C1262)/(1-'user input'!$C$12)))</f>
        <v>0.59177212029315251</v>
      </c>
    </row>
    <row r="1263" spans="1:6" x14ac:dyDescent="0.2">
      <c r="A1263" s="1">
        <v>41439</v>
      </c>
      <c r="B1263">
        <v>166</v>
      </c>
      <c r="C1263">
        <f>IF(B1263&gt;'user input'!$C$6,0,IF('heat units'!H1263&gt;1,1,'heat units'!H1263))</f>
        <v>0.23842592592592596</v>
      </c>
      <c r="D1263">
        <f>IF(B1263&gt;'user input'!$C$6,0,(C1263/(C1263+EXP('user input'!$C$15-'user input'!$C$14*C1263))))</f>
        <v>0.21460369712047492</v>
      </c>
      <c r="E1263">
        <f>IF(C1263&lt;'user input'!$C$12,(D1263-D1262)*'user input'!$C$17*(1-EXP(5*(F1262-'user input'!$C$17))),F1263-F1262)</f>
        <v>5.2037661225592162E-2</v>
      </c>
      <c r="F1263">
        <f>IF(C1263&lt;'user input'!$C$12,IF(B1263&gt;'user input'!$C$6,0,F1262+E1263),'user input'!$C$17*((1-C1263)/(1-'user input'!$C$12)))</f>
        <v>0.64380978151874468</v>
      </c>
    </row>
    <row r="1264" spans="1:6" x14ac:dyDescent="0.2">
      <c r="A1264" s="1">
        <v>41440</v>
      </c>
      <c r="B1264">
        <v>167</v>
      </c>
      <c r="C1264">
        <f>IF(B1264&gt;'user input'!$C$6,0,IF('heat units'!H1264&gt;1,1,'heat units'!H1264))</f>
        <v>0.24444444444444446</v>
      </c>
      <c r="D1264">
        <f>IF(B1264&gt;'user input'!$C$6,0,(C1264/(C1264+EXP('user input'!$C$15-'user input'!$C$14*C1264))))</f>
        <v>0.23291831981260483</v>
      </c>
      <c r="E1264">
        <f>IF(C1264&lt;'user input'!$C$12,(D1264-D1263)*'user input'!$C$17*(1-EXP(5*(F1263-'user input'!$C$17))),F1264-F1263)</f>
        <v>5.4943447817237881E-2</v>
      </c>
      <c r="F1264">
        <f>IF(C1264&lt;'user input'!$C$12,IF(B1264&gt;'user input'!$C$6,0,F1263+E1264),'user input'!$C$17*((1-C1264)/(1-'user input'!$C$12)))</f>
        <v>0.69875322933598261</v>
      </c>
    </row>
    <row r="1265" spans="1:6" x14ac:dyDescent="0.2">
      <c r="A1265" s="1">
        <v>41441</v>
      </c>
      <c r="B1265">
        <v>168</v>
      </c>
      <c r="C1265">
        <f>IF(B1265&gt;'user input'!$C$6,0,IF('heat units'!H1265&gt;1,1,'heat units'!H1265))</f>
        <v>0.25092592592592594</v>
      </c>
      <c r="D1265">
        <f>IF(B1265&gt;'user input'!$C$6,0,(C1265/(C1265+EXP('user input'!$C$15-'user input'!$C$14*C1265))))</f>
        <v>0.25369942493079078</v>
      </c>
      <c r="E1265">
        <f>IF(C1265&lt;'user input'!$C$12,(D1265-D1264)*'user input'!$C$17*(1-EXP(5*(F1264-'user input'!$C$17))),F1265-F1264)</f>
        <v>6.2342687735642638E-2</v>
      </c>
      <c r="F1265">
        <f>IF(C1265&lt;'user input'!$C$12,IF(B1265&gt;'user input'!$C$6,0,F1264+E1265),'user input'!$C$17*((1-C1265)/(1-'user input'!$C$12)))</f>
        <v>0.76109591707162527</v>
      </c>
    </row>
    <row r="1266" spans="1:6" x14ac:dyDescent="0.2">
      <c r="A1266" s="1">
        <v>41442</v>
      </c>
      <c r="B1266">
        <v>169</v>
      </c>
      <c r="C1266">
        <f>IF(B1266&gt;'user input'!$C$6,0,IF('heat units'!H1266&gt;1,1,'heat units'!H1266))</f>
        <v>0.25833333333333336</v>
      </c>
      <c r="D1266">
        <f>IF(B1266&gt;'user input'!$C$6,0,(C1266/(C1266+EXP('user input'!$C$15-'user input'!$C$14*C1266))))</f>
        <v>0.27873726436242335</v>
      </c>
      <c r="E1266">
        <f>IF(C1266&lt;'user input'!$C$12,(D1266-D1265)*'user input'!$C$17*(1-EXP(5*(F1265-'user input'!$C$17))),F1266-F1265)</f>
        <v>7.5112485534297974E-2</v>
      </c>
      <c r="F1266">
        <f>IF(C1266&lt;'user input'!$C$12,IF(B1266&gt;'user input'!$C$6,0,F1265+E1266),'user input'!$C$17*((1-C1266)/(1-'user input'!$C$12)))</f>
        <v>0.83620840260592322</v>
      </c>
    </row>
    <row r="1267" spans="1:6" x14ac:dyDescent="0.2">
      <c r="A1267" s="1">
        <v>41443</v>
      </c>
      <c r="B1267">
        <v>170</v>
      </c>
      <c r="C1267">
        <f>IF(B1267&gt;'user input'!$C$6,0,IF('heat units'!H1267&gt;1,1,'heat units'!H1267))</f>
        <v>0.2682870370370371</v>
      </c>
      <c r="D1267">
        <f>IF(B1267&gt;'user input'!$C$6,0,(C1267/(C1267+EXP('user input'!$C$15-'user input'!$C$14*C1267))))</f>
        <v>0.31438618358464637</v>
      </c>
      <c r="E1267">
        <f>IF(C1267&lt;'user input'!$C$12,(D1267-D1266)*'user input'!$C$17*(1-EXP(5*(F1266-'user input'!$C$17))),F1267-F1266)</f>
        <v>0.10694461697623286</v>
      </c>
      <c r="F1267">
        <f>IF(C1267&lt;'user input'!$C$12,IF(B1267&gt;'user input'!$C$6,0,F1266+E1267),'user input'!$C$17*((1-C1267)/(1-'user input'!$C$12)))</f>
        <v>0.94315301958215603</v>
      </c>
    </row>
    <row r="1268" spans="1:6" x14ac:dyDescent="0.2">
      <c r="A1268" s="1">
        <v>41444</v>
      </c>
      <c r="B1268">
        <v>171</v>
      </c>
      <c r="C1268">
        <f>IF(B1268&gt;'user input'!$C$6,0,IF('heat units'!H1268&gt;1,1,'heat units'!H1268))</f>
        <v>0.27986111111111117</v>
      </c>
      <c r="D1268">
        <f>IF(B1268&gt;'user input'!$C$6,0,(C1268/(C1268+EXP('user input'!$C$15-'user input'!$C$14*C1268))))</f>
        <v>0.35835012316045911</v>
      </c>
      <c r="E1268">
        <f>IF(C1268&lt;'user input'!$C$12,(D1268-D1267)*'user input'!$C$17*(1-EXP(5*(F1267-'user input'!$C$17))),F1268-F1267)</f>
        <v>0.13188731231031492</v>
      </c>
      <c r="F1268">
        <f>IF(C1268&lt;'user input'!$C$12,IF(B1268&gt;'user input'!$C$6,0,F1267+E1268),'user input'!$C$17*((1-C1268)/(1-'user input'!$C$12)))</f>
        <v>1.0750403318924708</v>
      </c>
    </row>
    <row r="1269" spans="1:6" x14ac:dyDescent="0.2">
      <c r="A1269" s="1">
        <v>41445</v>
      </c>
      <c r="B1269">
        <v>172</v>
      </c>
      <c r="C1269">
        <f>IF(B1269&gt;'user input'!$C$6,0,IF('heat units'!H1269&gt;1,1,'heat units'!H1269))</f>
        <v>0.29166666666666674</v>
      </c>
      <c r="D1269">
        <f>IF(B1269&gt;'user input'!$C$6,0,(C1269/(C1269+EXP('user input'!$C$15-'user input'!$C$14*C1269))))</f>
        <v>0.40535736719335747</v>
      </c>
      <c r="E1269">
        <f>IF(C1269&lt;'user input'!$C$12,(D1269-D1268)*'user input'!$C$17*(1-EXP(5*(F1268-'user input'!$C$17))),F1269-F1268)</f>
        <v>0.14101241481678786</v>
      </c>
      <c r="F1269">
        <f>IF(C1269&lt;'user input'!$C$12,IF(B1269&gt;'user input'!$C$6,0,F1268+E1269),'user input'!$C$17*((1-C1269)/(1-'user input'!$C$12)))</f>
        <v>1.2160527467092588</v>
      </c>
    </row>
    <row r="1270" spans="1:6" x14ac:dyDescent="0.2">
      <c r="A1270" s="1">
        <v>41446</v>
      </c>
      <c r="B1270">
        <v>173</v>
      </c>
      <c r="C1270">
        <f>IF(B1270&gt;'user input'!$C$6,0,IF('heat units'!H1270&gt;1,1,'heat units'!H1270))</f>
        <v>0.3000000000000001</v>
      </c>
      <c r="D1270">
        <f>IF(B1270&gt;'user input'!$C$6,0,(C1270/(C1270+EXP('user input'!$C$15-'user input'!$C$14*C1270))))</f>
        <v>0.43943009524014609</v>
      </c>
      <c r="E1270">
        <f>IF(C1270&lt;'user input'!$C$12,(D1270-D1269)*'user input'!$C$17*(1-EXP(5*(F1269-'user input'!$C$17))),F1270-F1269)</f>
        <v>0.1022045151662507</v>
      </c>
      <c r="F1270">
        <f>IF(C1270&lt;'user input'!$C$12,IF(B1270&gt;'user input'!$C$6,0,F1269+E1270),'user input'!$C$17*((1-C1270)/(1-'user input'!$C$12)))</f>
        <v>1.3182572618755095</v>
      </c>
    </row>
    <row r="1271" spans="1:6" x14ac:dyDescent="0.2">
      <c r="A1271" s="1">
        <v>41447</v>
      </c>
      <c r="B1271">
        <v>174</v>
      </c>
      <c r="C1271">
        <f>IF(B1271&gt;'user input'!$C$6,0,IF('heat units'!H1271&gt;1,1,'heat units'!H1271))</f>
        <v>0.30486111111111119</v>
      </c>
      <c r="D1271">
        <f>IF(B1271&gt;'user input'!$C$6,0,(C1271/(C1271+EXP('user input'!$C$15-'user input'!$C$14*C1271))))</f>
        <v>0.45950554916192216</v>
      </c>
      <c r="E1271">
        <f>IF(C1271&lt;'user input'!$C$12,(D1271-D1270)*'user input'!$C$17*(1-EXP(5*(F1270-'user input'!$C$17))),F1271-F1270)</f>
        <v>6.0212936320852568E-2</v>
      </c>
      <c r="F1271">
        <f>IF(C1271&lt;'user input'!$C$12,IF(B1271&gt;'user input'!$C$6,0,F1270+E1271),'user input'!$C$17*((1-C1271)/(1-'user input'!$C$12)))</f>
        <v>1.3784701981963621</v>
      </c>
    </row>
    <row r="1272" spans="1:6" x14ac:dyDescent="0.2">
      <c r="A1272" s="1">
        <v>41448</v>
      </c>
      <c r="B1272">
        <v>175</v>
      </c>
      <c r="C1272">
        <f>IF(B1272&gt;'user input'!$C$6,0,IF('heat units'!H1272&gt;1,1,'heat units'!H1272))</f>
        <v>0.31064814814814823</v>
      </c>
      <c r="D1272">
        <f>IF(B1272&gt;'user input'!$C$6,0,(C1272/(C1272+EXP('user input'!$C$15-'user input'!$C$14*C1272))))</f>
        <v>0.48348933501198083</v>
      </c>
      <c r="E1272">
        <f>IF(C1272&lt;'user input'!$C$12,(D1272-D1271)*'user input'!$C$17*(1-EXP(5*(F1271-'user input'!$C$17))),F1272-F1271)</f>
        <v>7.1929683914608578E-2</v>
      </c>
      <c r="F1272">
        <f>IF(C1272&lt;'user input'!$C$12,IF(B1272&gt;'user input'!$C$6,0,F1271+E1272),'user input'!$C$17*((1-C1272)/(1-'user input'!$C$12)))</f>
        <v>1.4503998821109707</v>
      </c>
    </row>
    <row r="1273" spans="1:6" x14ac:dyDescent="0.2">
      <c r="A1273" s="1">
        <v>41449</v>
      </c>
      <c r="B1273">
        <v>176</v>
      </c>
      <c r="C1273">
        <f>IF(B1273&gt;'user input'!$C$6,0,IF('heat units'!H1273&gt;1,1,'heat units'!H1273))</f>
        <v>0.31898148148148159</v>
      </c>
      <c r="D1273">
        <f>IF(B1273&gt;'user input'!$C$6,0,(C1273/(C1273+EXP('user input'!$C$15-'user input'!$C$14*C1273))))</f>
        <v>0.51797994761433241</v>
      </c>
      <c r="E1273">
        <f>IF(C1273&lt;'user input'!$C$12,(D1273-D1272)*'user input'!$C$17*(1-EXP(5*(F1272-'user input'!$C$17))),F1273-F1272)</f>
        <v>0.10342717888244023</v>
      </c>
      <c r="F1273">
        <f>IF(C1273&lt;'user input'!$C$12,IF(B1273&gt;'user input'!$C$6,0,F1272+E1273),'user input'!$C$17*((1-C1273)/(1-'user input'!$C$12)))</f>
        <v>1.5538270609934108</v>
      </c>
    </row>
    <row r="1274" spans="1:6" x14ac:dyDescent="0.2">
      <c r="A1274" s="1">
        <v>41450</v>
      </c>
      <c r="B1274">
        <v>177</v>
      </c>
      <c r="C1274">
        <f>IF(B1274&gt;'user input'!$C$6,0,IF('heat units'!H1274&gt;1,1,'heat units'!H1274))</f>
        <v>0.33032407407407416</v>
      </c>
      <c r="D1274">
        <f>IF(B1274&gt;'user input'!$C$6,0,(C1274/(C1274+EXP('user input'!$C$15-'user input'!$C$14*C1274))))</f>
        <v>0.56432102599257772</v>
      </c>
      <c r="E1274">
        <f>IF(C1274&lt;'user input'!$C$12,(D1274-D1273)*'user input'!$C$17*(1-EXP(5*(F1273-'user input'!$C$17))),F1274-F1273)</f>
        <v>0.13892259695938286</v>
      </c>
      <c r="F1274">
        <f>IF(C1274&lt;'user input'!$C$12,IF(B1274&gt;'user input'!$C$6,0,F1273+E1274),'user input'!$C$17*((1-C1274)/(1-'user input'!$C$12)))</f>
        <v>1.6927496579527936</v>
      </c>
    </row>
    <row r="1275" spans="1:6" x14ac:dyDescent="0.2">
      <c r="A1275" s="1">
        <v>41451</v>
      </c>
      <c r="B1275">
        <v>178</v>
      </c>
      <c r="C1275">
        <f>IF(B1275&gt;'user input'!$C$6,0,IF('heat units'!H1275&gt;1,1,'heat units'!H1275))</f>
        <v>0.34375000000000011</v>
      </c>
      <c r="D1275">
        <f>IF(B1275&gt;'user input'!$C$6,0,(C1275/(C1275+EXP('user input'!$C$15-'user input'!$C$14*C1275))))</f>
        <v>0.61733928076617783</v>
      </c>
      <c r="E1275">
        <f>IF(C1275&lt;'user input'!$C$12,(D1275-D1274)*'user input'!$C$17*(1-EXP(5*(F1274-'user input'!$C$17))),F1275-F1274)</f>
        <v>0.15882414874704484</v>
      </c>
      <c r="F1275">
        <f>IF(C1275&lt;'user input'!$C$12,IF(B1275&gt;'user input'!$C$6,0,F1274+E1275),'user input'!$C$17*((1-C1275)/(1-'user input'!$C$12)))</f>
        <v>1.8515738066998384</v>
      </c>
    </row>
    <row r="1276" spans="1:6" x14ac:dyDescent="0.2">
      <c r="A1276" s="1">
        <v>41452</v>
      </c>
      <c r="B1276">
        <v>179</v>
      </c>
      <c r="C1276">
        <f>IF(B1276&gt;'user input'!$C$6,0,IF('heat units'!H1276&gt;1,1,'heat units'!H1276))</f>
        <v>0.35763888888888901</v>
      </c>
      <c r="D1276">
        <f>IF(B1276&gt;'user input'!$C$6,0,(C1276/(C1276+EXP('user input'!$C$15-'user input'!$C$14*C1276))))</f>
        <v>0.66902710414199984</v>
      </c>
      <c r="E1276">
        <f>IF(C1276&lt;'user input'!$C$12,(D1276-D1275)*'user input'!$C$17*(1-EXP(5*(F1275-'user input'!$C$17))),F1276-F1275)</f>
        <v>0.15456603814416062</v>
      </c>
      <c r="F1276">
        <f>IF(C1276&lt;'user input'!$C$12,IF(B1276&gt;'user input'!$C$6,0,F1275+E1276),'user input'!$C$17*((1-C1276)/(1-'user input'!$C$12)))</f>
        <v>2.0061398448439989</v>
      </c>
    </row>
    <row r="1277" spans="1:6" x14ac:dyDescent="0.2">
      <c r="A1277" s="1">
        <v>41453</v>
      </c>
      <c r="B1277">
        <v>180</v>
      </c>
      <c r="C1277">
        <f>IF(B1277&gt;'user input'!$C$6,0,IF('heat units'!H1277&gt;1,1,'heat units'!H1277))</f>
        <v>0.37199074074074084</v>
      </c>
      <c r="D1277">
        <f>IF(B1277&gt;'user input'!$C$6,0,(C1277/(C1277+EXP('user input'!$C$15-'user input'!$C$14*C1277))))</f>
        <v>0.71813698816706972</v>
      </c>
      <c r="E1277">
        <f>IF(C1277&lt;'user input'!$C$12,(D1277-D1276)*'user input'!$C$17*(1-EXP(5*(F1276-'user input'!$C$17))),F1277-F1276)</f>
        <v>0.14630600498228338</v>
      </c>
      <c r="F1277">
        <f>IF(C1277&lt;'user input'!$C$12,IF(B1277&gt;'user input'!$C$6,0,F1276+E1277),'user input'!$C$17*((1-C1277)/(1-'user input'!$C$12)))</f>
        <v>2.1524458498262824</v>
      </c>
    </row>
    <row r="1278" spans="1:6" x14ac:dyDescent="0.2">
      <c r="A1278" s="1">
        <v>41454</v>
      </c>
      <c r="B1278">
        <v>181</v>
      </c>
      <c r="C1278">
        <f>IF(B1278&gt;'user input'!$C$6,0,IF('heat units'!H1278&gt;1,1,'heat units'!H1278))</f>
        <v>0.38634259259259274</v>
      </c>
      <c r="D1278">
        <f>IF(B1278&gt;'user input'!$C$6,0,(C1278/(C1278+EXP('user input'!$C$15-'user input'!$C$14*C1278))))</f>
        <v>0.76227640990704271</v>
      </c>
      <c r="E1278">
        <f>IF(C1278&lt;'user input'!$C$12,(D1278-D1277)*'user input'!$C$17*(1-EXP(5*(F1277-'user input'!$C$17))),F1278-F1277)</f>
        <v>0.13050617913338658</v>
      </c>
      <c r="F1278">
        <f>IF(C1278&lt;'user input'!$C$12,IF(B1278&gt;'user input'!$C$6,0,F1277+E1278),'user input'!$C$17*((1-C1278)/(1-'user input'!$C$12)))</f>
        <v>2.2829520289596692</v>
      </c>
    </row>
    <row r="1279" spans="1:6" x14ac:dyDescent="0.2">
      <c r="A1279" s="1">
        <v>41455</v>
      </c>
      <c r="B1279">
        <v>182</v>
      </c>
      <c r="C1279">
        <f>IF(B1279&gt;'user input'!$C$6,0,IF('heat units'!H1279&gt;1,1,'heat units'!H1279))</f>
        <v>0.39791666666666681</v>
      </c>
      <c r="D1279">
        <f>IF(B1279&gt;'user input'!$C$6,0,(C1279/(C1279+EXP('user input'!$C$15-'user input'!$C$14*C1279))))</f>
        <v>0.79407122651657591</v>
      </c>
      <c r="E1279">
        <f>IF(C1279&lt;'user input'!$C$12,(D1279-D1278)*'user input'!$C$17*(1-EXP(5*(F1278-'user input'!$C$17))),F1279-F1278)</f>
        <v>9.2739437542661882E-2</v>
      </c>
      <c r="F1279">
        <f>IF(C1279&lt;'user input'!$C$12,IF(B1279&gt;'user input'!$C$6,0,F1278+E1279),'user input'!$C$17*((1-C1279)/(1-'user input'!$C$12)))</f>
        <v>2.3756914665023312</v>
      </c>
    </row>
    <row r="1280" spans="1:6" x14ac:dyDescent="0.2">
      <c r="A1280" s="1">
        <v>41456</v>
      </c>
      <c r="B1280">
        <v>183</v>
      </c>
      <c r="C1280">
        <f>IF(B1280&gt;'user input'!$C$6,0,IF('heat units'!H1280&gt;1,1,'heat units'!H1280))</f>
        <v>0.40648148148148161</v>
      </c>
      <c r="D1280">
        <f>IF(B1280&gt;'user input'!$C$6,0,(C1280/(C1280+EXP('user input'!$C$15-'user input'!$C$14*C1280))))</f>
        <v>0.81541429284489564</v>
      </c>
      <c r="E1280">
        <f>IF(C1280&lt;'user input'!$C$12,(D1280-D1279)*'user input'!$C$17*(1-EXP(5*(F1279-'user input'!$C$17))),F1280-F1279)</f>
        <v>6.1206209157065754E-2</v>
      </c>
      <c r="F1280">
        <f>IF(C1280&lt;'user input'!$C$12,IF(B1280&gt;'user input'!$C$6,0,F1279+E1280),'user input'!$C$17*((1-C1280)/(1-'user input'!$C$12)))</f>
        <v>2.436897675659397</v>
      </c>
    </row>
    <row r="1281" spans="1:6" x14ac:dyDescent="0.2">
      <c r="A1281" s="1">
        <v>41457</v>
      </c>
      <c r="B1281">
        <v>184</v>
      </c>
      <c r="C1281">
        <f>IF(B1281&gt;'user input'!$C$6,0,IF('heat units'!H1281&gt;1,1,'heat units'!H1281))</f>
        <v>0.41504629629629641</v>
      </c>
      <c r="D1281">
        <f>IF(B1281&gt;'user input'!$C$6,0,(C1281/(C1281+EXP('user input'!$C$15-'user input'!$C$14*C1281))))</f>
        <v>0.83494374116157832</v>
      </c>
      <c r="E1281">
        <f>IF(C1281&lt;'user input'!$C$12,(D1281-D1280)*'user input'!$C$17*(1-EXP(5*(F1280-'user input'!$C$17))),F1281-F1280)</f>
        <v>5.5080421813165706E-2</v>
      </c>
      <c r="F1281">
        <f>IF(C1281&lt;'user input'!$C$12,IF(B1281&gt;'user input'!$C$6,0,F1280+E1281),'user input'!$C$17*((1-C1281)/(1-'user input'!$C$12)))</f>
        <v>2.4919780974725625</v>
      </c>
    </row>
    <row r="1282" spans="1:6" x14ac:dyDescent="0.2">
      <c r="A1282" s="1">
        <v>41458</v>
      </c>
      <c r="B1282">
        <v>185</v>
      </c>
      <c r="C1282">
        <f>IF(B1282&gt;'user input'!$C$6,0,IF('heat units'!H1282&gt;1,1,'heat units'!H1282))</f>
        <v>0.42430555555555566</v>
      </c>
      <c r="D1282">
        <f>IF(B1282&gt;'user input'!$C$6,0,(C1282/(C1282+EXP('user input'!$C$15-'user input'!$C$14*C1282))))</f>
        <v>0.85409429323187303</v>
      </c>
      <c r="E1282">
        <f>IF(C1282&lt;'user input'!$C$12,(D1282-D1281)*'user input'!$C$17*(1-EXP(5*(F1281-'user input'!$C$17))),F1282-F1281)</f>
        <v>5.292114709868901E-2</v>
      </c>
      <c r="F1282">
        <f>IF(C1282&lt;'user input'!$C$12,IF(B1282&gt;'user input'!$C$6,0,F1281+E1282),'user input'!$C$17*((1-C1282)/(1-'user input'!$C$12)))</f>
        <v>2.5448992445712517</v>
      </c>
    </row>
    <row r="1283" spans="1:6" x14ac:dyDescent="0.2">
      <c r="A1283" s="1">
        <v>41459</v>
      </c>
      <c r="B1283">
        <v>186</v>
      </c>
      <c r="C1283">
        <f>IF(B1283&gt;'user input'!$C$6,0,IF('heat units'!H1283&gt;1,1,'heat units'!H1283))</f>
        <v>0.4340277777777779</v>
      </c>
      <c r="D1283">
        <f>IF(B1283&gt;'user input'!$C$6,0,(C1283/(C1283+EXP('user input'!$C$15-'user input'!$C$14*C1283))))</f>
        <v>0.87212415679038291</v>
      </c>
      <c r="E1283">
        <f>IF(C1283&lt;'user input'!$C$12,(D1283-D1282)*'user input'!$C$17*(1-EXP(5*(F1282-'user input'!$C$17))),F1283-F1282)</f>
        <v>4.8532148393288559E-2</v>
      </c>
      <c r="F1283">
        <f>IF(C1283&lt;'user input'!$C$12,IF(B1283&gt;'user input'!$C$6,0,F1282+E1283),'user input'!$C$17*((1-C1283)/(1-'user input'!$C$12)))</f>
        <v>2.5934313929645403</v>
      </c>
    </row>
    <row r="1284" spans="1:6" x14ac:dyDescent="0.2">
      <c r="A1284" s="1">
        <v>41460</v>
      </c>
      <c r="B1284">
        <v>187</v>
      </c>
      <c r="C1284">
        <f>IF(B1284&gt;'user input'!$C$6,0,IF('heat units'!H1284&gt;1,1,'heat units'!H1284))</f>
        <v>0.44074074074074088</v>
      </c>
      <c r="D1284">
        <f>IF(B1284&gt;'user input'!$C$6,0,(C1284/(C1284+EXP('user input'!$C$15-'user input'!$C$14*C1284))))</f>
        <v>0.88340488375826121</v>
      </c>
      <c r="E1284">
        <f>IF(C1284&lt;'user input'!$C$12,(D1284-D1283)*'user input'!$C$17*(1-EXP(5*(F1283-'user input'!$C$17))),F1284-F1283)</f>
        <v>2.9410118874940817E-2</v>
      </c>
      <c r="F1284">
        <f>IF(C1284&lt;'user input'!$C$12,IF(B1284&gt;'user input'!$C$6,0,F1283+E1284),'user input'!$C$17*((1-C1284)/(1-'user input'!$C$12)))</f>
        <v>2.6228415118394812</v>
      </c>
    </row>
    <row r="1285" spans="1:6" x14ac:dyDescent="0.2">
      <c r="A1285" s="1">
        <v>41461</v>
      </c>
      <c r="B1285">
        <v>188</v>
      </c>
      <c r="C1285">
        <f>IF(B1285&gt;'user input'!$C$6,0,IF('heat units'!H1285&gt;1,1,'heat units'!H1285))</f>
        <v>0.44861111111111124</v>
      </c>
      <c r="D1285">
        <f>IF(B1285&gt;'user input'!$C$6,0,(C1285/(C1285+EXP('user input'!$C$15-'user input'!$C$14*C1285))))</f>
        <v>0.89549336150179504</v>
      </c>
      <c r="E1285">
        <f>IF(C1285&lt;'user input'!$C$12,(D1285-D1284)*'user input'!$C$17*(1-EXP(5*(F1284-'user input'!$C$17))),F1285-F1284)</f>
        <v>3.0763648180272968E-2</v>
      </c>
      <c r="F1285">
        <f>IF(C1285&lt;'user input'!$C$12,IF(B1285&gt;'user input'!$C$6,0,F1284+E1285),'user input'!$C$17*((1-C1285)/(1-'user input'!$C$12)))</f>
        <v>2.6536051600197541</v>
      </c>
    </row>
    <row r="1286" spans="1:6" x14ac:dyDescent="0.2">
      <c r="A1286" s="1">
        <v>41462</v>
      </c>
      <c r="B1286">
        <v>189</v>
      </c>
      <c r="C1286">
        <f>IF(B1286&gt;'user input'!$C$6,0,IF('heat units'!H1286&gt;1,1,'heat units'!H1286))</f>
        <v>0.46041666666666675</v>
      </c>
      <c r="D1286">
        <f>IF(B1286&gt;'user input'!$C$6,0,(C1286/(C1286+EXP('user input'!$C$15-'user input'!$C$14*C1286))))</f>
        <v>0.91150268227822273</v>
      </c>
      <c r="E1286">
        <f>IF(C1286&lt;'user input'!$C$12,(D1286-D1285)*'user input'!$C$17*(1-EXP(5*(F1285-'user input'!$C$17))),F1286-F1285)</f>
        <v>3.9530146324072993E-2</v>
      </c>
      <c r="F1286">
        <f>IF(C1286&lt;'user input'!$C$12,IF(B1286&gt;'user input'!$C$6,0,F1285+E1286),'user input'!$C$17*((1-C1286)/(1-'user input'!$C$12)))</f>
        <v>2.693135306343827</v>
      </c>
    </row>
    <row r="1287" spans="1:6" x14ac:dyDescent="0.2">
      <c r="A1287" s="1">
        <v>41463</v>
      </c>
      <c r="B1287">
        <v>190</v>
      </c>
      <c r="C1287">
        <f>IF(B1287&gt;'user input'!$C$6,0,IF('heat units'!H1287&gt;1,1,'heat units'!H1287))</f>
        <v>0.47013888888888894</v>
      </c>
      <c r="D1287">
        <f>IF(B1287&gt;'user input'!$C$6,0,(C1287/(C1287+EXP('user input'!$C$15-'user input'!$C$14*C1287))))</f>
        <v>0.92295244131335941</v>
      </c>
      <c r="E1287">
        <f>IF(C1287&lt;'user input'!$C$12,(D1287-D1286)*'user input'!$C$17*(1-EXP(5*(F1286-'user input'!$C$17))),F1287-F1286)</f>
        <v>2.6943521331204676E-2</v>
      </c>
      <c r="F1287">
        <f>IF(C1287&lt;'user input'!$C$12,IF(B1287&gt;'user input'!$C$6,0,F1286+E1287),'user input'!$C$17*((1-C1287)/(1-'user input'!$C$12)))</f>
        <v>2.7200788276750316</v>
      </c>
    </row>
    <row r="1288" spans="1:6" x14ac:dyDescent="0.2">
      <c r="A1288" s="1">
        <v>41464</v>
      </c>
      <c r="B1288">
        <v>191</v>
      </c>
      <c r="C1288">
        <f>IF(B1288&gt;'user input'!$C$6,0,IF('heat units'!H1288&gt;1,1,'heat units'!H1288))</f>
        <v>0.48055555555555562</v>
      </c>
      <c r="D1288">
        <f>IF(B1288&gt;'user input'!$C$6,0,(C1288/(C1288+EXP('user input'!$C$15-'user input'!$C$14*C1288))))</f>
        <v>0.93367126590769123</v>
      </c>
      <c r="E1288">
        <f>IF(C1288&lt;'user input'!$C$12,(D1288-D1287)*'user input'!$C$17*(1-EXP(5*(F1287-'user input'!$C$17))),F1288-F1287)</f>
        <v>2.4223658966379513E-2</v>
      </c>
      <c r="F1288">
        <f>IF(C1288&lt;'user input'!$C$12,IF(B1288&gt;'user input'!$C$6,0,F1287+E1288),'user input'!$C$17*((1-C1288)/(1-'user input'!$C$12)))</f>
        <v>2.744302486641411</v>
      </c>
    </row>
    <row r="1289" spans="1:6" x14ac:dyDescent="0.2">
      <c r="A1289" s="1">
        <v>41465</v>
      </c>
      <c r="B1289">
        <v>192</v>
      </c>
      <c r="C1289">
        <f>IF(B1289&gt;'user input'!$C$6,0,IF('heat units'!H1289&gt;1,1,'heat units'!H1289))</f>
        <v>0.49143518518518525</v>
      </c>
      <c r="D1289">
        <f>IF(B1289&gt;'user input'!$C$6,0,(C1289/(C1289+EXP('user input'!$C$15-'user input'!$C$14*C1289))))</f>
        <v>0.94334848840616681</v>
      </c>
      <c r="E1289">
        <f>IF(C1289&lt;'user input'!$C$12,(D1289-D1288)*'user input'!$C$17*(1-EXP(5*(F1288-'user input'!$C$17))),F1289-F1288)</f>
        <v>2.0947563611529409E-2</v>
      </c>
      <c r="F1289">
        <f>IF(C1289&lt;'user input'!$C$12,IF(B1289&gt;'user input'!$C$6,0,F1288+E1289),'user input'!$C$17*((1-C1289)/(1-'user input'!$C$12)))</f>
        <v>2.7652500502529405</v>
      </c>
    </row>
    <row r="1290" spans="1:6" x14ac:dyDescent="0.2">
      <c r="A1290" s="1">
        <v>41466</v>
      </c>
      <c r="B1290">
        <v>193</v>
      </c>
      <c r="C1290">
        <f>IF(B1290&gt;'user input'!$C$6,0,IF('heat units'!H1290&gt;1,1,'heat units'!H1290))</f>
        <v>0.50416666666666676</v>
      </c>
      <c r="D1290">
        <f>IF(B1290&gt;'user input'!$C$6,0,(C1290/(C1290+EXP('user input'!$C$15-'user input'!$C$14*C1290))))</f>
        <v>0.95295712361792595</v>
      </c>
      <c r="E1290">
        <f>IF(C1290&lt;'user input'!$C$12,(D1290-D1289)*'user input'!$C$17*(1-EXP(5*(F1289-'user input'!$C$17))),F1290-F1289)</f>
        <v>1.9912782187820447E-2</v>
      </c>
      <c r="F1290">
        <f>IF(C1290&lt;'user input'!$C$12,IF(B1290&gt;'user input'!$C$6,0,F1289+E1290),'user input'!$C$17*((1-C1290)/(1-'user input'!$C$12)))</f>
        <v>2.7851628324407609</v>
      </c>
    </row>
    <row r="1291" spans="1:6" x14ac:dyDescent="0.2">
      <c r="A1291" s="1">
        <v>41467</v>
      </c>
      <c r="B1291">
        <v>194</v>
      </c>
      <c r="C1291">
        <f>IF(B1291&gt;'user input'!$C$6,0,IF('heat units'!H1291&gt;1,1,'heat units'!H1291))</f>
        <v>0.51712962962962972</v>
      </c>
      <c r="D1291">
        <f>IF(B1291&gt;'user input'!$C$6,0,(C1291/(C1291+EXP('user input'!$C$15-'user input'!$C$14*C1291))))</f>
        <v>0.96111225850928506</v>
      </c>
      <c r="E1291">
        <f>IF(C1291&lt;'user input'!$C$12,(D1291-D1290)*'user input'!$C$17*(1-EXP(5*(F1290-'user input'!$C$17))),F1291-F1290)</f>
        <v>1.61086159637105E-2</v>
      </c>
      <c r="F1291">
        <f>IF(C1291&lt;'user input'!$C$12,IF(B1291&gt;'user input'!$C$6,0,F1290+E1291),'user input'!$C$17*((1-C1291)/(1-'user input'!$C$12)))</f>
        <v>2.8012714484044716</v>
      </c>
    </row>
    <row r="1292" spans="1:6" x14ac:dyDescent="0.2">
      <c r="A1292" s="1">
        <v>41468</v>
      </c>
      <c r="B1292">
        <v>195</v>
      </c>
      <c r="C1292">
        <f>IF(B1292&gt;'user input'!$C$6,0,IF('heat units'!H1292&gt;1,1,'heat units'!H1292))</f>
        <v>0.53101851851851856</v>
      </c>
      <c r="D1292">
        <f>IF(B1292&gt;'user input'!$C$6,0,(C1292/(C1292+EXP('user input'!$C$15-'user input'!$C$14*C1292))))</f>
        <v>0.96831838493342648</v>
      </c>
      <c r="E1292">
        <f>IF(C1292&lt;'user input'!$C$12,(D1292-D1291)*'user input'!$C$17*(1-EXP(5*(F1291-'user input'!$C$17))),F1292-F1291)</f>
        <v>1.36147020637993E-2</v>
      </c>
      <c r="F1292">
        <f>IF(C1292&lt;'user input'!$C$12,IF(B1292&gt;'user input'!$C$6,0,F1291+E1292),'user input'!$C$17*((1-C1292)/(1-'user input'!$C$12)))</f>
        <v>2.8148861504682707</v>
      </c>
    </row>
    <row r="1293" spans="1:6" x14ac:dyDescent="0.2">
      <c r="A1293" s="1">
        <v>41469</v>
      </c>
      <c r="B1293">
        <v>196</v>
      </c>
      <c r="C1293">
        <f>IF(B1293&gt;'user input'!$C$6,0,IF('heat units'!H1293&gt;1,1,'heat units'!H1293))</f>
        <v>0.54467592592592595</v>
      </c>
      <c r="D1293">
        <f>IF(B1293&gt;'user input'!$C$6,0,(C1293/(C1293+EXP('user input'!$C$15-'user input'!$C$14*C1293))))</f>
        <v>0.97411911537709606</v>
      </c>
      <c r="E1293">
        <f>IF(C1293&lt;'user input'!$C$12,(D1293-D1292)*'user input'!$C$17*(1-EXP(5*(F1292-'user input'!$C$17))),F1293-F1292)</f>
        <v>1.050560269205201E-2</v>
      </c>
      <c r="F1293">
        <f>IF(C1293&lt;'user input'!$C$12,IF(B1293&gt;'user input'!$C$6,0,F1292+E1293),'user input'!$C$17*((1-C1293)/(1-'user input'!$C$12)))</f>
        <v>2.8253917531603228</v>
      </c>
    </row>
    <row r="1294" spans="1:6" x14ac:dyDescent="0.2">
      <c r="A1294" s="1">
        <v>41470</v>
      </c>
      <c r="B1294">
        <v>197</v>
      </c>
      <c r="C1294">
        <f>IF(B1294&gt;'user input'!$C$6,0,IF('heat units'!H1294&gt;1,1,'heat units'!H1294))</f>
        <v>0.55879629629629635</v>
      </c>
      <c r="D1294">
        <f>IF(B1294&gt;'user input'!$C$6,0,(C1294/(C1294+EXP('user input'!$C$15-'user input'!$C$14*C1294))))</f>
        <v>0.97901276674242466</v>
      </c>
      <c r="E1294">
        <f>IF(C1294&lt;'user input'!$C$12,(D1294-D1293)*'user input'!$C$17*(1-EXP(5*(F1293-'user input'!$C$17))),F1294-F1293)</f>
        <v>8.5490226588372051E-3</v>
      </c>
      <c r="F1294">
        <f>IF(C1294&lt;'user input'!$C$12,IF(B1294&gt;'user input'!$C$6,0,F1293+E1294),'user input'!$C$17*((1-C1294)/(1-'user input'!$C$12)))</f>
        <v>2.8339407758191602</v>
      </c>
    </row>
    <row r="1295" spans="1:6" x14ac:dyDescent="0.2">
      <c r="A1295" s="1">
        <v>41471</v>
      </c>
      <c r="B1295">
        <v>198</v>
      </c>
      <c r="C1295">
        <f>IF(B1295&gt;'user input'!$C$6,0,IF('heat units'!H1295&gt;1,1,'heat units'!H1295))</f>
        <v>0.57245370370370385</v>
      </c>
      <c r="D1295">
        <f>IF(B1295&gt;'user input'!$C$6,0,(C1295/(C1295+EXP('user input'!$C$15-'user input'!$C$14*C1295))))</f>
        <v>0.98286902577151158</v>
      </c>
      <c r="E1295">
        <f>IF(C1295&lt;'user input'!$C$12,(D1295-D1294)*'user input'!$C$17*(1-EXP(5*(F1294-'user input'!$C$17))),F1295-F1294)</f>
        <v>6.525713672375001E-3</v>
      </c>
      <c r="F1295">
        <f>IF(C1295&lt;'user input'!$C$12,IF(B1295&gt;'user input'!$C$6,0,F1294+E1295),'user input'!$C$17*((1-C1295)/(1-'user input'!$C$12)))</f>
        <v>2.840466489491535</v>
      </c>
    </row>
    <row r="1296" spans="1:6" x14ac:dyDescent="0.2">
      <c r="A1296" s="1">
        <v>41472</v>
      </c>
      <c r="B1296">
        <v>199</v>
      </c>
      <c r="C1296">
        <f>IF(B1296&gt;'user input'!$C$6,0,IF('heat units'!H1296&gt;1,1,'heat units'!H1296))</f>
        <v>0.58356481481481493</v>
      </c>
      <c r="D1296">
        <f>IF(B1296&gt;'user input'!$C$6,0,(C1296/(C1296+EXP('user input'!$C$15-'user input'!$C$14*C1296))))</f>
        <v>0.98547909381957066</v>
      </c>
      <c r="E1296">
        <f>IF(C1296&lt;'user input'!$C$12,(D1296-D1295)*'user input'!$C$17*(1-EXP(5*(F1295-'user input'!$C$17))),F1296-F1295)</f>
        <v>4.3036507119805188E-3</v>
      </c>
      <c r="F1296">
        <f>IF(C1296&lt;'user input'!$C$12,IF(B1296&gt;'user input'!$C$6,0,F1295+E1296),'user input'!$C$17*((1-C1296)/(1-'user input'!$C$12)))</f>
        <v>2.8447701402035155</v>
      </c>
    </row>
    <row r="1297" spans="1:6" x14ac:dyDescent="0.2">
      <c r="A1297" s="1">
        <v>41473</v>
      </c>
      <c r="B1297">
        <v>200</v>
      </c>
      <c r="C1297">
        <f>IF(B1297&gt;'user input'!$C$6,0,IF('heat units'!H1297&gt;1,1,'heat units'!H1297))</f>
        <v>0.59467592592592611</v>
      </c>
      <c r="D1297">
        <f>IF(B1297&gt;'user input'!$C$6,0,(C1297/(C1297+EXP('user input'!$C$15-'user input'!$C$14*C1297))))</f>
        <v>0.98769206397822573</v>
      </c>
      <c r="E1297">
        <f>IF(C1297&lt;'user input'!$C$12,(D1297-D1296)*'user input'!$C$17*(1-EXP(5*(F1296-'user input'!$C$17))),F1297-F1296)</f>
        <v>3.5838525114523841E-3</v>
      </c>
      <c r="F1297">
        <f>IF(C1297&lt;'user input'!$C$12,IF(B1297&gt;'user input'!$C$6,0,F1296+E1297),'user input'!$C$17*((1-C1297)/(1-'user input'!$C$12)))</f>
        <v>2.8483539927149679</v>
      </c>
    </row>
    <row r="1298" spans="1:6" x14ac:dyDescent="0.2">
      <c r="A1298" s="1">
        <v>41474</v>
      </c>
      <c r="B1298">
        <v>201</v>
      </c>
      <c r="C1298">
        <f>IF(B1298&gt;'user input'!$C$6,0,IF('heat units'!H1298&gt;1,1,'heat units'!H1298))</f>
        <v>0.60555555555555574</v>
      </c>
      <c r="D1298">
        <f>IF(B1298&gt;'user input'!$C$6,0,(C1298/(C1298+EXP('user input'!$C$15-'user input'!$C$14*C1298))))</f>
        <v>0.98953175113846914</v>
      </c>
      <c r="E1298">
        <f>IF(C1298&lt;'user input'!$C$12,(D1298-D1297)*'user input'!$C$17*(1-EXP(5*(F1297-'user input'!$C$17))),F1298-F1297)</f>
        <v>2.9334092550722416E-3</v>
      </c>
      <c r="F1298">
        <f>IF(C1298&lt;'user input'!$C$12,IF(B1298&gt;'user input'!$C$6,0,F1297+E1298),'user input'!$C$17*((1-C1298)/(1-'user input'!$C$12)))</f>
        <v>2.85128740197004</v>
      </c>
    </row>
    <row r="1299" spans="1:6" x14ac:dyDescent="0.2">
      <c r="A1299" s="1">
        <v>41475</v>
      </c>
      <c r="B1299">
        <v>202</v>
      </c>
      <c r="C1299">
        <f>IF(B1299&gt;'user input'!$C$6,0,IF('heat units'!H1299&gt;1,1,'heat units'!H1299))</f>
        <v>0.61504629629629648</v>
      </c>
      <c r="D1299">
        <f>IF(B1299&gt;'user input'!$C$6,0,(C1299/(C1299+EXP('user input'!$C$15-'user input'!$C$14*C1299))))</f>
        <v>0.9909102278405385</v>
      </c>
      <c r="E1299">
        <f>IF(C1299&lt;'user input'!$C$12,(D1299-D1298)*'user input'!$C$17*(1-EXP(5*(F1298-'user input'!$C$17))),F1299-F1298)</f>
        <v>2.1693763801924741E-3</v>
      </c>
      <c r="F1299">
        <f>IF(C1299&lt;'user input'!$C$12,IF(B1299&gt;'user input'!$C$6,0,F1298+E1299),'user input'!$C$17*((1-C1299)/(1-'user input'!$C$12)))</f>
        <v>2.8534567783502327</v>
      </c>
    </row>
    <row r="1300" spans="1:6" x14ac:dyDescent="0.2">
      <c r="A1300" s="1">
        <v>41476</v>
      </c>
      <c r="B1300">
        <v>203</v>
      </c>
      <c r="C1300">
        <f>IF(B1300&gt;'user input'!$C$6,0,IF('heat units'!H1300&gt;1,1,'heat units'!H1300))</f>
        <v>0.62476851851851867</v>
      </c>
      <c r="D1300">
        <f>IF(B1300&gt;'user input'!$C$6,0,(C1300/(C1300+EXP('user input'!$C$15-'user input'!$C$14*C1300))))</f>
        <v>0.99213388696898563</v>
      </c>
      <c r="E1300">
        <f>IF(C1300&lt;'user input'!$C$12,(D1300-D1299)*'user input'!$C$17*(1-EXP(5*(F1299-'user input'!$C$17))),F1300-F1299)</f>
        <v>1.9066988660196278E-3</v>
      </c>
      <c r="F1300">
        <f>IF(C1300&lt;'user input'!$C$12,IF(B1300&gt;'user input'!$C$6,0,F1299+E1300),'user input'!$C$17*((1-C1300)/(1-'user input'!$C$12)))</f>
        <v>2.8553634772162524</v>
      </c>
    </row>
    <row r="1301" spans="1:6" x14ac:dyDescent="0.2">
      <c r="A1301" s="1">
        <v>41477</v>
      </c>
      <c r="B1301">
        <v>204</v>
      </c>
      <c r="C1301">
        <f>IF(B1301&gt;'user input'!$C$6,0,IF('heat units'!H1301&gt;1,1,'heat units'!H1301))</f>
        <v>0.63495370370370385</v>
      </c>
      <c r="D1301">
        <f>IF(B1301&gt;'user input'!$C$6,0,(C1301/(C1301+EXP('user input'!$C$15-'user input'!$C$14*C1301))))</f>
        <v>0.99323898392575272</v>
      </c>
      <c r="E1301">
        <f>IF(C1301&lt;'user input'!$C$12,(D1301-D1300)*'user input'!$C$17*(1-EXP(5*(F1300-'user input'!$C$17))),F1301-F1300)</f>
        <v>1.7066932605783367E-3</v>
      </c>
      <c r="F1301">
        <f>IF(C1301&lt;'user input'!$C$12,IF(B1301&gt;'user input'!$C$6,0,F1300+E1301),'user input'!$C$17*((1-C1301)/(1-'user input'!$C$12)))</f>
        <v>2.8570701704768307</v>
      </c>
    </row>
    <row r="1302" spans="1:6" x14ac:dyDescent="0.2">
      <c r="A1302" s="1">
        <v>41478</v>
      </c>
      <c r="B1302">
        <v>205</v>
      </c>
      <c r="C1302">
        <f>IF(B1302&gt;'user input'!$C$6,0,IF('heat units'!H1302&gt;1,1,'heat units'!H1302))</f>
        <v>0.64583333333333348</v>
      </c>
      <c r="D1302">
        <f>IF(B1302&gt;'user input'!$C$6,0,(C1302/(C1302+EXP('user input'!$C$15-'user input'!$C$14*C1302))))</f>
        <v>0.99424786912329277</v>
      </c>
      <c r="E1302">
        <f>IF(C1302&lt;'user input'!$C$12,(D1302-D1301)*'user input'!$C$17*(1-EXP(5*(F1301-'user input'!$C$17))),F1302-F1301)</f>
        <v>1.545519982777469E-3</v>
      </c>
      <c r="F1302">
        <f>IF(C1302&lt;'user input'!$C$12,IF(B1302&gt;'user input'!$C$6,0,F1301+E1302),'user input'!$C$17*((1-C1302)/(1-'user input'!$C$12)))</f>
        <v>2.8586156904596081</v>
      </c>
    </row>
    <row r="1303" spans="1:6" x14ac:dyDescent="0.2">
      <c r="A1303" s="1">
        <v>41479</v>
      </c>
      <c r="B1303">
        <v>206</v>
      </c>
      <c r="C1303">
        <f>IF(B1303&gt;'user input'!$C$6,0,IF('heat units'!H1303&gt;1,1,'heat units'!H1303))</f>
        <v>0.65879629629629644</v>
      </c>
      <c r="D1303">
        <f>IF(B1303&gt;'user input'!$C$6,0,(C1303/(C1303+EXP('user input'!$C$15-'user input'!$C$14*C1303))))</f>
        <v>0.99525451130799503</v>
      </c>
      <c r="E1303">
        <f>IF(C1303&lt;'user input'!$C$12,(D1303-D1302)*'user input'!$C$17*(1-EXP(5*(F1302-'user input'!$C$17))),F1303-F1302)</f>
        <v>1.5306194759724639E-3</v>
      </c>
      <c r="F1303">
        <f>IF(C1303&lt;'user input'!$C$12,IF(B1303&gt;'user input'!$C$6,0,F1302+E1303),'user input'!$C$17*((1-C1303)/(1-'user input'!$C$12)))</f>
        <v>2.8601463099355806</v>
      </c>
    </row>
    <row r="1304" spans="1:6" x14ac:dyDescent="0.2">
      <c r="A1304" s="1">
        <v>41480</v>
      </c>
      <c r="B1304">
        <v>207</v>
      </c>
      <c r="C1304">
        <f>IF(B1304&gt;'user input'!$C$6,0,IF('heat units'!H1304&gt;1,1,'heat units'!H1304))</f>
        <v>0.67083333333333339</v>
      </c>
      <c r="D1304">
        <f>IF(B1304&gt;'user input'!$C$6,0,(C1304/(C1304+EXP('user input'!$C$15-'user input'!$C$14*C1304))))</f>
        <v>0.99603007993435422</v>
      </c>
      <c r="E1304">
        <f>IF(C1304&lt;'user input'!$C$12,(D1304-D1303)*'user input'!$C$17*(1-EXP(5*(F1303-'user input'!$C$17))),F1304-F1303)</f>
        <v>1.1704523857296739E-3</v>
      </c>
      <c r="F1304">
        <f>IF(C1304&lt;'user input'!$C$12,IF(B1304&gt;'user input'!$C$6,0,F1303+E1304),'user input'!$C$17*((1-C1304)/(1-'user input'!$C$12)))</f>
        <v>2.8613167623213105</v>
      </c>
    </row>
    <row r="1305" spans="1:6" x14ac:dyDescent="0.2">
      <c r="A1305" s="1">
        <v>41481</v>
      </c>
      <c r="B1305">
        <v>208</v>
      </c>
      <c r="C1305">
        <f>IF(B1305&gt;'user input'!$C$6,0,IF('heat units'!H1305&gt;1,1,'heat units'!H1305))</f>
        <v>0.6835648148148149</v>
      </c>
      <c r="D1305">
        <f>IF(B1305&gt;'user input'!$C$6,0,(C1305/(C1305+EXP('user input'!$C$15-'user input'!$C$14*C1305))))</f>
        <v>0.99671221758458339</v>
      </c>
      <c r="E1305">
        <f>IF(C1305&lt;'user input'!$C$12,(D1305-D1304)*'user input'!$C$17*(1-EXP(5*(F1304-'user input'!$C$17))),F1305-F1304)</f>
        <v>1.023481688881962E-3</v>
      </c>
      <c r="F1305">
        <f>IF(C1305&lt;'user input'!$C$12,IF(B1305&gt;'user input'!$C$6,0,F1304+E1305),'user input'!$C$17*((1-C1305)/(1-'user input'!$C$12)))</f>
        <v>2.8623402440101926</v>
      </c>
    </row>
    <row r="1306" spans="1:6" x14ac:dyDescent="0.2">
      <c r="A1306" s="1">
        <v>41482</v>
      </c>
      <c r="B1306">
        <v>209</v>
      </c>
      <c r="C1306">
        <f>IF(B1306&gt;'user input'!$C$6,0,IF('heat units'!H1306&gt;1,1,'heat units'!H1306))</f>
        <v>0.69675925925925941</v>
      </c>
      <c r="D1306">
        <f>IF(B1306&gt;'user input'!$C$6,0,(C1306/(C1306+EXP('user input'!$C$15-'user input'!$C$14*C1306))))</f>
        <v>0.99729509722997456</v>
      </c>
      <c r="E1306">
        <f>IF(C1306&lt;'user input'!$C$12,(D1306-D1305)*'user input'!$C$17*(1-EXP(5*(F1305-'user input'!$C$17))),F1306-F1305)</f>
        <v>8.7007012410667635E-4</v>
      </c>
      <c r="F1306">
        <f>IF(C1306&lt;'user input'!$C$12,IF(B1306&gt;'user input'!$C$6,0,F1305+E1306),'user input'!$C$17*((1-C1306)/(1-'user input'!$C$12)))</f>
        <v>2.8632103141342995</v>
      </c>
    </row>
    <row r="1307" spans="1:6" x14ac:dyDescent="0.2">
      <c r="A1307" s="1">
        <v>41483</v>
      </c>
      <c r="B1307">
        <v>210</v>
      </c>
      <c r="C1307">
        <f>IF(B1307&gt;'user input'!$C$6,0,IF('heat units'!H1307&gt;1,1,'heat units'!H1307))</f>
        <v>0.70972222222222237</v>
      </c>
      <c r="D1307">
        <f>IF(B1307&gt;'user input'!$C$6,0,(C1307/(C1307+EXP('user input'!$C$15-'user input'!$C$14*C1307))))</f>
        <v>0.99776645550162046</v>
      </c>
      <c r="E1307">
        <f>IF(C1307&lt;'user input'!$C$12,(D1307-D1306)*'user input'!$C$17*(1-EXP(5*(F1306-'user input'!$C$17))),F1307-F1306)</f>
        <v>7.0050354061129249E-4</v>
      </c>
      <c r="F1307">
        <f>IF(C1307&lt;'user input'!$C$12,IF(B1307&gt;'user input'!$C$6,0,F1306+E1307),'user input'!$C$17*((1-C1307)/(1-'user input'!$C$12)))</f>
        <v>2.8639108176749106</v>
      </c>
    </row>
    <row r="1308" spans="1:6" x14ac:dyDescent="0.2">
      <c r="A1308" s="1">
        <v>41484</v>
      </c>
      <c r="B1308">
        <v>211</v>
      </c>
      <c r="C1308">
        <f>IF(B1308&gt;'user input'!$C$6,0,IF('heat units'!H1308&gt;1,1,'heat units'!H1308))</f>
        <v>0.71805555555555567</v>
      </c>
      <c r="D1308">
        <f>IF(B1308&gt;'user input'!$C$6,0,(C1308/(C1308+EXP('user input'!$C$15-'user input'!$C$14*C1308))))</f>
        <v>0.99802487812120178</v>
      </c>
      <c r="E1308">
        <f>IF(C1308&lt;'user input'!$C$12,(D1308-D1307)*'user input'!$C$17*(1-EXP(5*(F1307-'user input'!$C$17))),F1308-F1307)</f>
        <v>3.8267908680322306E-4</v>
      </c>
      <c r="F1308">
        <f>IF(C1308&lt;'user input'!$C$12,IF(B1308&gt;'user input'!$C$6,0,F1307+E1308),'user input'!$C$17*((1-C1308)/(1-'user input'!$C$12)))</f>
        <v>2.864293496761714</v>
      </c>
    </row>
    <row r="1309" spans="1:6" x14ac:dyDescent="0.2">
      <c r="A1309" s="1">
        <v>41485</v>
      </c>
      <c r="B1309">
        <v>212</v>
      </c>
      <c r="C1309">
        <f>IF(B1309&gt;'user input'!$C$6,0,IF('heat units'!H1309&gt;1,1,'heat units'!H1309))</f>
        <v>0.7289351851851853</v>
      </c>
      <c r="D1309">
        <f>IF(B1309&gt;'user input'!$C$6,0,(C1309/(C1309+EXP('user input'!$C$15-'user input'!$C$14*C1309))))</f>
        <v>0.99831754041262233</v>
      </c>
      <c r="E1309">
        <f>IF(C1309&lt;'user input'!$C$12,(D1309-D1308)*'user input'!$C$17*(1-EXP(5*(F1308-'user input'!$C$17))),F1309-F1308)</f>
        <v>4.3253058420613646E-4</v>
      </c>
      <c r="F1309">
        <f>IF(C1309&lt;'user input'!$C$12,IF(B1309&gt;'user input'!$C$6,0,F1308+E1309),'user input'!$C$17*((1-C1309)/(1-'user input'!$C$12)))</f>
        <v>2.8647260273459203</v>
      </c>
    </row>
    <row r="1310" spans="1:6" x14ac:dyDescent="0.2">
      <c r="A1310" s="1">
        <v>41486</v>
      </c>
      <c r="B1310">
        <v>213</v>
      </c>
      <c r="C1310">
        <f>IF(B1310&gt;'user input'!$C$6,0,IF('heat units'!H1310&gt;1,1,'heat units'!H1310))</f>
        <v>0.74143518518518536</v>
      </c>
      <c r="D1310">
        <f>IF(B1310&gt;'user input'!$C$6,0,(C1310/(C1310+EXP('user input'!$C$15-'user input'!$C$14*C1310))))</f>
        <v>0.99860035442528194</v>
      </c>
      <c r="E1310">
        <f>IF(C1310&lt;'user input'!$C$12,(D1310-D1309)*'user input'!$C$17*(1-EXP(5*(F1309-'user input'!$C$17))),F1310-F1309)</f>
        <v>4.1704368853224378E-4</v>
      </c>
      <c r="F1310">
        <f>IF(C1310&lt;'user input'!$C$12,IF(B1310&gt;'user input'!$C$6,0,F1309+E1310),'user input'!$C$17*((1-C1310)/(1-'user input'!$C$12)))</f>
        <v>2.8651430710344528</v>
      </c>
    </row>
    <row r="1311" spans="1:6" x14ac:dyDescent="0.2">
      <c r="A1311" s="1">
        <v>41487</v>
      </c>
      <c r="B1311">
        <v>214</v>
      </c>
      <c r="C1311">
        <f>IF(B1311&gt;'user input'!$C$6,0,IF('heat units'!H1311&gt;1,1,'heat units'!H1311))</f>
        <v>0.75462962962962976</v>
      </c>
      <c r="D1311">
        <f>IF(B1311&gt;'user input'!$C$6,0,(C1311/(C1311+EXP('user input'!$C$15-'user input'!$C$14*C1311))))</f>
        <v>0.9988471774007085</v>
      </c>
      <c r="E1311">
        <f>IF(C1311&lt;'user input'!$C$12,(D1311-D1310)*'user input'!$C$17*(1-EXP(5*(F1310-'user input'!$C$17))),F1311-F1310)</f>
        <v>3.6318462243722856E-4</v>
      </c>
      <c r="F1311">
        <f>IF(C1311&lt;'user input'!$C$12,IF(B1311&gt;'user input'!$C$6,0,F1310+E1311),'user input'!$C$17*((1-C1311)/(1-'user input'!$C$12)))</f>
        <v>2.8655062556568898</v>
      </c>
    </row>
    <row r="1312" spans="1:6" x14ac:dyDescent="0.2">
      <c r="A1312" s="1">
        <v>41488</v>
      </c>
      <c r="B1312">
        <v>215</v>
      </c>
      <c r="C1312">
        <f>IF(B1312&gt;'user input'!$C$6,0,IF('heat units'!H1312&gt;1,1,'heat units'!H1312))</f>
        <v>0.76782407407407427</v>
      </c>
      <c r="D1312">
        <f>IF(B1312&gt;'user input'!$C$6,0,(C1312/(C1312+EXP('user input'!$C$15-'user input'!$C$14*C1312))))</f>
        <v>0.99905022524420617</v>
      </c>
      <c r="E1312">
        <f>IF(C1312&lt;'user input'!$C$12,(D1312-D1311)*'user input'!$C$17*(1-EXP(5*(F1311-'user input'!$C$17))),F1312-F1311)</f>
        <v>2.9820812212296897E-4</v>
      </c>
      <c r="F1312">
        <f>IF(C1312&lt;'user input'!$C$12,IF(B1312&gt;'user input'!$C$6,0,F1311+E1312),'user input'!$C$17*((1-C1312)/(1-'user input'!$C$12)))</f>
        <v>2.8658044637790128</v>
      </c>
    </row>
    <row r="1313" spans="1:6" x14ac:dyDescent="0.2">
      <c r="A1313" s="1">
        <v>41489</v>
      </c>
      <c r="B1313">
        <v>216</v>
      </c>
      <c r="C1313">
        <f>IF(B1313&gt;'user input'!$C$6,0,IF('heat units'!H1313&gt;1,1,'heat units'!H1313))</f>
        <v>0.77847222222222245</v>
      </c>
      <c r="D1313">
        <f>IF(B1313&gt;'user input'!$C$6,0,(C1313/(C1313+EXP('user input'!$C$15-'user input'!$C$14*C1313))))</f>
        <v>0.9991875458815519</v>
      </c>
      <c r="E1313">
        <f>IF(C1313&lt;'user input'!$C$12,(D1313-D1312)*'user input'!$C$17*(1-EXP(5*(F1312-'user input'!$C$17))),F1313-F1312)</f>
        <v>2.0136346673127725E-4</v>
      </c>
      <c r="F1313">
        <f>IF(C1313&lt;'user input'!$C$12,IF(B1313&gt;'user input'!$C$6,0,F1312+E1313),'user input'!$C$17*((1-C1313)/(1-'user input'!$C$12)))</f>
        <v>2.8660058272457443</v>
      </c>
    </row>
    <row r="1314" spans="1:6" x14ac:dyDescent="0.2">
      <c r="A1314" s="1">
        <v>41490</v>
      </c>
      <c r="B1314">
        <v>217</v>
      </c>
      <c r="C1314">
        <f>IF(B1314&gt;'user input'!$C$6,0,IF('heat units'!H1314&gt;1,1,'heat units'!H1314))</f>
        <v>0.79074074074074097</v>
      </c>
      <c r="D1314">
        <f>IF(B1314&gt;'user input'!$C$6,0,(C1314/(C1314+EXP('user input'!$C$15-'user input'!$C$14*C1314))))</f>
        <v>0.99932119303928257</v>
      </c>
      <c r="E1314">
        <f>IF(C1314&lt;'user input'!$C$12,(D1314-D1313)*'user input'!$C$17*(1-EXP(5*(F1313-'user input'!$C$17))),F1314-F1313)</f>
        <v>1.9577030434227822E-4</v>
      </c>
      <c r="F1314">
        <f>IF(C1314&lt;'user input'!$C$12,IF(B1314&gt;'user input'!$C$6,0,F1313+E1314),'user input'!$C$17*((1-C1314)/(1-'user input'!$C$12)))</f>
        <v>2.8662015975500865</v>
      </c>
    </row>
    <row r="1315" spans="1:6" x14ac:dyDescent="0.2">
      <c r="A1315" s="1">
        <v>41491</v>
      </c>
      <c r="B1315">
        <v>218</v>
      </c>
      <c r="C1315">
        <f>IF(B1315&gt;'user input'!$C$6,0,IF('heat units'!H1315&gt;1,1,'heat units'!H1315))</f>
        <v>0.80231481481481504</v>
      </c>
      <c r="D1315">
        <f>IF(B1315&gt;'user input'!$C$6,0,(C1315/(C1315+EXP('user input'!$C$15-'user input'!$C$14*C1315))))</f>
        <v>0.99942694163224366</v>
      </c>
      <c r="E1315">
        <f>IF(C1315&lt;'user input'!$C$12,(D1315-D1314)*'user input'!$C$17*(1-EXP(5*(F1314-'user input'!$C$17))),F1315-F1314)</f>
        <v>1.5474467596697346E-4</v>
      </c>
      <c r="F1315">
        <f>IF(C1315&lt;'user input'!$C$12,IF(B1315&gt;'user input'!$C$6,0,F1314+E1315),'user input'!$C$17*((1-C1315)/(1-'user input'!$C$12)))</f>
        <v>2.8663563422260534</v>
      </c>
    </row>
    <row r="1316" spans="1:6" x14ac:dyDescent="0.2">
      <c r="A1316" s="1">
        <v>41492</v>
      </c>
      <c r="B1316">
        <v>219</v>
      </c>
      <c r="C1316">
        <f>IF(B1316&gt;'user input'!$C$6,0,IF('heat units'!H1316&gt;1,1,'heat units'!H1316))</f>
        <v>0.81134259259259289</v>
      </c>
      <c r="D1316">
        <f>IF(B1316&gt;'user input'!$C$6,0,(C1316/(C1316+EXP('user input'!$C$15-'user input'!$C$14*C1316))))</f>
        <v>0.99949778499756059</v>
      </c>
      <c r="E1316">
        <f>IF(C1316&lt;'user input'!$C$12,(D1316-D1315)*'user input'!$C$17*(1-EXP(5*(F1315-'user input'!$C$17))),F1316-F1315)</f>
        <v>1.0358268282021473E-4</v>
      </c>
      <c r="F1316">
        <f>IF(C1316&lt;'user input'!$C$12,IF(B1316&gt;'user input'!$C$6,0,F1315+E1316),'user input'!$C$17*((1-C1316)/(1-'user input'!$C$12)))</f>
        <v>2.8664599249088738</v>
      </c>
    </row>
    <row r="1317" spans="1:6" x14ac:dyDescent="0.2">
      <c r="A1317" s="1">
        <v>41493</v>
      </c>
      <c r="B1317">
        <v>220</v>
      </c>
      <c r="C1317">
        <f>IF(B1317&gt;'user input'!$C$6,0,IF('heat units'!H1317&gt;1,1,'heat units'!H1317))</f>
        <v>0.82129629629629652</v>
      </c>
      <c r="D1317">
        <f>IF(B1317&gt;'user input'!$C$6,0,(C1317/(C1317+EXP('user input'!$C$15-'user input'!$C$14*C1317))))</f>
        <v>0.9995657293247503</v>
      </c>
      <c r="E1317">
        <f>IF(C1317&lt;'user input'!$C$12,(D1317-D1316)*'user input'!$C$17*(1-EXP(5*(F1316-'user input'!$C$17))),F1317-F1316)</f>
        <v>9.9289762526710154E-5</v>
      </c>
      <c r="F1317">
        <f>IF(C1317&lt;'user input'!$C$12,IF(B1317&gt;'user input'!$C$6,0,F1316+E1317),'user input'!$C$17*((1-C1317)/(1-'user input'!$C$12)))</f>
        <v>2.8665592146714003</v>
      </c>
    </row>
    <row r="1318" spans="1:6" x14ac:dyDescent="0.2">
      <c r="A1318" s="1">
        <v>41494</v>
      </c>
      <c r="B1318">
        <v>221</v>
      </c>
      <c r="C1318">
        <f>IF(B1318&gt;'user input'!$C$6,0,IF('heat units'!H1318&gt;1,1,'heat units'!H1318))</f>
        <v>0.83217592592592615</v>
      </c>
      <c r="D1318">
        <f>IF(B1318&gt;'user input'!$C$6,0,(C1318/(C1318+EXP('user input'!$C$15-'user input'!$C$14*C1318))))</f>
        <v>0.99962946674928022</v>
      </c>
      <c r="E1318">
        <f>IF(C1318&lt;'user input'!$C$12,(D1318-D1317)*'user input'!$C$17*(1-EXP(5*(F1317-'user input'!$C$17))),F1318-F1317)</f>
        <v>9.3093348494473077E-5</v>
      </c>
      <c r="F1318">
        <f>IF(C1318&lt;'user input'!$C$12,IF(B1318&gt;'user input'!$C$6,0,F1317+E1318),'user input'!$C$17*((1-C1318)/(1-'user input'!$C$12)))</f>
        <v>2.8666523080198947</v>
      </c>
    </row>
    <row r="1319" spans="1:6" x14ac:dyDescent="0.2">
      <c r="A1319" s="1">
        <v>41495</v>
      </c>
      <c r="B1319">
        <v>222</v>
      </c>
      <c r="C1319">
        <f>IF(B1319&gt;'user input'!$C$6,0,IF('heat units'!H1319&gt;1,1,'heat units'!H1319))</f>
        <v>0.84398148148148167</v>
      </c>
      <c r="D1319">
        <f>IF(B1319&gt;'user input'!$C$6,0,(C1319/(C1319+EXP('user input'!$C$15-'user input'!$C$14*C1319))))</f>
        <v>0.9996880345344149</v>
      </c>
      <c r="E1319">
        <f>IF(C1319&lt;'user input'!$C$12,(D1319-D1318)*'user input'!$C$17*(1-EXP(5*(F1318-'user input'!$C$17))),F1319-F1318)</f>
        <v>8.5500721039444681E-5</v>
      </c>
      <c r="F1319">
        <f>IF(C1319&lt;'user input'!$C$12,IF(B1319&gt;'user input'!$C$6,0,F1318+E1319),'user input'!$C$17*((1-C1319)/(1-'user input'!$C$12)))</f>
        <v>2.8667378087409343</v>
      </c>
    </row>
    <row r="1320" spans="1:6" x14ac:dyDescent="0.2">
      <c r="A1320" s="1">
        <v>41496</v>
      </c>
      <c r="B1320">
        <v>223</v>
      </c>
      <c r="C1320">
        <f>IF(B1320&gt;'user input'!$C$6,0,IF('heat units'!H1320&gt;1,1,'heat units'!H1320))</f>
        <v>0.85439814814814841</v>
      </c>
      <c r="D1320">
        <f>IF(B1320&gt;'user input'!$C$6,0,(C1320/(C1320+EXP('user input'!$C$15-'user input'!$C$14*C1320))))</f>
        <v>0.99973193272997141</v>
      </c>
      <c r="E1320">
        <f>IF(C1320&lt;'user input'!$C$12,(D1320-D1319)*'user input'!$C$17*(1-EXP(5*(F1319-'user input'!$C$17))),F1320-F1319)</f>
        <v>6.405627601948831E-5</v>
      </c>
      <c r="F1320">
        <f>IF(C1320&lt;'user input'!$C$12,IF(B1320&gt;'user input'!$C$6,0,F1319+E1320),'user input'!$C$17*((1-C1320)/(1-'user input'!$C$12)))</f>
        <v>2.8668018650169538</v>
      </c>
    </row>
    <row r="1321" spans="1:6" x14ac:dyDescent="0.2">
      <c r="A1321" s="1">
        <v>41497</v>
      </c>
      <c r="B1321">
        <v>224</v>
      </c>
      <c r="C1321">
        <f>IF(B1321&gt;'user input'!$C$6,0,IF('heat units'!H1321&gt;1,1,'heat units'!H1321))</f>
        <v>0.86504629629629659</v>
      </c>
      <c r="D1321">
        <f>IF(B1321&gt;'user input'!$C$6,0,(C1321/(C1321+EXP('user input'!$C$15-'user input'!$C$14*C1321))))</f>
        <v>0.99977039498220921</v>
      </c>
      <c r="E1321">
        <f>IF(C1321&lt;'user input'!$C$12,(D1321-D1320)*'user input'!$C$17*(1-EXP(5*(F1320-'user input'!$C$17))),F1321-F1320)</f>
        <v>5.6105160178577934E-5</v>
      </c>
      <c r="F1321">
        <f>IF(C1321&lt;'user input'!$C$12,IF(B1321&gt;'user input'!$C$6,0,F1320+E1321),'user input'!$C$17*((1-C1321)/(1-'user input'!$C$12)))</f>
        <v>2.8668579701771324</v>
      </c>
    </row>
    <row r="1322" spans="1:6" x14ac:dyDescent="0.2">
      <c r="A1322" s="1">
        <v>41498</v>
      </c>
      <c r="B1322">
        <v>225</v>
      </c>
      <c r="C1322">
        <f>IF(B1322&gt;'user input'!$C$6,0,IF('heat units'!H1322&gt;1,1,'heat units'!H1322))</f>
        <v>0.87731481481481499</v>
      </c>
      <c r="D1322">
        <f>IF(B1322&gt;'user input'!$C$6,0,(C1322/(C1322+EXP('user input'!$C$15-'user input'!$C$14*C1322))))</f>
        <v>0.9998078847237909</v>
      </c>
      <c r="E1322">
        <f>IF(C1322&lt;'user input'!$C$12,(D1322-D1321)*'user input'!$C$17*(1-EXP(5*(F1321-'user input'!$C$17))),F1322-F1321)</f>
        <v>5.4670340181449779E-5</v>
      </c>
      <c r="F1322">
        <f>IF(C1322&lt;'user input'!$C$12,IF(B1322&gt;'user input'!$C$6,0,F1321+E1322),'user input'!$C$17*((1-C1322)/(1-'user input'!$C$12)))</f>
        <v>2.866912640517314</v>
      </c>
    </row>
    <row r="1323" spans="1:6" x14ac:dyDescent="0.2">
      <c r="A1323" s="1">
        <v>41499</v>
      </c>
      <c r="B1323">
        <v>226</v>
      </c>
      <c r="C1323">
        <f>IF(B1323&gt;'user input'!$C$6,0,IF('heat units'!H1323&gt;1,1,'heat units'!H1323))</f>
        <v>0.88981481481481506</v>
      </c>
      <c r="D1323">
        <f>IF(B1323&gt;'user input'!$C$6,0,(C1323/(C1323+EXP('user input'!$C$15-'user input'!$C$14*C1323))))</f>
        <v>0.99983976171987698</v>
      </c>
      <c r="E1323">
        <f>IF(C1323&lt;'user input'!$C$12,(D1323-D1322)*'user input'!$C$17*(1-EXP(5*(F1322-'user input'!$C$17))),F1323-F1322)</f>
        <v>4.647197978661852E-5</v>
      </c>
      <c r="F1323">
        <f>IF(C1323&lt;'user input'!$C$12,IF(B1323&gt;'user input'!$C$6,0,F1322+E1323),'user input'!$C$17*((1-C1323)/(1-'user input'!$C$12)))</f>
        <v>2.8669591124971006</v>
      </c>
    </row>
    <row r="1324" spans="1:6" x14ac:dyDescent="0.2">
      <c r="A1324" s="1">
        <v>41500</v>
      </c>
      <c r="B1324">
        <v>227</v>
      </c>
      <c r="C1324">
        <f>IF(B1324&gt;'user input'!$C$6,0,IF('heat units'!H1324&gt;1,1,'heat units'!H1324))</f>
        <v>0.90023148148148169</v>
      </c>
      <c r="D1324">
        <f>IF(B1324&gt;'user input'!$C$6,0,(C1324/(C1324+EXP('user input'!$C$15-'user input'!$C$14*C1324))))</f>
        <v>0.99986222606898956</v>
      </c>
      <c r="E1324">
        <f>IF(C1324&lt;'user input'!$C$12,(D1324-D1323)*'user input'!$C$17*(1-EXP(5*(F1323-'user input'!$C$17))),F1324-F1323)</f>
        <v>0.12609644305844947</v>
      </c>
      <c r="F1324">
        <f>IF(C1324&lt;'user input'!$C$12,IF(B1324&gt;'user input'!$C$6,0,F1323+E1324),'user input'!$C$17*((1-C1324)/(1-'user input'!$C$12)))</f>
        <v>2.99305555555555</v>
      </c>
    </row>
    <row r="1325" spans="1:6" x14ac:dyDescent="0.2">
      <c r="A1325" s="1">
        <v>41501</v>
      </c>
      <c r="B1325">
        <v>228</v>
      </c>
      <c r="C1325">
        <f>IF(B1325&gt;'user input'!$C$6,0,IF('heat units'!H1325&gt;1,1,'heat units'!H1325))</f>
        <v>0.90671296296296322</v>
      </c>
      <c r="D1325">
        <f>IF(B1325&gt;'user input'!$C$6,0,(C1325/(C1325+EXP('user input'!$C$15-'user input'!$C$14*C1325))))</f>
        <v>0.99987457662546775</v>
      </c>
      <c r="E1325">
        <f>IF(C1325&lt;'user input'!$C$12,(D1325-D1324)*'user input'!$C$17*(1-EXP(5*(F1324-'user input'!$C$17))),F1325-F1324)</f>
        <v>-0.19444444444444597</v>
      </c>
      <c r="F1325">
        <f>IF(C1325&lt;'user input'!$C$12,IF(B1325&gt;'user input'!$C$6,0,F1324+E1325),'user input'!$C$17*((1-C1325)/(1-'user input'!$C$12)))</f>
        <v>2.7986111111111041</v>
      </c>
    </row>
    <row r="1326" spans="1:6" x14ac:dyDescent="0.2">
      <c r="A1326" s="1">
        <v>41502</v>
      </c>
      <c r="B1326">
        <v>229</v>
      </c>
      <c r="C1326">
        <f>IF(B1326&gt;'user input'!$C$6,0,IF('heat units'!H1326&gt;1,1,'heat units'!H1326))</f>
        <v>0.91458333333333353</v>
      </c>
      <c r="D1326">
        <f>IF(B1326&gt;'user input'!$C$6,0,(C1326/(C1326+EXP('user input'!$C$15-'user input'!$C$14*C1326))))</f>
        <v>0.9998880874827607</v>
      </c>
      <c r="E1326">
        <f>IF(C1326&lt;'user input'!$C$12,(D1326-D1325)*'user input'!$C$17*(1-EXP(5*(F1325-'user input'!$C$17))),F1326-F1325)</f>
        <v>-0.23611111111110938</v>
      </c>
      <c r="F1326">
        <f>IF(C1326&lt;'user input'!$C$12,IF(B1326&gt;'user input'!$C$6,0,F1325+E1326),'user input'!$C$17*((1-C1326)/(1-'user input'!$C$12)))</f>
        <v>2.5624999999999947</v>
      </c>
    </row>
    <row r="1327" spans="1:6" x14ac:dyDescent="0.2">
      <c r="A1327" s="1">
        <v>41503</v>
      </c>
      <c r="B1327">
        <v>230</v>
      </c>
      <c r="C1327">
        <f>IF(B1327&gt;'user input'!$C$6,0,IF('heat units'!H1327&gt;1,1,'heat units'!H1327))</f>
        <v>0.92453703703703716</v>
      </c>
      <c r="D1327">
        <f>IF(B1327&gt;'user input'!$C$6,0,(C1327/(C1327+EXP('user input'!$C$15-'user input'!$C$14*C1327))))</f>
        <v>0.99990310060991439</v>
      </c>
      <c r="E1327">
        <f>IF(C1327&lt;'user input'!$C$12,(D1327-D1326)*'user input'!$C$17*(1-EXP(5*(F1326-'user input'!$C$17))),F1327-F1326)</f>
        <v>-0.29861111111110894</v>
      </c>
      <c r="F1327">
        <f>IF(C1327&lt;'user input'!$C$12,IF(B1327&gt;'user input'!$C$6,0,F1326+E1327),'user input'!$C$17*((1-C1327)/(1-'user input'!$C$12)))</f>
        <v>2.2638888888888857</v>
      </c>
    </row>
    <row r="1328" spans="1:6" x14ac:dyDescent="0.2">
      <c r="A1328" s="1">
        <v>41504</v>
      </c>
      <c r="B1328">
        <v>231</v>
      </c>
      <c r="C1328">
        <f>IF(B1328&gt;'user input'!$C$6,0,IF('heat units'!H1328&gt;1,1,'heat units'!H1328))</f>
        <v>0.93333333333333357</v>
      </c>
      <c r="D1328">
        <f>IF(B1328&gt;'user input'!$C$6,0,(C1328/(C1328+EXP('user input'!$C$15-'user input'!$C$14*C1328))))</f>
        <v>0.99991467451503668</v>
      </c>
      <c r="E1328">
        <f>IF(C1328&lt;'user input'!$C$12,(D1328-D1327)*'user input'!$C$17*(1-EXP(5*(F1327-'user input'!$C$17))),F1328-F1327)</f>
        <v>-0.26388888888889239</v>
      </c>
      <c r="F1328">
        <f>IF(C1328&lt;'user input'!$C$12,IF(B1328&gt;'user input'!$C$6,0,F1327+E1328),'user input'!$C$17*((1-C1328)/(1-'user input'!$C$12)))</f>
        <v>1.9999999999999933</v>
      </c>
    </row>
    <row r="1329" spans="1:6" x14ac:dyDescent="0.2">
      <c r="A1329" s="1">
        <v>41505</v>
      </c>
      <c r="B1329">
        <v>232</v>
      </c>
      <c r="C1329">
        <f>IF(B1329&gt;'user input'!$C$6,0,IF('heat units'!H1329&gt;1,1,'heat units'!H1329))</f>
        <v>0.93912037037037044</v>
      </c>
      <c r="D1329">
        <f>IF(B1329&gt;'user input'!$C$6,0,(C1329/(C1329+EXP('user input'!$C$15-'user input'!$C$14*C1329))))</f>
        <v>0.99992152055718497</v>
      </c>
      <c r="E1329">
        <f>IF(C1329&lt;'user input'!$C$12,(D1329-D1328)*'user input'!$C$17*(1-EXP(5*(F1328-'user input'!$C$17))),F1329-F1328)</f>
        <v>-0.17361111111110628</v>
      </c>
      <c r="F1329">
        <f>IF(C1329&lt;'user input'!$C$12,IF(B1329&gt;'user input'!$C$6,0,F1328+E1329),'user input'!$C$17*((1-C1329)/(1-'user input'!$C$12)))</f>
        <v>1.8263888888888871</v>
      </c>
    </row>
    <row r="1330" spans="1:6" x14ac:dyDescent="0.2">
      <c r="A1330" s="1">
        <v>41506</v>
      </c>
      <c r="B1330">
        <v>233</v>
      </c>
      <c r="C1330">
        <f>IF(B1330&gt;'user input'!$C$6,0,IF('heat units'!H1330&gt;1,1,'heat units'!H1330))</f>
        <v>0.94490740740740742</v>
      </c>
      <c r="D1330">
        <f>IF(B1330&gt;'user input'!$C$6,0,(C1330/(C1330+EXP('user input'!$C$15-'user input'!$C$14*C1330))))</f>
        <v>0.9999278146097893</v>
      </c>
      <c r="E1330">
        <f>IF(C1330&lt;'user input'!$C$12,(D1330-D1329)*'user input'!$C$17*(1-EXP(5*(F1329-'user input'!$C$17))),F1330-F1329)</f>
        <v>-0.17361111111110938</v>
      </c>
      <c r="F1330">
        <f>IF(C1330&lt;'user input'!$C$12,IF(B1330&gt;'user input'!$C$6,0,F1329+E1330),'user input'!$C$17*((1-C1330)/(1-'user input'!$C$12)))</f>
        <v>1.6527777777777777</v>
      </c>
    </row>
    <row r="1331" spans="1:6" x14ac:dyDescent="0.2">
      <c r="A1331" s="1">
        <v>41507</v>
      </c>
      <c r="B1331">
        <v>234</v>
      </c>
      <c r="C1331">
        <f>IF(B1331&gt;'user input'!$C$6,0,IF('heat units'!H1331&gt;1,1,'heat units'!H1331))</f>
        <v>0.9511574074074074</v>
      </c>
      <c r="D1331">
        <f>IF(B1331&gt;'user input'!$C$6,0,(C1331/(C1331+EXP('user input'!$C$15-'user input'!$C$14*C1331))))</f>
        <v>0.99993404370951977</v>
      </c>
      <c r="E1331">
        <f>IF(C1331&lt;'user input'!$C$12,(D1331-D1330)*'user input'!$C$17*(1-EXP(5*(F1330-'user input'!$C$17))),F1331-F1330)</f>
        <v>-0.18749999999999911</v>
      </c>
      <c r="F1331">
        <f>IF(C1331&lt;'user input'!$C$12,IF(B1331&gt;'user input'!$C$6,0,F1330+E1331),'user input'!$C$17*((1-C1331)/(1-'user input'!$C$12)))</f>
        <v>1.4652777777777786</v>
      </c>
    </row>
    <row r="1332" spans="1:6" x14ac:dyDescent="0.2">
      <c r="A1332" s="1">
        <v>41508</v>
      </c>
      <c r="B1332">
        <v>235</v>
      </c>
      <c r="C1332">
        <f>IF(B1332&gt;'user input'!$C$6,0,IF('heat units'!H1332&gt;1,1,'heat units'!H1332))</f>
        <v>0.95856481481481481</v>
      </c>
      <c r="D1332">
        <f>IF(B1332&gt;'user input'!$C$6,0,(C1332/(C1332+EXP('user input'!$C$15-'user input'!$C$14*C1332))))</f>
        <v>0.9999407307928857</v>
      </c>
      <c r="E1332">
        <f>IF(C1332&lt;'user input'!$C$12,(D1332-D1331)*'user input'!$C$17*(1-EXP(5*(F1331-'user input'!$C$17))),F1332-F1331)</f>
        <v>-0.22222222222222276</v>
      </c>
      <c r="F1332">
        <f>IF(C1332&lt;'user input'!$C$12,IF(B1332&gt;'user input'!$C$6,0,F1331+E1332),'user input'!$C$17*((1-C1332)/(1-'user input'!$C$12)))</f>
        <v>1.2430555555555558</v>
      </c>
    </row>
    <row r="1333" spans="1:6" x14ac:dyDescent="0.2">
      <c r="A1333" s="1">
        <v>41509</v>
      </c>
      <c r="B1333">
        <v>236</v>
      </c>
      <c r="C1333">
        <f>IF(B1333&gt;'user input'!$C$6,0,IF('heat units'!H1333&gt;1,1,'heat units'!H1333))</f>
        <v>0.96597222222222223</v>
      </c>
      <c r="D1333">
        <f>IF(B1333&gt;'user input'!$C$6,0,(C1333/(C1333+EXP('user input'!$C$15-'user input'!$C$14*C1333))))</f>
        <v>0.99994673675129542</v>
      </c>
      <c r="E1333">
        <f>IF(C1333&lt;'user input'!$C$12,(D1333-D1332)*'user input'!$C$17*(1-EXP(5*(F1332-'user input'!$C$17))),F1333-F1332)</f>
        <v>-0.22222222222222254</v>
      </c>
      <c r="F1333">
        <f>IF(C1333&lt;'user input'!$C$12,IF(B1333&gt;'user input'!$C$6,0,F1332+E1333),'user input'!$C$17*((1-C1333)/(1-'user input'!$C$12)))</f>
        <v>1.0208333333333333</v>
      </c>
    </row>
    <row r="1334" spans="1:6" x14ac:dyDescent="0.2">
      <c r="A1334" s="1">
        <v>41510</v>
      </c>
      <c r="B1334">
        <v>237</v>
      </c>
      <c r="C1334">
        <f>IF(B1334&gt;'user input'!$C$6,0,IF('heat units'!H1334&gt;1,1,'heat units'!H1334))</f>
        <v>0.97430555555555565</v>
      </c>
      <c r="D1334">
        <f>IF(B1334&gt;'user input'!$C$6,0,(C1334/(C1334+EXP('user input'!$C$15-'user input'!$C$14*C1334))))</f>
        <v>0.99995276584017134</v>
      </c>
      <c r="E1334">
        <f>IF(C1334&lt;'user input'!$C$12,(D1334-D1333)*'user input'!$C$17*(1-EXP(5*(F1333-'user input'!$C$17))),F1334-F1333)</f>
        <v>-0.25000000000000244</v>
      </c>
      <c r="F1334">
        <f>IF(C1334&lt;'user input'!$C$12,IF(B1334&gt;'user input'!$C$6,0,F1333+E1334),'user input'!$C$17*((1-C1334)/(1-'user input'!$C$12)))</f>
        <v>0.77083333333333082</v>
      </c>
    </row>
    <row r="1335" spans="1:6" x14ac:dyDescent="0.2">
      <c r="A1335" s="1">
        <v>41511</v>
      </c>
      <c r="B1335">
        <v>238</v>
      </c>
      <c r="C1335">
        <f>IF(B1335&gt;'user input'!$C$6,0,IF('heat units'!H1335&gt;1,1,'heat units'!H1335))</f>
        <v>0.98541666666666672</v>
      </c>
      <c r="D1335">
        <f>IF(B1335&gt;'user input'!$C$6,0,(C1335/(C1335+EXP('user input'!$C$15-'user input'!$C$14*C1335))))</f>
        <v>0.99995975210928945</v>
      </c>
      <c r="E1335">
        <f>IF(C1335&lt;'user input'!$C$12,(D1335-D1334)*'user input'!$C$17*(1-EXP(5*(F1334-'user input'!$C$17))),F1335-F1334)</f>
        <v>-0.33333333333333226</v>
      </c>
      <c r="F1335">
        <f>IF(C1335&lt;'user input'!$C$12,IF(B1335&gt;'user input'!$C$6,0,F1334+E1335),'user input'!$C$17*((1-C1335)/(1-'user input'!$C$12)))</f>
        <v>0.43749999999999856</v>
      </c>
    </row>
    <row r="1336" spans="1:6" x14ac:dyDescent="0.2">
      <c r="A1336" s="1">
        <v>41512</v>
      </c>
      <c r="B1336">
        <v>239</v>
      </c>
      <c r="C1336">
        <f>IF(B1336&gt;'user input'!$C$6,0,IF('heat units'!H1336&gt;1,1,'heat units'!H1336))</f>
        <v>0.99097222222222225</v>
      </c>
      <c r="D1336">
        <f>IF(B1336&gt;'user input'!$C$6,0,(C1336/(C1336+EXP('user input'!$C$15-'user input'!$C$14*C1336))))</f>
        <v>0.99996284586102535</v>
      </c>
      <c r="E1336">
        <f>IF(C1336&lt;'user input'!$C$12,(D1336-D1335)*'user input'!$C$17*(1-EXP(5*(F1335-'user input'!$C$17))),F1336-F1335)</f>
        <v>-0.16666666666666613</v>
      </c>
      <c r="F1336">
        <f>IF(C1336&lt;'user input'!$C$12,IF(B1336&gt;'user input'!$C$6,0,F1335+E1336),'user input'!$C$17*((1-C1336)/(1-'user input'!$C$12)))</f>
        <v>0.27083333333333243</v>
      </c>
    </row>
    <row r="1337" spans="1:6" x14ac:dyDescent="0.2">
      <c r="A1337" s="1">
        <v>41513</v>
      </c>
      <c r="B1337">
        <v>240</v>
      </c>
      <c r="C1337">
        <f>IF(B1337&gt;'user input'!$C$6,0,IF('heat units'!H1337&gt;1,1,'heat units'!H1337))</f>
        <v>0.99629629629629635</v>
      </c>
      <c r="D1337">
        <f>IF(B1337&gt;'user input'!$C$6,0,(C1337/(C1337+EXP('user input'!$C$15-'user input'!$C$14*C1337))))</f>
        <v>0.9999655863037934</v>
      </c>
      <c r="E1337">
        <f>IF(C1337&lt;'user input'!$C$12,(D1337-D1336)*'user input'!$C$17*(1-EXP(5*(F1336-'user input'!$C$17))),F1337-F1336)</f>
        <v>-0.15972222222222279</v>
      </c>
      <c r="F1337">
        <f>IF(C1337&lt;'user input'!$C$12,IF(B1337&gt;'user input'!$C$6,0,F1336+E1337),'user input'!$C$17*((1-C1337)/(1-'user input'!$C$12)))</f>
        <v>0.11111111111110963</v>
      </c>
    </row>
    <row r="1338" spans="1:6" x14ac:dyDescent="0.2">
      <c r="A1338" s="1">
        <v>41514</v>
      </c>
      <c r="B1338">
        <v>241</v>
      </c>
      <c r="C1338">
        <f>IF(B1338&gt;'user input'!$C$6,0,IF('heat units'!H1338&gt;1,1,'heat units'!H1338))</f>
        <v>1</v>
      </c>
      <c r="D1338">
        <f>IF(B1338&gt;'user input'!$C$6,0,(C1338/(C1338+EXP('user input'!$C$15-'user input'!$C$14*C1338))))</f>
        <v>0.99996737202265329</v>
      </c>
      <c r="E1338">
        <f>IF(C1338&lt;'user input'!$C$12,(D1338-D1337)*'user input'!$C$17*(1-EXP(5*(F1337-'user input'!$C$17))),F1338-F1337)</f>
        <v>-0.11111111111110963</v>
      </c>
      <c r="F1338">
        <f>IF(C1338&lt;'user input'!$C$12,IF(B1338&gt;'user input'!$C$6,0,F1337+E1338),'user input'!$C$17*((1-C1338)/(1-'user input'!$C$12)))</f>
        <v>0</v>
      </c>
    </row>
    <row r="1339" spans="1:6" x14ac:dyDescent="0.2">
      <c r="A1339" s="1">
        <v>41515</v>
      </c>
      <c r="B1339">
        <v>242</v>
      </c>
      <c r="C1339">
        <f>IF(B1339&gt;'user input'!$C$6,0,IF('heat units'!H1339&gt;1,1,'heat units'!H1339))</f>
        <v>1</v>
      </c>
      <c r="D1339">
        <f>IF(B1339&gt;'user input'!$C$6,0,(C1339/(C1339+EXP('user input'!$C$15-'user input'!$C$14*C1339))))</f>
        <v>0.99996737202265329</v>
      </c>
      <c r="E1339">
        <f>IF(C1339&lt;'user input'!$C$12,(D1339-D1338)*'user input'!$C$17*(1-EXP(5*(F1338-'user input'!$C$17))),F1339-F1338)</f>
        <v>0</v>
      </c>
      <c r="F1339">
        <f>IF(C1339&lt;'user input'!$C$12,IF(B1339&gt;'user input'!$C$6,0,F1338+E1339),'user input'!$C$17*((1-C1339)/(1-'user input'!$C$12)))</f>
        <v>0</v>
      </c>
    </row>
    <row r="1340" spans="1:6" x14ac:dyDescent="0.2">
      <c r="A1340" s="1">
        <v>41516</v>
      </c>
      <c r="B1340">
        <v>243</v>
      </c>
      <c r="C1340">
        <f>IF(B1340&gt;'user input'!$C$6,0,IF('heat units'!H1340&gt;1,1,'heat units'!H1340))</f>
        <v>1</v>
      </c>
      <c r="D1340">
        <f>IF(B1340&gt;'user input'!$C$6,0,(C1340/(C1340+EXP('user input'!$C$15-'user input'!$C$14*C1340))))</f>
        <v>0.99996737202265329</v>
      </c>
      <c r="E1340">
        <f>IF(C1340&lt;'user input'!$C$12,(D1340-D1339)*'user input'!$C$17*(1-EXP(5*(F1339-'user input'!$C$17))),F1340-F1339)</f>
        <v>0</v>
      </c>
      <c r="F1340">
        <f>IF(C1340&lt;'user input'!$C$12,IF(B1340&gt;'user input'!$C$6,0,F1339+E1340),'user input'!$C$17*((1-C1340)/(1-'user input'!$C$12)))</f>
        <v>0</v>
      </c>
    </row>
    <row r="1341" spans="1:6" x14ac:dyDescent="0.2">
      <c r="A1341" s="1">
        <v>41517</v>
      </c>
      <c r="B1341">
        <v>244</v>
      </c>
      <c r="C1341">
        <f>IF(B1341&gt;'user input'!$C$6,0,IF('heat units'!H1341&gt;1,1,'heat units'!H1341))</f>
        <v>1</v>
      </c>
      <c r="D1341">
        <f>IF(B1341&gt;'user input'!$C$6,0,(C1341/(C1341+EXP('user input'!$C$15-'user input'!$C$14*C1341))))</f>
        <v>0.99996737202265329</v>
      </c>
      <c r="E1341">
        <f>IF(C1341&lt;'user input'!$C$12,(D1341-D1340)*'user input'!$C$17*(1-EXP(5*(F1340-'user input'!$C$17))),F1341-F1340)</f>
        <v>0</v>
      </c>
      <c r="F1341">
        <f>IF(C1341&lt;'user input'!$C$12,IF(B1341&gt;'user input'!$C$6,0,F1340+E1341),'user input'!$C$17*((1-C1341)/(1-'user input'!$C$12)))</f>
        <v>0</v>
      </c>
    </row>
    <row r="1342" spans="1:6" x14ac:dyDescent="0.2">
      <c r="A1342" s="1">
        <v>41518</v>
      </c>
      <c r="B1342">
        <v>245</v>
      </c>
      <c r="C1342">
        <f>IF(B1342&gt;'user input'!$C$6,0,IF('heat units'!H1342&gt;1,1,'heat units'!H1342))</f>
        <v>1</v>
      </c>
      <c r="D1342">
        <f>IF(B1342&gt;'user input'!$C$6,0,(C1342/(C1342+EXP('user input'!$C$15-'user input'!$C$14*C1342))))</f>
        <v>0.99996737202265329</v>
      </c>
      <c r="E1342">
        <f>IF(C1342&lt;'user input'!$C$12,(D1342-D1341)*'user input'!$C$17*(1-EXP(5*(F1341-'user input'!$C$17))),F1342-F1341)</f>
        <v>0</v>
      </c>
      <c r="F1342">
        <f>IF(C1342&lt;'user input'!$C$12,IF(B1342&gt;'user input'!$C$6,0,F1341+E1342),'user input'!$C$17*((1-C1342)/(1-'user input'!$C$12)))</f>
        <v>0</v>
      </c>
    </row>
    <row r="1343" spans="1:6" x14ac:dyDescent="0.2">
      <c r="A1343" s="1">
        <v>41519</v>
      </c>
      <c r="B1343">
        <v>246</v>
      </c>
      <c r="C1343">
        <f>IF(B1343&gt;'user input'!$C$6,0,IF('heat units'!H1343&gt;1,1,'heat units'!H1343))</f>
        <v>1</v>
      </c>
      <c r="D1343">
        <f>IF(B1343&gt;'user input'!$C$6,0,(C1343/(C1343+EXP('user input'!$C$15-'user input'!$C$14*C1343))))</f>
        <v>0.99996737202265329</v>
      </c>
      <c r="E1343">
        <f>IF(C1343&lt;'user input'!$C$12,(D1343-D1342)*'user input'!$C$17*(1-EXP(5*(F1342-'user input'!$C$17))),F1343-F1342)</f>
        <v>0</v>
      </c>
      <c r="F1343">
        <f>IF(C1343&lt;'user input'!$C$12,IF(B1343&gt;'user input'!$C$6,0,F1342+E1343),'user input'!$C$17*((1-C1343)/(1-'user input'!$C$12)))</f>
        <v>0</v>
      </c>
    </row>
    <row r="1344" spans="1:6" x14ac:dyDescent="0.2">
      <c r="A1344" s="1">
        <v>41520</v>
      </c>
      <c r="B1344">
        <v>247</v>
      </c>
      <c r="C1344">
        <f>IF(B1344&gt;'user input'!$C$6,0,IF('heat units'!H1344&gt;1,1,'heat units'!H1344))</f>
        <v>1</v>
      </c>
      <c r="D1344">
        <f>IF(B1344&gt;'user input'!$C$6,0,(C1344/(C1344+EXP('user input'!$C$15-'user input'!$C$14*C1344))))</f>
        <v>0.99996737202265329</v>
      </c>
      <c r="E1344">
        <f>IF(C1344&lt;'user input'!$C$12,(D1344-D1343)*'user input'!$C$17*(1-EXP(5*(F1343-'user input'!$C$17))),F1344-F1343)</f>
        <v>0</v>
      </c>
      <c r="F1344">
        <f>IF(C1344&lt;'user input'!$C$12,IF(B1344&gt;'user input'!$C$6,0,F1343+E1344),'user input'!$C$17*((1-C1344)/(1-'user input'!$C$12)))</f>
        <v>0</v>
      </c>
    </row>
    <row r="1345" spans="1:6" x14ac:dyDescent="0.2">
      <c r="A1345" s="1">
        <v>41521</v>
      </c>
      <c r="B1345">
        <v>248</v>
      </c>
      <c r="C1345">
        <f>IF(B1345&gt;'user input'!$C$6,0,IF('heat units'!H1345&gt;1,1,'heat units'!H1345))</f>
        <v>1</v>
      </c>
      <c r="D1345">
        <f>IF(B1345&gt;'user input'!$C$6,0,(C1345/(C1345+EXP('user input'!$C$15-'user input'!$C$14*C1345))))</f>
        <v>0.99996737202265329</v>
      </c>
      <c r="E1345">
        <f>IF(C1345&lt;'user input'!$C$12,(D1345-D1344)*'user input'!$C$17*(1-EXP(5*(F1344-'user input'!$C$17))),F1345-F1344)</f>
        <v>0</v>
      </c>
      <c r="F1345">
        <f>IF(C1345&lt;'user input'!$C$12,IF(B1345&gt;'user input'!$C$6,0,F1344+E1345),'user input'!$C$17*((1-C1345)/(1-'user input'!$C$12)))</f>
        <v>0</v>
      </c>
    </row>
    <row r="1346" spans="1:6" x14ac:dyDescent="0.2">
      <c r="A1346" s="1">
        <v>41522</v>
      </c>
      <c r="B1346">
        <v>249</v>
      </c>
      <c r="C1346">
        <f>IF(B1346&gt;'user input'!$C$6,0,IF('heat units'!H1346&gt;1,1,'heat units'!H1346))</f>
        <v>1</v>
      </c>
      <c r="D1346">
        <f>IF(B1346&gt;'user input'!$C$6,0,(C1346/(C1346+EXP('user input'!$C$15-'user input'!$C$14*C1346))))</f>
        <v>0.99996737202265329</v>
      </c>
      <c r="E1346">
        <f>IF(C1346&lt;'user input'!$C$12,(D1346-D1345)*'user input'!$C$17*(1-EXP(5*(F1345-'user input'!$C$17))),F1346-F1345)</f>
        <v>0</v>
      </c>
      <c r="F1346">
        <f>IF(C1346&lt;'user input'!$C$12,IF(B1346&gt;'user input'!$C$6,0,F1345+E1346),'user input'!$C$17*((1-C1346)/(1-'user input'!$C$12)))</f>
        <v>0</v>
      </c>
    </row>
    <row r="1347" spans="1:6" x14ac:dyDescent="0.2">
      <c r="A1347" s="1">
        <v>41523</v>
      </c>
      <c r="B1347">
        <v>250</v>
      </c>
      <c r="C1347">
        <f>IF(B1347&gt;'user input'!$C$6,0,IF('heat units'!H1347&gt;1,1,'heat units'!H1347))</f>
        <v>1</v>
      </c>
      <c r="D1347">
        <f>IF(B1347&gt;'user input'!$C$6,0,(C1347/(C1347+EXP('user input'!$C$15-'user input'!$C$14*C1347))))</f>
        <v>0.99996737202265329</v>
      </c>
      <c r="E1347">
        <f>IF(C1347&lt;'user input'!$C$12,(D1347-D1346)*'user input'!$C$17*(1-EXP(5*(F1346-'user input'!$C$17))),F1347-F1346)</f>
        <v>0</v>
      </c>
      <c r="F1347">
        <f>IF(C1347&lt;'user input'!$C$12,IF(B1347&gt;'user input'!$C$6,0,F1346+E1347),'user input'!$C$17*((1-C1347)/(1-'user input'!$C$12)))</f>
        <v>0</v>
      </c>
    </row>
    <row r="1348" spans="1:6" x14ac:dyDescent="0.2">
      <c r="A1348" s="1">
        <v>41524</v>
      </c>
      <c r="B1348">
        <v>251</v>
      </c>
      <c r="C1348">
        <f>IF(B1348&gt;'user input'!$C$6,0,IF('heat units'!H1348&gt;1,1,'heat units'!H1348))</f>
        <v>1</v>
      </c>
      <c r="D1348">
        <f>IF(B1348&gt;'user input'!$C$6,0,(C1348/(C1348+EXP('user input'!$C$15-'user input'!$C$14*C1348))))</f>
        <v>0.99996737202265329</v>
      </c>
      <c r="E1348">
        <f>IF(C1348&lt;'user input'!$C$12,(D1348-D1347)*'user input'!$C$17*(1-EXP(5*(F1347-'user input'!$C$17))),F1348-F1347)</f>
        <v>0</v>
      </c>
      <c r="F1348">
        <f>IF(C1348&lt;'user input'!$C$12,IF(B1348&gt;'user input'!$C$6,0,F1347+E1348),'user input'!$C$17*((1-C1348)/(1-'user input'!$C$12)))</f>
        <v>0</v>
      </c>
    </row>
    <row r="1349" spans="1:6" x14ac:dyDescent="0.2">
      <c r="A1349" s="1">
        <v>41525</v>
      </c>
      <c r="B1349">
        <v>252</v>
      </c>
      <c r="C1349">
        <f>IF(B1349&gt;'user input'!$C$6,0,IF('heat units'!H1349&gt;1,1,'heat units'!H1349))</f>
        <v>1</v>
      </c>
      <c r="D1349">
        <f>IF(B1349&gt;'user input'!$C$6,0,(C1349/(C1349+EXP('user input'!$C$15-'user input'!$C$14*C1349))))</f>
        <v>0.99996737202265329</v>
      </c>
      <c r="E1349">
        <f>IF(C1349&lt;'user input'!$C$12,(D1349-D1348)*'user input'!$C$17*(1-EXP(5*(F1348-'user input'!$C$17))),F1349-F1348)</f>
        <v>0</v>
      </c>
      <c r="F1349">
        <f>IF(C1349&lt;'user input'!$C$12,IF(B1349&gt;'user input'!$C$6,0,F1348+E1349),'user input'!$C$17*((1-C1349)/(1-'user input'!$C$12)))</f>
        <v>0</v>
      </c>
    </row>
    <row r="1350" spans="1:6" x14ac:dyDescent="0.2">
      <c r="A1350" s="1">
        <v>41526</v>
      </c>
      <c r="B1350">
        <v>253</v>
      </c>
      <c r="C1350">
        <f>IF(B1350&gt;'user input'!$C$6,0,IF('heat units'!H1350&gt;1,1,'heat units'!H1350))</f>
        <v>1</v>
      </c>
      <c r="D1350">
        <f>IF(B1350&gt;'user input'!$C$6,0,(C1350/(C1350+EXP('user input'!$C$15-'user input'!$C$14*C1350))))</f>
        <v>0.99996737202265329</v>
      </c>
      <c r="E1350">
        <f>IF(C1350&lt;'user input'!$C$12,(D1350-D1349)*'user input'!$C$17*(1-EXP(5*(F1349-'user input'!$C$17))),F1350-F1349)</f>
        <v>0</v>
      </c>
      <c r="F1350">
        <f>IF(C1350&lt;'user input'!$C$12,IF(B1350&gt;'user input'!$C$6,0,F1349+E1350),'user input'!$C$17*((1-C1350)/(1-'user input'!$C$12)))</f>
        <v>0</v>
      </c>
    </row>
    <row r="1351" spans="1:6" x14ac:dyDescent="0.2">
      <c r="A1351" s="1">
        <v>41527</v>
      </c>
      <c r="B1351">
        <v>254</v>
      </c>
      <c r="C1351">
        <f>IF(B1351&gt;'user input'!$C$6,0,IF('heat units'!H1351&gt;1,1,'heat units'!H1351))</f>
        <v>1</v>
      </c>
      <c r="D1351">
        <f>IF(B1351&gt;'user input'!$C$6,0,(C1351/(C1351+EXP('user input'!$C$15-'user input'!$C$14*C1351))))</f>
        <v>0.99996737202265329</v>
      </c>
      <c r="E1351">
        <f>IF(C1351&lt;'user input'!$C$12,(D1351-D1350)*'user input'!$C$17*(1-EXP(5*(F1350-'user input'!$C$17))),F1351-F1350)</f>
        <v>0</v>
      </c>
      <c r="F1351">
        <f>IF(C1351&lt;'user input'!$C$12,IF(B1351&gt;'user input'!$C$6,0,F1350+E1351),'user input'!$C$17*((1-C1351)/(1-'user input'!$C$12)))</f>
        <v>0</v>
      </c>
    </row>
    <row r="1352" spans="1:6" x14ac:dyDescent="0.2">
      <c r="A1352" s="1">
        <v>41528</v>
      </c>
      <c r="B1352">
        <v>255</v>
      </c>
      <c r="C1352">
        <f>IF(B1352&gt;'user input'!$C$6,0,IF('heat units'!H1352&gt;1,1,'heat units'!H1352))</f>
        <v>1</v>
      </c>
      <c r="D1352">
        <f>IF(B1352&gt;'user input'!$C$6,0,(C1352/(C1352+EXP('user input'!$C$15-'user input'!$C$14*C1352))))</f>
        <v>0.99996737202265329</v>
      </c>
      <c r="E1352">
        <f>IF(C1352&lt;'user input'!$C$12,(D1352-D1351)*'user input'!$C$17*(1-EXP(5*(F1351-'user input'!$C$17))),F1352-F1351)</f>
        <v>0</v>
      </c>
      <c r="F1352">
        <f>IF(C1352&lt;'user input'!$C$12,IF(B1352&gt;'user input'!$C$6,0,F1351+E1352),'user input'!$C$17*((1-C1352)/(1-'user input'!$C$12)))</f>
        <v>0</v>
      </c>
    </row>
    <row r="1353" spans="1:6" x14ac:dyDescent="0.2">
      <c r="A1353" s="1">
        <v>41529</v>
      </c>
      <c r="B1353">
        <v>256</v>
      </c>
      <c r="C1353">
        <f>IF(B1353&gt;'user input'!$C$6,0,IF('heat units'!H1353&gt;1,1,'heat units'!H1353))</f>
        <v>1</v>
      </c>
      <c r="D1353">
        <f>IF(B1353&gt;'user input'!$C$6,0,(C1353/(C1353+EXP('user input'!$C$15-'user input'!$C$14*C1353))))</f>
        <v>0.99996737202265329</v>
      </c>
      <c r="E1353">
        <f>IF(C1353&lt;'user input'!$C$12,(D1353-D1352)*'user input'!$C$17*(1-EXP(5*(F1352-'user input'!$C$17))),F1353-F1352)</f>
        <v>0</v>
      </c>
      <c r="F1353">
        <f>IF(C1353&lt;'user input'!$C$12,IF(B1353&gt;'user input'!$C$6,0,F1352+E1353),'user input'!$C$17*((1-C1353)/(1-'user input'!$C$12)))</f>
        <v>0</v>
      </c>
    </row>
    <row r="1354" spans="1:6" x14ac:dyDescent="0.2">
      <c r="A1354" s="1">
        <v>41530</v>
      </c>
      <c r="B1354">
        <v>257</v>
      </c>
      <c r="C1354">
        <f>IF(B1354&gt;'user input'!$C$6,0,IF('heat units'!H1354&gt;1,1,'heat units'!H1354))</f>
        <v>1</v>
      </c>
      <c r="D1354">
        <f>IF(B1354&gt;'user input'!$C$6,0,(C1354/(C1354+EXP('user input'!$C$15-'user input'!$C$14*C1354))))</f>
        <v>0.99996737202265329</v>
      </c>
      <c r="E1354">
        <f>IF(C1354&lt;'user input'!$C$12,(D1354-D1353)*'user input'!$C$17*(1-EXP(5*(F1353-'user input'!$C$17))),F1354-F1353)</f>
        <v>0</v>
      </c>
      <c r="F1354">
        <f>IF(C1354&lt;'user input'!$C$12,IF(B1354&gt;'user input'!$C$6,0,F1353+E1354),'user input'!$C$17*((1-C1354)/(1-'user input'!$C$12)))</f>
        <v>0</v>
      </c>
    </row>
    <row r="1355" spans="1:6" x14ac:dyDescent="0.2">
      <c r="A1355" s="1">
        <v>41531</v>
      </c>
      <c r="B1355">
        <v>258</v>
      </c>
      <c r="C1355">
        <f>IF(B1355&gt;'user input'!$C$6,0,IF('heat units'!H1355&gt;1,1,'heat units'!H1355))</f>
        <v>1</v>
      </c>
      <c r="D1355">
        <f>IF(B1355&gt;'user input'!$C$6,0,(C1355/(C1355+EXP('user input'!$C$15-'user input'!$C$14*C1355))))</f>
        <v>0.99996737202265329</v>
      </c>
      <c r="E1355">
        <f>IF(C1355&lt;'user input'!$C$12,(D1355-D1354)*'user input'!$C$17*(1-EXP(5*(F1354-'user input'!$C$17))),F1355-F1354)</f>
        <v>0</v>
      </c>
      <c r="F1355">
        <f>IF(C1355&lt;'user input'!$C$12,IF(B1355&gt;'user input'!$C$6,0,F1354+E1355),'user input'!$C$17*((1-C1355)/(1-'user input'!$C$12)))</f>
        <v>0</v>
      </c>
    </row>
    <row r="1356" spans="1:6" x14ac:dyDescent="0.2">
      <c r="A1356" s="1">
        <v>41532</v>
      </c>
      <c r="B1356">
        <v>259</v>
      </c>
      <c r="C1356">
        <f>IF(B1356&gt;'user input'!$C$6,0,IF('heat units'!H1356&gt;1,1,'heat units'!H1356))</f>
        <v>1</v>
      </c>
      <c r="D1356">
        <f>IF(B1356&gt;'user input'!$C$6,0,(C1356/(C1356+EXP('user input'!$C$15-'user input'!$C$14*C1356))))</f>
        <v>0.99996737202265329</v>
      </c>
      <c r="E1356">
        <f>IF(C1356&lt;'user input'!$C$12,(D1356-D1355)*'user input'!$C$17*(1-EXP(5*(F1355-'user input'!$C$17))),F1356-F1355)</f>
        <v>0</v>
      </c>
      <c r="F1356">
        <f>IF(C1356&lt;'user input'!$C$12,IF(B1356&gt;'user input'!$C$6,0,F1355+E1356),'user input'!$C$17*((1-C1356)/(1-'user input'!$C$12)))</f>
        <v>0</v>
      </c>
    </row>
    <row r="1357" spans="1:6" x14ac:dyDescent="0.2">
      <c r="A1357" s="1">
        <v>41533</v>
      </c>
      <c r="B1357">
        <v>260</v>
      </c>
      <c r="C1357">
        <f>IF(B1357&gt;'user input'!$C$6,0,IF('heat units'!H1357&gt;1,1,'heat units'!H1357))</f>
        <v>1</v>
      </c>
      <c r="D1357">
        <f>IF(B1357&gt;'user input'!$C$6,0,(C1357/(C1357+EXP('user input'!$C$15-'user input'!$C$14*C1357))))</f>
        <v>0.99996737202265329</v>
      </c>
      <c r="E1357">
        <f>IF(C1357&lt;'user input'!$C$12,(D1357-D1356)*'user input'!$C$17*(1-EXP(5*(F1356-'user input'!$C$17))),F1357-F1356)</f>
        <v>0</v>
      </c>
      <c r="F1357">
        <f>IF(C1357&lt;'user input'!$C$12,IF(B1357&gt;'user input'!$C$6,0,F1356+E1357),'user input'!$C$17*((1-C1357)/(1-'user input'!$C$12)))</f>
        <v>0</v>
      </c>
    </row>
    <row r="1358" spans="1:6" x14ac:dyDescent="0.2">
      <c r="A1358" s="1">
        <v>41534</v>
      </c>
      <c r="B1358">
        <v>261</v>
      </c>
      <c r="C1358">
        <f>IF(B1358&gt;'user input'!$C$6,0,IF('heat units'!H1358&gt;1,1,'heat units'!H1358))</f>
        <v>1</v>
      </c>
      <c r="D1358">
        <f>IF(B1358&gt;'user input'!$C$6,0,(C1358/(C1358+EXP('user input'!$C$15-'user input'!$C$14*C1358))))</f>
        <v>0.99996737202265329</v>
      </c>
      <c r="E1358">
        <f>IF(C1358&lt;'user input'!$C$12,(D1358-D1357)*'user input'!$C$17*(1-EXP(5*(F1357-'user input'!$C$17))),F1358-F1357)</f>
        <v>0</v>
      </c>
      <c r="F1358">
        <f>IF(C1358&lt;'user input'!$C$12,IF(B1358&gt;'user input'!$C$6,0,F1357+E1358),'user input'!$C$17*((1-C1358)/(1-'user input'!$C$12)))</f>
        <v>0</v>
      </c>
    </row>
    <row r="1359" spans="1:6" x14ac:dyDescent="0.2">
      <c r="A1359" s="1">
        <v>41535</v>
      </c>
      <c r="B1359">
        <v>262</v>
      </c>
      <c r="C1359">
        <f>IF(B1359&gt;'user input'!$C$6,0,IF('heat units'!H1359&gt;1,1,'heat units'!H1359))</f>
        <v>1</v>
      </c>
      <c r="D1359">
        <f>IF(B1359&gt;'user input'!$C$6,0,(C1359/(C1359+EXP('user input'!$C$15-'user input'!$C$14*C1359))))</f>
        <v>0.99996737202265329</v>
      </c>
      <c r="E1359">
        <f>IF(C1359&lt;'user input'!$C$12,(D1359-D1358)*'user input'!$C$17*(1-EXP(5*(F1358-'user input'!$C$17))),F1359-F1358)</f>
        <v>0</v>
      </c>
      <c r="F1359">
        <f>IF(C1359&lt;'user input'!$C$12,IF(B1359&gt;'user input'!$C$6,0,F1358+E1359),'user input'!$C$17*((1-C1359)/(1-'user input'!$C$12)))</f>
        <v>0</v>
      </c>
    </row>
    <row r="1360" spans="1:6" x14ac:dyDescent="0.2">
      <c r="A1360" s="1">
        <v>41536</v>
      </c>
      <c r="B1360">
        <v>263</v>
      </c>
      <c r="C1360">
        <f>IF(B1360&gt;'user input'!$C$6,0,IF('heat units'!H1360&gt;1,1,'heat units'!H1360))</f>
        <v>1</v>
      </c>
      <c r="D1360">
        <f>IF(B1360&gt;'user input'!$C$6,0,(C1360/(C1360+EXP('user input'!$C$15-'user input'!$C$14*C1360))))</f>
        <v>0.99996737202265329</v>
      </c>
      <c r="E1360">
        <f>IF(C1360&lt;'user input'!$C$12,(D1360-D1359)*'user input'!$C$17*(1-EXP(5*(F1359-'user input'!$C$17))),F1360-F1359)</f>
        <v>0</v>
      </c>
      <c r="F1360">
        <f>IF(C1360&lt;'user input'!$C$12,IF(B1360&gt;'user input'!$C$6,0,F1359+E1360),'user input'!$C$17*((1-C1360)/(1-'user input'!$C$12)))</f>
        <v>0</v>
      </c>
    </row>
    <row r="1361" spans="1:6" x14ac:dyDescent="0.2">
      <c r="A1361" s="1">
        <v>41537</v>
      </c>
      <c r="B1361">
        <v>264</v>
      </c>
      <c r="C1361">
        <f>IF(B1361&gt;'user input'!$C$6,0,IF('heat units'!H1361&gt;1,1,'heat units'!H1361))</f>
        <v>1</v>
      </c>
      <c r="D1361">
        <f>IF(B1361&gt;'user input'!$C$6,0,(C1361/(C1361+EXP('user input'!$C$15-'user input'!$C$14*C1361))))</f>
        <v>0.99996737202265329</v>
      </c>
      <c r="E1361">
        <f>IF(C1361&lt;'user input'!$C$12,(D1361-D1360)*'user input'!$C$17*(1-EXP(5*(F1360-'user input'!$C$17))),F1361-F1360)</f>
        <v>0</v>
      </c>
      <c r="F1361">
        <f>IF(C1361&lt;'user input'!$C$12,IF(B1361&gt;'user input'!$C$6,0,F1360+E1361),'user input'!$C$17*((1-C1361)/(1-'user input'!$C$12)))</f>
        <v>0</v>
      </c>
    </row>
    <row r="1362" spans="1:6" x14ac:dyDescent="0.2">
      <c r="A1362" s="1">
        <v>41538</v>
      </c>
      <c r="B1362">
        <v>265</v>
      </c>
      <c r="C1362">
        <f>IF(B1362&gt;'user input'!$C$6,0,IF('heat units'!H1362&gt;1,1,'heat units'!H1362))</f>
        <v>1</v>
      </c>
      <c r="D1362">
        <f>IF(B1362&gt;'user input'!$C$6,0,(C1362/(C1362+EXP('user input'!$C$15-'user input'!$C$14*C1362))))</f>
        <v>0.99996737202265329</v>
      </c>
      <c r="E1362">
        <f>IF(C1362&lt;'user input'!$C$12,(D1362-D1361)*'user input'!$C$17*(1-EXP(5*(F1361-'user input'!$C$17))),F1362-F1361)</f>
        <v>0</v>
      </c>
      <c r="F1362">
        <f>IF(C1362&lt;'user input'!$C$12,IF(B1362&gt;'user input'!$C$6,0,F1361+E1362),'user input'!$C$17*((1-C1362)/(1-'user input'!$C$12)))</f>
        <v>0</v>
      </c>
    </row>
    <row r="1363" spans="1:6" x14ac:dyDescent="0.2">
      <c r="A1363" s="1">
        <v>41539</v>
      </c>
      <c r="B1363">
        <v>266</v>
      </c>
      <c r="C1363">
        <f>IF(B1363&gt;'user input'!$C$6,0,IF('heat units'!H1363&gt;1,1,'heat units'!H1363))</f>
        <v>1</v>
      </c>
      <c r="D1363">
        <f>IF(B1363&gt;'user input'!$C$6,0,(C1363/(C1363+EXP('user input'!$C$15-'user input'!$C$14*C1363))))</f>
        <v>0.99996737202265329</v>
      </c>
      <c r="E1363">
        <f>IF(C1363&lt;'user input'!$C$12,(D1363-D1362)*'user input'!$C$17*(1-EXP(5*(F1362-'user input'!$C$17))),F1363-F1362)</f>
        <v>0</v>
      </c>
      <c r="F1363">
        <f>IF(C1363&lt;'user input'!$C$12,IF(B1363&gt;'user input'!$C$6,0,F1362+E1363),'user input'!$C$17*((1-C1363)/(1-'user input'!$C$12)))</f>
        <v>0</v>
      </c>
    </row>
    <row r="1364" spans="1:6" x14ac:dyDescent="0.2">
      <c r="A1364" s="1">
        <v>41540</v>
      </c>
      <c r="B1364">
        <v>267</v>
      </c>
      <c r="C1364">
        <f>IF(B1364&gt;'user input'!$C$6,0,IF('heat units'!H1364&gt;1,1,'heat units'!H1364))</f>
        <v>1</v>
      </c>
      <c r="D1364">
        <f>IF(B1364&gt;'user input'!$C$6,0,(C1364/(C1364+EXP('user input'!$C$15-'user input'!$C$14*C1364))))</f>
        <v>0.99996737202265329</v>
      </c>
      <c r="E1364">
        <f>IF(C1364&lt;'user input'!$C$12,(D1364-D1363)*'user input'!$C$17*(1-EXP(5*(F1363-'user input'!$C$17))),F1364-F1363)</f>
        <v>0</v>
      </c>
      <c r="F1364">
        <f>IF(C1364&lt;'user input'!$C$12,IF(B1364&gt;'user input'!$C$6,0,F1363+E1364),'user input'!$C$17*((1-C1364)/(1-'user input'!$C$12)))</f>
        <v>0</v>
      </c>
    </row>
    <row r="1365" spans="1:6" x14ac:dyDescent="0.2">
      <c r="A1365" s="1">
        <v>41541</v>
      </c>
      <c r="B1365">
        <v>268</v>
      </c>
      <c r="C1365">
        <f>IF(B1365&gt;'user input'!$C$6,0,IF('heat units'!H1365&gt;1,1,'heat units'!H1365))</f>
        <v>1</v>
      </c>
      <c r="D1365">
        <f>IF(B1365&gt;'user input'!$C$6,0,(C1365/(C1365+EXP('user input'!$C$15-'user input'!$C$14*C1365))))</f>
        <v>0.99996737202265329</v>
      </c>
      <c r="E1365">
        <f>IF(C1365&lt;'user input'!$C$12,(D1365-D1364)*'user input'!$C$17*(1-EXP(5*(F1364-'user input'!$C$17))),F1365-F1364)</f>
        <v>0</v>
      </c>
      <c r="F1365">
        <f>IF(C1365&lt;'user input'!$C$12,IF(B1365&gt;'user input'!$C$6,0,F1364+E1365),'user input'!$C$17*((1-C1365)/(1-'user input'!$C$12)))</f>
        <v>0</v>
      </c>
    </row>
    <row r="1366" spans="1:6" x14ac:dyDescent="0.2">
      <c r="A1366" s="2">
        <v>41542</v>
      </c>
      <c r="B1366">
        <v>269</v>
      </c>
      <c r="C1366">
        <f>IF(B1366&gt;'user input'!$C$6,0,IF('heat units'!H1366&gt;1,1,'heat units'!H1366))</f>
        <v>1</v>
      </c>
      <c r="D1366">
        <f>IF(B1366&gt;'user input'!$C$6,0,(C1366/(C1366+EXP('user input'!$C$15-'user input'!$C$14*C1366))))</f>
        <v>0.99996737202265329</v>
      </c>
      <c r="E1366">
        <f>IF(C1366&lt;'user input'!$C$12,(D1366-D1365)*'user input'!$C$17*(1-EXP(5*(F1365-'user input'!$C$17))),F1366-F1365)</f>
        <v>0</v>
      </c>
      <c r="F1366">
        <f>IF(C1366&lt;'user input'!$C$12,IF(B1366&gt;'user input'!$C$6,0,F1365+E1366),'user input'!$C$17*((1-C1366)/(1-'user input'!$C$12)))</f>
        <v>0</v>
      </c>
    </row>
    <row r="1367" spans="1:6" x14ac:dyDescent="0.2">
      <c r="A1367" s="1">
        <v>41543</v>
      </c>
      <c r="B1367">
        <v>270</v>
      </c>
      <c r="C1367">
        <f>IF(B1367&gt;'user input'!$C$6,0,IF('heat units'!H1367&gt;1,1,'heat units'!H1367))</f>
        <v>1</v>
      </c>
      <c r="D1367">
        <f>IF(B1367&gt;'user input'!$C$6,0,(C1367/(C1367+EXP('user input'!$C$15-'user input'!$C$14*C1367))))</f>
        <v>0.99996737202265329</v>
      </c>
      <c r="E1367">
        <f>IF(C1367&lt;'user input'!$C$12,(D1367-D1366)*'user input'!$C$17*(1-EXP(5*(F1366-'user input'!$C$17))),F1367-F1366)</f>
        <v>0</v>
      </c>
      <c r="F1367">
        <f>IF(C1367&lt;'user input'!$C$12,IF(B1367&gt;'user input'!$C$6,0,F1366+E1367),'user input'!$C$17*((1-C1367)/(1-'user input'!$C$12)))</f>
        <v>0</v>
      </c>
    </row>
    <row r="1368" spans="1:6" x14ac:dyDescent="0.2">
      <c r="A1368" s="1">
        <v>41544</v>
      </c>
      <c r="B1368">
        <v>271</v>
      </c>
      <c r="C1368">
        <f>IF(B1368&gt;'user input'!$C$6,0,IF('heat units'!H1368&gt;1,1,'heat units'!H1368))</f>
        <v>1</v>
      </c>
      <c r="D1368">
        <f>IF(B1368&gt;'user input'!$C$6,0,(C1368/(C1368+EXP('user input'!$C$15-'user input'!$C$14*C1368))))</f>
        <v>0.99996737202265329</v>
      </c>
      <c r="E1368">
        <f>IF(C1368&lt;'user input'!$C$12,(D1368-D1367)*'user input'!$C$17*(1-EXP(5*(F1367-'user input'!$C$17))),F1368-F1367)</f>
        <v>0</v>
      </c>
      <c r="F1368">
        <f>IF(C1368&lt;'user input'!$C$12,IF(B1368&gt;'user input'!$C$6,0,F1367+E1368),'user input'!$C$17*((1-C1368)/(1-'user input'!$C$12)))</f>
        <v>0</v>
      </c>
    </row>
    <row r="1369" spans="1:6" x14ac:dyDescent="0.2">
      <c r="A1369" s="1">
        <v>41545</v>
      </c>
      <c r="B1369">
        <v>272</v>
      </c>
      <c r="C1369">
        <f>IF(B1369&gt;'user input'!$C$6,0,IF('heat units'!H1369&gt;1,1,'heat units'!H1369))</f>
        <v>1</v>
      </c>
      <c r="D1369">
        <f>IF(B1369&gt;'user input'!$C$6,0,(C1369/(C1369+EXP('user input'!$C$15-'user input'!$C$14*C1369))))</f>
        <v>0.99996737202265329</v>
      </c>
      <c r="E1369">
        <f>IF(C1369&lt;'user input'!$C$12,(D1369-D1368)*'user input'!$C$17*(1-EXP(5*(F1368-'user input'!$C$17))),F1369-F1368)</f>
        <v>0</v>
      </c>
      <c r="F1369">
        <f>IF(C1369&lt;'user input'!$C$12,IF(B1369&gt;'user input'!$C$6,0,F1368+E1369),'user input'!$C$17*((1-C1369)/(1-'user input'!$C$12)))</f>
        <v>0</v>
      </c>
    </row>
    <row r="1370" spans="1:6" x14ac:dyDescent="0.2">
      <c r="A1370" s="1">
        <v>41546</v>
      </c>
      <c r="B1370">
        <v>273</v>
      </c>
      <c r="C1370">
        <f>IF(B1370&gt;'user input'!$C$6,0,IF('heat units'!H1370&gt;1,1,'heat units'!H1370))</f>
        <v>1</v>
      </c>
      <c r="D1370">
        <f>IF(B1370&gt;'user input'!$C$6,0,(C1370/(C1370+EXP('user input'!$C$15-'user input'!$C$14*C1370))))</f>
        <v>0.99996737202265329</v>
      </c>
      <c r="E1370">
        <f>IF(C1370&lt;'user input'!$C$12,(D1370-D1369)*'user input'!$C$17*(1-EXP(5*(F1369-'user input'!$C$17))),F1370-F1369)</f>
        <v>0</v>
      </c>
      <c r="F1370">
        <f>IF(C1370&lt;'user input'!$C$12,IF(B1370&gt;'user input'!$C$6,0,F1369+E1370),'user input'!$C$17*((1-C1370)/(1-'user input'!$C$12)))</f>
        <v>0</v>
      </c>
    </row>
    <row r="1371" spans="1:6" x14ac:dyDescent="0.2">
      <c r="A1371" s="1">
        <v>41547</v>
      </c>
      <c r="B1371">
        <v>274</v>
      </c>
      <c r="C1371">
        <f>IF(B1371&gt;'user input'!$C$6,0,IF('heat units'!H1371&gt;1,1,'heat units'!H1371))</f>
        <v>1</v>
      </c>
      <c r="D1371">
        <f>IF(B1371&gt;'user input'!$C$6,0,(C1371/(C1371+EXP('user input'!$C$15-'user input'!$C$14*C1371))))</f>
        <v>0.99996737202265329</v>
      </c>
      <c r="E1371">
        <f>IF(C1371&lt;'user input'!$C$12,(D1371-D1370)*'user input'!$C$17*(1-EXP(5*(F1370-'user input'!$C$17))),F1371-F1370)</f>
        <v>0</v>
      </c>
      <c r="F1371">
        <f>IF(C1371&lt;'user input'!$C$12,IF(B1371&gt;'user input'!$C$6,0,F1370+E1371),'user input'!$C$17*((1-C1371)/(1-'user input'!$C$12)))</f>
        <v>0</v>
      </c>
    </row>
    <row r="1372" spans="1:6" x14ac:dyDescent="0.2">
      <c r="A1372" s="1">
        <v>41548</v>
      </c>
      <c r="B1372">
        <v>275</v>
      </c>
      <c r="C1372">
        <f>IF(B1372&gt;'user input'!$C$6,0,IF('heat units'!H1372&gt;1,1,'heat units'!H1372))</f>
        <v>1</v>
      </c>
      <c r="D1372">
        <f>IF(B1372&gt;'user input'!$C$6,0,(C1372/(C1372+EXP('user input'!$C$15-'user input'!$C$14*C1372))))</f>
        <v>0.99996737202265329</v>
      </c>
      <c r="E1372">
        <f>IF(C1372&lt;'user input'!$C$12,(D1372-D1371)*'user input'!$C$17*(1-EXP(5*(F1371-'user input'!$C$17))),F1372-F1371)</f>
        <v>0</v>
      </c>
      <c r="F1372">
        <f>IF(C1372&lt;'user input'!$C$12,IF(B1372&gt;'user input'!$C$6,0,F1371+E1372),'user input'!$C$17*((1-C1372)/(1-'user input'!$C$12)))</f>
        <v>0</v>
      </c>
    </row>
    <row r="1373" spans="1:6" x14ac:dyDescent="0.2">
      <c r="A1373" s="1">
        <v>41549</v>
      </c>
      <c r="B1373">
        <v>276</v>
      </c>
      <c r="C1373">
        <f>IF(B1373&gt;'user input'!$C$6,0,IF('heat units'!H1373&gt;1,1,'heat units'!H1373))</f>
        <v>1</v>
      </c>
      <c r="D1373">
        <f>IF(B1373&gt;'user input'!$C$6,0,(C1373/(C1373+EXP('user input'!$C$15-'user input'!$C$14*C1373))))</f>
        <v>0.99996737202265329</v>
      </c>
      <c r="E1373">
        <f>IF(C1373&lt;'user input'!$C$12,(D1373-D1372)*'user input'!$C$17*(1-EXP(5*(F1372-'user input'!$C$17))),F1373-F1372)</f>
        <v>0</v>
      </c>
      <c r="F1373">
        <f>IF(C1373&lt;'user input'!$C$12,IF(B1373&gt;'user input'!$C$6,0,F1372+E1373),'user input'!$C$17*((1-C1373)/(1-'user input'!$C$12)))</f>
        <v>0</v>
      </c>
    </row>
    <row r="1374" spans="1:6" x14ac:dyDescent="0.2">
      <c r="A1374" s="1">
        <v>41550</v>
      </c>
      <c r="B1374">
        <v>277</v>
      </c>
      <c r="C1374">
        <f>IF(B1374&gt;'user input'!$C$6,0,IF('heat units'!H1374&gt;1,1,'heat units'!H1374))</f>
        <v>1</v>
      </c>
      <c r="D1374">
        <f>IF(B1374&gt;'user input'!$C$6,0,(C1374/(C1374+EXP('user input'!$C$15-'user input'!$C$14*C1374))))</f>
        <v>0.99996737202265329</v>
      </c>
      <c r="E1374">
        <f>IF(C1374&lt;'user input'!$C$12,(D1374-D1373)*'user input'!$C$17*(1-EXP(5*(F1373-'user input'!$C$17))),F1374-F1373)</f>
        <v>0</v>
      </c>
      <c r="F1374">
        <f>IF(C1374&lt;'user input'!$C$12,IF(B1374&gt;'user input'!$C$6,0,F1373+E1374),'user input'!$C$17*((1-C1374)/(1-'user input'!$C$12)))</f>
        <v>0</v>
      </c>
    </row>
    <row r="1375" spans="1:6" x14ac:dyDescent="0.2">
      <c r="A1375" s="1">
        <v>41551</v>
      </c>
      <c r="B1375">
        <v>278</v>
      </c>
      <c r="C1375">
        <f>IF(B1375&gt;'user input'!$C$6,0,IF('heat units'!H1375&gt;1,1,'heat units'!H1375))</f>
        <v>1</v>
      </c>
      <c r="D1375">
        <f>IF(B1375&gt;'user input'!$C$6,0,(C1375/(C1375+EXP('user input'!$C$15-'user input'!$C$14*C1375))))</f>
        <v>0.99996737202265329</v>
      </c>
      <c r="E1375">
        <f>IF(C1375&lt;'user input'!$C$12,(D1375-D1374)*'user input'!$C$17*(1-EXP(5*(F1374-'user input'!$C$17))),F1375-F1374)</f>
        <v>0</v>
      </c>
      <c r="F1375">
        <f>IF(C1375&lt;'user input'!$C$12,IF(B1375&gt;'user input'!$C$6,0,F1374+E1375),'user input'!$C$17*((1-C1375)/(1-'user input'!$C$12)))</f>
        <v>0</v>
      </c>
    </row>
    <row r="1376" spans="1:6" x14ac:dyDescent="0.2">
      <c r="A1376" s="1">
        <v>41552</v>
      </c>
      <c r="B1376">
        <v>279</v>
      </c>
      <c r="C1376">
        <f>IF(B1376&gt;'user input'!$C$6,0,IF('heat units'!H1376&gt;1,1,'heat units'!H1376))</f>
        <v>1</v>
      </c>
      <c r="D1376">
        <f>IF(B1376&gt;'user input'!$C$6,0,(C1376/(C1376+EXP('user input'!$C$15-'user input'!$C$14*C1376))))</f>
        <v>0.99996737202265329</v>
      </c>
      <c r="E1376">
        <f>IF(C1376&lt;'user input'!$C$12,(D1376-D1375)*'user input'!$C$17*(1-EXP(5*(F1375-'user input'!$C$17))),F1376-F1375)</f>
        <v>0</v>
      </c>
      <c r="F1376">
        <f>IF(C1376&lt;'user input'!$C$12,IF(B1376&gt;'user input'!$C$6,0,F1375+E1376),'user input'!$C$17*((1-C1376)/(1-'user input'!$C$12)))</f>
        <v>0</v>
      </c>
    </row>
    <row r="1377" spans="1:6" x14ac:dyDescent="0.2">
      <c r="A1377" s="1">
        <v>41553</v>
      </c>
      <c r="B1377">
        <v>280</v>
      </c>
      <c r="C1377">
        <f>IF(B1377&gt;'user input'!$C$6,0,IF('heat units'!H1377&gt;1,1,'heat units'!H1377))</f>
        <v>1</v>
      </c>
      <c r="D1377">
        <f>IF(B1377&gt;'user input'!$C$6,0,(C1377/(C1377+EXP('user input'!$C$15-'user input'!$C$14*C1377))))</f>
        <v>0.99996737202265329</v>
      </c>
      <c r="E1377">
        <f>IF(C1377&lt;'user input'!$C$12,(D1377-D1376)*'user input'!$C$17*(1-EXP(5*(F1376-'user input'!$C$17))),F1377-F1376)</f>
        <v>0</v>
      </c>
      <c r="F1377">
        <f>IF(C1377&lt;'user input'!$C$12,IF(B1377&gt;'user input'!$C$6,0,F1376+E1377),'user input'!$C$17*((1-C1377)/(1-'user input'!$C$12)))</f>
        <v>0</v>
      </c>
    </row>
    <row r="1378" spans="1:6" x14ac:dyDescent="0.2">
      <c r="A1378" s="1">
        <v>41554</v>
      </c>
      <c r="B1378">
        <v>281</v>
      </c>
      <c r="C1378">
        <f>IF(B1378&gt;'user input'!$C$6,0,IF('heat units'!H1378&gt;1,1,'heat units'!H1378))</f>
        <v>1</v>
      </c>
      <c r="D1378">
        <f>IF(B1378&gt;'user input'!$C$6,0,(C1378/(C1378+EXP('user input'!$C$15-'user input'!$C$14*C1378))))</f>
        <v>0.99996737202265329</v>
      </c>
      <c r="E1378">
        <f>IF(C1378&lt;'user input'!$C$12,(D1378-D1377)*'user input'!$C$17*(1-EXP(5*(F1377-'user input'!$C$17))),F1378-F1377)</f>
        <v>0</v>
      </c>
      <c r="F1378">
        <f>IF(C1378&lt;'user input'!$C$12,IF(B1378&gt;'user input'!$C$6,0,F1377+E1378),'user input'!$C$17*((1-C1378)/(1-'user input'!$C$12)))</f>
        <v>0</v>
      </c>
    </row>
    <row r="1379" spans="1:6" x14ac:dyDescent="0.2">
      <c r="A1379" s="1">
        <v>41555</v>
      </c>
      <c r="B1379">
        <v>282</v>
      </c>
      <c r="C1379">
        <f>IF(B1379&gt;'user input'!$C$6,0,IF('heat units'!H1379&gt;1,1,'heat units'!H1379))</f>
        <v>1</v>
      </c>
      <c r="D1379">
        <f>IF(B1379&gt;'user input'!$C$6,0,(C1379/(C1379+EXP('user input'!$C$15-'user input'!$C$14*C1379))))</f>
        <v>0.99996737202265329</v>
      </c>
      <c r="E1379">
        <f>IF(C1379&lt;'user input'!$C$12,(D1379-D1378)*'user input'!$C$17*(1-EXP(5*(F1378-'user input'!$C$17))),F1379-F1378)</f>
        <v>0</v>
      </c>
      <c r="F1379">
        <f>IF(C1379&lt;'user input'!$C$12,IF(B1379&gt;'user input'!$C$6,0,F1378+E1379),'user input'!$C$17*((1-C1379)/(1-'user input'!$C$12)))</f>
        <v>0</v>
      </c>
    </row>
    <row r="1380" spans="1:6" x14ac:dyDescent="0.2">
      <c r="A1380" s="1">
        <v>41556</v>
      </c>
      <c r="B1380">
        <v>283</v>
      </c>
      <c r="C1380">
        <f>IF(B1380&gt;'user input'!$C$6,0,IF('heat units'!H1380&gt;1,1,'heat units'!H1380))</f>
        <v>1</v>
      </c>
      <c r="D1380">
        <f>IF(B1380&gt;'user input'!$C$6,0,(C1380/(C1380+EXP('user input'!$C$15-'user input'!$C$14*C1380))))</f>
        <v>0.99996737202265329</v>
      </c>
      <c r="E1380">
        <f>IF(C1380&lt;'user input'!$C$12,(D1380-D1379)*'user input'!$C$17*(1-EXP(5*(F1379-'user input'!$C$17))),F1380-F1379)</f>
        <v>0</v>
      </c>
      <c r="F1380">
        <f>IF(C1380&lt;'user input'!$C$12,IF(B1380&gt;'user input'!$C$6,0,F1379+E1380),'user input'!$C$17*((1-C1380)/(1-'user input'!$C$12)))</f>
        <v>0</v>
      </c>
    </row>
    <row r="1381" spans="1:6" x14ac:dyDescent="0.2">
      <c r="A1381" s="1">
        <v>41557</v>
      </c>
      <c r="B1381">
        <v>284</v>
      </c>
      <c r="C1381">
        <f>IF(B1381&gt;'user input'!$C$6,0,IF('heat units'!H1381&gt;1,1,'heat units'!H1381))</f>
        <v>1</v>
      </c>
      <c r="D1381">
        <f>IF(B1381&gt;'user input'!$C$6,0,(C1381/(C1381+EXP('user input'!$C$15-'user input'!$C$14*C1381))))</f>
        <v>0.99996737202265329</v>
      </c>
      <c r="E1381">
        <f>IF(C1381&lt;'user input'!$C$12,(D1381-D1380)*'user input'!$C$17*(1-EXP(5*(F1380-'user input'!$C$17))),F1381-F1380)</f>
        <v>0</v>
      </c>
      <c r="F1381">
        <f>IF(C1381&lt;'user input'!$C$12,IF(B1381&gt;'user input'!$C$6,0,F1380+E1381),'user input'!$C$17*((1-C1381)/(1-'user input'!$C$12)))</f>
        <v>0</v>
      </c>
    </row>
    <row r="1382" spans="1:6" x14ac:dyDescent="0.2">
      <c r="A1382" s="1">
        <v>41558</v>
      </c>
      <c r="B1382">
        <v>285</v>
      </c>
      <c r="C1382">
        <f>IF(B1382&gt;'user input'!$C$6,0,IF('heat units'!H1382&gt;1,1,'heat units'!H1382))</f>
        <v>1</v>
      </c>
      <c r="D1382">
        <f>IF(B1382&gt;'user input'!$C$6,0,(C1382/(C1382+EXP('user input'!$C$15-'user input'!$C$14*C1382))))</f>
        <v>0.99996737202265329</v>
      </c>
      <c r="E1382">
        <f>IF(C1382&lt;'user input'!$C$12,(D1382-D1381)*'user input'!$C$17*(1-EXP(5*(F1381-'user input'!$C$17))),F1382-F1381)</f>
        <v>0</v>
      </c>
      <c r="F1382">
        <f>IF(C1382&lt;'user input'!$C$12,IF(B1382&gt;'user input'!$C$6,0,F1381+E1382),'user input'!$C$17*((1-C1382)/(1-'user input'!$C$12)))</f>
        <v>0</v>
      </c>
    </row>
    <row r="1383" spans="1:6" x14ac:dyDescent="0.2">
      <c r="A1383" s="1">
        <v>41559</v>
      </c>
      <c r="B1383">
        <v>286</v>
      </c>
      <c r="C1383">
        <f>IF(B1383&gt;'user input'!$C$6,0,IF('heat units'!H1383&gt;1,1,'heat units'!H1383))</f>
        <v>1</v>
      </c>
      <c r="D1383">
        <f>IF(B1383&gt;'user input'!$C$6,0,(C1383/(C1383+EXP('user input'!$C$15-'user input'!$C$14*C1383))))</f>
        <v>0.99996737202265329</v>
      </c>
      <c r="E1383">
        <f>IF(C1383&lt;'user input'!$C$12,(D1383-D1382)*'user input'!$C$17*(1-EXP(5*(F1382-'user input'!$C$17))),F1383-F1382)</f>
        <v>0</v>
      </c>
      <c r="F1383">
        <f>IF(C1383&lt;'user input'!$C$12,IF(B1383&gt;'user input'!$C$6,0,F1382+E1383),'user input'!$C$17*((1-C1383)/(1-'user input'!$C$12)))</f>
        <v>0</v>
      </c>
    </row>
    <row r="1384" spans="1:6" x14ac:dyDescent="0.2">
      <c r="A1384" s="1">
        <v>41560</v>
      </c>
      <c r="B1384">
        <v>287</v>
      </c>
      <c r="C1384">
        <f>IF(B1384&gt;'user input'!$C$6,0,IF('heat units'!H1384&gt;1,1,'heat units'!H1384))</f>
        <v>1</v>
      </c>
      <c r="D1384">
        <f>IF(B1384&gt;'user input'!$C$6,0,(C1384/(C1384+EXP('user input'!$C$15-'user input'!$C$14*C1384))))</f>
        <v>0.99996737202265329</v>
      </c>
      <c r="E1384">
        <f>IF(C1384&lt;'user input'!$C$12,(D1384-D1383)*'user input'!$C$17*(1-EXP(5*(F1383-'user input'!$C$17))),F1384-F1383)</f>
        <v>0</v>
      </c>
      <c r="F1384">
        <f>IF(C1384&lt;'user input'!$C$12,IF(B1384&gt;'user input'!$C$6,0,F1383+E1384),'user input'!$C$17*((1-C1384)/(1-'user input'!$C$12)))</f>
        <v>0</v>
      </c>
    </row>
    <row r="1385" spans="1:6" x14ac:dyDescent="0.2">
      <c r="A1385" s="1">
        <v>41561</v>
      </c>
      <c r="B1385">
        <v>288</v>
      </c>
      <c r="C1385">
        <f>IF(B1385&gt;'user input'!$C$6,0,IF('heat units'!H1385&gt;1,1,'heat units'!H1385))</f>
        <v>1</v>
      </c>
      <c r="D1385">
        <f>IF(B1385&gt;'user input'!$C$6,0,(C1385/(C1385+EXP('user input'!$C$15-'user input'!$C$14*C1385))))</f>
        <v>0.99996737202265329</v>
      </c>
      <c r="E1385">
        <f>IF(C1385&lt;'user input'!$C$12,(D1385-D1384)*'user input'!$C$17*(1-EXP(5*(F1384-'user input'!$C$17))),F1385-F1384)</f>
        <v>0</v>
      </c>
      <c r="F1385">
        <f>IF(C1385&lt;'user input'!$C$12,IF(B1385&gt;'user input'!$C$6,0,F1384+E1385),'user input'!$C$17*((1-C1385)/(1-'user input'!$C$12)))</f>
        <v>0</v>
      </c>
    </row>
    <row r="1386" spans="1:6" x14ac:dyDescent="0.2">
      <c r="A1386" s="1">
        <v>41562</v>
      </c>
      <c r="B1386">
        <v>289</v>
      </c>
      <c r="C1386">
        <f>IF(B1386&gt;'user input'!$C$6,0,IF('heat units'!H1386&gt;1,1,'heat units'!H1386))</f>
        <v>1</v>
      </c>
      <c r="D1386">
        <f>IF(B1386&gt;'user input'!$C$6,0,(C1386/(C1386+EXP('user input'!$C$15-'user input'!$C$14*C1386))))</f>
        <v>0.99996737202265329</v>
      </c>
      <c r="E1386">
        <f>IF(C1386&lt;'user input'!$C$12,(D1386-D1385)*'user input'!$C$17*(1-EXP(5*(F1385-'user input'!$C$17))),F1386-F1385)</f>
        <v>0</v>
      </c>
      <c r="F1386">
        <f>IF(C1386&lt;'user input'!$C$12,IF(B1386&gt;'user input'!$C$6,0,F1385+E1386),'user input'!$C$17*((1-C1386)/(1-'user input'!$C$12)))</f>
        <v>0</v>
      </c>
    </row>
    <row r="1387" spans="1:6" x14ac:dyDescent="0.2">
      <c r="A1387" s="1">
        <v>41563</v>
      </c>
      <c r="B1387">
        <v>290</v>
      </c>
      <c r="C1387">
        <f>IF(B1387&gt;'user input'!$C$6,0,IF('heat units'!H1387&gt;1,1,'heat units'!H1387))</f>
        <v>1</v>
      </c>
      <c r="D1387">
        <f>IF(B1387&gt;'user input'!$C$6,0,(C1387/(C1387+EXP('user input'!$C$15-'user input'!$C$14*C1387))))</f>
        <v>0.99996737202265329</v>
      </c>
      <c r="E1387">
        <f>IF(C1387&lt;'user input'!$C$12,(D1387-D1386)*'user input'!$C$17*(1-EXP(5*(F1386-'user input'!$C$17))),F1387-F1386)</f>
        <v>0</v>
      </c>
      <c r="F1387">
        <f>IF(C1387&lt;'user input'!$C$12,IF(B1387&gt;'user input'!$C$6,0,F1386+E1387),'user input'!$C$17*((1-C1387)/(1-'user input'!$C$12)))</f>
        <v>0</v>
      </c>
    </row>
    <row r="1388" spans="1:6" x14ac:dyDescent="0.2">
      <c r="A1388" s="1">
        <v>41564</v>
      </c>
      <c r="B1388">
        <v>291</v>
      </c>
      <c r="C1388">
        <f>IF(B1388&gt;'user input'!$C$6,0,IF('heat units'!H1388&gt;1,1,'heat units'!H1388))</f>
        <v>1</v>
      </c>
      <c r="D1388">
        <f>IF(B1388&gt;'user input'!$C$6,0,(C1388/(C1388+EXP('user input'!$C$15-'user input'!$C$14*C1388))))</f>
        <v>0.99996737202265329</v>
      </c>
      <c r="E1388">
        <f>IF(C1388&lt;'user input'!$C$12,(D1388-D1387)*'user input'!$C$17*(1-EXP(5*(F1387-'user input'!$C$17))),F1388-F1387)</f>
        <v>0</v>
      </c>
      <c r="F1388">
        <f>IF(C1388&lt;'user input'!$C$12,IF(B1388&gt;'user input'!$C$6,0,F1387+E1388),'user input'!$C$17*((1-C1388)/(1-'user input'!$C$12)))</f>
        <v>0</v>
      </c>
    </row>
    <row r="1389" spans="1:6" x14ac:dyDescent="0.2">
      <c r="A1389" s="1">
        <v>41565</v>
      </c>
      <c r="B1389">
        <v>292</v>
      </c>
      <c r="C1389">
        <f>IF(B1389&gt;'user input'!$C$6,0,IF('heat units'!H1389&gt;1,1,'heat units'!H1389))</f>
        <v>1</v>
      </c>
      <c r="D1389">
        <f>IF(B1389&gt;'user input'!$C$6,0,(C1389/(C1389+EXP('user input'!$C$15-'user input'!$C$14*C1389))))</f>
        <v>0.99996737202265329</v>
      </c>
      <c r="E1389">
        <f>IF(C1389&lt;'user input'!$C$12,(D1389-D1388)*'user input'!$C$17*(1-EXP(5*(F1388-'user input'!$C$17))),F1389-F1388)</f>
        <v>0</v>
      </c>
      <c r="F1389">
        <f>IF(C1389&lt;'user input'!$C$12,IF(B1389&gt;'user input'!$C$6,0,F1388+E1389),'user input'!$C$17*((1-C1389)/(1-'user input'!$C$12)))</f>
        <v>0</v>
      </c>
    </row>
    <row r="1390" spans="1:6" x14ac:dyDescent="0.2">
      <c r="A1390" s="1">
        <v>41566</v>
      </c>
      <c r="B1390">
        <v>293</v>
      </c>
      <c r="C1390">
        <f>IF(B1390&gt;'user input'!$C$6,0,IF('heat units'!H1390&gt;1,1,'heat units'!H1390))</f>
        <v>1</v>
      </c>
      <c r="D1390">
        <f>IF(B1390&gt;'user input'!$C$6,0,(C1390/(C1390+EXP('user input'!$C$15-'user input'!$C$14*C1390))))</f>
        <v>0.99996737202265329</v>
      </c>
      <c r="E1390">
        <f>IF(C1390&lt;'user input'!$C$12,(D1390-D1389)*'user input'!$C$17*(1-EXP(5*(F1389-'user input'!$C$17))),F1390-F1389)</f>
        <v>0</v>
      </c>
      <c r="F1390">
        <f>IF(C1390&lt;'user input'!$C$12,IF(B1390&gt;'user input'!$C$6,0,F1389+E1390),'user input'!$C$17*((1-C1390)/(1-'user input'!$C$12)))</f>
        <v>0</v>
      </c>
    </row>
    <row r="1391" spans="1:6" x14ac:dyDescent="0.2">
      <c r="A1391" s="1">
        <v>41567</v>
      </c>
      <c r="B1391">
        <v>294</v>
      </c>
      <c r="C1391">
        <f>IF(B1391&gt;'user input'!$C$6,0,IF('heat units'!H1391&gt;1,1,'heat units'!H1391))</f>
        <v>1</v>
      </c>
      <c r="D1391">
        <f>IF(B1391&gt;'user input'!$C$6,0,(C1391/(C1391+EXP('user input'!$C$15-'user input'!$C$14*C1391))))</f>
        <v>0.99996737202265329</v>
      </c>
      <c r="E1391">
        <f>IF(C1391&lt;'user input'!$C$12,(D1391-D1390)*'user input'!$C$17*(1-EXP(5*(F1390-'user input'!$C$17))),F1391-F1390)</f>
        <v>0</v>
      </c>
      <c r="F1391">
        <f>IF(C1391&lt;'user input'!$C$12,IF(B1391&gt;'user input'!$C$6,0,F1390+E1391),'user input'!$C$17*((1-C1391)/(1-'user input'!$C$12)))</f>
        <v>0</v>
      </c>
    </row>
    <row r="1392" spans="1:6" x14ac:dyDescent="0.2">
      <c r="A1392" s="1">
        <v>41568</v>
      </c>
      <c r="B1392">
        <v>295</v>
      </c>
      <c r="C1392">
        <f>IF(B1392&gt;'user input'!$C$6,0,IF('heat units'!H1392&gt;1,1,'heat units'!H1392))</f>
        <v>1</v>
      </c>
      <c r="D1392">
        <f>IF(B1392&gt;'user input'!$C$6,0,(C1392/(C1392+EXP('user input'!$C$15-'user input'!$C$14*C1392))))</f>
        <v>0.99996737202265329</v>
      </c>
      <c r="E1392">
        <f>IF(C1392&lt;'user input'!$C$12,(D1392-D1391)*'user input'!$C$17*(1-EXP(5*(F1391-'user input'!$C$17))),F1392-F1391)</f>
        <v>0</v>
      </c>
      <c r="F1392">
        <f>IF(C1392&lt;'user input'!$C$12,IF(B1392&gt;'user input'!$C$6,0,F1391+E1392),'user input'!$C$17*((1-C1392)/(1-'user input'!$C$12)))</f>
        <v>0</v>
      </c>
    </row>
    <row r="1393" spans="1:6" x14ac:dyDescent="0.2">
      <c r="A1393" s="1">
        <v>41569</v>
      </c>
      <c r="B1393">
        <v>296</v>
      </c>
      <c r="C1393">
        <f>IF(B1393&gt;'user input'!$C$6,0,IF('heat units'!H1393&gt;1,1,'heat units'!H1393))</f>
        <v>1</v>
      </c>
      <c r="D1393">
        <f>IF(B1393&gt;'user input'!$C$6,0,(C1393/(C1393+EXP('user input'!$C$15-'user input'!$C$14*C1393))))</f>
        <v>0.99996737202265329</v>
      </c>
      <c r="E1393">
        <f>IF(C1393&lt;'user input'!$C$12,(D1393-D1392)*'user input'!$C$17*(1-EXP(5*(F1392-'user input'!$C$17))),F1393-F1392)</f>
        <v>0</v>
      </c>
      <c r="F1393">
        <f>IF(C1393&lt;'user input'!$C$12,IF(B1393&gt;'user input'!$C$6,0,F1392+E1393),'user input'!$C$17*((1-C1393)/(1-'user input'!$C$12)))</f>
        <v>0</v>
      </c>
    </row>
    <row r="1394" spans="1:6" x14ac:dyDescent="0.2">
      <c r="A1394" s="1">
        <v>41570</v>
      </c>
      <c r="B1394">
        <v>297</v>
      </c>
      <c r="C1394">
        <f>IF(B1394&gt;'user input'!$C$6,0,IF('heat units'!H1394&gt;1,1,'heat units'!H1394))</f>
        <v>1</v>
      </c>
      <c r="D1394">
        <f>IF(B1394&gt;'user input'!$C$6,0,(C1394/(C1394+EXP('user input'!$C$15-'user input'!$C$14*C1394))))</f>
        <v>0.99996737202265329</v>
      </c>
      <c r="E1394">
        <f>IF(C1394&lt;'user input'!$C$12,(D1394-D1393)*'user input'!$C$17*(1-EXP(5*(F1393-'user input'!$C$17))),F1394-F1393)</f>
        <v>0</v>
      </c>
      <c r="F1394">
        <f>IF(C1394&lt;'user input'!$C$12,IF(B1394&gt;'user input'!$C$6,0,F1393+E1394),'user input'!$C$17*((1-C1394)/(1-'user input'!$C$12)))</f>
        <v>0</v>
      </c>
    </row>
    <row r="1395" spans="1:6" x14ac:dyDescent="0.2">
      <c r="A1395" s="1">
        <v>41571</v>
      </c>
      <c r="B1395">
        <v>298</v>
      </c>
      <c r="C1395">
        <f>IF(B1395&gt;'user input'!$C$6,0,IF('heat units'!H1395&gt;1,1,'heat units'!H1395))</f>
        <v>1</v>
      </c>
      <c r="D1395">
        <f>IF(B1395&gt;'user input'!$C$6,0,(C1395/(C1395+EXP('user input'!$C$15-'user input'!$C$14*C1395))))</f>
        <v>0.99996737202265329</v>
      </c>
      <c r="E1395">
        <f>IF(C1395&lt;'user input'!$C$12,(D1395-D1394)*'user input'!$C$17*(1-EXP(5*(F1394-'user input'!$C$17))),F1395-F1394)</f>
        <v>0</v>
      </c>
      <c r="F1395">
        <f>IF(C1395&lt;'user input'!$C$12,IF(B1395&gt;'user input'!$C$6,0,F1394+E1395),'user input'!$C$17*((1-C1395)/(1-'user input'!$C$12)))</f>
        <v>0</v>
      </c>
    </row>
    <row r="1396" spans="1:6" x14ac:dyDescent="0.2">
      <c r="A1396" s="1">
        <v>41572</v>
      </c>
      <c r="B1396">
        <v>299</v>
      </c>
      <c r="C1396">
        <f>IF(B1396&gt;'user input'!$C$6,0,IF('heat units'!H1396&gt;1,1,'heat units'!H1396))</f>
        <v>1</v>
      </c>
      <c r="D1396">
        <f>IF(B1396&gt;'user input'!$C$6,0,(C1396/(C1396+EXP('user input'!$C$15-'user input'!$C$14*C1396))))</f>
        <v>0.99996737202265329</v>
      </c>
      <c r="E1396">
        <f>IF(C1396&lt;'user input'!$C$12,(D1396-D1395)*'user input'!$C$17*(1-EXP(5*(F1395-'user input'!$C$17))),F1396-F1395)</f>
        <v>0</v>
      </c>
      <c r="F1396">
        <f>IF(C1396&lt;'user input'!$C$12,IF(B1396&gt;'user input'!$C$6,0,F1395+E1396),'user input'!$C$17*((1-C1396)/(1-'user input'!$C$12)))</f>
        <v>0</v>
      </c>
    </row>
    <row r="1397" spans="1:6" x14ac:dyDescent="0.2">
      <c r="A1397" s="1">
        <v>41573</v>
      </c>
      <c r="B1397">
        <v>300</v>
      </c>
      <c r="C1397">
        <f>IF(B1397&gt;'user input'!$C$6,0,IF('heat units'!H1397&gt;1,1,'heat units'!H1397))</f>
        <v>1</v>
      </c>
      <c r="D1397">
        <f>IF(B1397&gt;'user input'!$C$6,0,(C1397/(C1397+EXP('user input'!$C$15-'user input'!$C$14*C1397))))</f>
        <v>0.99996737202265329</v>
      </c>
      <c r="E1397">
        <f>IF(C1397&lt;'user input'!$C$12,(D1397-D1396)*'user input'!$C$17*(1-EXP(5*(F1396-'user input'!$C$17))),F1397-F1396)</f>
        <v>0</v>
      </c>
      <c r="F1397">
        <f>IF(C1397&lt;'user input'!$C$12,IF(B1397&gt;'user input'!$C$6,0,F1396+E1397),'user input'!$C$17*((1-C1397)/(1-'user input'!$C$12)))</f>
        <v>0</v>
      </c>
    </row>
    <row r="1398" spans="1:6" x14ac:dyDescent="0.2">
      <c r="A1398" s="1">
        <v>41574</v>
      </c>
      <c r="B1398">
        <v>301</v>
      </c>
      <c r="C1398">
        <f>IF(B1398&gt;'user input'!$C$6,0,IF('heat units'!H1398&gt;1,1,'heat units'!H1398))</f>
        <v>1</v>
      </c>
      <c r="D1398">
        <f>IF(B1398&gt;'user input'!$C$6,0,(C1398/(C1398+EXP('user input'!$C$15-'user input'!$C$14*C1398))))</f>
        <v>0.99996737202265329</v>
      </c>
      <c r="E1398">
        <f>IF(C1398&lt;'user input'!$C$12,(D1398-D1397)*'user input'!$C$17*(1-EXP(5*(F1397-'user input'!$C$17))),F1398-F1397)</f>
        <v>0</v>
      </c>
      <c r="F1398">
        <f>IF(C1398&lt;'user input'!$C$12,IF(B1398&gt;'user input'!$C$6,0,F1397+E1398),'user input'!$C$17*((1-C1398)/(1-'user input'!$C$12)))</f>
        <v>0</v>
      </c>
    </row>
    <row r="1399" spans="1:6" x14ac:dyDescent="0.2">
      <c r="A1399" s="1">
        <v>41575</v>
      </c>
      <c r="B1399">
        <v>302</v>
      </c>
      <c r="C1399">
        <f>IF(B1399&gt;'user input'!$C$6,0,IF('heat units'!H1399&gt;1,1,'heat units'!H1399))</f>
        <v>1</v>
      </c>
      <c r="D1399">
        <f>IF(B1399&gt;'user input'!$C$6,0,(C1399/(C1399+EXP('user input'!$C$15-'user input'!$C$14*C1399))))</f>
        <v>0.99996737202265329</v>
      </c>
      <c r="E1399">
        <f>IF(C1399&lt;'user input'!$C$12,(D1399-D1398)*'user input'!$C$17*(1-EXP(5*(F1398-'user input'!$C$17))),F1399-F1398)</f>
        <v>0</v>
      </c>
      <c r="F1399">
        <f>IF(C1399&lt;'user input'!$C$12,IF(B1399&gt;'user input'!$C$6,0,F1398+E1399),'user input'!$C$17*((1-C1399)/(1-'user input'!$C$12)))</f>
        <v>0</v>
      </c>
    </row>
    <row r="1400" spans="1:6" x14ac:dyDescent="0.2">
      <c r="A1400" s="1">
        <v>41576</v>
      </c>
      <c r="B1400">
        <v>303</v>
      </c>
      <c r="C1400">
        <f>IF(B1400&gt;'user input'!$C$6,0,IF('heat units'!H1400&gt;1,1,'heat units'!H1400))</f>
        <v>1</v>
      </c>
      <c r="D1400">
        <f>IF(B1400&gt;'user input'!$C$6,0,(C1400/(C1400+EXP('user input'!$C$15-'user input'!$C$14*C1400))))</f>
        <v>0.99996737202265329</v>
      </c>
      <c r="E1400">
        <f>IF(C1400&lt;'user input'!$C$12,(D1400-D1399)*'user input'!$C$17*(1-EXP(5*(F1399-'user input'!$C$17))),F1400-F1399)</f>
        <v>0</v>
      </c>
      <c r="F1400">
        <f>IF(C1400&lt;'user input'!$C$12,IF(B1400&gt;'user input'!$C$6,0,F1399+E1400),'user input'!$C$17*((1-C1400)/(1-'user input'!$C$12)))</f>
        <v>0</v>
      </c>
    </row>
    <row r="1401" spans="1:6" x14ac:dyDescent="0.2">
      <c r="A1401" s="1">
        <v>41577</v>
      </c>
      <c r="B1401">
        <v>304</v>
      </c>
      <c r="C1401">
        <f>IF(B1401&gt;'user input'!$C$6,0,IF('heat units'!H1401&gt;1,1,'heat units'!H1401))</f>
        <v>1</v>
      </c>
      <c r="D1401">
        <f>IF(B1401&gt;'user input'!$C$6,0,(C1401/(C1401+EXP('user input'!$C$15-'user input'!$C$14*C1401))))</f>
        <v>0.99996737202265329</v>
      </c>
      <c r="E1401">
        <f>IF(C1401&lt;'user input'!$C$12,(D1401-D1400)*'user input'!$C$17*(1-EXP(5*(F1400-'user input'!$C$17))),F1401-F1400)</f>
        <v>0</v>
      </c>
      <c r="F1401">
        <f>IF(C1401&lt;'user input'!$C$12,IF(B1401&gt;'user input'!$C$6,0,F1400+E1401),'user input'!$C$17*((1-C1401)/(1-'user input'!$C$12)))</f>
        <v>0</v>
      </c>
    </row>
    <row r="1402" spans="1:6" x14ac:dyDescent="0.2">
      <c r="A1402" s="1">
        <v>41578</v>
      </c>
      <c r="B1402">
        <v>305</v>
      </c>
      <c r="C1402">
        <f>IF(B1402&gt;'user input'!$C$6,0,IF('heat units'!H1402&gt;1,1,'heat units'!H1402))</f>
        <v>1</v>
      </c>
      <c r="D1402">
        <f>IF(B1402&gt;'user input'!$C$6,0,(C1402/(C1402+EXP('user input'!$C$15-'user input'!$C$14*C1402))))</f>
        <v>0.99996737202265329</v>
      </c>
      <c r="E1402">
        <f>IF(C1402&lt;'user input'!$C$12,(D1402-D1401)*'user input'!$C$17*(1-EXP(5*(F1401-'user input'!$C$17))),F1402-F1401)</f>
        <v>0</v>
      </c>
      <c r="F1402">
        <f>IF(C1402&lt;'user input'!$C$12,IF(B1402&gt;'user input'!$C$6,0,F1401+E1402),'user input'!$C$17*((1-C1402)/(1-'user input'!$C$12)))</f>
        <v>0</v>
      </c>
    </row>
    <row r="1403" spans="1:6" x14ac:dyDescent="0.2">
      <c r="A1403" s="1">
        <v>41579</v>
      </c>
      <c r="B1403">
        <v>306</v>
      </c>
      <c r="C1403">
        <f>IF(B1403&gt;'user input'!$C$6,0,IF('heat units'!H1403&gt;1,1,'heat units'!H1403))</f>
        <v>1</v>
      </c>
      <c r="D1403">
        <f>IF(B1403&gt;'user input'!$C$6,0,(C1403/(C1403+EXP('user input'!$C$15-'user input'!$C$14*C1403))))</f>
        <v>0.99996737202265329</v>
      </c>
      <c r="E1403">
        <f>IF(C1403&lt;'user input'!$C$12,(D1403-D1402)*'user input'!$C$17*(1-EXP(5*(F1402-'user input'!$C$17))),F1403-F1402)</f>
        <v>0</v>
      </c>
      <c r="F1403">
        <f>IF(C1403&lt;'user input'!$C$12,IF(B1403&gt;'user input'!$C$6,0,F1402+E1403),'user input'!$C$17*((1-C1403)/(1-'user input'!$C$12)))</f>
        <v>0</v>
      </c>
    </row>
    <row r="1404" spans="1:6" x14ac:dyDescent="0.2">
      <c r="A1404" s="1">
        <v>41580</v>
      </c>
      <c r="B1404">
        <v>307</v>
      </c>
      <c r="C1404">
        <f>IF(B1404&gt;'user input'!$C$6,0,IF('heat units'!H1404&gt;1,1,'heat units'!H1404))</f>
        <v>1</v>
      </c>
      <c r="D1404">
        <f>IF(B1404&gt;'user input'!$C$6,0,(C1404/(C1404+EXP('user input'!$C$15-'user input'!$C$14*C1404))))</f>
        <v>0.99996737202265329</v>
      </c>
      <c r="E1404">
        <f>IF(C1404&lt;'user input'!$C$12,(D1404-D1403)*'user input'!$C$17*(1-EXP(5*(F1403-'user input'!$C$17))),F1404-F1403)</f>
        <v>0</v>
      </c>
      <c r="F1404">
        <f>IF(C1404&lt;'user input'!$C$12,IF(B1404&gt;'user input'!$C$6,0,F1403+E1404),'user input'!$C$17*((1-C1404)/(1-'user input'!$C$12)))</f>
        <v>0</v>
      </c>
    </row>
    <row r="1405" spans="1:6" x14ac:dyDescent="0.2">
      <c r="A1405" s="1">
        <v>41581</v>
      </c>
      <c r="B1405">
        <v>308</v>
      </c>
      <c r="C1405">
        <f>IF(B1405&gt;'user input'!$C$6,0,IF('heat units'!H1405&gt;1,1,'heat units'!H1405))</f>
        <v>1</v>
      </c>
      <c r="D1405">
        <f>IF(B1405&gt;'user input'!$C$6,0,(C1405/(C1405+EXP('user input'!$C$15-'user input'!$C$14*C1405))))</f>
        <v>0.99996737202265329</v>
      </c>
      <c r="E1405">
        <f>IF(C1405&lt;'user input'!$C$12,(D1405-D1404)*'user input'!$C$17*(1-EXP(5*(F1404-'user input'!$C$17))),F1405-F1404)</f>
        <v>0</v>
      </c>
      <c r="F1405">
        <f>IF(C1405&lt;'user input'!$C$12,IF(B1405&gt;'user input'!$C$6,0,F1404+E1405),'user input'!$C$17*((1-C1405)/(1-'user input'!$C$12)))</f>
        <v>0</v>
      </c>
    </row>
    <row r="1406" spans="1:6" x14ac:dyDescent="0.2">
      <c r="A1406" s="1">
        <v>41582</v>
      </c>
      <c r="B1406">
        <v>309</v>
      </c>
      <c r="C1406">
        <f>IF(B1406&gt;'user input'!$C$6,0,IF('heat units'!H1406&gt;1,1,'heat units'!H1406))</f>
        <v>1</v>
      </c>
      <c r="D1406">
        <f>IF(B1406&gt;'user input'!$C$6,0,(C1406/(C1406+EXP('user input'!$C$15-'user input'!$C$14*C1406))))</f>
        <v>0.99996737202265329</v>
      </c>
      <c r="E1406">
        <f>IF(C1406&lt;'user input'!$C$12,(D1406-D1405)*'user input'!$C$17*(1-EXP(5*(F1405-'user input'!$C$17))),F1406-F1405)</f>
        <v>0</v>
      </c>
      <c r="F1406">
        <f>IF(C1406&lt;'user input'!$C$12,IF(B1406&gt;'user input'!$C$6,0,F1405+E1406),'user input'!$C$17*((1-C1406)/(1-'user input'!$C$12)))</f>
        <v>0</v>
      </c>
    </row>
    <row r="1407" spans="1:6" x14ac:dyDescent="0.2">
      <c r="A1407" s="1">
        <v>41583</v>
      </c>
      <c r="B1407">
        <v>310</v>
      </c>
      <c r="C1407">
        <f>IF(B1407&gt;'user input'!$C$6,0,IF('heat units'!H1407&gt;1,1,'heat units'!H1407))</f>
        <v>1</v>
      </c>
      <c r="D1407">
        <f>IF(B1407&gt;'user input'!$C$6,0,(C1407/(C1407+EXP('user input'!$C$15-'user input'!$C$14*C1407))))</f>
        <v>0.99996737202265329</v>
      </c>
      <c r="E1407">
        <f>IF(C1407&lt;'user input'!$C$12,(D1407-D1406)*'user input'!$C$17*(1-EXP(5*(F1406-'user input'!$C$17))),F1407-F1406)</f>
        <v>0</v>
      </c>
      <c r="F1407">
        <f>IF(C1407&lt;'user input'!$C$12,IF(B1407&gt;'user input'!$C$6,0,F1406+E1407),'user input'!$C$17*((1-C1407)/(1-'user input'!$C$12)))</f>
        <v>0</v>
      </c>
    </row>
    <row r="1408" spans="1:6" x14ac:dyDescent="0.2">
      <c r="A1408" s="1">
        <v>41584</v>
      </c>
      <c r="B1408">
        <v>311</v>
      </c>
      <c r="C1408">
        <f>IF(B1408&gt;'user input'!$C$6,0,IF('heat units'!H1408&gt;1,1,'heat units'!H1408))</f>
        <v>1</v>
      </c>
      <c r="D1408">
        <f>IF(B1408&gt;'user input'!$C$6,0,(C1408/(C1408+EXP('user input'!$C$15-'user input'!$C$14*C1408))))</f>
        <v>0.99996737202265329</v>
      </c>
      <c r="E1408">
        <f>IF(C1408&lt;'user input'!$C$12,(D1408-D1407)*'user input'!$C$17*(1-EXP(5*(F1407-'user input'!$C$17))),F1408-F1407)</f>
        <v>0</v>
      </c>
      <c r="F1408">
        <f>IF(C1408&lt;'user input'!$C$12,IF(B1408&gt;'user input'!$C$6,0,F1407+E1408),'user input'!$C$17*((1-C1408)/(1-'user input'!$C$12)))</f>
        <v>0</v>
      </c>
    </row>
    <row r="1409" spans="1:6" x14ac:dyDescent="0.2">
      <c r="A1409" s="1">
        <v>41585</v>
      </c>
      <c r="B1409">
        <v>312</v>
      </c>
      <c r="C1409">
        <f>IF(B1409&gt;'user input'!$C$6,0,IF('heat units'!H1409&gt;1,1,'heat units'!H1409))</f>
        <v>1</v>
      </c>
      <c r="D1409">
        <f>IF(B1409&gt;'user input'!$C$6,0,(C1409/(C1409+EXP('user input'!$C$15-'user input'!$C$14*C1409))))</f>
        <v>0.99996737202265329</v>
      </c>
      <c r="E1409">
        <f>IF(C1409&lt;'user input'!$C$12,(D1409-D1408)*'user input'!$C$17*(1-EXP(5*(F1408-'user input'!$C$17))),F1409-F1408)</f>
        <v>0</v>
      </c>
      <c r="F1409">
        <f>IF(C1409&lt;'user input'!$C$12,IF(B1409&gt;'user input'!$C$6,0,F1408+E1409),'user input'!$C$17*((1-C1409)/(1-'user input'!$C$12)))</f>
        <v>0</v>
      </c>
    </row>
    <row r="1410" spans="1:6" x14ac:dyDescent="0.2">
      <c r="A1410" s="1">
        <v>41586</v>
      </c>
      <c r="B1410">
        <v>313</v>
      </c>
      <c r="C1410">
        <f>IF(B1410&gt;'user input'!$C$6,0,IF('heat units'!H1410&gt;1,1,'heat units'!H1410))</f>
        <v>1</v>
      </c>
      <c r="D1410">
        <f>IF(B1410&gt;'user input'!$C$6,0,(C1410/(C1410+EXP('user input'!$C$15-'user input'!$C$14*C1410))))</f>
        <v>0.99996737202265329</v>
      </c>
      <c r="E1410">
        <f>IF(C1410&lt;'user input'!$C$12,(D1410-D1409)*'user input'!$C$17*(1-EXP(5*(F1409-'user input'!$C$17))),F1410-F1409)</f>
        <v>0</v>
      </c>
      <c r="F1410">
        <f>IF(C1410&lt;'user input'!$C$12,IF(B1410&gt;'user input'!$C$6,0,F1409+E1410),'user input'!$C$17*((1-C1410)/(1-'user input'!$C$12)))</f>
        <v>0</v>
      </c>
    </row>
    <row r="1411" spans="1:6" x14ac:dyDescent="0.2">
      <c r="A1411" s="1">
        <v>41587</v>
      </c>
      <c r="B1411">
        <v>314</v>
      </c>
      <c r="C1411">
        <f>IF(B1411&gt;'user input'!$C$6,0,IF('heat units'!H1411&gt;1,1,'heat units'!H1411))</f>
        <v>1</v>
      </c>
      <c r="D1411">
        <f>IF(B1411&gt;'user input'!$C$6,0,(C1411/(C1411+EXP('user input'!$C$15-'user input'!$C$14*C1411))))</f>
        <v>0.99996737202265329</v>
      </c>
      <c r="E1411">
        <f>IF(C1411&lt;'user input'!$C$12,(D1411-D1410)*'user input'!$C$17*(1-EXP(5*(F1410-'user input'!$C$17))),F1411-F1410)</f>
        <v>0</v>
      </c>
      <c r="F1411">
        <f>IF(C1411&lt;'user input'!$C$12,IF(B1411&gt;'user input'!$C$6,0,F1410+E1411),'user input'!$C$17*((1-C1411)/(1-'user input'!$C$12)))</f>
        <v>0</v>
      </c>
    </row>
    <row r="1412" spans="1:6" x14ac:dyDescent="0.2">
      <c r="A1412" s="1">
        <v>41588</v>
      </c>
      <c r="B1412">
        <v>315</v>
      </c>
      <c r="C1412">
        <f>IF(B1412&gt;'user input'!$C$6,0,IF('heat units'!H1412&gt;1,1,'heat units'!H1412))</f>
        <v>1</v>
      </c>
      <c r="D1412">
        <f>IF(B1412&gt;'user input'!$C$6,0,(C1412/(C1412+EXP('user input'!$C$15-'user input'!$C$14*C1412))))</f>
        <v>0.99996737202265329</v>
      </c>
      <c r="E1412">
        <f>IF(C1412&lt;'user input'!$C$12,(D1412-D1411)*'user input'!$C$17*(1-EXP(5*(F1411-'user input'!$C$17))),F1412-F1411)</f>
        <v>0</v>
      </c>
      <c r="F1412">
        <f>IF(C1412&lt;'user input'!$C$12,IF(B1412&gt;'user input'!$C$6,0,F1411+E1412),'user input'!$C$17*((1-C1412)/(1-'user input'!$C$12)))</f>
        <v>0</v>
      </c>
    </row>
    <row r="1413" spans="1:6" x14ac:dyDescent="0.2">
      <c r="A1413" s="1">
        <v>41589</v>
      </c>
      <c r="B1413">
        <v>316</v>
      </c>
      <c r="C1413">
        <f>IF(B1413&gt;'user input'!$C$6,0,IF('heat units'!H1413&gt;1,1,'heat units'!H1413))</f>
        <v>1</v>
      </c>
      <c r="D1413">
        <f>IF(B1413&gt;'user input'!$C$6,0,(C1413/(C1413+EXP('user input'!$C$15-'user input'!$C$14*C1413))))</f>
        <v>0.99996737202265329</v>
      </c>
      <c r="E1413">
        <f>IF(C1413&lt;'user input'!$C$12,(D1413-D1412)*'user input'!$C$17*(1-EXP(5*(F1412-'user input'!$C$17))),F1413-F1412)</f>
        <v>0</v>
      </c>
      <c r="F1413">
        <f>IF(C1413&lt;'user input'!$C$12,IF(B1413&gt;'user input'!$C$6,0,F1412+E1413),'user input'!$C$17*((1-C1413)/(1-'user input'!$C$12)))</f>
        <v>0</v>
      </c>
    </row>
    <row r="1414" spans="1:6" x14ac:dyDescent="0.2">
      <c r="A1414" s="1">
        <v>41590</v>
      </c>
      <c r="B1414">
        <v>317</v>
      </c>
      <c r="C1414">
        <f>IF(B1414&gt;'user input'!$C$6,0,IF('heat units'!H1414&gt;1,1,'heat units'!H1414))</f>
        <v>1</v>
      </c>
      <c r="D1414">
        <f>IF(B1414&gt;'user input'!$C$6,0,(C1414/(C1414+EXP('user input'!$C$15-'user input'!$C$14*C1414))))</f>
        <v>0.99996737202265329</v>
      </c>
      <c r="E1414">
        <f>IF(C1414&lt;'user input'!$C$12,(D1414-D1413)*'user input'!$C$17*(1-EXP(5*(F1413-'user input'!$C$17))),F1414-F1413)</f>
        <v>0</v>
      </c>
      <c r="F1414">
        <f>IF(C1414&lt;'user input'!$C$12,IF(B1414&gt;'user input'!$C$6,0,F1413+E1414),'user input'!$C$17*((1-C1414)/(1-'user input'!$C$12)))</f>
        <v>0</v>
      </c>
    </row>
    <row r="1415" spans="1:6" x14ac:dyDescent="0.2">
      <c r="A1415" s="1">
        <v>41591</v>
      </c>
      <c r="B1415">
        <v>318</v>
      </c>
      <c r="C1415">
        <f>IF(B1415&gt;'user input'!$C$6,0,IF('heat units'!H1415&gt;1,1,'heat units'!H1415))</f>
        <v>1</v>
      </c>
      <c r="D1415">
        <f>IF(B1415&gt;'user input'!$C$6,0,(C1415/(C1415+EXP('user input'!$C$15-'user input'!$C$14*C1415))))</f>
        <v>0.99996737202265329</v>
      </c>
      <c r="E1415">
        <f>IF(C1415&lt;'user input'!$C$12,(D1415-D1414)*'user input'!$C$17*(1-EXP(5*(F1414-'user input'!$C$17))),F1415-F1414)</f>
        <v>0</v>
      </c>
      <c r="F1415">
        <f>IF(C1415&lt;'user input'!$C$12,IF(B1415&gt;'user input'!$C$6,0,F1414+E1415),'user input'!$C$17*((1-C1415)/(1-'user input'!$C$12)))</f>
        <v>0</v>
      </c>
    </row>
    <row r="1416" spans="1:6" x14ac:dyDescent="0.2">
      <c r="A1416" s="1">
        <v>41592</v>
      </c>
      <c r="B1416">
        <v>319</v>
      </c>
      <c r="C1416">
        <f>IF(B1416&gt;'user input'!$C$6,0,IF('heat units'!H1416&gt;1,1,'heat units'!H1416))</f>
        <v>1</v>
      </c>
      <c r="D1416">
        <f>IF(B1416&gt;'user input'!$C$6,0,(C1416/(C1416+EXP('user input'!$C$15-'user input'!$C$14*C1416))))</f>
        <v>0.99996737202265329</v>
      </c>
      <c r="E1416">
        <f>IF(C1416&lt;'user input'!$C$12,(D1416-D1415)*'user input'!$C$17*(1-EXP(5*(F1415-'user input'!$C$17))),F1416-F1415)</f>
        <v>0</v>
      </c>
      <c r="F1416">
        <f>IF(C1416&lt;'user input'!$C$12,IF(B1416&gt;'user input'!$C$6,0,F1415+E1416),'user input'!$C$17*((1-C1416)/(1-'user input'!$C$12)))</f>
        <v>0</v>
      </c>
    </row>
    <row r="1417" spans="1:6" x14ac:dyDescent="0.2">
      <c r="A1417" s="1">
        <v>41593</v>
      </c>
      <c r="B1417">
        <v>320</v>
      </c>
      <c r="C1417">
        <f>IF(B1417&gt;'user input'!$C$6,0,IF('heat units'!H1417&gt;1,1,'heat units'!H1417))</f>
        <v>0</v>
      </c>
      <c r="D1417">
        <f>IF(B1417&gt;'user input'!$C$6,0,(C1417/(C1417+EXP('user input'!$C$15-'user input'!$C$14*C1417))))</f>
        <v>0</v>
      </c>
      <c r="E1417">
        <f>IF(C1417&lt;'user input'!$C$12,(D1417-D1416)*'user input'!$C$17*(1-EXP(5*(F1416-'user input'!$C$17))),F1417-F1416)</f>
        <v>-2.9999011983909414</v>
      </c>
      <c r="F1417">
        <f>IF(C1417&lt;'user input'!$C$12,IF(B1417&gt;'user input'!$C$6,0,F1416+E1417),'user input'!$C$17*((1-C1417)/(1-'user input'!$C$12)))</f>
        <v>0</v>
      </c>
    </row>
    <row r="1418" spans="1:6" x14ac:dyDescent="0.2">
      <c r="A1418" s="1">
        <v>41594</v>
      </c>
      <c r="B1418">
        <v>321</v>
      </c>
      <c r="C1418">
        <f>IF(B1418&gt;'user input'!$C$6,0,IF('heat units'!H1418&gt;1,1,'heat units'!H1418))</f>
        <v>0</v>
      </c>
      <c r="D1418">
        <f>IF(B1418&gt;'user input'!$C$6,0,(C1418/(C1418+EXP('user input'!$C$15-'user input'!$C$14*C1418))))</f>
        <v>0</v>
      </c>
      <c r="E1418">
        <f>IF(C1418&lt;'user input'!$C$12,(D1418-D1417)*'user input'!$C$17*(1-EXP(5*(F1417-'user input'!$C$17))),F1418-F1417)</f>
        <v>0</v>
      </c>
      <c r="F1418">
        <f>IF(C1418&lt;'user input'!$C$12,IF(B1418&gt;'user input'!$C$6,0,F1417+E1418),'user input'!$C$17*((1-C1418)/(1-'user input'!$C$12)))</f>
        <v>0</v>
      </c>
    </row>
    <row r="1419" spans="1:6" x14ac:dyDescent="0.2">
      <c r="A1419" s="1">
        <v>41595</v>
      </c>
      <c r="B1419">
        <v>322</v>
      </c>
      <c r="C1419">
        <f>IF(B1419&gt;'user input'!$C$6,0,IF('heat units'!H1419&gt;1,1,'heat units'!H1419))</f>
        <v>0</v>
      </c>
      <c r="D1419">
        <f>IF(B1419&gt;'user input'!$C$6,0,(C1419/(C1419+EXP('user input'!$C$15-'user input'!$C$14*C1419))))</f>
        <v>0</v>
      </c>
      <c r="E1419">
        <f>IF(C1419&lt;'user input'!$C$12,(D1419-D1418)*'user input'!$C$17*(1-EXP(5*(F1418-'user input'!$C$17))),F1419-F1418)</f>
        <v>0</v>
      </c>
      <c r="F1419">
        <f>IF(C1419&lt;'user input'!$C$12,IF(B1419&gt;'user input'!$C$6,0,F1418+E1419),'user input'!$C$17*((1-C1419)/(1-'user input'!$C$12)))</f>
        <v>0</v>
      </c>
    </row>
    <row r="1420" spans="1:6" x14ac:dyDescent="0.2">
      <c r="A1420" s="1">
        <v>41596</v>
      </c>
      <c r="B1420">
        <v>323</v>
      </c>
      <c r="C1420">
        <f>IF(B1420&gt;'user input'!$C$6,0,IF('heat units'!H1420&gt;1,1,'heat units'!H1420))</f>
        <v>0</v>
      </c>
      <c r="D1420">
        <f>IF(B1420&gt;'user input'!$C$6,0,(C1420/(C1420+EXP('user input'!$C$15-'user input'!$C$14*C1420))))</f>
        <v>0</v>
      </c>
      <c r="E1420">
        <f>IF(C1420&lt;'user input'!$C$12,(D1420-D1419)*'user input'!$C$17*(1-EXP(5*(F1419-'user input'!$C$17))),F1420-F1419)</f>
        <v>0</v>
      </c>
      <c r="F1420">
        <f>IF(C1420&lt;'user input'!$C$12,IF(B1420&gt;'user input'!$C$6,0,F1419+E1420),'user input'!$C$17*((1-C1420)/(1-'user input'!$C$12)))</f>
        <v>0</v>
      </c>
    </row>
    <row r="1421" spans="1:6" x14ac:dyDescent="0.2">
      <c r="A1421" s="1">
        <v>41597</v>
      </c>
      <c r="B1421">
        <v>324</v>
      </c>
      <c r="C1421">
        <f>IF(B1421&gt;'user input'!$C$6,0,IF('heat units'!H1421&gt;1,1,'heat units'!H1421))</f>
        <v>0</v>
      </c>
      <c r="D1421">
        <f>IF(B1421&gt;'user input'!$C$6,0,(C1421/(C1421+EXP('user input'!$C$15-'user input'!$C$14*C1421))))</f>
        <v>0</v>
      </c>
      <c r="E1421">
        <f>IF(C1421&lt;'user input'!$C$12,(D1421-D1420)*'user input'!$C$17*(1-EXP(5*(F1420-'user input'!$C$17))),F1421-F1420)</f>
        <v>0</v>
      </c>
      <c r="F1421">
        <f>IF(C1421&lt;'user input'!$C$12,IF(B1421&gt;'user input'!$C$6,0,F1420+E1421),'user input'!$C$17*((1-C1421)/(1-'user input'!$C$12)))</f>
        <v>0</v>
      </c>
    </row>
    <row r="1422" spans="1:6" x14ac:dyDescent="0.2">
      <c r="A1422" s="1">
        <v>41598</v>
      </c>
      <c r="B1422">
        <v>325</v>
      </c>
      <c r="C1422">
        <f>IF(B1422&gt;'user input'!$C$6,0,IF('heat units'!H1422&gt;1,1,'heat units'!H1422))</f>
        <v>0</v>
      </c>
      <c r="D1422">
        <f>IF(B1422&gt;'user input'!$C$6,0,(C1422/(C1422+EXP('user input'!$C$15-'user input'!$C$14*C1422))))</f>
        <v>0</v>
      </c>
      <c r="E1422">
        <f>IF(C1422&lt;'user input'!$C$12,(D1422-D1421)*'user input'!$C$17*(1-EXP(5*(F1421-'user input'!$C$17))),F1422-F1421)</f>
        <v>0</v>
      </c>
      <c r="F1422">
        <f>IF(C1422&lt;'user input'!$C$12,IF(B1422&gt;'user input'!$C$6,0,F1421+E1422),'user input'!$C$17*((1-C1422)/(1-'user input'!$C$12)))</f>
        <v>0</v>
      </c>
    </row>
    <row r="1423" spans="1:6" x14ac:dyDescent="0.2">
      <c r="A1423" s="1">
        <v>41599</v>
      </c>
      <c r="B1423">
        <v>326</v>
      </c>
      <c r="C1423">
        <f>IF(B1423&gt;'user input'!$C$6,0,IF('heat units'!H1423&gt;1,1,'heat units'!H1423))</f>
        <v>0</v>
      </c>
      <c r="D1423">
        <f>IF(B1423&gt;'user input'!$C$6,0,(C1423/(C1423+EXP('user input'!$C$15-'user input'!$C$14*C1423))))</f>
        <v>0</v>
      </c>
      <c r="E1423">
        <f>IF(C1423&lt;'user input'!$C$12,(D1423-D1422)*'user input'!$C$17*(1-EXP(5*(F1422-'user input'!$C$17))),F1423-F1422)</f>
        <v>0</v>
      </c>
      <c r="F1423">
        <f>IF(C1423&lt;'user input'!$C$12,IF(B1423&gt;'user input'!$C$6,0,F1422+E1423),'user input'!$C$17*((1-C1423)/(1-'user input'!$C$12)))</f>
        <v>0</v>
      </c>
    </row>
    <row r="1424" spans="1:6" x14ac:dyDescent="0.2">
      <c r="A1424" s="1">
        <v>41600</v>
      </c>
      <c r="B1424">
        <v>327</v>
      </c>
      <c r="C1424">
        <f>IF(B1424&gt;'user input'!$C$6,0,IF('heat units'!H1424&gt;1,1,'heat units'!H1424))</f>
        <v>0</v>
      </c>
      <c r="D1424">
        <f>IF(B1424&gt;'user input'!$C$6,0,(C1424/(C1424+EXP('user input'!$C$15-'user input'!$C$14*C1424))))</f>
        <v>0</v>
      </c>
      <c r="E1424">
        <f>IF(C1424&lt;'user input'!$C$12,(D1424-D1423)*'user input'!$C$17*(1-EXP(5*(F1423-'user input'!$C$17))),F1424-F1423)</f>
        <v>0</v>
      </c>
      <c r="F1424">
        <f>IF(C1424&lt;'user input'!$C$12,IF(B1424&gt;'user input'!$C$6,0,F1423+E1424),'user input'!$C$17*((1-C1424)/(1-'user input'!$C$12)))</f>
        <v>0</v>
      </c>
    </row>
    <row r="1425" spans="1:6" x14ac:dyDescent="0.2">
      <c r="A1425" s="1">
        <v>41601</v>
      </c>
      <c r="B1425">
        <v>328</v>
      </c>
      <c r="C1425">
        <f>IF(B1425&gt;'user input'!$C$6,0,IF('heat units'!H1425&gt;1,1,'heat units'!H1425))</f>
        <v>0</v>
      </c>
      <c r="D1425">
        <f>IF(B1425&gt;'user input'!$C$6,0,(C1425/(C1425+EXP('user input'!$C$15-'user input'!$C$14*C1425))))</f>
        <v>0</v>
      </c>
      <c r="E1425">
        <f>IF(C1425&lt;'user input'!$C$12,(D1425-D1424)*'user input'!$C$17*(1-EXP(5*(F1424-'user input'!$C$17))),F1425-F1424)</f>
        <v>0</v>
      </c>
      <c r="F1425">
        <f>IF(C1425&lt;'user input'!$C$12,IF(B1425&gt;'user input'!$C$6,0,F1424+E1425),'user input'!$C$17*((1-C1425)/(1-'user input'!$C$12)))</f>
        <v>0</v>
      </c>
    </row>
    <row r="1426" spans="1:6" x14ac:dyDescent="0.2">
      <c r="A1426" s="1">
        <v>41602</v>
      </c>
      <c r="B1426">
        <v>329</v>
      </c>
      <c r="C1426">
        <f>IF(B1426&gt;'user input'!$C$6,0,IF('heat units'!H1426&gt;1,1,'heat units'!H1426))</f>
        <v>0</v>
      </c>
      <c r="D1426">
        <f>IF(B1426&gt;'user input'!$C$6,0,(C1426/(C1426+EXP('user input'!$C$15-'user input'!$C$14*C1426))))</f>
        <v>0</v>
      </c>
      <c r="E1426">
        <f>IF(C1426&lt;'user input'!$C$12,(D1426-D1425)*'user input'!$C$17*(1-EXP(5*(F1425-'user input'!$C$17))),F1426-F1425)</f>
        <v>0</v>
      </c>
      <c r="F1426">
        <f>IF(C1426&lt;'user input'!$C$12,IF(B1426&gt;'user input'!$C$6,0,F1425+E1426),'user input'!$C$17*((1-C1426)/(1-'user input'!$C$12)))</f>
        <v>0</v>
      </c>
    </row>
    <row r="1427" spans="1:6" x14ac:dyDescent="0.2">
      <c r="A1427" s="1">
        <v>41603</v>
      </c>
      <c r="B1427">
        <v>330</v>
      </c>
      <c r="C1427">
        <f>IF(B1427&gt;'user input'!$C$6,0,IF('heat units'!H1427&gt;1,1,'heat units'!H1427))</f>
        <v>0</v>
      </c>
      <c r="D1427">
        <f>IF(B1427&gt;'user input'!$C$6,0,(C1427/(C1427+EXP('user input'!$C$15-'user input'!$C$14*C1427))))</f>
        <v>0</v>
      </c>
      <c r="E1427">
        <f>IF(C1427&lt;'user input'!$C$12,(D1427-D1426)*'user input'!$C$17*(1-EXP(5*(F1426-'user input'!$C$17))),F1427-F1426)</f>
        <v>0</v>
      </c>
      <c r="F1427">
        <f>IF(C1427&lt;'user input'!$C$12,IF(B1427&gt;'user input'!$C$6,0,F1426+E1427),'user input'!$C$17*((1-C1427)/(1-'user input'!$C$12)))</f>
        <v>0</v>
      </c>
    </row>
    <row r="1428" spans="1:6" x14ac:dyDescent="0.2">
      <c r="A1428" s="1">
        <v>41604</v>
      </c>
      <c r="B1428">
        <v>331</v>
      </c>
      <c r="C1428">
        <f>IF(B1428&gt;'user input'!$C$6,0,IF('heat units'!H1428&gt;1,1,'heat units'!H1428))</f>
        <v>0</v>
      </c>
      <c r="D1428">
        <f>IF(B1428&gt;'user input'!$C$6,0,(C1428/(C1428+EXP('user input'!$C$15-'user input'!$C$14*C1428))))</f>
        <v>0</v>
      </c>
      <c r="E1428">
        <f>IF(C1428&lt;'user input'!$C$12,(D1428-D1427)*'user input'!$C$17*(1-EXP(5*(F1427-'user input'!$C$17))),F1428-F1427)</f>
        <v>0</v>
      </c>
      <c r="F1428">
        <f>IF(C1428&lt;'user input'!$C$12,IF(B1428&gt;'user input'!$C$6,0,F1427+E1428),'user input'!$C$17*((1-C1428)/(1-'user input'!$C$12)))</f>
        <v>0</v>
      </c>
    </row>
    <row r="1429" spans="1:6" x14ac:dyDescent="0.2">
      <c r="A1429" s="1">
        <v>41605</v>
      </c>
      <c r="B1429">
        <v>332</v>
      </c>
      <c r="C1429">
        <f>IF(B1429&gt;'user input'!$C$6,0,IF('heat units'!H1429&gt;1,1,'heat units'!H1429))</f>
        <v>0</v>
      </c>
      <c r="D1429">
        <f>IF(B1429&gt;'user input'!$C$6,0,(C1429/(C1429+EXP('user input'!$C$15-'user input'!$C$14*C1429))))</f>
        <v>0</v>
      </c>
      <c r="E1429">
        <f>IF(C1429&lt;'user input'!$C$12,(D1429-D1428)*'user input'!$C$17*(1-EXP(5*(F1428-'user input'!$C$17))),F1429-F1428)</f>
        <v>0</v>
      </c>
      <c r="F1429">
        <f>IF(C1429&lt;'user input'!$C$12,IF(B1429&gt;'user input'!$C$6,0,F1428+E1429),'user input'!$C$17*((1-C1429)/(1-'user input'!$C$12)))</f>
        <v>0</v>
      </c>
    </row>
    <row r="1430" spans="1:6" x14ac:dyDescent="0.2">
      <c r="A1430" s="1">
        <v>41606</v>
      </c>
      <c r="B1430">
        <v>333</v>
      </c>
      <c r="C1430">
        <f>IF(B1430&gt;'user input'!$C$6,0,IF('heat units'!H1430&gt;1,1,'heat units'!H1430))</f>
        <v>0</v>
      </c>
      <c r="D1430">
        <f>IF(B1430&gt;'user input'!$C$6,0,(C1430/(C1430+EXP('user input'!$C$15-'user input'!$C$14*C1430))))</f>
        <v>0</v>
      </c>
      <c r="E1430">
        <f>IF(C1430&lt;'user input'!$C$12,(D1430-D1429)*'user input'!$C$17*(1-EXP(5*(F1429-'user input'!$C$17))),F1430-F1429)</f>
        <v>0</v>
      </c>
      <c r="F1430">
        <f>IF(C1430&lt;'user input'!$C$12,IF(B1430&gt;'user input'!$C$6,0,F1429+E1430),'user input'!$C$17*((1-C1430)/(1-'user input'!$C$12)))</f>
        <v>0</v>
      </c>
    </row>
    <row r="1431" spans="1:6" x14ac:dyDescent="0.2">
      <c r="A1431" s="1">
        <v>41607</v>
      </c>
      <c r="B1431">
        <v>334</v>
      </c>
      <c r="C1431">
        <f>IF(B1431&gt;'user input'!$C$6,0,IF('heat units'!H1431&gt;1,1,'heat units'!H1431))</f>
        <v>0</v>
      </c>
      <c r="D1431">
        <f>IF(B1431&gt;'user input'!$C$6,0,(C1431/(C1431+EXP('user input'!$C$15-'user input'!$C$14*C1431))))</f>
        <v>0</v>
      </c>
      <c r="E1431">
        <f>IF(C1431&lt;'user input'!$C$12,(D1431-D1430)*'user input'!$C$17*(1-EXP(5*(F1430-'user input'!$C$17))),F1431-F1430)</f>
        <v>0</v>
      </c>
      <c r="F1431">
        <f>IF(C1431&lt;'user input'!$C$12,IF(B1431&gt;'user input'!$C$6,0,F1430+E1431),'user input'!$C$17*((1-C1431)/(1-'user input'!$C$12)))</f>
        <v>0</v>
      </c>
    </row>
    <row r="1432" spans="1:6" x14ac:dyDescent="0.2">
      <c r="A1432" s="1">
        <v>41608</v>
      </c>
      <c r="B1432">
        <v>335</v>
      </c>
      <c r="C1432">
        <f>IF(B1432&gt;'user input'!$C$6,0,IF('heat units'!H1432&gt;1,1,'heat units'!H1432))</f>
        <v>0</v>
      </c>
      <c r="D1432">
        <f>IF(B1432&gt;'user input'!$C$6,0,(C1432/(C1432+EXP('user input'!$C$15-'user input'!$C$14*C1432))))</f>
        <v>0</v>
      </c>
      <c r="E1432">
        <f>IF(C1432&lt;'user input'!$C$12,(D1432-D1431)*'user input'!$C$17*(1-EXP(5*(F1431-'user input'!$C$17))),F1432-F1431)</f>
        <v>0</v>
      </c>
      <c r="F1432">
        <f>IF(C1432&lt;'user input'!$C$12,IF(B1432&gt;'user input'!$C$6,0,F1431+E1432),'user input'!$C$17*((1-C1432)/(1-'user input'!$C$12)))</f>
        <v>0</v>
      </c>
    </row>
    <row r="1433" spans="1:6" x14ac:dyDescent="0.2">
      <c r="A1433" s="1">
        <v>41609</v>
      </c>
      <c r="B1433">
        <v>336</v>
      </c>
      <c r="C1433">
        <f>IF(B1433&gt;'user input'!$C$6,0,IF('heat units'!H1433&gt;1,1,'heat units'!H1433))</f>
        <v>0</v>
      </c>
      <c r="D1433">
        <f>IF(B1433&gt;'user input'!$C$6,0,(C1433/(C1433+EXP('user input'!$C$15-'user input'!$C$14*C1433))))</f>
        <v>0</v>
      </c>
      <c r="E1433">
        <f>IF(C1433&lt;'user input'!$C$12,(D1433-D1432)*'user input'!$C$17*(1-EXP(5*(F1432-'user input'!$C$17))),F1433-F1432)</f>
        <v>0</v>
      </c>
      <c r="F1433">
        <f>IF(C1433&lt;'user input'!$C$12,IF(B1433&gt;'user input'!$C$6,0,F1432+E1433),'user input'!$C$17*((1-C1433)/(1-'user input'!$C$12)))</f>
        <v>0</v>
      </c>
    </row>
    <row r="1434" spans="1:6" x14ac:dyDescent="0.2">
      <c r="A1434" s="1">
        <v>41610</v>
      </c>
      <c r="B1434">
        <v>337</v>
      </c>
      <c r="C1434">
        <f>IF(B1434&gt;'user input'!$C$6,0,IF('heat units'!H1434&gt;1,1,'heat units'!H1434))</f>
        <v>0</v>
      </c>
      <c r="D1434">
        <f>IF(B1434&gt;'user input'!$C$6,0,(C1434/(C1434+EXP('user input'!$C$15-'user input'!$C$14*C1434))))</f>
        <v>0</v>
      </c>
      <c r="E1434">
        <f>IF(C1434&lt;'user input'!$C$12,(D1434-D1433)*'user input'!$C$17*(1-EXP(5*(F1433-'user input'!$C$17))),F1434-F1433)</f>
        <v>0</v>
      </c>
      <c r="F1434">
        <f>IF(C1434&lt;'user input'!$C$12,IF(B1434&gt;'user input'!$C$6,0,F1433+E1434),'user input'!$C$17*((1-C1434)/(1-'user input'!$C$12)))</f>
        <v>0</v>
      </c>
    </row>
    <row r="1435" spans="1:6" x14ac:dyDescent="0.2">
      <c r="A1435" s="1">
        <v>41611</v>
      </c>
      <c r="B1435">
        <v>338</v>
      </c>
      <c r="C1435">
        <f>IF(B1435&gt;'user input'!$C$6,0,IF('heat units'!H1435&gt;1,1,'heat units'!H1435))</f>
        <v>0</v>
      </c>
      <c r="D1435">
        <f>IF(B1435&gt;'user input'!$C$6,0,(C1435/(C1435+EXP('user input'!$C$15-'user input'!$C$14*C1435))))</f>
        <v>0</v>
      </c>
      <c r="E1435">
        <f>IF(C1435&lt;'user input'!$C$12,(D1435-D1434)*'user input'!$C$17*(1-EXP(5*(F1434-'user input'!$C$17))),F1435-F1434)</f>
        <v>0</v>
      </c>
      <c r="F1435">
        <f>IF(C1435&lt;'user input'!$C$12,IF(B1435&gt;'user input'!$C$6,0,F1434+E1435),'user input'!$C$17*((1-C1435)/(1-'user input'!$C$12)))</f>
        <v>0</v>
      </c>
    </row>
    <row r="1436" spans="1:6" x14ac:dyDescent="0.2">
      <c r="A1436" s="1">
        <v>41612</v>
      </c>
      <c r="B1436">
        <v>339</v>
      </c>
      <c r="C1436">
        <f>IF(B1436&gt;'user input'!$C$6,0,IF('heat units'!H1436&gt;1,1,'heat units'!H1436))</f>
        <v>0</v>
      </c>
      <c r="D1436">
        <f>IF(B1436&gt;'user input'!$C$6,0,(C1436/(C1436+EXP('user input'!$C$15-'user input'!$C$14*C1436))))</f>
        <v>0</v>
      </c>
      <c r="E1436">
        <f>IF(C1436&lt;'user input'!$C$12,(D1436-D1435)*'user input'!$C$17*(1-EXP(5*(F1435-'user input'!$C$17))),F1436-F1435)</f>
        <v>0</v>
      </c>
      <c r="F1436">
        <f>IF(C1436&lt;'user input'!$C$12,IF(B1436&gt;'user input'!$C$6,0,F1435+E1436),'user input'!$C$17*((1-C1436)/(1-'user input'!$C$12)))</f>
        <v>0</v>
      </c>
    </row>
    <row r="1437" spans="1:6" x14ac:dyDescent="0.2">
      <c r="A1437" s="1">
        <v>41613</v>
      </c>
      <c r="B1437">
        <v>340</v>
      </c>
      <c r="C1437">
        <f>IF(B1437&gt;'user input'!$C$6,0,IF('heat units'!H1437&gt;1,1,'heat units'!H1437))</f>
        <v>0</v>
      </c>
      <c r="D1437">
        <f>IF(B1437&gt;'user input'!$C$6,0,(C1437/(C1437+EXP('user input'!$C$15-'user input'!$C$14*C1437))))</f>
        <v>0</v>
      </c>
      <c r="E1437">
        <f>IF(C1437&lt;'user input'!$C$12,(D1437-D1436)*'user input'!$C$17*(1-EXP(5*(F1436-'user input'!$C$17))),F1437-F1436)</f>
        <v>0</v>
      </c>
      <c r="F1437">
        <f>IF(C1437&lt;'user input'!$C$12,IF(B1437&gt;'user input'!$C$6,0,F1436+E1437),'user input'!$C$17*((1-C1437)/(1-'user input'!$C$12)))</f>
        <v>0</v>
      </c>
    </row>
    <row r="1438" spans="1:6" x14ac:dyDescent="0.2">
      <c r="A1438" s="1">
        <v>41614</v>
      </c>
      <c r="B1438">
        <v>341</v>
      </c>
      <c r="C1438">
        <f>IF(B1438&gt;'user input'!$C$6,0,IF('heat units'!H1438&gt;1,1,'heat units'!H1438))</f>
        <v>0</v>
      </c>
      <c r="D1438">
        <f>IF(B1438&gt;'user input'!$C$6,0,(C1438/(C1438+EXP('user input'!$C$15-'user input'!$C$14*C1438))))</f>
        <v>0</v>
      </c>
      <c r="E1438">
        <f>IF(C1438&lt;'user input'!$C$12,(D1438-D1437)*'user input'!$C$17*(1-EXP(5*(F1437-'user input'!$C$17))),F1438-F1437)</f>
        <v>0</v>
      </c>
      <c r="F1438">
        <f>IF(C1438&lt;'user input'!$C$12,IF(B1438&gt;'user input'!$C$6,0,F1437+E1438),'user input'!$C$17*((1-C1438)/(1-'user input'!$C$12)))</f>
        <v>0</v>
      </c>
    </row>
    <row r="1439" spans="1:6" x14ac:dyDescent="0.2">
      <c r="A1439" s="1">
        <v>41615</v>
      </c>
      <c r="B1439">
        <v>342</v>
      </c>
      <c r="C1439">
        <f>IF(B1439&gt;'user input'!$C$6,0,IF('heat units'!H1439&gt;1,1,'heat units'!H1439))</f>
        <v>0</v>
      </c>
      <c r="D1439">
        <f>IF(B1439&gt;'user input'!$C$6,0,(C1439/(C1439+EXP('user input'!$C$15-'user input'!$C$14*C1439))))</f>
        <v>0</v>
      </c>
      <c r="E1439">
        <f>IF(C1439&lt;'user input'!$C$12,(D1439-D1438)*'user input'!$C$17*(1-EXP(5*(F1438-'user input'!$C$17))),F1439-F1438)</f>
        <v>0</v>
      </c>
      <c r="F1439">
        <f>IF(C1439&lt;'user input'!$C$12,IF(B1439&gt;'user input'!$C$6,0,F1438+E1439),'user input'!$C$17*((1-C1439)/(1-'user input'!$C$12)))</f>
        <v>0</v>
      </c>
    </row>
    <row r="1440" spans="1:6" x14ac:dyDescent="0.2">
      <c r="A1440" s="1">
        <v>41616</v>
      </c>
      <c r="B1440">
        <v>343</v>
      </c>
      <c r="C1440">
        <f>IF(B1440&gt;'user input'!$C$6,0,IF('heat units'!H1440&gt;1,1,'heat units'!H1440))</f>
        <v>0</v>
      </c>
      <c r="D1440">
        <f>IF(B1440&gt;'user input'!$C$6,0,(C1440/(C1440+EXP('user input'!$C$15-'user input'!$C$14*C1440))))</f>
        <v>0</v>
      </c>
      <c r="E1440">
        <f>IF(C1440&lt;'user input'!$C$12,(D1440-D1439)*'user input'!$C$17*(1-EXP(5*(F1439-'user input'!$C$17))),F1440-F1439)</f>
        <v>0</v>
      </c>
      <c r="F1440">
        <f>IF(C1440&lt;'user input'!$C$12,IF(B1440&gt;'user input'!$C$6,0,F1439+E1440),'user input'!$C$17*((1-C1440)/(1-'user input'!$C$12)))</f>
        <v>0</v>
      </c>
    </row>
    <row r="1441" spans="1:6" x14ac:dyDescent="0.2">
      <c r="A1441" s="1">
        <v>41617</v>
      </c>
      <c r="B1441">
        <v>344</v>
      </c>
      <c r="C1441">
        <f>IF(B1441&gt;'user input'!$C$6,0,IF('heat units'!H1441&gt;1,1,'heat units'!H1441))</f>
        <v>0</v>
      </c>
      <c r="D1441">
        <f>IF(B1441&gt;'user input'!$C$6,0,(C1441/(C1441+EXP('user input'!$C$15-'user input'!$C$14*C1441))))</f>
        <v>0</v>
      </c>
      <c r="E1441">
        <f>IF(C1441&lt;'user input'!$C$12,(D1441-D1440)*'user input'!$C$17*(1-EXP(5*(F1440-'user input'!$C$17))),F1441-F1440)</f>
        <v>0</v>
      </c>
      <c r="F1441">
        <f>IF(C1441&lt;'user input'!$C$12,IF(B1441&gt;'user input'!$C$6,0,F1440+E1441),'user input'!$C$17*((1-C1441)/(1-'user input'!$C$12)))</f>
        <v>0</v>
      </c>
    </row>
    <row r="1442" spans="1:6" x14ac:dyDescent="0.2">
      <c r="A1442" s="1">
        <v>41618</v>
      </c>
      <c r="B1442">
        <v>345</v>
      </c>
      <c r="C1442">
        <f>IF(B1442&gt;'user input'!$C$6,0,IF('heat units'!H1442&gt;1,1,'heat units'!H1442))</f>
        <v>0</v>
      </c>
      <c r="D1442">
        <f>IF(B1442&gt;'user input'!$C$6,0,(C1442/(C1442+EXP('user input'!$C$15-'user input'!$C$14*C1442))))</f>
        <v>0</v>
      </c>
      <c r="E1442">
        <f>IF(C1442&lt;'user input'!$C$12,(D1442-D1441)*'user input'!$C$17*(1-EXP(5*(F1441-'user input'!$C$17))),F1442-F1441)</f>
        <v>0</v>
      </c>
      <c r="F1442">
        <f>IF(C1442&lt;'user input'!$C$12,IF(B1442&gt;'user input'!$C$6,0,F1441+E1442),'user input'!$C$17*((1-C1442)/(1-'user input'!$C$12)))</f>
        <v>0</v>
      </c>
    </row>
    <row r="1443" spans="1:6" x14ac:dyDescent="0.2">
      <c r="A1443" s="1">
        <v>41619</v>
      </c>
      <c r="B1443">
        <v>346</v>
      </c>
      <c r="C1443">
        <f>IF(B1443&gt;'user input'!$C$6,0,IF('heat units'!H1443&gt;1,1,'heat units'!H1443))</f>
        <v>0</v>
      </c>
      <c r="D1443">
        <f>IF(B1443&gt;'user input'!$C$6,0,(C1443/(C1443+EXP('user input'!$C$15-'user input'!$C$14*C1443))))</f>
        <v>0</v>
      </c>
      <c r="E1443">
        <f>IF(C1443&lt;'user input'!$C$12,(D1443-D1442)*'user input'!$C$17*(1-EXP(5*(F1442-'user input'!$C$17))),F1443-F1442)</f>
        <v>0</v>
      </c>
      <c r="F1443">
        <f>IF(C1443&lt;'user input'!$C$12,IF(B1443&gt;'user input'!$C$6,0,F1442+E1443),'user input'!$C$17*((1-C1443)/(1-'user input'!$C$12)))</f>
        <v>0</v>
      </c>
    </row>
    <row r="1444" spans="1:6" x14ac:dyDescent="0.2">
      <c r="A1444" s="1">
        <v>41620</v>
      </c>
      <c r="B1444">
        <v>347</v>
      </c>
      <c r="C1444">
        <f>IF(B1444&gt;'user input'!$C$6,0,IF('heat units'!H1444&gt;1,1,'heat units'!H1444))</f>
        <v>0</v>
      </c>
      <c r="D1444">
        <f>IF(B1444&gt;'user input'!$C$6,0,(C1444/(C1444+EXP('user input'!$C$15-'user input'!$C$14*C1444))))</f>
        <v>0</v>
      </c>
      <c r="E1444">
        <f>IF(C1444&lt;'user input'!$C$12,(D1444-D1443)*'user input'!$C$17*(1-EXP(5*(F1443-'user input'!$C$17))),F1444-F1443)</f>
        <v>0</v>
      </c>
      <c r="F1444">
        <f>IF(C1444&lt;'user input'!$C$12,IF(B1444&gt;'user input'!$C$6,0,F1443+E1444),'user input'!$C$17*((1-C1444)/(1-'user input'!$C$12)))</f>
        <v>0</v>
      </c>
    </row>
    <row r="1445" spans="1:6" x14ac:dyDescent="0.2">
      <c r="A1445" s="1">
        <v>41621</v>
      </c>
      <c r="B1445">
        <v>348</v>
      </c>
      <c r="C1445">
        <f>IF(B1445&gt;'user input'!$C$6,0,IF('heat units'!H1445&gt;1,1,'heat units'!H1445))</f>
        <v>0</v>
      </c>
      <c r="D1445">
        <f>IF(B1445&gt;'user input'!$C$6,0,(C1445/(C1445+EXP('user input'!$C$15-'user input'!$C$14*C1445))))</f>
        <v>0</v>
      </c>
      <c r="E1445">
        <f>IF(C1445&lt;'user input'!$C$12,(D1445-D1444)*'user input'!$C$17*(1-EXP(5*(F1444-'user input'!$C$17))),F1445-F1444)</f>
        <v>0</v>
      </c>
      <c r="F1445">
        <f>IF(C1445&lt;'user input'!$C$12,IF(B1445&gt;'user input'!$C$6,0,F1444+E1445),'user input'!$C$17*((1-C1445)/(1-'user input'!$C$12)))</f>
        <v>0</v>
      </c>
    </row>
    <row r="1446" spans="1:6" x14ac:dyDescent="0.2">
      <c r="A1446" s="1">
        <v>41622</v>
      </c>
      <c r="B1446">
        <v>349</v>
      </c>
      <c r="C1446">
        <f>IF(B1446&gt;'user input'!$C$6,0,IF('heat units'!H1446&gt;1,1,'heat units'!H1446))</f>
        <v>0</v>
      </c>
      <c r="D1446">
        <f>IF(B1446&gt;'user input'!$C$6,0,(C1446/(C1446+EXP('user input'!$C$15-'user input'!$C$14*C1446))))</f>
        <v>0</v>
      </c>
      <c r="E1446">
        <f>IF(C1446&lt;'user input'!$C$12,(D1446-D1445)*'user input'!$C$17*(1-EXP(5*(F1445-'user input'!$C$17))),F1446-F1445)</f>
        <v>0</v>
      </c>
      <c r="F1446">
        <f>IF(C1446&lt;'user input'!$C$12,IF(B1446&gt;'user input'!$C$6,0,F1445+E1446),'user input'!$C$17*((1-C1446)/(1-'user input'!$C$12)))</f>
        <v>0</v>
      </c>
    </row>
    <row r="1447" spans="1:6" x14ac:dyDescent="0.2">
      <c r="A1447" s="1">
        <v>41623</v>
      </c>
      <c r="B1447">
        <v>350</v>
      </c>
      <c r="C1447">
        <f>IF(B1447&gt;'user input'!$C$6,0,IF('heat units'!H1447&gt;1,1,'heat units'!H1447))</f>
        <v>0</v>
      </c>
      <c r="D1447">
        <f>IF(B1447&gt;'user input'!$C$6,0,(C1447/(C1447+EXP('user input'!$C$15-'user input'!$C$14*C1447))))</f>
        <v>0</v>
      </c>
      <c r="E1447">
        <f>IF(C1447&lt;'user input'!$C$12,(D1447-D1446)*'user input'!$C$17*(1-EXP(5*(F1446-'user input'!$C$17))),F1447-F1446)</f>
        <v>0</v>
      </c>
      <c r="F1447">
        <f>IF(C1447&lt;'user input'!$C$12,IF(B1447&gt;'user input'!$C$6,0,F1446+E1447),'user input'!$C$17*((1-C1447)/(1-'user input'!$C$12)))</f>
        <v>0</v>
      </c>
    </row>
    <row r="1448" spans="1:6" x14ac:dyDescent="0.2">
      <c r="A1448" s="1">
        <v>41624</v>
      </c>
      <c r="B1448">
        <v>351</v>
      </c>
      <c r="C1448">
        <f>IF(B1448&gt;'user input'!$C$6,0,IF('heat units'!H1448&gt;1,1,'heat units'!H1448))</f>
        <v>0</v>
      </c>
      <c r="D1448">
        <f>IF(B1448&gt;'user input'!$C$6,0,(C1448/(C1448+EXP('user input'!$C$15-'user input'!$C$14*C1448))))</f>
        <v>0</v>
      </c>
      <c r="E1448">
        <f>IF(C1448&lt;'user input'!$C$12,(D1448-D1447)*'user input'!$C$17*(1-EXP(5*(F1447-'user input'!$C$17))),F1448-F1447)</f>
        <v>0</v>
      </c>
      <c r="F1448">
        <f>IF(C1448&lt;'user input'!$C$12,IF(B1448&gt;'user input'!$C$6,0,F1447+E1448),'user input'!$C$17*((1-C1448)/(1-'user input'!$C$12)))</f>
        <v>0</v>
      </c>
    </row>
    <row r="1449" spans="1:6" x14ac:dyDescent="0.2">
      <c r="A1449" s="1">
        <v>41625</v>
      </c>
      <c r="B1449">
        <v>352</v>
      </c>
      <c r="C1449">
        <f>IF(B1449&gt;'user input'!$C$6,0,IF('heat units'!H1449&gt;1,1,'heat units'!H1449))</f>
        <v>0</v>
      </c>
      <c r="D1449">
        <f>IF(B1449&gt;'user input'!$C$6,0,(C1449/(C1449+EXP('user input'!$C$15-'user input'!$C$14*C1449))))</f>
        <v>0</v>
      </c>
      <c r="E1449">
        <f>IF(C1449&lt;'user input'!$C$12,(D1449-D1448)*'user input'!$C$17*(1-EXP(5*(F1448-'user input'!$C$17))),F1449-F1448)</f>
        <v>0</v>
      </c>
      <c r="F1449">
        <f>IF(C1449&lt;'user input'!$C$12,IF(B1449&gt;'user input'!$C$6,0,F1448+E1449),'user input'!$C$17*((1-C1449)/(1-'user input'!$C$12)))</f>
        <v>0</v>
      </c>
    </row>
    <row r="1450" spans="1:6" x14ac:dyDescent="0.2">
      <c r="A1450" s="1">
        <v>41626</v>
      </c>
      <c r="B1450">
        <v>353</v>
      </c>
      <c r="C1450">
        <f>IF(B1450&gt;'user input'!$C$6,0,IF('heat units'!H1450&gt;1,1,'heat units'!H1450))</f>
        <v>0</v>
      </c>
      <c r="D1450">
        <f>IF(B1450&gt;'user input'!$C$6,0,(C1450/(C1450+EXP('user input'!$C$15-'user input'!$C$14*C1450))))</f>
        <v>0</v>
      </c>
      <c r="E1450">
        <f>IF(C1450&lt;'user input'!$C$12,(D1450-D1449)*'user input'!$C$17*(1-EXP(5*(F1449-'user input'!$C$17))),F1450-F1449)</f>
        <v>0</v>
      </c>
      <c r="F1450">
        <f>IF(C1450&lt;'user input'!$C$12,IF(B1450&gt;'user input'!$C$6,0,F1449+E1450),'user input'!$C$17*((1-C1450)/(1-'user input'!$C$12)))</f>
        <v>0</v>
      </c>
    </row>
    <row r="1451" spans="1:6" x14ac:dyDescent="0.2">
      <c r="A1451" s="1">
        <v>41627</v>
      </c>
      <c r="B1451">
        <v>354</v>
      </c>
      <c r="C1451">
        <f>IF(B1451&gt;'user input'!$C$6,0,IF('heat units'!H1451&gt;1,1,'heat units'!H1451))</f>
        <v>0</v>
      </c>
      <c r="D1451">
        <f>IF(B1451&gt;'user input'!$C$6,0,(C1451/(C1451+EXP('user input'!$C$15-'user input'!$C$14*C1451))))</f>
        <v>0</v>
      </c>
      <c r="E1451">
        <f>IF(C1451&lt;'user input'!$C$12,(D1451-D1450)*'user input'!$C$17*(1-EXP(5*(F1450-'user input'!$C$17))),F1451-F1450)</f>
        <v>0</v>
      </c>
      <c r="F1451">
        <f>IF(C1451&lt;'user input'!$C$12,IF(B1451&gt;'user input'!$C$6,0,F1450+E1451),'user input'!$C$17*((1-C1451)/(1-'user input'!$C$12)))</f>
        <v>0</v>
      </c>
    </row>
    <row r="1452" spans="1:6" x14ac:dyDescent="0.2">
      <c r="A1452" s="1">
        <v>41628</v>
      </c>
      <c r="B1452">
        <v>355</v>
      </c>
      <c r="C1452">
        <f>IF(B1452&gt;'user input'!$C$6,0,IF('heat units'!H1452&gt;1,1,'heat units'!H1452))</f>
        <v>0</v>
      </c>
      <c r="D1452">
        <f>IF(B1452&gt;'user input'!$C$6,0,(C1452/(C1452+EXP('user input'!$C$15-'user input'!$C$14*C1452))))</f>
        <v>0</v>
      </c>
      <c r="E1452">
        <f>IF(C1452&lt;'user input'!$C$12,(D1452-D1451)*'user input'!$C$17*(1-EXP(5*(F1451-'user input'!$C$17))),F1452-F1451)</f>
        <v>0</v>
      </c>
      <c r="F1452">
        <f>IF(C1452&lt;'user input'!$C$12,IF(B1452&gt;'user input'!$C$6,0,F1451+E1452),'user input'!$C$17*((1-C1452)/(1-'user input'!$C$12)))</f>
        <v>0</v>
      </c>
    </row>
    <row r="1453" spans="1:6" x14ac:dyDescent="0.2">
      <c r="A1453" s="1">
        <v>41629</v>
      </c>
      <c r="B1453">
        <v>356</v>
      </c>
      <c r="C1453">
        <f>IF(B1453&gt;'user input'!$C$6,0,IF('heat units'!H1453&gt;1,1,'heat units'!H1453))</f>
        <v>0</v>
      </c>
      <c r="D1453">
        <f>IF(B1453&gt;'user input'!$C$6,0,(C1453/(C1453+EXP('user input'!$C$15-'user input'!$C$14*C1453))))</f>
        <v>0</v>
      </c>
      <c r="E1453">
        <f>IF(C1453&lt;'user input'!$C$12,(D1453-D1452)*'user input'!$C$17*(1-EXP(5*(F1452-'user input'!$C$17))),F1453-F1452)</f>
        <v>0</v>
      </c>
      <c r="F1453">
        <f>IF(C1453&lt;'user input'!$C$12,IF(B1453&gt;'user input'!$C$6,0,F1452+E1453),'user input'!$C$17*((1-C1453)/(1-'user input'!$C$12)))</f>
        <v>0</v>
      </c>
    </row>
    <row r="1454" spans="1:6" x14ac:dyDescent="0.2">
      <c r="A1454" s="1">
        <v>41630</v>
      </c>
      <c r="B1454">
        <v>357</v>
      </c>
      <c r="C1454">
        <f>IF(B1454&gt;'user input'!$C$6,0,IF('heat units'!H1454&gt;1,1,'heat units'!H1454))</f>
        <v>0</v>
      </c>
      <c r="D1454">
        <f>IF(B1454&gt;'user input'!$C$6,0,(C1454/(C1454+EXP('user input'!$C$15-'user input'!$C$14*C1454))))</f>
        <v>0</v>
      </c>
      <c r="E1454">
        <f>IF(C1454&lt;'user input'!$C$12,(D1454-D1453)*'user input'!$C$17*(1-EXP(5*(F1453-'user input'!$C$17))),F1454-F1453)</f>
        <v>0</v>
      </c>
      <c r="F1454">
        <f>IF(C1454&lt;'user input'!$C$12,IF(B1454&gt;'user input'!$C$6,0,F1453+E1454),'user input'!$C$17*((1-C1454)/(1-'user input'!$C$12)))</f>
        <v>0</v>
      </c>
    </row>
    <row r="1455" spans="1:6" x14ac:dyDescent="0.2">
      <c r="A1455" s="1">
        <v>41631</v>
      </c>
      <c r="B1455">
        <v>358</v>
      </c>
      <c r="C1455">
        <f>IF(B1455&gt;'user input'!$C$6,0,IF('heat units'!H1455&gt;1,1,'heat units'!H1455))</f>
        <v>0</v>
      </c>
      <c r="D1455">
        <f>IF(B1455&gt;'user input'!$C$6,0,(C1455/(C1455+EXP('user input'!$C$15-'user input'!$C$14*C1455))))</f>
        <v>0</v>
      </c>
      <c r="E1455">
        <f>IF(C1455&lt;'user input'!$C$12,(D1455-D1454)*'user input'!$C$17*(1-EXP(5*(F1454-'user input'!$C$17))),F1455-F1454)</f>
        <v>0</v>
      </c>
      <c r="F1455">
        <f>IF(C1455&lt;'user input'!$C$12,IF(B1455&gt;'user input'!$C$6,0,F1454+E1455),'user input'!$C$17*((1-C1455)/(1-'user input'!$C$12)))</f>
        <v>0</v>
      </c>
    </row>
    <row r="1456" spans="1:6" x14ac:dyDescent="0.2">
      <c r="A1456" s="1">
        <v>41632</v>
      </c>
      <c r="B1456">
        <v>359</v>
      </c>
      <c r="C1456">
        <f>IF(B1456&gt;'user input'!$C$6,0,IF('heat units'!H1456&gt;1,1,'heat units'!H1456))</f>
        <v>0</v>
      </c>
      <c r="D1456">
        <f>IF(B1456&gt;'user input'!$C$6,0,(C1456/(C1456+EXP('user input'!$C$15-'user input'!$C$14*C1456))))</f>
        <v>0</v>
      </c>
      <c r="E1456">
        <f>IF(C1456&lt;'user input'!$C$12,(D1456-D1455)*'user input'!$C$17*(1-EXP(5*(F1455-'user input'!$C$17))),F1456-F1455)</f>
        <v>0</v>
      </c>
      <c r="F1456">
        <f>IF(C1456&lt;'user input'!$C$12,IF(B1456&gt;'user input'!$C$6,0,F1455+E1456),'user input'!$C$17*((1-C1456)/(1-'user input'!$C$12)))</f>
        <v>0</v>
      </c>
    </row>
    <row r="1457" spans="1:6" x14ac:dyDescent="0.2">
      <c r="A1457" s="1">
        <v>41633</v>
      </c>
      <c r="B1457">
        <v>360</v>
      </c>
      <c r="C1457">
        <f>IF(B1457&gt;'user input'!$C$6,0,IF('heat units'!H1457&gt;1,1,'heat units'!H1457))</f>
        <v>0</v>
      </c>
      <c r="D1457">
        <f>IF(B1457&gt;'user input'!$C$6,0,(C1457/(C1457+EXP('user input'!$C$15-'user input'!$C$14*C1457))))</f>
        <v>0</v>
      </c>
      <c r="E1457">
        <f>IF(C1457&lt;'user input'!$C$12,(D1457-D1456)*'user input'!$C$17*(1-EXP(5*(F1456-'user input'!$C$17))),F1457-F1456)</f>
        <v>0</v>
      </c>
      <c r="F1457">
        <f>IF(C1457&lt;'user input'!$C$12,IF(B1457&gt;'user input'!$C$6,0,F1456+E1457),'user input'!$C$17*((1-C1457)/(1-'user input'!$C$12)))</f>
        <v>0</v>
      </c>
    </row>
    <row r="1458" spans="1:6" x14ac:dyDescent="0.2">
      <c r="A1458" s="1">
        <v>41634</v>
      </c>
      <c r="B1458">
        <v>361</v>
      </c>
      <c r="C1458">
        <f>IF(B1458&gt;'user input'!$C$6,0,IF('heat units'!H1458&gt;1,1,'heat units'!H1458))</f>
        <v>0</v>
      </c>
      <c r="D1458">
        <f>IF(B1458&gt;'user input'!$C$6,0,(C1458/(C1458+EXP('user input'!$C$15-'user input'!$C$14*C1458))))</f>
        <v>0</v>
      </c>
      <c r="E1458">
        <f>IF(C1458&lt;'user input'!$C$12,(D1458-D1457)*'user input'!$C$17*(1-EXP(5*(F1457-'user input'!$C$17))),F1458-F1457)</f>
        <v>0</v>
      </c>
      <c r="F1458">
        <f>IF(C1458&lt;'user input'!$C$12,IF(B1458&gt;'user input'!$C$6,0,F1457+E1458),'user input'!$C$17*((1-C1458)/(1-'user input'!$C$12)))</f>
        <v>0</v>
      </c>
    </row>
    <row r="1459" spans="1:6" x14ac:dyDescent="0.2">
      <c r="A1459" s="1">
        <v>41635</v>
      </c>
      <c r="B1459">
        <v>362</v>
      </c>
      <c r="C1459">
        <f>IF(B1459&gt;'user input'!$C$6,0,IF('heat units'!H1459&gt;1,1,'heat units'!H1459))</f>
        <v>0</v>
      </c>
      <c r="D1459">
        <f>IF(B1459&gt;'user input'!$C$6,0,(C1459/(C1459+EXP('user input'!$C$15-'user input'!$C$14*C1459))))</f>
        <v>0</v>
      </c>
      <c r="E1459">
        <f>IF(C1459&lt;'user input'!$C$12,(D1459-D1458)*'user input'!$C$17*(1-EXP(5*(F1458-'user input'!$C$17))),F1459-F1458)</f>
        <v>0</v>
      </c>
      <c r="F1459">
        <f>IF(C1459&lt;'user input'!$C$12,IF(B1459&gt;'user input'!$C$6,0,F1458+E1459),'user input'!$C$17*((1-C1459)/(1-'user input'!$C$12)))</f>
        <v>0</v>
      </c>
    </row>
    <row r="1460" spans="1:6" x14ac:dyDescent="0.2">
      <c r="A1460" s="1">
        <v>41636</v>
      </c>
      <c r="B1460">
        <v>363</v>
      </c>
      <c r="C1460">
        <f>IF(B1460&gt;'user input'!$C$6,0,IF('heat units'!H1460&gt;1,1,'heat units'!H1460))</f>
        <v>0</v>
      </c>
      <c r="D1460">
        <f>IF(B1460&gt;'user input'!$C$6,0,(C1460/(C1460+EXP('user input'!$C$15-'user input'!$C$14*C1460))))</f>
        <v>0</v>
      </c>
      <c r="E1460">
        <f>IF(C1460&lt;'user input'!$C$12,(D1460-D1459)*'user input'!$C$17*(1-EXP(5*(F1459-'user input'!$C$17))),F1460-F1459)</f>
        <v>0</v>
      </c>
      <c r="F1460">
        <f>IF(C1460&lt;'user input'!$C$12,IF(B1460&gt;'user input'!$C$6,0,F1459+E1460),'user input'!$C$17*((1-C1460)/(1-'user input'!$C$12)))</f>
        <v>0</v>
      </c>
    </row>
    <row r="1461" spans="1:6" x14ac:dyDescent="0.2">
      <c r="A1461" s="1">
        <v>41637</v>
      </c>
      <c r="B1461">
        <v>364</v>
      </c>
      <c r="C1461">
        <f>IF(B1461&gt;'user input'!$C$6,0,IF('heat units'!H1461&gt;1,1,'heat units'!H1461))</f>
        <v>0</v>
      </c>
      <c r="D1461">
        <f>IF(B1461&gt;'user input'!$C$6,0,(C1461/(C1461+EXP('user input'!$C$15-'user input'!$C$14*C1461))))</f>
        <v>0</v>
      </c>
      <c r="E1461">
        <f>IF(C1461&lt;'user input'!$C$12,(D1461-D1460)*'user input'!$C$17*(1-EXP(5*(F1460-'user input'!$C$17))),F1461-F1460)</f>
        <v>0</v>
      </c>
      <c r="F1461">
        <f>IF(C1461&lt;'user input'!$C$12,IF(B1461&gt;'user input'!$C$6,0,F1460+E1461),'user input'!$C$17*((1-C1461)/(1-'user input'!$C$12)))</f>
        <v>0</v>
      </c>
    </row>
    <row r="1462" spans="1:6" x14ac:dyDescent="0.2">
      <c r="A1462" s="1">
        <v>41638</v>
      </c>
      <c r="B1462">
        <v>365</v>
      </c>
      <c r="C1462">
        <f>IF(B1462&gt;'user input'!$C$6,0,IF('heat units'!H1462&gt;1,1,'heat units'!H1462))</f>
        <v>0</v>
      </c>
      <c r="D1462">
        <f>IF(B1462&gt;'user input'!$C$6,0,(C1462/(C1462+EXP('user input'!$C$15-'user input'!$C$14*C1462))))</f>
        <v>0</v>
      </c>
      <c r="E1462">
        <f>IF(C1462&lt;'user input'!$C$12,(D1462-D1461)*'user input'!$C$17*(1-EXP(5*(F1461-'user input'!$C$17))),F1462-F1461)</f>
        <v>0</v>
      </c>
      <c r="F1462">
        <f>IF(C1462&lt;'user input'!$C$12,IF(B1462&gt;'user input'!$C$6,0,F1461+E1462),'user input'!$C$17*((1-C1462)/(1-'user input'!$C$12)))</f>
        <v>0</v>
      </c>
    </row>
    <row r="1463" spans="1:6" x14ac:dyDescent="0.2">
      <c r="A1463" s="1">
        <v>41639</v>
      </c>
      <c r="B1463">
        <v>1</v>
      </c>
      <c r="C1463">
        <f>IF(B1463&gt;'user input'!$C$6,0,IF('heat units'!H1463&gt;1,1,'heat units'!H1463))</f>
        <v>0</v>
      </c>
      <c r="D1463">
        <f>IF(B1463&gt;'user input'!$C$6,0,(C1463/(C1463+EXP('user input'!$C$15-'user input'!$C$14*C1463))))</f>
        <v>0</v>
      </c>
      <c r="E1463">
        <f>IF(C1463&lt;'user input'!$C$12,(D1463-D1462)*'user input'!$C$17*(1-EXP(5*(F1462-'user input'!$C$17))),F1463-F1462)</f>
        <v>0</v>
      </c>
      <c r="F1463">
        <f>IF(C1463&lt;'user input'!$C$12,IF(B1463&gt;'user input'!$C$6,0,F1462+E1463),'user input'!$C$17*((1-C1463)/(1-'user input'!$C$12)))</f>
        <v>0</v>
      </c>
    </row>
    <row r="1464" spans="1:6" x14ac:dyDescent="0.2">
      <c r="A1464" s="1">
        <v>41640</v>
      </c>
      <c r="B1464">
        <v>2</v>
      </c>
      <c r="C1464">
        <f>IF(B1464&gt;'user input'!$C$6,0,IF('heat units'!H1464&gt;1,1,'heat units'!H1464))</f>
        <v>0</v>
      </c>
      <c r="D1464">
        <f>IF(B1464&gt;'user input'!$C$6,0,(C1464/(C1464+EXP('user input'!$C$15-'user input'!$C$14*C1464))))</f>
        <v>0</v>
      </c>
      <c r="E1464">
        <f>IF(C1464&lt;'user input'!$C$12,(D1464-D1463)*'user input'!$C$17*(1-EXP(5*(F1463-'user input'!$C$17))),F1464-F1463)</f>
        <v>0</v>
      </c>
      <c r="F1464">
        <f>IF(C1464&lt;'user input'!$C$12,IF(B1464&gt;'user input'!$C$6,0,F1463+E1464),'user input'!$C$17*((1-C1464)/(1-'user input'!$C$12)))</f>
        <v>0</v>
      </c>
    </row>
    <row r="1465" spans="1:6" x14ac:dyDescent="0.2">
      <c r="A1465" s="1">
        <v>41641</v>
      </c>
      <c r="B1465">
        <v>3</v>
      </c>
      <c r="C1465">
        <f>IF(B1465&gt;'user input'!$C$6,0,IF('heat units'!H1465&gt;1,1,'heat units'!H1465))</f>
        <v>0</v>
      </c>
      <c r="D1465">
        <f>IF(B1465&gt;'user input'!$C$6,0,(C1465/(C1465+EXP('user input'!$C$15-'user input'!$C$14*C1465))))</f>
        <v>0</v>
      </c>
      <c r="E1465">
        <f>IF(C1465&lt;'user input'!$C$12,(D1465-D1464)*'user input'!$C$17*(1-EXP(5*(F1464-'user input'!$C$17))),F1465-F1464)</f>
        <v>0</v>
      </c>
      <c r="F1465">
        <f>IF(C1465&lt;'user input'!$C$12,IF(B1465&gt;'user input'!$C$6,0,F1464+E1465),'user input'!$C$17*((1-C1465)/(1-'user input'!$C$12)))</f>
        <v>0</v>
      </c>
    </row>
    <row r="1466" spans="1:6" x14ac:dyDescent="0.2">
      <c r="A1466" s="1">
        <v>41642</v>
      </c>
      <c r="B1466">
        <v>4</v>
      </c>
      <c r="C1466">
        <f>IF(B1466&gt;'user input'!$C$6,0,IF('heat units'!H1466&gt;1,1,'heat units'!H1466))</f>
        <v>0</v>
      </c>
      <c r="D1466">
        <f>IF(B1466&gt;'user input'!$C$6,0,(C1466/(C1466+EXP('user input'!$C$15-'user input'!$C$14*C1466))))</f>
        <v>0</v>
      </c>
      <c r="E1466">
        <f>IF(C1466&lt;'user input'!$C$12,(D1466-D1465)*'user input'!$C$17*(1-EXP(5*(F1465-'user input'!$C$17))),F1466-F1465)</f>
        <v>0</v>
      </c>
      <c r="F1466">
        <f>IF(C1466&lt;'user input'!$C$12,IF(B1466&gt;'user input'!$C$6,0,F1465+E1466),'user input'!$C$17*((1-C1466)/(1-'user input'!$C$12)))</f>
        <v>0</v>
      </c>
    </row>
    <row r="1467" spans="1:6" x14ac:dyDescent="0.2">
      <c r="A1467" s="1">
        <v>41643</v>
      </c>
      <c r="B1467">
        <v>5</v>
      </c>
      <c r="C1467">
        <f>IF(B1467&gt;'user input'!$C$6,0,IF('heat units'!H1467&gt;1,1,'heat units'!H1467))</f>
        <v>0</v>
      </c>
      <c r="D1467">
        <f>IF(B1467&gt;'user input'!$C$6,0,(C1467/(C1467+EXP('user input'!$C$15-'user input'!$C$14*C1467))))</f>
        <v>0</v>
      </c>
      <c r="E1467">
        <f>IF(C1467&lt;'user input'!$C$12,(D1467-D1466)*'user input'!$C$17*(1-EXP(5*(F1466-'user input'!$C$17))),F1467-F1466)</f>
        <v>0</v>
      </c>
      <c r="F1467">
        <f>IF(C1467&lt;'user input'!$C$12,IF(B1467&gt;'user input'!$C$6,0,F1466+E1467),'user input'!$C$17*((1-C1467)/(1-'user input'!$C$12)))</f>
        <v>0</v>
      </c>
    </row>
    <row r="1468" spans="1:6" x14ac:dyDescent="0.2">
      <c r="A1468" s="1">
        <v>41644</v>
      </c>
      <c r="B1468">
        <v>6</v>
      </c>
      <c r="C1468">
        <f>IF(B1468&gt;'user input'!$C$6,0,IF('heat units'!H1468&gt;1,1,'heat units'!H1468))</f>
        <v>0</v>
      </c>
      <c r="D1468">
        <f>IF(B1468&gt;'user input'!$C$6,0,(C1468/(C1468+EXP('user input'!$C$15-'user input'!$C$14*C1468))))</f>
        <v>0</v>
      </c>
      <c r="E1468">
        <f>IF(C1468&lt;'user input'!$C$12,(D1468-D1467)*'user input'!$C$17*(1-EXP(5*(F1467-'user input'!$C$17))),F1468-F1467)</f>
        <v>0</v>
      </c>
      <c r="F1468">
        <f>IF(C1468&lt;'user input'!$C$12,IF(B1468&gt;'user input'!$C$6,0,F1467+E1468),'user input'!$C$17*((1-C1468)/(1-'user input'!$C$12)))</f>
        <v>0</v>
      </c>
    </row>
    <row r="1469" spans="1:6" x14ac:dyDescent="0.2">
      <c r="A1469" s="1">
        <v>41645</v>
      </c>
      <c r="B1469">
        <v>7</v>
      </c>
      <c r="C1469">
        <f>IF(B1469&gt;'user input'!$C$6,0,IF('heat units'!H1469&gt;1,1,'heat units'!H1469))</f>
        <v>0</v>
      </c>
      <c r="D1469">
        <f>IF(B1469&gt;'user input'!$C$6,0,(C1469/(C1469+EXP('user input'!$C$15-'user input'!$C$14*C1469))))</f>
        <v>0</v>
      </c>
      <c r="E1469">
        <f>IF(C1469&lt;'user input'!$C$12,(D1469-D1468)*'user input'!$C$17*(1-EXP(5*(F1468-'user input'!$C$17))),F1469-F1468)</f>
        <v>0</v>
      </c>
      <c r="F1469">
        <f>IF(C1469&lt;'user input'!$C$12,IF(B1469&gt;'user input'!$C$6,0,F1468+E1469),'user input'!$C$17*((1-C1469)/(1-'user input'!$C$12)))</f>
        <v>0</v>
      </c>
    </row>
    <row r="1470" spans="1:6" x14ac:dyDescent="0.2">
      <c r="A1470" s="1">
        <v>41646</v>
      </c>
      <c r="B1470">
        <v>8</v>
      </c>
      <c r="C1470">
        <f>IF(B1470&gt;'user input'!$C$6,0,IF('heat units'!H1470&gt;1,1,'heat units'!H1470))</f>
        <v>0</v>
      </c>
      <c r="D1470">
        <f>IF(B1470&gt;'user input'!$C$6,0,(C1470/(C1470+EXP('user input'!$C$15-'user input'!$C$14*C1470))))</f>
        <v>0</v>
      </c>
      <c r="E1470">
        <f>IF(C1470&lt;'user input'!$C$12,(D1470-D1469)*'user input'!$C$17*(1-EXP(5*(F1469-'user input'!$C$17))),F1470-F1469)</f>
        <v>0</v>
      </c>
      <c r="F1470">
        <f>IF(C1470&lt;'user input'!$C$12,IF(B1470&gt;'user input'!$C$6,0,F1469+E1470),'user input'!$C$17*((1-C1470)/(1-'user input'!$C$12)))</f>
        <v>0</v>
      </c>
    </row>
    <row r="1471" spans="1:6" x14ac:dyDescent="0.2">
      <c r="A1471" s="1">
        <v>41647</v>
      </c>
      <c r="B1471">
        <v>9</v>
      </c>
      <c r="C1471">
        <f>IF(B1471&gt;'user input'!$C$6,0,IF('heat units'!H1471&gt;1,1,'heat units'!H1471))</f>
        <v>0</v>
      </c>
      <c r="D1471">
        <f>IF(B1471&gt;'user input'!$C$6,0,(C1471/(C1471+EXP('user input'!$C$15-'user input'!$C$14*C1471))))</f>
        <v>0</v>
      </c>
      <c r="E1471">
        <f>IF(C1471&lt;'user input'!$C$12,(D1471-D1470)*'user input'!$C$17*(1-EXP(5*(F1470-'user input'!$C$17))),F1471-F1470)</f>
        <v>0</v>
      </c>
      <c r="F1471">
        <f>IF(C1471&lt;'user input'!$C$12,IF(B1471&gt;'user input'!$C$6,0,F1470+E1471),'user input'!$C$17*((1-C1471)/(1-'user input'!$C$12)))</f>
        <v>0</v>
      </c>
    </row>
    <row r="1472" spans="1:6" x14ac:dyDescent="0.2">
      <c r="A1472" s="1">
        <v>41648</v>
      </c>
      <c r="B1472">
        <v>10</v>
      </c>
      <c r="C1472">
        <f>IF(B1472&gt;'user input'!$C$6,0,IF('heat units'!H1472&gt;1,1,'heat units'!H1472))</f>
        <v>0</v>
      </c>
      <c r="D1472">
        <f>IF(B1472&gt;'user input'!$C$6,0,(C1472/(C1472+EXP('user input'!$C$15-'user input'!$C$14*C1472))))</f>
        <v>0</v>
      </c>
      <c r="E1472">
        <f>IF(C1472&lt;'user input'!$C$12,(D1472-D1471)*'user input'!$C$17*(1-EXP(5*(F1471-'user input'!$C$17))),F1472-F1471)</f>
        <v>0</v>
      </c>
      <c r="F1472">
        <f>IF(C1472&lt;'user input'!$C$12,IF(B1472&gt;'user input'!$C$6,0,F1471+E1472),'user input'!$C$17*((1-C1472)/(1-'user input'!$C$12)))</f>
        <v>0</v>
      </c>
    </row>
    <row r="1473" spans="1:6" x14ac:dyDescent="0.2">
      <c r="A1473" s="1">
        <v>41649</v>
      </c>
      <c r="B1473">
        <v>11</v>
      </c>
      <c r="C1473">
        <f>IF(B1473&gt;'user input'!$C$6,0,IF('heat units'!H1473&gt;1,1,'heat units'!H1473))</f>
        <v>0</v>
      </c>
      <c r="D1473">
        <f>IF(B1473&gt;'user input'!$C$6,0,(C1473/(C1473+EXP('user input'!$C$15-'user input'!$C$14*C1473))))</f>
        <v>0</v>
      </c>
      <c r="E1473">
        <f>IF(C1473&lt;'user input'!$C$12,(D1473-D1472)*'user input'!$C$17*(1-EXP(5*(F1472-'user input'!$C$17))),F1473-F1472)</f>
        <v>0</v>
      </c>
      <c r="F1473">
        <f>IF(C1473&lt;'user input'!$C$12,IF(B1473&gt;'user input'!$C$6,0,F1472+E1473),'user input'!$C$17*((1-C1473)/(1-'user input'!$C$12)))</f>
        <v>0</v>
      </c>
    </row>
    <row r="1474" spans="1:6" x14ac:dyDescent="0.2">
      <c r="A1474" s="1">
        <v>41650</v>
      </c>
      <c r="B1474">
        <v>12</v>
      </c>
      <c r="C1474">
        <f>IF(B1474&gt;'user input'!$C$6,0,IF('heat units'!H1474&gt;1,1,'heat units'!H1474))</f>
        <v>0</v>
      </c>
      <c r="D1474">
        <f>IF(B1474&gt;'user input'!$C$6,0,(C1474/(C1474+EXP('user input'!$C$15-'user input'!$C$14*C1474))))</f>
        <v>0</v>
      </c>
      <c r="E1474">
        <f>IF(C1474&lt;'user input'!$C$12,(D1474-D1473)*'user input'!$C$17*(1-EXP(5*(F1473-'user input'!$C$17))),F1474-F1473)</f>
        <v>0</v>
      </c>
      <c r="F1474">
        <f>IF(C1474&lt;'user input'!$C$12,IF(B1474&gt;'user input'!$C$6,0,F1473+E1474),'user input'!$C$17*((1-C1474)/(1-'user input'!$C$12)))</f>
        <v>0</v>
      </c>
    </row>
    <row r="1475" spans="1:6" x14ac:dyDescent="0.2">
      <c r="A1475" s="1">
        <v>41651</v>
      </c>
      <c r="B1475">
        <v>13</v>
      </c>
      <c r="C1475">
        <f>IF(B1475&gt;'user input'!$C$6,0,IF('heat units'!H1475&gt;1,1,'heat units'!H1475))</f>
        <v>0</v>
      </c>
      <c r="D1475">
        <f>IF(B1475&gt;'user input'!$C$6,0,(C1475/(C1475+EXP('user input'!$C$15-'user input'!$C$14*C1475))))</f>
        <v>0</v>
      </c>
      <c r="E1475">
        <f>IF(C1475&lt;'user input'!$C$12,(D1475-D1474)*'user input'!$C$17*(1-EXP(5*(F1474-'user input'!$C$17))),F1475-F1474)</f>
        <v>0</v>
      </c>
      <c r="F1475">
        <f>IF(C1475&lt;'user input'!$C$12,IF(B1475&gt;'user input'!$C$6,0,F1474+E1475),'user input'!$C$17*((1-C1475)/(1-'user input'!$C$12)))</f>
        <v>0</v>
      </c>
    </row>
    <row r="1476" spans="1:6" x14ac:dyDescent="0.2">
      <c r="A1476" s="1">
        <v>41652</v>
      </c>
      <c r="B1476">
        <v>14</v>
      </c>
      <c r="C1476">
        <f>IF(B1476&gt;'user input'!$C$6,0,IF('heat units'!H1476&gt;1,1,'heat units'!H1476))</f>
        <v>0</v>
      </c>
      <c r="D1476">
        <f>IF(B1476&gt;'user input'!$C$6,0,(C1476/(C1476+EXP('user input'!$C$15-'user input'!$C$14*C1476))))</f>
        <v>0</v>
      </c>
      <c r="E1476">
        <f>IF(C1476&lt;'user input'!$C$12,(D1476-D1475)*'user input'!$C$17*(1-EXP(5*(F1475-'user input'!$C$17))),F1476-F1475)</f>
        <v>0</v>
      </c>
      <c r="F1476">
        <f>IF(C1476&lt;'user input'!$C$12,IF(B1476&gt;'user input'!$C$6,0,F1475+E1476),'user input'!$C$17*((1-C1476)/(1-'user input'!$C$12)))</f>
        <v>0</v>
      </c>
    </row>
    <row r="1477" spans="1:6" x14ac:dyDescent="0.2">
      <c r="A1477" s="1">
        <v>41653</v>
      </c>
      <c r="B1477">
        <v>15</v>
      </c>
      <c r="C1477">
        <f>IF(B1477&gt;'user input'!$C$6,0,IF('heat units'!H1477&gt;1,1,'heat units'!H1477))</f>
        <v>0</v>
      </c>
      <c r="D1477">
        <f>IF(B1477&gt;'user input'!$C$6,0,(C1477/(C1477+EXP('user input'!$C$15-'user input'!$C$14*C1477))))</f>
        <v>0</v>
      </c>
      <c r="E1477">
        <f>IF(C1477&lt;'user input'!$C$12,(D1477-D1476)*'user input'!$C$17*(1-EXP(5*(F1476-'user input'!$C$17))),F1477-F1476)</f>
        <v>0</v>
      </c>
      <c r="F1477">
        <f>IF(C1477&lt;'user input'!$C$12,IF(B1477&gt;'user input'!$C$6,0,F1476+E1477),'user input'!$C$17*((1-C1477)/(1-'user input'!$C$12)))</f>
        <v>0</v>
      </c>
    </row>
    <row r="1478" spans="1:6" x14ac:dyDescent="0.2">
      <c r="A1478" s="1">
        <v>41654</v>
      </c>
      <c r="B1478">
        <v>16</v>
      </c>
      <c r="C1478">
        <f>IF(B1478&gt;'user input'!$C$6,0,IF('heat units'!H1478&gt;1,1,'heat units'!H1478))</f>
        <v>0</v>
      </c>
      <c r="D1478">
        <f>IF(B1478&gt;'user input'!$C$6,0,(C1478/(C1478+EXP('user input'!$C$15-'user input'!$C$14*C1478))))</f>
        <v>0</v>
      </c>
      <c r="E1478">
        <f>IF(C1478&lt;'user input'!$C$12,(D1478-D1477)*'user input'!$C$17*(1-EXP(5*(F1477-'user input'!$C$17))),F1478-F1477)</f>
        <v>0</v>
      </c>
      <c r="F1478">
        <f>IF(C1478&lt;'user input'!$C$12,IF(B1478&gt;'user input'!$C$6,0,F1477+E1478),'user input'!$C$17*((1-C1478)/(1-'user input'!$C$12)))</f>
        <v>0</v>
      </c>
    </row>
    <row r="1479" spans="1:6" x14ac:dyDescent="0.2">
      <c r="A1479" s="1">
        <v>41655</v>
      </c>
      <c r="B1479">
        <v>17</v>
      </c>
      <c r="C1479">
        <f>IF(B1479&gt;'user input'!$C$6,0,IF('heat units'!H1479&gt;1,1,'heat units'!H1479))</f>
        <v>0</v>
      </c>
      <c r="D1479">
        <f>IF(B1479&gt;'user input'!$C$6,0,(C1479/(C1479+EXP('user input'!$C$15-'user input'!$C$14*C1479))))</f>
        <v>0</v>
      </c>
      <c r="E1479">
        <f>IF(C1479&lt;'user input'!$C$12,(D1479-D1478)*'user input'!$C$17*(1-EXP(5*(F1478-'user input'!$C$17))),F1479-F1478)</f>
        <v>0</v>
      </c>
      <c r="F1479">
        <f>IF(C1479&lt;'user input'!$C$12,IF(B1479&gt;'user input'!$C$6,0,F1478+E1479),'user input'!$C$17*((1-C1479)/(1-'user input'!$C$12)))</f>
        <v>0</v>
      </c>
    </row>
    <row r="1480" spans="1:6" x14ac:dyDescent="0.2">
      <c r="A1480" s="1">
        <v>41656</v>
      </c>
      <c r="B1480">
        <v>18</v>
      </c>
      <c r="C1480">
        <f>IF(B1480&gt;'user input'!$C$6,0,IF('heat units'!H1480&gt;1,1,'heat units'!H1480))</f>
        <v>0</v>
      </c>
      <c r="D1480">
        <f>IF(B1480&gt;'user input'!$C$6,0,(C1480/(C1480+EXP('user input'!$C$15-'user input'!$C$14*C1480))))</f>
        <v>0</v>
      </c>
      <c r="E1480">
        <f>IF(C1480&lt;'user input'!$C$12,(D1480-D1479)*'user input'!$C$17*(1-EXP(5*(F1479-'user input'!$C$17))),F1480-F1479)</f>
        <v>0</v>
      </c>
      <c r="F1480">
        <f>IF(C1480&lt;'user input'!$C$12,IF(B1480&gt;'user input'!$C$6,0,F1479+E1480),'user input'!$C$17*((1-C1480)/(1-'user input'!$C$12)))</f>
        <v>0</v>
      </c>
    </row>
    <row r="1481" spans="1:6" x14ac:dyDescent="0.2">
      <c r="A1481" s="1">
        <v>41657</v>
      </c>
      <c r="B1481">
        <v>19</v>
      </c>
      <c r="C1481">
        <f>IF(B1481&gt;'user input'!$C$6,0,IF('heat units'!H1481&gt;1,1,'heat units'!H1481))</f>
        <v>0</v>
      </c>
      <c r="D1481">
        <f>IF(B1481&gt;'user input'!$C$6,0,(C1481/(C1481+EXP('user input'!$C$15-'user input'!$C$14*C1481))))</f>
        <v>0</v>
      </c>
      <c r="E1481">
        <f>IF(C1481&lt;'user input'!$C$12,(D1481-D1480)*'user input'!$C$17*(1-EXP(5*(F1480-'user input'!$C$17))),F1481-F1480)</f>
        <v>0</v>
      </c>
      <c r="F1481">
        <f>IF(C1481&lt;'user input'!$C$12,IF(B1481&gt;'user input'!$C$6,0,F1480+E1481),'user input'!$C$17*((1-C1481)/(1-'user input'!$C$12)))</f>
        <v>0</v>
      </c>
    </row>
    <row r="1482" spans="1:6" x14ac:dyDescent="0.2">
      <c r="A1482" s="1">
        <v>41658</v>
      </c>
      <c r="B1482">
        <v>20</v>
      </c>
      <c r="C1482">
        <f>IF(B1482&gt;'user input'!$C$6,0,IF('heat units'!H1482&gt;1,1,'heat units'!H1482))</f>
        <v>0</v>
      </c>
      <c r="D1482">
        <f>IF(B1482&gt;'user input'!$C$6,0,(C1482/(C1482+EXP('user input'!$C$15-'user input'!$C$14*C1482))))</f>
        <v>0</v>
      </c>
      <c r="E1482">
        <f>IF(C1482&lt;'user input'!$C$12,(D1482-D1481)*'user input'!$C$17*(1-EXP(5*(F1481-'user input'!$C$17))),F1482-F1481)</f>
        <v>0</v>
      </c>
      <c r="F1482">
        <f>IF(C1482&lt;'user input'!$C$12,IF(B1482&gt;'user input'!$C$6,0,F1481+E1482),'user input'!$C$17*((1-C1482)/(1-'user input'!$C$12)))</f>
        <v>0</v>
      </c>
    </row>
    <row r="1483" spans="1:6" x14ac:dyDescent="0.2">
      <c r="A1483" s="1">
        <v>41659</v>
      </c>
      <c r="B1483">
        <v>21</v>
      </c>
      <c r="C1483">
        <f>IF(B1483&gt;'user input'!$C$6,0,IF('heat units'!H1483&gt;1,1,'heat units'!H1483))</f>
        <v>0</v>
      </c>
      <c r="D1483">
        <f>IF(B1483&gt;'user input'!$C$6,0,(C1483/(C1483+EXP('user input'!$C$15-'user input'!$C$14*C1483))))</f>
        <v>0</v>
      </c>
      <c r="E1483">
        <f>IF(C1483&lt;'user input'!$C$12,(D1483-D1482)*'user input'!$C$17*(1-EXP(5*(F1482-'user input'!$C$17))),F1483-F1482)</f>
        <v>0</v>
      </c>
      <c r="F1483">
        <f>IF(C1483&lt;'user input'!$C$12,IF(B1483&gt;'user input'!$C$6,0,F1482+E1483),'user input'!$C$17*((1-C1483)/(1-'user input'!$C$12)))</f>
        <v>0</v>
      </c>
    </row>
    <row r="1484" spans="1:6" x14ac:dyDescent="0.2">
      <c r="A1484" s="1">
        <v>41660</v>
      </c>
      <c r="B1484">
        <v>22</v>
      </c>
      <c r="C1484">
        <f>IF(B1484&gt;'user input'!$C$6,0,IF('heat units'!H1484&gt;1,1,'heat units'!H1484))</f>
        <v>0</v>
      </c>
      <c r="D1484">
        <f>IF(B1484&gt;'user input'!$C$6,0,(C1484/(C1484+EXP('user input'!$C$15-'user input'!$C$14*C1484))))</f>
        <v>0</v>
      </c>
      <c r="E1484">
        <f>IF(C1484&lt;'user input'!$C$12,(D1484-D1483)*'user input'!$C$17*(1-EXP(5*(F1483-'user input'!$C$17))),F1484-F1483)</f>
        <v>0</v>
      </c>
      <c r="F1484">
        <f>IF(C1484&lt;'user input'!$C$12,IF(B1484&gt;'user input'!$C$6,0,F1483+E1484),'user input'!$C$17*((1-C1484)/(1-'user input'!$C$12)))</f>
        <v>0</v>
      </c>
    </row>
    <row r="1485" spans="1:6" x14ac:dyDescent="0.2">
      <c r="A1485" s="1">
        <v>41661</v>
      </c>
      <c r="B1485">
        <v>23</v>
      </c>
      <c r="C1485">
        <f>IF(B1485&gt;'user input'!$C$6,0,IF('heat units'!H1485&gt;1,1,'heat units'!H1485))</f>
        <v>0</v>
      </c>
      <c r="D1485">
        <f>IF(B1485&gt;'user input'!$C$6,0,(C1485/(C1485+EXP('user input'!$C$15-'user input'!$C$14*C1485))))</f>
        <v>0</v>
      </c>
      <c r="E1485">
        <f>IF(C1485&lt;'user input'!$C$12,(D1485-D1484)*'user input'!$C$17*(1-EXP(5*(F1484-'user input'!$C$17))),F1485-F1484)</f>
        <v>0</v>
      </c>
      <c r="F1485">
        <f>IF(C1485&lt;'user input'!$C$12,IF(B1485&gt;'user input'!$C$6,0,F1484+E1485),'user input'!$C$17*((1-C1485)/(1-'user input'!$C$12)))</f>
        <v>0</v>
      </c>
    </row>
    <row r="1486" spans="1:6" x14ac:dyDescent="0.2">
      <c r="A1486" s="1">
        <v>41662</v>
      </c>
      <c r="B1486">
        <v>24</v>
      </c>
      <c r="C1486">
        <f>IF(B1486&gt;'user input'!$C$6,0,IF('heat units'!H1486&gt;1,1,'heat units'!H1486))</f>
        <v>0</v>
      </c>
      <c r="D1486">
        <f>IF(B1486&gt;'user input'!$C$6,0,(C1486/(C1486+EXP('user input'!$C$15-'user input'!$C$14*C1486))))</f>
        <v>0</v>
      </c>
      <c r="E1486">
        <f>IF(C1486&lt;'user input'!$C$12,(D1486-D1485)*'user input'!$C$17*(1-EXP(5*(F1485-'user input'!$C$17))),F1486-F1485)</f>
        <v>0</v>
      </c>
      <c r="F1486">
        <f>IF(C1486&lt;'user input'!$C$12,IF(B1486&gt;'user input'!$C$6,0,F1485+E1486),'user input'!$C$17*((1-C1486)/(1-'user input'!$C$12)))</f>
        <v>0</v>
      </c>
    </row>
    <row r="1487" spans="1:6" x14ac:dyDescent="0.2">
      <c r="A1487" s="1">
        <v>41663</v>
      </c>
      <c r="B1487">
        <v>25</v>
      </c>
      <c r="C1487">
        <f>IF(B1487&gt;'user input'!$C$6,0,IF('heat units'!H1487&gt;1,1,'heat units'!H1487))</f>
        <v>0</v>
      </c>
      <c r="D1487">
        <f>IF(B1487&gt;'user input'!$C$6,0,(C1487/(C1487+EXP('user input'!$C$15-'user input'!$C$14*C1487))))</f>
        <v>0</v>
      </c>
      <c r="E1487">
        <f>IF(C1487&lt;'user input'!$C$12,(D1487-D1486)*'user input'!$C$17*(1-EXP(5*(F1486-'user input'!$C$17))),F1487-F1486)</f>
        <v>0</v>
      </c>
      <c r="F1487">
        <f>IF(C1487&lt;'user input'!$C$12,IF(B1487&gt;'user input'!$C$6,0,F1486+E1487),'user input'!$C$17*((1-C1487)/(1-'user input'!$C$12)))</f>
        <v>0</v>
      </c>
    </row>
    <row r="1488" spans="1:6" x14ac:dyDescent="0.2">
      <c r="A1488" s="1">
        <v>41664</v>
      </c>
      <c r="B1488">
        <v>26</v>
      </c>
      <c r="C1488">
        <f>IF(B1488&gt;'user input'!$C$6,0,IF('heat units'!H1488&gt;1,1,'heat units'!H1488))</f>
        <v>0</v>
      </c>
      <c r="D1488">
        <f>IF(B1488&gt;'user input'!$C$6,0,(C1488/(C1488+EXP('user input'!$C$15-'user input'!$C$14*C1488))))</f>
        <v>0</v>
      </c>
      <c r="E1488">
        <f>IF(C1488&lt;'user input'!$C$12,(D1488-D1487)*'user input'!$C$17*(1-EXP(5*(F1487-'user input'!$C$17))),F1488-F1487)</f>
        <v>0</v>
      </c>
      <c r="F1488">
        <f>IF(C1488&lt;'user input'!$C$12,IF(B1488&gt;'user input'!$C$6,0,F1487+E1488),'user input'!$C$17*((1-C1488)/(1-'user input'!$C$12)))</f>
        <v>0</v>
      </c>
    </row>
    <row r="1489" spans="1:6" x14ac:dyDescent="0.2">
      <c r="A1489" s="1">
        <v>41665</v>
      </c>
      <c r="B1489">
        <v>27</v>
      </c>
      <c r="C1489">
        <f>IF(B1489&gt;'user input'!$C$6,0,IF('heat units'!H1489&gt;1,1,'heat units'!H1489))</f>
        <v>0</v>
      </c>
      <c r="D1489">
        <f>IF(B1489&gt;'user input'!$C$6,0,(C1489/(C1489+EXP('user input'!$C$15-'user input'!$C$14*C1489))))</f>
        <v>0</v>
      </c>
      <c r="E1489">
        <f>IF(C1489&lt;'user input'!$C$12,(D1489-D1488)*'user input'!$C$17*(1-EXP(5*(F1488-'user input'!$C$17))),F1489-F1488)</f>
        <v>0</v>
      </c>
      <c r="F1489">
        <f>IF(C1489&lt;'user input'!$C$12,IF(B1489&gt;'user input'!$C$6,0,F1488+E1489),'user input'!$C$17*((1-C1489)/(1-'user input'!$C$12)))</f>
        <v>0</v>
      </c>
    </row>
    <row r="1490" spans="1:6" x14ac:dyDescent="0.2">
      <c r="A1490" s="1">
        <v>41666</v>
      </c>
      <c r="B1490">
        <v>28</v>
      </c>
      <c r="C1490">
        <f>IF(B1490&gt;'user input'!$C$6,0,IF('heat units'!H1490&gt;1,1,'heat units'!H1490))</f>
        <v>0</v>
      </c>
      <c r="D1490">
        <f>IF(B1490&gt;'user input'!$C$6,0,(C1490/(C1490+EXP('user input'!$C$15-'user input'!$C$14*C1490))))</f>
        <v>0</v>
      </c>
      <c r="E1490">
        <f>IF(C1490&lt;'user input'!$C$12,(D1490-D1489)*'user input'!$C$17*(1-EXP(5*(F1489-'user input'!$C$17))),F1490-F1489)</f>
        <v>0</v>
      </c>
      <c r="F1490">
        <f>IF(C1490&lt;'user input'!$C$12,IF(B1490&gt;'user input'!$C$6,0,F1489+E1490),'user input'!$C$17*((1-C1490)/(1-'user input'!$C$12)))</f>
        <v>0</v>
      </c>
    </row>
    <row r="1491" spans="1:6" x14ac:dyDescent="0.2">
      <c r="A1491" s="1">
        <v>41667</v>
      </c>
      <c r="B1491">
        <v>29</v>
      </c>
      <c r="C1491">
        <f>IF(B1491&gt;'user input'!$C$6,0,IF('heat units'!H1491&gt;1,1,'heat units'!H1491))</f>
        <v>0</v>
      </c>
      <c r="D1491">
        <f>IF(B1491&gt;'user input'!$C$6,0,(C1491/(C1491+EXP('user input'!$C$15-'user input'!$C$14*C1491))))</f>
        <v>0</v>
      </c>
      <c r="E1491">
        <f>IF(C1491&lt;'user input'!$C$12,(D1491-D1490)*'user input'!$C$17*(1-EXP(5*(F1490-'user input'!$C$17))),F1491-F1490)</f>
        <v>0</v>
      </c>
      <c r="F1491">
        <f>IF(C1491&lt;'user input'!$C$12,IF(B1491&gt;'user input'!$C$6,0,F1490+E1491),'user input'!$C$17*((1-C1491)/(1-'user input'!$C$12)))</f>
        <v>0</v>
      </c>
    </row>
    <row r="1492" spans="1:6" x14ac:dyDescent="0.2">
      <c r="A1492" s="1">
        <v>41668</v>
      </c>
      <c r="B1492">
        <v>30</v>
      </c>
      <c r="C1492">
        <f>IF(B1492&gt;'user input'!$C$6,0,IF('heat units'!H1492&gt;1,1,'heat units'!H1492))</f>
        <v>0</v>
      </c>
      <c r="D1492">
        <f>IF(B1492&gt;'user input'!$C$6,0,(C1492/(C1492+EXP('user input'!$C$15-'user input'!$C$14*C1492))))</f>
        <v>0</v>
      </c>
      <c r="E1492">
        <f>IF(C1492&lt;'user input'!$C$12,(D1492-D1491)*'user input'!$C$17*(1-EXP(5*(F1491-'user input'!$C$17))),F1492-F1491)</f>
        <v>0</v>
      </c>
      <c r="F1492">
        <f>IF(C1492&lt;'user input'!$C$12,IF(B1492&gt;'user input'!$C$6,0,F1491+E1492),'user input'!$C$17*((1-C1492)/(1-'user input'!$C$12)))</f>
        <v>0</v>
      </c>
    </row>
    <row r="1493" spans="1:6" x14ac:dyDescent="0.2">
      <c r="A1493" s="1">
        <v>41669</v>
      </c>
      <c r="B1493">
        <v>31</v>
      </c>
      <c r="C1493">
        <f>IF(B1493&gt;'user input'!$C$6,0,IF('heat units'!H1493&gt;1,1,'heat units'!H1493))</f>
        <v>0</v>
      </c>
      <c r="D1493">
        <f>IF(B1493&gt;'user input'!$C$6,0,(C1493/(C1493+EXP('user input'!$C$15-'user input'!$C$14*C1493))))</f>
        <v>0</v>
      </c>
      <c r="E1493">
        <f>IF(C1493&lt;'user input'!$C$12,(D1493-D1492)*'user input'!$C$17*(1-EXP(5*(F1492-'user input'!$C$17))),F1493-F1492)</f>
        <v>0</v>
      </c>
      <c r="F1493">
        <f>IF(C1493&lt;'user input'!$C$12,IF(B1493&gt;'user input'!$C$6,0,F1492+E1493),'user input'!$C$17*((1-C1493)/(1-'user input'!$C$12)))</f>
        <v>0</v>
      </c>
    </row>
    <row r="1494" spans="1:6" x14ac:dyDescent="0.2">
      <c r="A1494" s="1">
        <v>41670</v>
      </c>
      <c r="B1494">
        <v>32</v>
      </c>
      <c r="C1494">
        <f>IF(B1494&gt;'user input'!$C$6,0,IF('heat units'!H1494&gt;1,1,'heat units'!H1494))</f>
        <v>0</v>
      </c>
      <c r="D1494">
        <f>IF(B1494&gt;'user input'!$C$6,0,(C1494/(C1494+EXP('user input'!$C$15-'user input'!$C$14*C1494))))</f>
        <v>0</v>
      </c>
      <c r="E1494">
        <f>IF(C1494&lt;'user input'!$C$12,(D1494-D1493)*'user input'!$C$17*(1-EXP(5*(F1493-'user input'!$C$17))),F1494-F1493)</f>
        <v>0</v>
      </c>
      <c r="F1494">
        <f>IF(C1494&lt;'user input'!$C$12,IF(B1494&gt;'user input'!$C$6,0,F1493+E1494),'user input'!$C$17*((1-C1494)/(1-'user input'!$C$12)))</f>
        <v>0</v>
      </c>
    </row>
    <row r="1495" spans="1:6" x14ac:dyDescent="0.2">
      <c r="A1495" s="1">
        <v>41671</v>
      </c>
      <c r="B1495">
        <v>33</v>
      </c>
      <c r="C1495">
        <f>IF(B1495&gt;'user input'!$C$6,0,IF('heat units'!H1495&gt;1,1,'heat units'!H1495))</f>
        <v>0</v>
      </c>
      <c r="D1495">
        <f>IF(B1495&gt;'user input'!$C$6,0,(C1495/(C1495+EXP('user input'!$C$15-'user input'!$C$14*C1495))))</f>
        <v>0</v>
      </c>
      <c r="E1495">
        <f>IF(C1495&lt;'user input'!$C$12,(D1495-D1494)*'user input'!$C$17*(1-EXP(5*(F1494-'user input'!$C$17))),F1495-F1494)</f>
        <v>0</v>
      </c>
      <c r="F1495">
        <f>IF(C1495&lt;'user input'!$C$12,IF(B1495&gt;'user input'!$C$6,0,F1494+E1495),'user input'!$C$17*((1-C1495)/(1-'user input'!$C$12)))</f>
        <v>0</v>
      </c>
    </row>
    <row r="1496" spans="1:6" x14ac:dyDescent="0.2">
      <c r="A1496" s="1">
        <v>41672</v>
      </c>
      <c r="B1496">
        <v>34</v>
      </c>
      <c r="C1496">
        <f>IF(B1496&gt;'user input'!$C$6,0,IF('heat units'!H1496&gt;1,1,'heat units'!H1496))</f>
        <v>0</v>
      </c>
      <c r="D1496">
        <f>IF(B1496&gt;'user input'!$C$6,0,(C1496/(C1496+EXP('user input'!$C$15-'user input'!$C$14*C1496))))</f>
        <v>0</v>
      </c>
      <c r="E1496">
        <f>IF(C1496&lt;'user input'!$C$12,(D1496-D1495)*'user input'!$C$17*(1-EXP(5*(F1495-'user input'!$C$17))),F1496-F1495)</f>
        <v>0</v>
      </c>
      <c r="F1496">
        <f>IF(C1496&lt;'user input'!$C$12,IF(B1496&gt;'user input'!$C$6,0,F1495+E1496),'user input'!$C$17*((1-C1496)/(1-'user input'!$C$12)))</f>
        <v>0</v>
      </c>
    </row>
    <row r="1497" spans="1:6" x14ac:dyDescent="0.2">
      <c r="A1497" s="1">
        <v>41673</v>
      </c>
      <c r="B1497">
        <v>35</v>
      </c>
      <c r="C1497">
        <f>IF(B1497&gt;'user input'!$C$6,0,IF('heat units'!H1497&gt;1,1,'heat units'!H1497))</f>
        <v>0</v>
      </c>
      <c r="D1497">
        <f>IF(B1497&gt;'user input'!$C$6,0,(C1497/(C1497+EXP('user input'!$C$15-'user input'!$C$14*C1497))))</f>
        <v>0</v>
      </c>
      <c r="E1497">
        <f>IF(C1497&lt;'user input'!$C$12,(D1497-D1496)*'user input'!$C$17*(1-EXP(5*(F1496-'user input'!$C$17))),F1497-F1496)</f>
        <v>0</v>
      </c>
      <c r="F1497">
        <f>IF(C1497&lt;'user input'!$C$12,IF(B1497&gt;'user input'!$C$6,0,F1496+E1497),'user input'!$C$17*((1-C1497)/(1-'user input'!$C$12)))</f>
        <v>0</v>
      </c>
    </row>
    <row r="1498" spans="1:6" x14ac:dyDescent="0.2">
      <c r="A1498" s="1">
        <v>41674</v>
      </c>
      <c r="B1498">
        <v>36</v>
      </c>
      <c r="C1498">
        <f>IF(B1498&gt;'user input'!$C$6,0,IF('heat units'!H1498&gt;1,1,'heat units'!H1498))</f>
        <v>0</v>
      </c>
      <c r="D1498">
        <f>IF(B1498&gt;'user input'!$C$6,0,(C1498/(C1498+EXP('user input'!$C$15-'user input'!$C$14*C1498))))</f>
        <v>0</v>
      </c>
      <c r="E1498">
        <f>IF(C1498&lt;'user input'!$C$12,(D1498-D1497)*'user input'!$C$17*(1-EXP(5*(F1497-'user input'!$C$17))),F1498-F1497)</f>
        <v>0</v>
      </c>
      <c r="F1498">
        <f>IF(C1498&lt;'user input'!$C$12,IF(B1498&gt;'user input'!$C$6,0,F1497+E1498),'user input'!$C$17*((1-C1498)/(1-'user input'!$C$12)))</f>
        <v>0</v>
      </c>
    </row>
    <row r="1499" spans="1:6" x14ac:dyDescent="0.2">
      <c r="A1499" s="1">
        <v>41675</v>
      </c>
      <c r="B1499">
        <v>37</v>
      </c>
      <c r="C1499">
        <f>IF(B1499&gt;'user input'!$C$6,0,IF('heat units'!H1499&gt;1,1,'heat units'!H1499))</f>
        <v>0</v>
      </c>
      <c r="D1499">
        <f>IF(B1499&gt;'user input'!$C$6,0,(C1499/(C1499+EXP('user input'!$C$15-'user input'!$C$14*C1499))))</f>
        <v>0</v>
      </c>
      <c r="E1499">
        <f>IF(C1499&lt;'user input'!$C$12,(D1499-D1498)*'user input'!$C$17*(1-EXP(5*(F1498-'user input'!$C$17))),F1499-F1498)</f>
        <v>0</v>
      </c>
      <c r="F1499">
        <f>IF(C1499&lt;'user input'!$C$12,IF(B1499&gt;'user input'!$C$6,0,F1498+E1499),'user input'!$C$17*((1-C1499)/(1-'user input'!$C$12)))</f>
        <v>0</v>
      </c>
    </row>
    <row r="1500" spans="1:6" x14ac:dyDescent="0.2">
      <c r="A1500" s="1">
        <v>41676</v>
      </c>
      <c r="B1500">
        <v>38</v>
      </c>
      <c r="C1500">
        <f>IF(B1500&gt;'user input'!$C$6,0,IF('heat units'!H1500&gt;1,1,'heat units'!H1500))</f>
        <v>0</v>
      </c>
      <c r="D1500">
        <f>IF(B1500&gt;'user input'!$C$6,0,(C1500/(C1500+EXP('user input'!$C$15-'user input'!$C$14*C1500))))</f>
        <v>0</v>
      </c>
      <c r="E1500">
        <f>IF(C1500&lt;'user input'!$C$12,(D1500-D1499)*'user input'!$C$17*(1-EXP(5*(F1499-'user input'!$C$17))),F1500-F1499)</f>
        <v>0</v>
      </c>
      <c r="F1500">
        <f>IF(C1500&lt;'user input'!$C$12,IF(B1500&gt;'user input'!$C$6,0,F1499+E1500),'user input'!$C$17*((1-C1500)/(1-'user input'!$C$12)))</f>
        <v>0</v>
      </c>
    </row>
    <row r="1501" spans="1:6" x14ac:dyDescent="0.2">
      <c r="A1501" s="1">
        <v>41677</v>
      </c>
      <c r="B1501">
        <v>39</v>
      </c>
      <c r="C1501">
        <f>IF(B1501&gt;'user input'!$C$6,0,IF('heat units'!H1501&gt;1,1,'heat units'!H1501))</f>
        <v>0</v>
      </c>
      <c r="D1501">
        <f>IF(B1501&gt;'user input'!$C$6,0,(C1501/(C1501+EXP('user input'!$C$15-'user input'!$C$14*C1501))))</f>
        <v>0</v>
      </c>
      <c r="E1501">
        <f>IF(C1501&lt;'user input'!$C$12,(D1501-D1500)*'user input'!$C$17*(1-EXP(5*(F1500-'user input'!$C$17))),F1501-F1500)</f>
        <v>0</v>
      </c>
      <c r="F1501">
        <f>IF(C1501&lt;'user input'!$C$12,IF(B1501&gt;'user input'!$C$6,0,F1500+E1501),'user input'!$C$17*((1-C1501)/(1-'user input'!$C$12)))</f>
        <v>0</v>
      </c>
    </row>
    <row r="1502" spans="1:6" x14ac:dyDescent="0.2">
      <c r="A1502" s="1">
        <v>41678</v>
      </c>
      <c r="B1502">
        <v>40</v>
      </c>
      <c r="C1502">
        <f>IF(B1502&gt;'user input'!$C$6,0,IF('heat units'!H1502&gt;1,1,'heat units'!H1502))</f>
        <v>0</v>
      </c>
      <c r="D1502">
        <f>IF(B1502&gt;'user input'!$C$6,0,(C1502/(C1502+EXP('user input'!$C$15-'user input'!$C$14*C1502))))</f>
        <v>0</v>
      </c>
      <c r="E1502">
        <f>IF(C1502&lt;'user input'!$C$12,(D1502-D1501)*'user input'!$C$17*(1-EXP(5*(F1501-'user input'!$C$17))),F1502-F1501)</f>
        <v>0</v>
      </c>
      <c r="F1502">
        <f>IF(C1502&lt;'user input'!$C$12,IF(B1502&gt;'user input'!$C$6,0,F1501+E1502),'user input'!$C$17*((1-C1502)/(1-'user input'!$C$12)))</f>
        <v>0</v>
      </c>
    </row>
    <row r="1503" spans="1:6" x14ac:dyDescent="0.2">
      <c r="A1503" s="1">
        <v>41679</v>
      </c>
      <c r="B1503">
        <v>41</v>
      </c>
      <c r="C1503">
        <f>IF(B1503&gt;'user input'!$C$6,0,IF('heat units'!H1503&gt;1,1,'heat units'!H1503))</f>
        <v>0</v>
      </c>
      <c r="D1503">
        <f>IF(B1503&gt;'user input'!$C$6,0,(C1503/(C1503+EXP('user input'!$C$15-'user input'!$C$14*C1503))))</f>
        <v>0</v>
      </c>
      <c r="E1503">
        <f>IF(C1503&lt;'user input'!$C$12,(D1503-D1502)*'user input'!$C$17*(1-EXP(5*(F1502-'user input'!$C$17))),F1503-F1502)</f>
        <v>0</v>
      </c>
      <c r="F1503">
        <f>IF(C1503&lt;'user input'!$C$12,IF(B1503&gt;'user input'!$C$6,0,F1502+E1503),'user input'!$C$17*((1-C1503)/(1-'user input'!$C$12)))</f>
        <v>0</v>
      </c>
    </row>
    <row r="1504" spans="1:6" x14ac:dyDescent="0.2">
      <c r="A1504" s="1">
        <v>41680</v>
      </c>
      <c r="B1504">
        <v>42</v>
      </c>
      <c r="C1504">
        <f>IF(B1504&gt;'user input'!$C$6,0,IF('heat units'!H1504&gt;1,1,'heat units'!H1504))</f>
        <v>0</v>
      </c>
      <c r="D1504">
        <f>IF(B1504&gt;'user input'!$C$6,0,(C1504/(C1504+EXP('user input'!$C$15-'user input'!$C$14*C1504))))</f>
        <v>0</v>
      </c>
      <c r="E1504">
        <f>IF(C1504&lt;'user input'!$C$12,(D1504-D1503)*'user input'!$C$17*(1-EXP(5*(F1503-'user input'!$C$17))),F1504-F1503)</f>
        <v>0</v>
      </c>
      <c r="F1504">
        <f>IF(C1504&lt;'user input'!$C$12,IF(B1504&gt;'user input'!$C$6,0,F1503+E1504),'user input'!$C$17*((1-C1504)/(1-'user input'!$C$12)))</f>
        <v>0</v>
      </c>
    </row>
    <row r="1505" spans="1:6" x14ac:dyDescent="0.2">
      <c r="A1505" s="1">
        <v>41681</v>
      </c>
      <c r="B1505">
        <v>43</v>
      </c>
      <c r="C1505">
        <f>IF(B1505&gt;'user input'!$C$6,0,IF('heat units'!H1505&gt;1,1,'heat units'!H1505))</f>
        <v>0</v>
      </c>
      <c r="D1505">
        <f>IF(B1505&gt;'user input'!$C$6,0,(C1505/(C1505+EXP('user input'!$C$15-'user input'!$C$14*C1505))))</f>
        <v>0</v>
      </c>
      <c r="E1505">
        <f>IF(C1505&lt;'user input'!$C$12,(D1505-D1504)*'user input'!$C$17*(1-EXP(5*(F1504-'user input'!$C$17))),F1505-F1504)</f>
        <v>0</v>
      </c>
      <c r="F1505">
        <f>IF(C1505&lt;'user input'!$C$12,IF(B1505&gt;'user input'!$C$6,0,F1504+E1505),'user input'!$C$17*((1-C1505)/(1-'user input'!$C$12)))</f>
        <v>0</v>
      </c>
    </row>
    <row r="1506" spans="1:6" x14ac:dyDescent="0.2">
      <c r="A1506" s="1">
        <v>41682</v>
      </c>
      <c r="B1506">
        <v>44</v>
      </c>
      <c r="C1506">
        <f>IF(B1506&gt;'user input'!$C$6,0,IF('heat units'!H1506&gt;1,1,'heat units'!H1506))</f>
        <v>0</v>
      </c>
      <c r="D1506">
        <f>IF(B1506&gt;'user input'!$C$6,0,(C1506/(C1506+EXP('user input'!$C$15-'user input'!$C$14*C1506))))</f>
        <v>0</v>
      </c>
      <c r="E1506">
        <f>IF(C1506&lt;'user input'!$C$12,(D1506-D1505)*'user input'!$C$17*(1-EXP(5*(F1505-'user input'!$C$17))),F1506-F1505)</f>
        <v>0</v>
      </c>
      <c r="F1506">
        <f>IF(C1506&lt;'user input'!$C$12,IF(B1506&gt;'user input'!$C$6,0,F1505+E1506),'user input'!$C$17*((1-C1506)/(1-'user input'!$C$12)))</f>
        <v>0</v>
      </c>
    </row>
    <row r="1507" spans="1:6" x14ac:dyDescent="0.2">
      <c r="A1507" s="1">
        <v>41683</v>
      </c>
      <c r="B1507">
        <v>45</v>
      </c>
      <c r="C1507">
        <f>IF(B1507&gt;'user input'!$C$6,0,IF('heat units'!H1507&gt;1,1,'heat units'!H1507))</f>
        <v>0</v>
      </c>
      <c r="D1507">
        <f>IF(B1507&gt;'user input'!$C$6,0,(C1507/(C1507+EXP('user input'!$C$15-'user input'!$C$14*C1507))))</f>
        <v>0</v>
      </c>
      <c r="E1507">
        <f>IF(C1507&lt;'user input'!$C$12,(D1507-D1506)*'user input'!$C$17*(1-EXP(5*(F1506-'user input'!$C$17))),F1507-F1506)</f>
        <v>0</v>
      </c>
      <c r="F1507">
        <f>IF(C1507&lt;'user input'!$C$12,IF(B1507&gt;'user input'!$C$6,0,F1506+E1507),'user input'!$C$17*((1-C1507)/(1-'user input'!$C$12)))</f>
        <v>0</v>
      </c>
    </row>
    <row r="1508" spans="1:6" x14ac:dyDescent="0.2">
      <c r="A1508" s="1">
        <v>41684</v>
      </c>
      <c r="B1508">
        <v>46</v>
      </c>
      <c r="C1508">
        <f>IF(B1508&gt;'user input'!$C$6,0,IF('heat units'!H1508&gt;1,1,'heat units'!H1508))</f>
        <v>0</v>
      </c>
      <c r="D1508">
        <f>IF(B1508&gt;'user input'!$C$6,0,(C1508/(C1508+EXP('user input'!$C$15-'user input'!$C$14*C1508))))</f>
        <v>0</v>
      </c>
      <c r="E1508">
        <f>IF(C1508&lt;'user input'!$C$12,(D1508-D1507)*'user input'!$C$17*(1-EXP(5*(F1507-'user input'!$C$17))),F1508-F1507)</f>
        <v>0</v>
      </c>
      <c r="F1508">
        <f>IF(C1508&lt;'user input'!$C$12,IF(B1508&gt;'user input'!$C$6,0,F1507+E1508),'user input'!$C$17*((1-C1508)/(1-'user input'!$C$12)))</f>
        <v>0</v>
      </c>
    </row>
    <row r="1509" spans="1:6" x14ac:dyDescent="0.2">
      <c r="A1509" s="1">
        <v>41685</v>
      </c>
      <c r="B1509">
        <v>47</v>
      </c>
      <c r="C1509">
        <f>IF(B1509&gt;'user input'!$C$6,0,IF('heat units'!H1509&gt;1,1,'heat units'!H1509))</f>
        <v>0</v>
      </c>
      <c r="D1509">
        <f>IF(B1509&gt;'user input'!$C$6,0,(C1509/(C1509+EXP('user input'!$C$15-'user input'!$C$14*C1509))))</f>
        <v>0</v>
      </c>
      <c r="E1509">
        <f>IF(C1509&lt;'user input'!$C$12,(D1509-D1508)*'user input'!$C$17*(1-EXP(5*(F1508-'user input'!$C$17))),F1509-F1508)</f>
        <v>0</v>
      </c>
      <c r="F1509">
        <f>IF(C1509&lt;'user input'!$C$12,IF(B1509&gt;'user input'!$C$6,0,F1508+E1509),'user input'!$C$17*((1-C1509)/(1-'user input'!$C$12)))</f>
        <v>0</v>
      </c>
    </row>
    <row r="1510" spans="1:6" x14ac:dyDescent="0.2">
      <c r="A1510" s="1">
        <v>41686</v>
      </c>
      <c r="B1510">
        <v>48</v>
      </c>
      <c r="C1510">
        <f>IF(B1510&gt;'user input'!$C$6,0,IF('heat units'!H1510&gt;1,1,'heat units'!H1510))</f>
        <v>0</v>
      </c>
      <c r="D1510">
        <f>IF(B1510&gt;'user input'!$C$6,0,(C1510/(C1510+EXP('user input'!$C$15-'user input'!$C$14*C1510))))</f>
        <v>0</v>
      </c>
      <c r="E1510">
        <f>IF(C1510&lt;'user input'!$C$12,(D1510-D1509)*'user input'!$C$17*(1-EXP(5*(F1509-'user input'!$C$17))),F1510-F1509)</f>
        <v>0</v>
      </c>
      <c r="F1510">
        <f>IF(C1510&lt;'user input'!$C$12,IF(B1510&gt;'user input'!$C$6,0,F1509+E1510),'user input'!$C$17*((1-C1510)/(1-'user input'!$C$12)))</f>
        <v>0</v>
      </c>
    </row>
    <row r="1511" spans="1:6" x14ac:dyDescent="0.2">
      <c r="A1511" s="1">
        <v>41687</v>
      </c>
      <c r="B1511">
        <v>49</v>
      </c>
      <c r="C1511">
        <f>IF(B1511&gt;'user input'!$C$6,0,IF('heat units'!H1511&gt;1,1,'heat units'!H1511))</f>
        <v>0</v>
      </c>
      <c r="D1511">
        <f>IF(B1511&gt;'user input'!$C$6,0,(C1511/(C1511+EXP('user input'!$C$15-'user input'!$C$14*C1511))))</f>
        <v>0</v>
      </c>
      <c r="E1511">
        <f>IF(C1511&lt;'user input'!$C$12,(D1511-D1510)*'user input'!$C$17*(1-EXP(5*(F1510-'user input'!$C$17))),F1511-F1510)</f>
        <v>0</v>
      </c>
      <c r="F1511">
        <f>IF(C1511&lt;'user input'!$C$12,IF(B1511&gt;'user input'!$C$6,0,F1510+E1511),'user input'!$C$17*((1-C1511)/(1-'user input'!$C$12)))</f>
        <v>0</v>
      </c>
    </row>
    <row r="1512" spans="1:6" x14ac:dyDescent="0.2">
      <c r="A1512" s="1">
        <v>41688</v>
      </c>
      <c r="B1512">
        <v>50</v>
      </c>
      <c r="C1512">
        <f>IF(B1512&gt;'user input'!$C$6,0,IF('heat units'!H1512&gt;1,1,'heat units'!H1512))</f>
        <v>0</v>
      </c>
      <c r="D1512">
        <f>IF(B1512&gt;'user input'!$C$6,0,(C1512/(C1512+EXP('user input'!$C$15-'user input'!$C$14*C1512))))</f>
        <v>0</v>
      </c>
      <c r="E1512">
        <f>IF(C1512&lt;'user input'!$C$12,(D1512-D1511)*'user input'!$C$17*(1-EXP(5*(F1511-'user input'!$C$17))),F1512-F1511)</f>
        <v>0</v>
      </c>
      <c r="F1512">
        <f>IF(C1512&lt;'user input'!$C$12,IF(B1512&gt;'user input'!$C$6,0,F1511+E1512),'user input'!$C$17*((1-C1512)/(1-'user input'!$C$12)))</f>
        <v>0</v>
      </c>
    </row>
    <row r="1513" spans="1:6" x14ac:dyDescent="0.2">
      <c r="A1513" s="1">
        <v>41689</v>
      </c>
      <c r="B1513">
        <v>51</v>
      </c>
      <c r="C1513">
        <f>IF(B1513&gt;'user input'!$C$6,0,IF('heat units'!H1513&gt;1,1,'heat units'!H1513))</f>
        <v>0</v>
      </c>
      <c r="D1513">
        <f>IF(B1513&gt;'user input'!$C$6,0,(C1513/(C1513+EXP('user input'!$C$15-'user input'!$C$14*C1513))))</f>
        <v>0</v>
      </c>
      <c r="E1513">
        <f>IF(C1513&lt;'user input'!$C$12,(D1513-D1512)*'user input'!$C$17*(1-EXP(5*(F1512-'user input'!$C$17))),F1513-F1512)</f>
        <v>0</v>
      </c>
      <c r="F1513">
        <f>IF(C1513&lt;'user input'!$C$12,IF(B1513&gt;'user input'!$C$6,0,F1512+E1513),'user input'!$C$17*((1-C1513)/(1-'user input'!$C$12)))</f>
        <v>0</v>
      </c>
    </row>
    <row r="1514" spans="1:6" x14ac:dyDescent="0.2">
      <c r="A1514" s="1">
        <v>41690</v>
      </c>
      <c r="B1514">
        <v>52</v>
      </c>
      <c r="C1514">
        <f>IF(B1514&gt;'user input'!$C$6,0,IF('heat units'!H1514&gt;1,1,'heat units'!H1514))</f>
        <v>0</v>
      </c>
      <c r="D1514">
        <f>IF(B1514&gt;'user input'!$C$6,0,(C1514/(C1514+EXP('user input'!$C$15-'user input'!$C$14*C1514))))</f>
        <v>0</v>
      </c>
      <c r="E1514">
        <f>IF(C1514&lt;'user input'!$C$12,(D1514-D1513)*'user input'!$C$17*(1-EXP(5*(F1513-'user input'!$C$17))),F1514-F1513)</f>
        <v>0</v>
      </c>
      <c r="F1514">
        <f>IF(C1514&lt;'user input'!$C$12,IF(B1514&gt;'user input'!$C$6,0,F1513+E1514),'user input'!$C$17*((1-C1514)/(1-'user input'!$C$12)))</f>
        <v>0</v>
      </c>
    </row>
    <row r="1515" spans="1:6" x14ac:dyDescent="0.2">
      <c r="A1515" s="1">
        <v>41691</v>
      </c>
      <c r="B1515">
        <v>53</v>
      </c>
      <c r="C1515">
        <f>IF(B1515&gt;'user input'!$C$6,0,IF('heat units'!H1515&gt;1,1,'heat units'!H1515))</f>
        <v>0</v>
      </c>
      <c r="D1515">
        <f>IF(B1515&gt;'user input'!$C$6,0,(C1515/(C1515+EXP('user input'!$C$15-'user input'!$C$14*C1515))))</f>
        <v>0</v>
      </c>
      <c r="E1515">
        <f>IF(C1515&lt;'user input'!$C$12,(D1515-D1514)*'user input'!$C$17*(1-EXP(5*(F1514-'user input'!$C$17))),F1515-F1514)</f>
        <v>0</v>
      </c>
      <c r="F1515">
        <f>IF(C1515&lt;'user input'!$C$12,IF(B1515&gt;'user input'!$C$6,0,F1514+E1515),'user input'!$C$17*((1-C1515)/(1-'user input'!$C$12)))</f>
        <v>0</v>
      </c>
    </row>
    <row r="1516" spans="1:6" x14ac:dyDescent="0.2">
      <c r="A1516" s="1">
        <v>41692</v>
      </c>
      <c r="B1516">
        <v>54</v>
      </c>
      <c r="C1516">
        <f>IF(B1516&gt;'user input'!$C$6,0,IF('heat units'!H1516&gt;1,1,'heat units'!H1516))</f>
        <v>0</v>
      </c>
      <c r="D1516">
        <f>IF(B1516&gt;'user input'!$C$6,0,(C1516/(C1516+EXP('user input'!$C$15-'user input'!$C$14*C1516))))</f>
        <v>0</v>
      </c>
      <c r="E1516">
        <f>IF(C1516&lt;'user input'!$C$12,(D1516-D1515)*'user input'!$C$17*(1-EXP(5*(F1515-'user input'!$C$17))),F1516-F1515)</f>
        <v>0</v>
      </c>
      <c r="F1516">
        <f>IF(C1516&lt;'user input'!$C$12,IF(B1516&gt;'user input'!$C$6,0,F1515+E1516),'user input'!$C$17*((1-C1516)/(1-'user input'!$C$12)))</f>
        <v>0</v>
      </c>
    </row>
    <row r="1517" spans="1:6" x14ac:dyDescent="0.2">
      <c r="A1517" s="1">
        <v>41693</v>
      </c>
      <c r="B1517">
        <v>55</v>
      </c>
      <c r="C1517">
        <f>IF(B1517&gt;'user input'!$C$6,0,IF('heat units'!H1517&gt;1,1,'heat units'!H1517))</f>
        <v>0</v>
      </c>
      <c r="D1517">
        <f>IF(B1517&gt;'user input'!$C$6,0,(C1517/(C1517+EXP('user input'!$C$15-'user input'!$C$14*C1517))))</f>
        <v>0</v>
      </c>
      <c r="E1517">
        <f>IF(C1517&lt;'user input'!$C$12,(D1517-D1516)*'user input'!$C$17*(1-EXP(5*(F1516-'user input'!$C$17))),F1517-F1516)</f>
        <v>0</v>
      </c>
      <c r="F1517">
        <f>IF(C1517&lt;'user input'!$C$12,IF(B1517&gt;'user input'!$C$6,0,F1516+E1517),'user input'!$C$17*((1-C1517)/(1-'user input'!$C$12)))</f>
        <v>0</v>
      </c>
    </row>
    <row r="1518" spans="1:6" x14ac:dyDescent="0.2">
      <c r="A1518" s="1">
        <v>41694</v>
      </c>
      <c r="B1518">
        <v>56</v>
      </c>
      <c r="C1518">
        <f>IF(B1518&gt;'user input'!$C$6,0,IF('heat units'!H1518&gt;1,1,'heat units'!H1518))</f>
        <v>0</v>
      </c>
      <c r="D1518">
        <f>IF(B1518&gt;'user input'!$C$6,0,(C1518/(C1518+EXP('user input'!$C$15-'user input'!$C$14*C1518))))</f>
        <v>0</v>
      </c>
      <c r="E1518">
        <f>IF(C1518&lt;'user input'!$C$12,(D1518-D1517)*'user input'!$C$17*(1-EXP(5*(F1517-'user input'!$C$17))),F1518-F1517)</f>
        <v>0</v>
      </c>
      <c r="F1518">
        <f>IF(C1518&lt;'user input'!$C$12,IF(B1518&gt;'user input'!$C$6,0,F1517+E1518),'user input'!$C$17*((1-C1518)/(1-'user input'!$C$12)))</f>
        <v>0</v>
      </c>
    </row>
    <row r="1519" spans="1:6" x14ac:dyDescent="0.2">
      <c r="A1519" s="1">
        <v>41695</v>
      </c>
      <c r="B1519">
        <v>57</v>
      </c>
      <c r="C1519">
        <f>IF(B1519&gt;'user input'!$C$6,0,IF('heat units'!H1519&gt;1,1,'heat units'!H1519))</f>
        <v>0</v>
      </c>
      <c r="D1519">
        <f>IF(B1519&gt;'user input'!$C$6,0,(C1519/(C1519+EXP('user input'!$C$15-'user input'!$C$14*C1519))))</f>
        <v>0</v>
      </c>
      <c r="E1519">
        <f>IF(C1519&lt;'user input'!$C$12,(D1519-D1518)*'user input'!$C$17*(1-EXP(5*(F1518-'user input'!$C$17))),F1519-F1518)</f>
        <v>0</v>
      </c>
      <c r="F1519">
        <f>IF(C1519&lt;'user input'!$C$12,IF(B1519&gt;'user input'!$C$6,0,F1518+E1519),'user input'!$C$17*((1-C1519)/(1-'user input'!$C$12)))</f>
        <v>0</v>
      </c>
    </row>
    <row r="1520" spans="1:6" x14ac:dyDescent="0.2">
      <c r="A1520" s="1">
        <v>41696</v>
      </c>
      <c r="B1520">
        <v>58</v>
      </c>
      <c r="C1520">
        <f>IF(B1520&gt;'user input'!$C$6,0,IF('heat units'!H1520&gt;1,1,'heat units'!H1520))</f>
        <v>0</v>
      </c>
      <c r="D1520">
        <f>IF(B1520&gt;'user input'!$C$6,0,(C1520/(C1520+EXP('user input'!$C$15-'user input'!$C$14*C1520))))</f>
        <v>0</v>
      </c>
      <c r="E1520">
        <f>IF(C1520&lt;'user input'!$C$12,(D1520-D1519)*'user input'!$C$17*(1-EXP(5*(F1519-'user input'!$C$17))),F1520-F1519)</f>
        <v>0</v>
      </c>
      <c r="F1520">
        <f>IF(C1520&lt;'user input'!$C$12,IF(B1520&gt;'user input'!$C$6,0,F1519+E1520),'user input'!$C$17*((1-C1520)/(1-'user input'!$C$12)))</f>
        <v>0</v>
      </c>
    </row>
    <row r="1521" spans="1:6" x14ac:dyDescent="0.2">
      <c r="A1521" s="1">
        <v>41697</v>
      </c>
      <c r="B1521">
        <v>59</v>
      </c>
      <c r="C1521">
        <f>IF(B1521&gt;'user input'!$C$6,0,IF('heat units'!H1521&gt;1,1,'heat units'!H1521))</f>
        <v>0</v>
      </c>
      <c r="D1521">
        <f>IF(B1521&gt;'user input'!$C$6,0,(C1521/(C1521+EXP('user input'!$C$15-'user input'!$C$14*C1521))))</f>
        <v>0</v>
      </c>
      <c r="E1521">
        <f>IF(C1521&lt;'user input'!$C$12,(D1521-D1520)*'user input'!$C$17*(1-EXP(5*(F1520-'user input'!$C$17))),F1521-F1520)</f>
        <v>0</v>
      </c>
      <c r="F1521">
        <f>IF(C1521&lt;'user input'!$C$12,IF(B1521&gt;'user input'!$C$6,0,F1520+E1521),'user input'!$C$17*((1-C1521)/(1-'user input'!$C$12)))</f>
        <v>0</v>
      </c>
    </row>
    <row r="1522" spans="1:6" x14ac:dyDescent="0.2">
      <c r="A1522" s="1">
        <v>41698</v>
      </c>
      <c r="B1522">
        <v>60</v>
      </c>
      <c r="C1522">
        <f>IF(B1522&gt;'user input'!$C$6,0,IF('heat units'!H1522&gt;1,1,'heat units'!H1522))</f>
        <v>0</v>
      </c>
      <c r="D1522">
        <f>IF(B1522&gt;'user input'!$C$6,0,(C1522/(C1522+EXP('user input'!$C$15-'user input'!$C$14*C1522))))</f>
        <v>0</v>
      </c>
      <c r="E1522">
        <f>IF(C1522&lt;'user input'!$C$12,(D1522-D1521)*'user input'!$C$17*(1-EXP(5*(F1521-'user input'!$C$17))),F1522-F1521)</f>
        <v>0</v>
      </c>
      <c r="F1522">
        <f>IF(C1522&lt;'user input'!$C$12,IF(B1522&gt;'user input'!$C$6,0,F1521+E1522),'user input'!$C$17*((1-C1522)/(1-'user input'!$C$12)))</f>
        <v>0</v>
      </c>
    </row>
    <row r="1523" spans="1:6" x14ac:dyDescent="0.2">
      <c r="A1523" s="1">
        <v>41699</v>
      </c>
      <c r="B1523">
        <v>61</v>
      </c>
      <c r="C1523">
        <f>IF(B1523&gt;'user input'!$C$6,0,IF('heat units'!H1523&gt;1,1,'heat units'!H1523))</f>
        <v>0</v>
      </c>
      <c r="D1523">
        <f>IF(B1523&gt;'user input'!$C$6,0,(C1523/(C1523+EXP('user input'!$C$15-'user input'!$C$14*C1523))))</f>
        <v>0</v>
      </c>
      <c r="E1523">
        <f>IF(C1523&lt;'user input'!$C$12,(D1523-D1522)*'user input'!$C$17*(1-EXP(5*(F1522-'user input'!$C$17))),F1523-F1522)</f>
        <v>0</v>
      </c>
      <c r="F1523">
        <f>IF(C1523&lt;'user input'!$C$12,IF(B1523&gt;'user input'!$C$6,0,F1522+E1523),'user input'!$C$17*((1-C1523)/(1-'user input'!$C$12)))</f>
        <v>0</v>
      </c>
    </row>
    <row r="1524" spans="1:6" x14ac:dyDescent="0.2">
      <c r="A1524" s="1">
        <v>41700</v>
      </c>
      <c r="B1524">
        <v>62</v>
      </c>
      <c r="C1524">
        <f>IF(B1524&gt;'user input'!$C$6,0,IF('heat units'!H1524&gt;1,1,'heat units'!H1524))</f>
        <v>0</v>
      </c>
      <c r="D1524">
        <f>IF(B1524&gt;'user input'!$C$6,0,(C1524/(C1524+EXP('user input'!$C$15-'user input'!$C$14*C1524))))</f>
        <v>0</v>
      </c>
      <c r="E1524">
        <f>IF(C1524&lt;'user input'!$C$12,(D1524-D1523)*'user input'!$C$17*(1-EXP(5*(F1523-'user input'!$C$17))),F1524-F1523)</f>
        <v>0</v>
      </c>
      <c r="F1524">
        <f>IF(C1524&lt;'user input'!$C$12,IF(B1524&gt;'user input'!$C$6,0,F1523+E1524),'user input'!$C$17*((1-C1524)/(1-'user input'!$C$12)))</f>
        <v>0</v>
      </c>
    </row>
    <row r="1525" spans="1:6" x14ac:dyDescent="0.2">
      <c r="A1525" s="1">
        <v>41701</v>
      </c>
      <c r="B1525">
        <v>63</v>
      </c>
      <c r="C1525">
        <f>IF(B1525&gt;'user input'!$C$6,0,IF('heat units'!H1525&gt;1,1,'heat units'!H1525))</f>
        <v>0</v>
      </c>
      <c r="D1525">
        <f>IF(B1525&gt;'user input'!$C$6,0,(C1525/(C1525+EXP('user input'!$C$15-'user input'!$C$14*C1525))))</f>
        <v>0</v>
      </c>
      <c r="E1525">
        <f>IF(C1525&lt;'user input'!$C$12,(D1525-D1524)*'user input'!$C$17*(1-EXP(5*(F1524-'user input'!$C$17))),F1525-F1524)</f>
        <v>0</v>
      </c>
      <c r="F1525">
        <f>IF(C1525&lt;'user input'!$C$12,IF(B1525&gt;'user input'!$C$6,0,F1524+E1525),'user input'!$C$17*((1-C1525)/(1-'user input'!$C$12)))</f>
        <v>0</v>
      </c>
    </row>
    <row r="1526" spans="1:6" x14ac:dyDescent="0.2">
      <c r="A1526" s="1">
        <v>41702</v>
      </c>
      <c r="B1526">
        <v>64</v>
      </c>
      <c r="C1526">
        <f>IF(B1526&gt;'user input'!$C$6,0,IF('heat units'!H1526&gt;1,1,'heat units'!H1526))</f>
        <v>0</v>
      </c>
      <c r="D1526">
        <f>IF(B1526&gt;'user input'!$C$6,0,(C1526/(C1526+EXP('user input'!$C$15-'user input'!$C$14*C1526))))</f>
        <v>0</v>
      </c>
      <c r="E1526">
        <f>IF(C1526&lt;'user input'!$C$12,(D1526-D1525)*'user input'!$C$17*(1-EXP(5*(F1525-'user input'!$C$17))),F1526-F1525)</f>
        <v>0</v>
      </c>
      <c r="F1526">
        <f>IF(C1526&lt;'user input'!$C$12,IF(B1526&gt;'user input'!$C$6,0,F1525+E1526),'user input'!$C$17*((1-C1526)/(1-'user input'!$C$12)))</f>
        <v>0</v>
      </c>
    </row>
    <row r="1527" spans="1:6" x14ac:dyDescent="0.2">
      <c r="A1527" s="1">
        <v>41703</v>
      </c>
      <c r="B1527">
        <v>65</v>
      </c>
      <c r="C1527">
        <f>IF(B1527&gt;'user input'!$C$6,0,IF('heat units'!H1527&gt;1,1,'heat units'!H1527))</f>
        <v>0</v>
      </c>
      <c r="D1527">
        <f>IF(B1527&gt;'user input'!$C$6,0,(C1527/(C1527+EXP('user input'!$C$15-'user input'!$C$14*C1527))))</f>
        <v>0</v>
      </c>
      <c r="E1527">
        <f>IF(C1527&lt;'user input'!$C$12,(D1527-D1526)*'user input'!$C$17*(1-EXP(5*(F1526-'user input'!$C$17))),F1527-F1526)</f>
        <v>0</v>
      </c>
      <c r="F1527">
        <f>IF(C1527&lt;'user input'!$C$12,IF(B1527&gt;'user input'!$C$6,0,F1526+E1527),'user input'!$C$17*((1-C1527)/(1-'user input'!$C$12)))</f>
        <v>0</v>
      </c>
    </row>
    <row r="1528" spans="1:6" x14ac:dyDescent="0.2">
      <c r="A1528" s="1">
        <v>41704</v>
      </c>
      <c r="B1528">
        <v>66</v>
      </c>
      <c r="C1528">
        <f>IF(B1528&gt;'user input'!$C$6,0,IF('heat units'!H1528&gt;1,1,'heat units'!H1528))</f>
        <v>0</v>
      </c>
      <c r="D1528">
        <f>IF(B1528&gt;'user input'!$C$6,0,(C1528/(C1528+EXP('user input'!$C$15-'user input'!$C$14*C1528))))</f>
        <v>0</v>
      </c>
      <c r="E1528">
        <f>IF(C1528&lt;'user input'!$C$12,(D1528-D1527)*'user input'!$C$17*(1-EXP(5*(F1527-'user input'!$C$17))),F1528-F1527)</f>
        <v>0</v>
      </c>
      <c r="F1528">
        <f>IF(C1528&lt;'user input'!$C$12,IF(B1528&gt;'user input'!$C$6,0,F1527+E1528),'user input'!$C$17*((1-C1528)/(1-'user input'!$C$12)))</f>
        <v>0</v>
      </c>
    </row>
    <row r="1529" spans="1:6" x14ac:dyDescent="0.2">
      <c r="A1529" s="1">
        <v>41705</v>
      </c>
      <c r="B1529">
        <v>67</v>
      </c>
      <c r="C1529">
        <f>IF(B1529&gt;'user input'!$C$6,0,IF('heat units'!H1529&gt;1,1,'heat units'!H1529))</f>
        <v>0</v>
      </c>
      <c r="D1529">
        <f>IF(B1529&gt;'user input'!$C$6,0,(C1529/(C1529+EXP('user input'!$C$15-'user input'!$C$14*C1529))))</f>
        <v>0</v>
      </c>
      <c r="E1529">
        <f>IF(C1529&lt;'user input'!$C$12,(D1529-D1528)*'user input'!$C$17*(1-EXP(5*(F1528-'user input'!$C$17))),F1529-F1528)</f>
        <v>0</v>
      </c>
      <c r="F1529">
        <f>IF(C1529&lt;'user input'!$C$12,IF(B1529&gt;'user input'!$C$6,0,F1528+E1529),'user input'!$C$17*((1-C1529)/(1-'user input'!$C$12)))</f>
        <v>0</v>
      </c>
    </row>
    <row r="1530" spans="1:6" x14ac:dyDescent="0.2">
      <c r="A1530" s="1">
        <v>41706</v>
      </c>
      <c r="B1530">
        <v>68</v>
      </c>
      <c r="C1530">
        <f>IF(B1530&gt;'user input'!$C$6,0,IF('heat units'!H1530&gt;1,1,'heat units'!H1530))</f>
        <v>0</v>
      </c>
      <c r="D1530">
        <f>IF(B1530&gt;'user input'!$C$6,0,(C1530/(C1530+EXP('user input'!$C$15-'user input'!$C$14*C1530))))</f>
        <v>0</v>
      </c>
      <c r="E1530">
        <f>IF(C1530&lt;'user input'!$C$12,(D1530-D1529)*'user input'!$C$17*(1-EXP(5*(F1529-'user input'!$C$17))),F1530-F1529)</f>
        <v>0</v>
      </c>
      <c r="F1530">
        <f>IF(C1530&lt;'user input'!$C$12,IF(B1530&gt;'user input'!$C$6,0,F1529+E1530),'user input'!$C$17*((1-C1530)/(1-'user input'!$C$12)))</f>
        <v>0</v>
      </c>
    </row>
    <row r="1531" spans="1:6" x14ac:dyDescent="0.2">
      <c r="A1531" s="1">
        <v>41707</v>
      </c>
      <c r="B1531">
        <v>69</v>
      </c>
      <c r="C1531">
        <f>IF(B1531&gt;'user input'!$C$6,0,IF('heat units'!H1531&gt;1,1,'heat units'!H1531))</f>
        <v>0</v>
      </c>
      <c r="D1531">
        <f>IF(B1531&gt;'user input'!$C$6,0,(C1531/(C1531+EXP('user input'!$C$15-'user input'!$C$14*C1531))))</f>
        <v>0</v>
      </c>
      <c r="E1531">
        <f>IF(C1531&lt;'user input'!$C$12,(D1531-D1530)*'user input'!$C$17*(1-EXP(5*(F1530-'user input'!$C$17))),F1531-F1530)</f>
        <v>0</v>
      </c>
      <c r="F1531">
        <f>IF(C1531&lt;'user input'!$C$12,IF(B1531&gt;'user input'!$C$6,0,F1530+E1531),'user input'!$C$17*((1-C1531)/(1-'user input'!$C$12)))</f>
        <v>0</v>
      </c>
    </row>
    <row r="1532" spans="1:6" x14ac:dyDescent="0.2">
      <c r="A1532" s="1">
        <v>41708</v>
      </c>
      <c r="B1532">
        <v>70</v>
      </c>
      <c r="C1532">
        <f>IF(B1532&gt;'user input'!$C$6,0,IF('heat units'!H1532&gt;1,1,'heat units'!H1532))</f>
        <v>0</v>
      </c>
      <c r="D1532">
        <f>IF(B1532&gt;'user input'!$C$6,0,(C1532/(C1532+EXP('user input'!$C$15-'user input'!$C$14*C1532))))</f>
        <v>0</v>
      </c>
      <c r="E1532">
        <f>IF(C1532&lt;'user input'!$C$12,(D1532-D1531)*'user input'!$C$17*(1-EXP(5*(F1531-'user input'!$C$17))),F1532-F1531)</f>
        <v>0</v>
      </c>
      <c r="F1532">
        <f>IF(C1532&lt;'user input'!$C$12,IF(B1532&gt;'user input'!$C$6,0,F1531+E1532),'user input'!$C$17*((1-C1532)/(1-'user input'!$C$12)))</f>
        <v>0</v>
      </c>
    </row>
    <row r="1533" spans="1:6" x14ac:dyDescent="0.2">
      <c r="A1533" s="1">
        <v>41709</v>
      </c>
      <c r="B1533">
        <v>71</v>
      </c>
      <c r="C1533">
        <f>IF(B1533&gt;'user input'!$C$6,0,IF('heat units'!H1533&gt;1,1,'heat units'!H1533))</f>
        <v>0</v>
      </c>
      <c r="D1533">
        <f>IF(B1533&gt;'user input'!$C$6,0,(C1533/(C1533+EXP('user input'!$C$15-'user input'!$C$14*C1533))))</f>
        <v>0</v>
      </c>
      <c r="E1533">
        <f>IF(C1533&lt;'user input'!$C$12,(D1533-D1532)*'user input'!$C$17*(1-EXP(5*(F1532-'user input'!$C$17))),F1533-F1532)</f>
        <v>0</v>
      </c>
      <c r="F1533">
        <f>IF(C1533&lt;'user input'!$C$12,IF(B1533&gt;'user input'!$C$6,0,F1532+E1533),'user input'!$C$17*((1-C1533)/(1-'user input'!$C$12)))</f>
        <v>0</v>
      </c>
    </row>
    <row r="1534" spans="1:6" x14ac:dyDescent="0.2">
      <c r="A1534" s="1">
        <v>41710</v>
      </c>
      <c r="B1534">
        <v>72</v>
      </c>
      <c r="C1534">
        <f>IF(B1534&gt;'user input'!$C$6,0,IF('heat units'!H1534&gt;1,1,'heat units'!H1534))</f>
        <v>0</v>
      </c>
      <c r="D1534">
        <f>IF(B1534&gt;'user input'!$C$6,0,(C1534/(C1534+EXP('user input'!$C$15-'user input'!$C$14*C1534))))</f>
        <v>0</v>
      </c>
      <c r="E1534">
        <f>IF(C1534&lt;'user input'!$C$12,(D1534-D1533)*'user input'!$C$17*(1-EXP(5*(F1533-'user input'!$C$17))),F1534-F1533)</f>
        <v>0</v>
      </c>
      <c r="F1534">
        <f>IF(C1534&lt;'user input'!$C$12,IF(B1534&gt;'user input'!$C$6,0,F1533+E1534),'user input'!$C$17*((1-C1534)/(1-'user input'!$C$12)))</f>
        <v>0</v>
      </c>
    </row>
    <row r="1535" spans="1:6" x14ac:dyDescent="0.2">
      <c r="A1535" s="1">
        <v>41711</v>
      </c>
      <c r="B1535">
        <v>73</v>
      </c>
      <c r="C1535">
        <f>IF(B1535&gt;'user input'!$C$6,0,IF('heat units'!H1535&gt;1,1,'heat units'!H1535))</f>
        <v>0</v>
      </c>
      <c r="D1535">
        <f>IF(B1535&gt;'user input'!$C$6,0,(C1535/(C1535+EXP('user input'!$C$15-'user input'!$C$14*C1535))))</f>
        <v>0</v>
      </c>
      <c r="E1535">
        <f>IF(C1535&lt;'user input'!$C$12,(D1535-D1534)*'user input'!$C$17*(1-EXP(5*(F1534-'user input'!$C$17))),F1535-F1534)</f>
        <v>0</v>
      </c>
      <c r="F1535">
        <f>IF(C1535&lt;'user input'!$C$12,IF(B1535&gt;'user input'!$C$6,0,F1534+E1535),'user input'!$C$17*((1-C1535)/(1-'user input'!$C$12)))</f>
        <v>0</v>
      </c>
    </row>
    <row r="1536" spans="1:6" x14ac:dyDescent="0.2">
      <c r="A1536" s="1">
        <v>41712</v>
      </c>
      <c r="B1536">
        <v>74</v>
      </c>
      <c r="C1536">
        <f>IF(B1536&gt;'user input'!$C$6,0,IF('heat units'!H1536&gt;1,1,'heat units'!H1536))</f>
        <v>0</v>
      </c>
      <c r="D1536">
        <f>IF(B1536&gt;'user input'!$C$6,0,(C1536/(C1536+EXP('user input'!$C$15-'user input'!$C$14*C1536))))</f>
        <v>0</v>
      </c>
      <c r="E1536">
        <f>IF(C1536&lt;'user input'!$C$12,(D1536-D1535)*'user input'!$C$17*(1-EXP(5*(F1535-'user input'!$C$17))),F1536-F1535)</f>
        <v>0</v>
      </c>
      <c r="F1536">
        <f>IF(C1536&lt;'user input'!$C$12,IF(B1536&gt;'user input'!$C$6,0,F1535+E1536),'user input'!$C$17*((1-C1536)/(1-'user input'!$C$12)))</f>
        <v>0</v>
      </c>
    </row>
    <row r="1537" spans="1:6" x14ac:dyDescent="0.2">
      <c r="A1537" s="1">
        <v>41713</v>
      </c>
      <c r="B1537">
        <v>75</v>
      </c>
      <c r="C1537">
        <f>IF(B1537&gt;'user input'!$C$6,0,IF('heat units'!H1537&gt;1,1,'heat units'!H1537))</f>
        <v>0</v>
      </c>
      <c r="D1537">
        <f>IF(B1537&gt;'user input'!$C$6,0,(C1537/(C1537+EXP('user input'!$C$15-'user input'!$C$14*C1537))))</f>
        <v>0</v>
      </c>
      <c r="E1537">
        <f>IF(C1537&lt;'user input'!$C$12,(D1537-D1536)*'user input'!$C$17*(1-EXP(5*(F1536-'user input'!$C$17))),F1537-F1536)</f>
        <v>0</v>
      </c>
      <c r="F1537">
        <f>IF(C1537&lt;'user input'!$C$12,IF(B1537&gt;'user input'!$C$6,0,F1536+E1537),'user input'!$C$17*((1-C1537)/(1-'user input'!$C$12)))</f>
        <v>0</v>
      </c>
    </row>
    <row r="1538" spans="1:6" x14ac:dyDescent="0.2">
      <c r="A1538" s="1">
        <v>41714</v>
      </c>
      <c r="B1538">
        <v>76</v>
      </c>
      <c r="C1538">
        <f>IF(B1538&gt;'user input'!$C$6,0,IF('heat units'!H1538&gt;1,1,'heat units'!H1538))</f>
        <v>0</v>
      </c>
      <c r="D1538">
        <f>IF(B1538&gt;'user input'!$C$6,0,(C1538/(C1538+EXP('user input'!$C$15-'user input'!$C$14*C1538))))</f>
        <v>0</v>
      </c>
      <c r="E1538">
        <f>IF(C1538&lt;'user input'!$C$12,(D1538-D1537)*'user input'!$C$17*(1-EXP(5*(F1537-'user input'!$C$17))),F1538-F1537)</f>
        <v>0</v>
      </c>
      <c r="F1538">
        <f>IF(C1538&lt;'user input'!$C$12,IF(B1538&gt;'user input'!$C$6,0,F1537+E1538),'user input'!$C$17*((1-C1538)/(1-'user input'!$C$12)))</f>
        <v>0</v>
      </c>
    </row>
    <row r="1539" spans="1:6" x14ac:dyDescent="0.2">
      <c r="A1539" s="1">
        <v>41715</v>
      </c>
      <c r="B1539">
        <v>77</v>
      </c>
      <c r="C1539">
        <f>IF(B1539&gt;'user input'!$C$6,0,IF('heat units'!H1539&gt;1,1,'heat units'!H1539))</f>
        <v>0</v>
      </c>
      <c r="D1539">
        <f>IF(B1539&gt;'user input'!$C$6,0,(C1539/(C1539+EXP('user input'!$C$15-'user input'!$C$14*C1539))))</f>
        <v>0</v>
      </c>
      <c r="E1539">
        <f>IF(C1539&lt;'user input'!$C$12,(D1539-D1538)*'user input'!$C$17*(1-EXP(5*(F1538-'user input'!$C$17))),F1539-F1538)</f>
        <v>0</v>
      </c>
      <c r="F1539">
        <f>IF(C1539&lt;'user input'!$C$12,IF(B1539&gt;'user input'!$C$6,0,F1538+E1539),'user input'!$C$17*((1-C1539)/(1-'user input'!$C$12)))</f>
        <v>0</v>
      </c>
    </row>
    <row r="1540" spans="1:6" x14ac:dyDescent="0.2">
      <c r="A1540" s="1">
        <v>41716</v>
      </c>
      <c r="B1540">
        <v>78</v>
      </c>
      <c r="C1540">
        <f>IF(B1540&gt;'user input'!$C$6,0,IF('heat units'!H1540&gt;1,1,'heat units'!H1540))</f>
        <v>0</v>
      </c>
      <c r="D1540">
        <f>IF(B1540&gt;'user input'!$C$6,0,(C1540/(C1540+EXP('user input'!$C$15-'user input'!$C$14*C1540))))</f>
        <v>0</v>
      </c>
      <c r="E1540">
        <f>IF(C1540&lt;'user input'!$C$12,(D1540-D1539)*'user input'!$C$17*(1-EXP(5*(F1539-'user input'!$C$17))),F1540-F1539)</f>
        <v>0</v>
      </c>
      <c r="F1540">
        <f>IF(C1540&lt;'user input'!$C$12,IF(B1540&gt;'user input'!$C$6,0,F1539+E1540),'user input'!$C$17*((1-C1540)/(1-'user input'!$C$12)))</f>
        <v>0</v>
      </c>
    </row>
    <row r="1541" spans="1:6" x14ac:dyDescent="0.2">
      <c r="A1541" s="1">
        <v>41717</v>
      </c>
      <c r="B1541">
        <v>79</v>
      </c>
      <c r="C1541">
        <f>IF(B1541&gt;'user input'!$C$6,0,IF('heat units'!H1541&gt;1,1,'heat units'!H1541))</f>
        <v>0</v>
      </c>
      <c r="D1541">
        <f>IF(B1541&gt;'user input'!$C$6,0,(C1541/(C1541+EXP('user input'!$C$15-'user input'!$C$14*C1541))))</f>
        <v>0</v>
      </c>
      <c r="E1541">
        <f>IF(C1541&lt;'user input'!$C$12,(D1541-D1540)*'user input'!$C$17*(1-EXP(5*(F1540-'user input'!$C$17))),F1541-F1540)</f>
        <v>0</v>
      </c>
      <c r="F1541">
        <f>IF(C1541&lt;'user input'!$C$12,IF(B1541&gt;'user input'!$C$6,0,F1540+E1541),'user input'!$C$17*((1-C1541)/(1-'user input'!$C$12)))</f>
        <v>0</v>
      </c>
    </row>
    <row r="1542" spans="1:6" x14ac:dyDescent="0.2">
      <c r="A1542" s="1">
        <v>41718</v>
      </c>
      <c r="B1542">
        <v>80</v>
      </c>
      <c r="C1542">
        <f>IF(B1542&gt;'user input'!$C$6,0,IF('heat units'!H1542&gt;1,1,'heat units'!H1542))</f>
        <v>0</v>
      </c>
      <c r="D1542">
        <f>IF(B1542&gt;'user input'!$C$6,0,(C1542/(C1542+EXP('user input'!$C$15-'user input'!$C$14*C1542))))</f>
        <v>0</v>
      </c>
      <c r="E1542">
        <f>IF(C1542&lt;'user input'!$C$12,(D1542-D1541)*'user input'!$C$17*(1-EXP(5*(F1541-'user input'!$C$17))),F1542-F1541)</f>
        <v>0</v>
      </c>
      <c r="F1542">
        <f>IF(C1542&lt;'user input'!$C$12,IF(B1542&gt;'user input'!$C$6,0,F1541+E1542),'user input'!$C$17*((1-C1542)/(1-'user input'!$C$12)))</f>
        <v>0</v>
      </c>
    </row>
    <row r="1543" spans="1:6" x14ac:dyDescent="0.2">
      <c r="A1543" s="1">
        <v>41719</v>
      </c>
      <c r="B1543">
        <v>81</v>
      </c>
      <c r="C1543">
        <f>IF(B1543&gt;'user input'!$C$6,0,IF('heat units'!H1543&gt;1,1,'heat units'!H1543))</f>
        <v>0</v>
      </c>
      <c r="D1543">
        <f>IF(B1543&gt;'user input'!$C$6,0,(C1543/(C1543+EXP('user input'!$C$15-'user input'!$C$14*C1543))))</f>
        <v>0</v>
      </c>
      <c r="E1543">
        <f>IF(C1543&lt;'user input'!$C$12,(D1543-D1542)*'user input'!$C$17*(1-EXP(5*(F1542-'user input'!$C$17))),F1543-F1542)</f>
        <v>0</v>
      </c>
      <c r="F1543">
        <f>IF(C1543&lt;'user input'!$C$12,IF(B1543&gt;'user input'!$C$6,0,F1542+E1543),'user input'!$C$17*((1-C1543)/(1-'user input'!$C$12)))</f>
        <v>0</v>
      </c>
    </row>
    <row r="1544" spans="1:6" x14ac:dyDescent="0.2">
      <c r="A1544" s="1">
        <v>41720</v>
      </c>
      <c r="B1544">
        <v>82</v>
      </c>
      <c r="C1544">
        <f>IF(B1544&gt;'user input'!$C$6,0,IF('heat units'!H1544&gt;1,1,'heat units'!H1544))</f>
        <v>0</v>
      </c>
      <c r="D1544">
        <f>IF(B1544&gt;'user input'!$C$6,0,(C1544/(C1544+EXP('user input'!$C$15-'user input'!$C$14*C1544))))</f>
        <v>0</v>
      </c>
      <c r="E1544">
        <f>IF(C1544&lt;'user input'!$C$12,(D1544-D1543)*'user input'!$C$17*(1-EXP(5*(F1543-'user input'!$C$17))),F1544-F1543)</f>
        <v>0</v>
      </c>
      <c r="F1544">
        <f>IF(C1544&lt;'user input'!$C$12,IF(B1544&gt;'user input'!$C$6,0,F1543+E1544),'user input'!$C$17*((1-C1544)/(1-'user input'!$C$12)))</f>
        <v>0</v>
      </c>
    </row>
    <row r="1545" spans="1:6" x14ac:dyDescent="0.2">
      <c r="A1545" s="1">
        <v>41721</v>
      </c>
      <c r="B1545">
        <v>83</v>
      </c>
      <c r="C1545">
        <f>IF(B1545&gt;'user input'!$C$6,0,IF('heat units'!H1545&gt;1,1,'heat units'!H1545))</f>
        <v>0</v>
      </c>
      <c r="D1545">
        <f>IF(B1545&gt;'user input'!$C$6,0,(C1545/(C1545+EXP('user input'!$C$15-'user input'!$C$14*C1545))))</f>
        <v>0</v>
      </c>
      <c r="E1545">
        <f>IF(C1545&lt;'user input'!$C$12,(D1545-D1544)*'user input'!$C$17*(1-EXP(5*(F1544-'user input'!$C$17))),F1545-F1544)</f>
        <v>0</v>
      </c>
      <c r="F1545">
        <f>IF(C1545&lt;'user input'!$C$12,IF(B1545&gt;'user input'!$C$6,0,F1544+E1545),'user input'!$C$17*((1-C1545)/(1-'user input'!$C$12)))</f>
        <v>0</v>
      </c>
    </row>
    <row r="1546" spans="1:6" x14ac:dyDescent="0.2">
      <c r="A1546" s="1">
        <v>41722</v>
      </c>
      <c r="B1546">
        <v>84</v>
      </c>
      <c r="C1546">
        <f>IF(B1546&gt;'user input'!$C$6,0,IF('heat units'!H1546&gt;1,1,'heat units'!H1546))</f>
        <v>0</v>
      </c>
      <c r="D1546">
        <f>IF(B1546&gt;'user input'!$C$6,0,(C1546/(C1546+EXP('user input'!$C$15-'user input'!$C$14*C1546))))</f>
        <v>0</v>
      </c>
      <c r="E1546">
        <f>IF(C1546&lt;'user input'!$C$12,(D1546-D1545)*'user input'!$C$17*(1-EXP(5*(F1545-'user input'!$C$17))),F1546-F1545)</f>
        <v>0</v>
      </c>
      <c r="F1546">
        <f>IF(C1546&lt;'user input'!$C$12,IF(B1546&gt;'user input'!$C$6,0,F1545+E1546),'user input'!$C$17*((1-C1546)/(1-'user input'!$C$12)))</f>
        <v>0</v>
      </c>
    </row>
    <row r="1547" spans="1:6" x14ac:dyDescent="0.2">
      <c r="A1547" s="1">
        <v>41723</v>
      </c>
      <c r="B1547">
        <v>85</v>
      </c>
      <c r="C1547">
        <f>IF(B1547&gt;'user input'!$C$6,0,IF('heat units'!H1547&gt;1,1,'heat units'!H1547))</f>
        <v>0</v>
      </c>
      <c r="D1547">
        <f>IF(B1547&gt;'user input'!$C$6,0,(C1547/(C1547+EXP('user input'!$C$15-'user input'!$C$14*C1547))))</f>
        <v>0</v>
      </c>
      <c r="E1547">
        <f>IF(C1547&lt;'user input'!$C$12,(D1547-D1546)*'user input'!$C$17*(1-EXP(5*(F1546-'user input'!$C$17))),F1547-F1546)</f>
        <v>0</v>
      </c>
      <c r="F1547">
        <f>IF(C1547&lt;'user input'!$C$12,IF(B1547&gt;'user input'!$C$6,0,F1546+E1547),'user input'!$C$17*((1-C1547)/(1-'user input'!$C$12)))</f>
        <v>0</v>
      </c>
    </row>
    <row r="1548" spans="1:6" x14ac:dyDescent="0.2">
      <c r="A1548" s="1">
        <v>41724</v>
      </c>
      <c r="B1548">
        <v>86</v>
      </c>
      <c r="C1548">
        <f>IF(B1548&gt;'user input'!$C$6,0,IF('heat units'!H1548&gt;1,1,'heat units'!H1548))</f>
        <v>0</v>
      </c>
      <c r="D1548">
        <f>IF(B1548&gt;'user input'!$C$6,0,(C1548/(C1548+EXP('user input'!$C$15-'user input'!$C$14*C1548))))</f>
        <v>0</v>
      </c>
      <c r="E1548">
        <f>IF(C1548&lt;'user input'!$C$12,(D1548-D1547)*'user input'!$C$17*(1-EXP(5*(F1547-'user input'!$C$17))),F1548-F1547)</f>
        <v>0</v>
      </c>
      <c r="F1548">
        <f>IF(C1548&lt;'user input'!$C$12,IF(B1548&gt;'user input'!$C$6,0,F1547+E1548),'user input'!$C$17*((1-C1548)/(1-'user input'!$C$12)))</f>
        <v>0</v>
      </c>
    </row>
    <row r="1549" spans="1:6" x14ac:dyDescent="0.2">
      <c r="A1549" s="1">
        <v>41725</v>
      </c>
      <c r="B1549">
        <v>87</v>
      </c>
      <c r="C1549">
        <f>IF(B1549&gt;'user input'!$C$6,0,IF('heat units'!H1549&gt;1,1,'heat units'!H1549))</f>
        <v>0</v>
      </c>
      <c r="D1549">
        <f>IF(B1549&gt;'user input'!$C$6,0,(C1549/(C1549+EXP('user input'!$C$15-'user input'!$C$14*C1549))))</f>
        <v>0</v>
      </c>
      <c r="E1549">
        <f>IF(C1549&lt;'user input'!$C$12,(D1549-D1548)*'user input'!$C$17*(1-EXP(5*(F1548-'user input'!$C$17))),F1549-F1548)</f>
        <v>0</v>
      </c>
      <c r="F1549">
        <f>IF(C1549&lt;'user input'!$C$12,IF(B1549&gt;'user input'!$C$6,0,F1548+E1549),'user input'!$C$17*((1-C1549)/(1-'user input'!$C$12)))</f>
        <v>0</v>
      </c>
    </row>
    <row r="1550" spans="1:6" x14ac:dyDescent="0.2">
      <c r="A1550" s="1">
        <v>41726</v>
      </c>
      <c r="B1550">
        <v>88</v>
      </c>
      <c r="C1550">
        <f>IF(B1550&gt;'user input'!$C$6,0,IF('heat units'!H1550&gt;1,1,'heat units'!H1550))</f>
        <v>0</v>
      </c>
      <c r="D1550">
        <f>IF(B1550&gt;'user input'!$C$6,0,(C1550/(C1550+EXP('user input'!$C$15-'user input'!$C$14*C1550))))</f>
        <v>0</v>
      </c>
      <c r="E1550">
        <f>IF(C1550&lt;'user input'!$C$12,(D1550-D1549)*'user input'!$C$17*(1-EXP(5*(F1549-'user input'!$C$17))),F1550-F1549)</f>
        <v>0</v>
      </c>
      <c r="F1550">
        <f>IF(C1550&lt;'user input'!$C$12,IF(B1550&gt;'user input'!$C$6,0,F1549+E1550),'user input'!$C$17*((1-C1550)/(1-'user input'!$C$12)))</f>
        <v>0</v>
      </c>
    </row>
    <row r="1551" spans="1:6" x14ac:dyDescent="0.2">
      <c r="A1551" s="1">
        <v>41727</v>
      </c>
      <c r="B1551">
        <v>89</v>
      </c>
      <c r="C1551">
        <f>IF(B1551&gt;'user input'!$C$6,0,IF('heat units'!H1551&gt;1,1,'heat units'!H1551))</f>
        <v>0</v>
      </c>
      <c r="D1551">
        <f>IF(B1551&gt;'user input'!$C$6,0,(C1551/(C1551+EXP('user input'!$C$15-'user input'!$C$14*C1551))))</f>
        <v>0</v>
      </c>
      <c r="E1551">
        <f>IF(C1551&lt;'user input'!$C$12,(D1551-D1550)*'user input'!$C$17*(1-EXP(5*(F1550-'user input'!$C$17))),F1551-F1550)</f>
        <v>0</v>
      </c>
      <c r="F1551">
        <f>IF(C1551&lt;'user input'!$C$12,IF(B1551&gt;'user input'!$C$6,0,F1550+E1551),'user input'!$C$17*((1-C1551)/(1-'user input'!$C$12)))</f>
        <v>0</v>
      </c>
    </row>
    <row r="1552" spans="1:6" x14ac:dyDescent="0.2">
      <c r="A1552" s="1">
        <v>41728</v>
      </c>
      <c r="B1552">
        <v>90</v>
      </c>
      <c r="C1552">
        <f>IF(B1552&gt;'user input'!$C$6,0,IF('heat units'!H1552&gt;1,1,'heat units'!H1552))</f>
        <v>0</v>
      </c>
      <c r="D1552">
        <f>IF(B1552&gt;'user input'!$C$6,0,(C1552/(C1552+EXP('user input'!$C$15-'user input'!$C$14*C1552))))</f>
        <v>0</v>
      </c>
      <c r="E1552">
        <f>IF(C1552&lt;'user input'!$C$12,(D1552-D1551)*'user input'!$C$17*(1-EXP(5*(F1551-'user input'!$C$17))),F1552-F1551)</f>
        <v>0</v>
      </c>
      <c r="F1552">
        <f>IF(C1552&lt;'user input'!$C$12,IF(B1552&gt;'user input'!$C$6,0,F1551+E1552),'user input'!$C$17*((1-C1552)/(1-'user input'!$C$12)))</f>
        <v>0</v>
      </c>
    </row>
    <row r="1553" spans="1:6" x14ac:dyDescent="0.2">
      <c r="A1553" s="1">
        <v>41729</v>
      </c>
      <c r="B1553">
        <v>91</v>
      </c>
      <c r="C1553">
        <f>IF(B1553&gt;'user input'!$C$6,0,IF('heat units'!H1553&gt;1,1,'heat units'!H1553))</f>
        <v>0</v>
      </c>
      <c r="D1553">
        <f>IF(B1553&gt;'user input'!$C$6,0,(C1553/(C1553+EXP('user input'!$C$15-'user input'!$C$14*C1553))))</f>
        <v>0</v>
      </c>
      <c r="E1553">
        <f>IF(C1553&lt;'user input'!$C$12,(D1553-D1552)*'user input'!$C$17*(1-EXP(5*(F1552-'user input'!$C$17))),F1553-F1552)</f>
        <v>0</v>
      </c>
      <c r="F1553">
        <f>IF(C1553&lt;'user input'!$C$12,IF(B1553&gt;'user input'!$C$6,0,F1552+E1553),'user input'!$C$17*((1-C1553)/(1-'user input'!$C$12)))</f>
        <v>0</v>
      </c>
    </row>
    <row r="1554" spans="1:6" x14ac:dyDescent="0.2">
      <c r="A1554" s="1">
        <v>41730</v>
      </c>
      <c r="B1554">
        <v>92</v>
      </c>
      <c r="C1554">
        <f>IF(B1554&gt;'user input'!$C$6,0,IF('heat units'!H1554&gt;1,1,'heat units'!H1554))</f>
        <v>0</v>
      </c>
      <c r="D1554">
        <f>IF(B1554&gt;'user input'!$C$6,0,(C1554/(C1554+EXP('user input'!$C$15-'user input'!$C$14*C1554))))</f>
        <v>0</v>
      </c>
      <c r="E1554">
        <f>IF(C1554&lt;'user input'!$C$12,(D1554-D1553)*'user input'!$C$17*(1-EXP(5*(F1553-'user input'!$C$17))),F1554-F1553)</f>
        <v>0</v>
      </c>
      <c r="F1554">
        <f>IF(C1554&lt;'user input'!$C$12,IF(B1554&gt;'user input'!$C$6,0,F1553+E1554),'user input'!$C$17*((1-C1554)/(1-'user input'!$C$12)))</f>
        <v>0</v>
      </c>
    </row>
    <row r="1555" spans="1:6" x14ac:dyDescent="0.2">
      <c r="A1555" s="1">
        <v>41731</v>
      </c>
      <c r="B1555">
        <v>93</v>
      </c>
      <c r="C1555">
        <f>IF(B1555&gt;'user input'!$C$6,0,IF('heat units'!H1555&gt;1,1,'heat units'!H1555))</f>
        <v>0</v>
      </c>
      <c r="D1555">
        <f>IF(B1555&gt;'user input'!$C$6,0,(C1555/(C1555+EXP('user input'!$C$15-'user input'!$C$14*C1555))))</f>
        <v>0</v>
      </c>
      <c r="E1555">
        <f>IF(C1555&lt;'user input'!$C$12,(D1555-D1554)*'user input'!$C$17*(1-EXP(5*(F1554-'user input'!$C$17))),F1555-F1554)</f>
        <v>0</v>
      </c>
      <c r="F1555">
        <f>IF(C1555&lt;'user input'!$C$12,IF(B1555&gt;'user input'!$C$6,0,F1554+E1555),'user input'!$C$17*((1-C1555)/(1-'user input'!$C$12)))</f>
        <v>0</v>
      </c>
    </row>
    <row r="1556" spans="1:6" x14ac:dyDescent="0.2">
      <c r="A1556" s="1">
        <v>41732</v>
      </c>
      <c r="B1556">
        <v>94</v>
      </c>
      <c r="C1556">
        <f>IF(B1556&gt;'user input'!$C$6,0,IF('heat units'!H1556&gt;1,1,'heat units'!H1556))</f>
        <v>0</v>
      </c>
      <c r="D1556">
        <f>IF(B1556&gt;'user input'!$C$6,0,(C1556/(C1556+EXP('user input'!$C$15-'user input'!$C$14*C1556))))</f>
        <v>0</v>
      </c>
      <c r="E1556">
        <f>IF(C1556&lt;'user input'!$C$12,(D1556-D1555)*'user input'!$C$17*(1-EXP(5*(F1555-'user input'!$C$17))),F1556-F1555)</f>
        <v>0</v>
      </c>
      <c r="F1556">
        <f>IF(C1556&lt;'user input'!$C$12,IF(B1556&gt;'user input'!$C$6,0,F1555+E1556),'user input'!$C$17*((1-C1556)/(1-'user input'!$C$12)))</f>
        <v>0</v>
      </c>
    </row>
    <row r="1557" spans="1:6" x14ac:dyDescent="0.2">
      <c r="A1557" s="1">
        <v>41733</v>
      </c>
      <c r="B1557">
        <v>95</v>
      </c>
      <c r="C1557">
        <f>IF(B1557&gt;'user input'!$C$6,0,IF('heat units'!H1557&gt;1,1,'heat units'!H1557))</f>
        <v>0</v>
      </c>
      <c r="D1557">
        <f>IF(B1557&gt;'user input'!$C$6,0,(C1557/(C1557+EXP('user input'!$C$15-'user input'!$C$14*C1557))))</f>
        <v>0</v>
      </c>
      <c r="E1557">
        <f>IF(C1557&lt;'user input'!$C$12,(D1557-D1556)*'user input'!$C$17*(1-EXP(5*(F1556-'user input'!$C$17))),F1557-F1556)</f>
        <v>0</v>
      </c>
      <c r="F1557">
        <f>IF(C1557&lt;'user input'!$C$12,IF(B1557&gt;'user input'!$C$6,0,F1556+E1557),'user input'!$C$17*((1-C1557)/(1-'user input'!$C$12)))</f>
        <v>0</v>
      </c>
    </row>
    <row r="1558" spans="1:6" x14ac:dyDescent="0.2">
      <c r="A1558" s="1">
        <v>41734</v>
      </c>
      <c r="B1558">
        <v>96</v>
      </c>
      <c r="C1558">
        <f>IF(B1558&gt;'user input'!$C$6,0,IF('heat units'!H1558&gt;1,1,'heat units'!H1558))</f>
        <v>0</v>
      </c>
      <c r="D1558">
        <f>IF(B1558&gt;'user input'!$C$6,0,(C1558/(C1558+EXP('user input'!$C$15-'user input'!$C$14*C1558))))</f>
        <v>0</v>
      </c>
      <c r="E1558">
        <f>IF(C1558&lt;'user input'!$C$12,(D1558-D1557)*'user input'!$C$17*(1-EXP(5*(F1557-'user input'!$C$17))),F1558-F1557)</f>
        <v>0</v>
      </c>
      <c r="F1558">
        <f>IF(C1558&lt;'user input'!$C$12,IF(B1558&gt;'user input'!$C$6,0,F1557+E1558),'user input'!$C$17*((1-C1558)/(1-'user input'!$C$12)))</f>
        <v>0</v>
      </c>
    </row>
    <row r="1559" spans="1:6" x14ac:dyDescent="0.2">
      <c r="A1559" s="1">
        <v>41735</v>
      </c>
      <c r="B1559">
        <v>97</v>
      </c>
      <c r="C1559">
        <f>IF(B1559&gt;'user input'!$C$6,0,IF('heat units'!H1559&gt;1,1,'heat units'!H1559))</f>
        <v>0</v>
      </c>
      <c r="D1559">
        <f>IF(B1559&gt;'user input'!$C$6,0,(C1559/(C1559+EXP('user input'!$C$15-'user input'!$C$14*C1559))))</f>
        <v>0</v>
      </c>
      <c r="E1559">
        <f>IF(C1559&lt;'user input'!$C$12,(D1559-D1558)*'user input'!$C$17*(1-EXP(5*(F1558-'user input'!$C$17))),F1559-F1558)</f>
        <v>0</v>
      </c>
      <c r="F1559">
        <f>IF(C1559&lt;'user input'!$C$12,IF(B1559&gt;'user input'!$C$6,0,F1558+E1559),'user input'!$C$17*((1-C1559)/(1-'user input'!$C$12)))</f>
        <v>0</v>
      </c>
    </row>
    <row r="1560" spans="1:6" x14ac:dyDescent="0.2">
      <c r="A1560" s="1">
        <v>41736</v>
      </c>
      <c r="B1560">
        <v>98</v>
      </c>
      <c r="C1560">
        <f>IF(B1560&gt;'user input'!$C$6,0,IF('heat units'!H1560&gt;1,1,'heat units'!H1560))</f>
        <v>0</v>
      </c>
      <c r="D1560">
        <f>IF(B1560&gt;'user input'!$C$6,0,(C1560/(C1560+EXP('user input'!$C$15-'user input'!$C$14*C1560))))</f>
        <v>0</v>
      </c>
      <c r="E1560">
        <f>IF(C1560&lt;'user input'!$C$12,(D1560-D1559)*'user input'!$C$17*(1-EXP(5*(F1559-'user input'!$C$17))),F1560-F1559)</f>
        <v>0</v>
      </c>
      <c r="F1560">
        <f>IF(C1560&lt;'user input'!$C$12,IF(B1560&gt;'user input'!$C$6,0,F1559+E1560),'user input'!$C$17*((1-C1560)/(1-'user input'!$C$12)))</f>
        <v>0</v>
      </c>
    </row>
    <row r="1561" spans="1:6" x14ac:dyDescent="0.2">
      <c r="A1561" s="1">
        <v>41737</v>
      </c>
      <c r="B1561">
        <v>99</v>
      </c>
      <c r="C1561">
        <f>IF(B1561&gt;'user input'!$C$6,0,IF('heat units'!H1561&gt;1,1,'heat units'!H1561))</f>
        <v>0</v>
      </c>
      <c r="D1561">
        <f>IF(B1561&gt;'user input'!$C$6,0,(C1561/(C1561+EXP('user input'!$C$15-'user input'!$C$14*C1561))))</f>
        <v>0</v>
      </c>
      <c r="E1561">
        <f>IF(C1561&lt;'user input'!$C$12,(D1561-D1560)*'user input'!$C$17*(1-EXP(5*(F1560-'user input'!$C$17))),F1561-F1560)</f>
        <v>0</v>
      </c>
      <c r="F1561">
        <f>IF(C1561&lt;'user input'!$C$12,IF(B1561&gt;'user input'!$C$6,0,F1560+E1561),'user input'!$C$17*((1-C1561)/(1-'user input'!$C$12)))</f>
        <v>0</v>
      </c>
    </row>
    <row r="1562" spans="1:6" x14ac:dyDescent="0.2">
      <c r="A1562" s="1">
        <v>41738</v>
      </c>
      <c r="B1562">
        <v>100</v>
      </c>
      <c r="C1562">
        <f>IF(B1562&gt;'user input'!$C$6,0,IF('heat units'!H1562&gt;1,1,'heat units'!H1562))</f>
        <v>0</v>
      </c>
      <c r="D1562">
        <f>IF(B1562&gt;'user input'!$C$6,0,(C1562/(C1562+EXP('user input'!$C$15-'user input'!$C$14*C1562))))</f>
        <v>0</v>
      </c>
      <c r="E1562">
        <f>IF(C1562&lt;'user input'!$C$12,(D1562-D1561)*'user input'!$C$17*(1-EXP(5*(F1561-'user input'!$C$17))),F1562-F1561)</f>
        <v>0</v>
      </c>
      <c r="F1562">
        <f>IF(C1562&lt;'user input'!$C$12,IF(B1562&gt;'user input'!$C$6,0,F1561+E1562),'user input'!$C$17*((1-C1562)/(1-'user input'!$C$12)))</f>
        <v>0</v>
      </c>
    </row>
    <row r="1563" spans="1:6" x14ac:dyDescent="0.2">
      <c r="A1563" s="1">
        <v>41739</v>
      </c>
      <c r="B1563">
        <v>101</v>
      </c>
      <c r="C1563">
        <f>IF(B1563&gt;'user input'!$C$6,0,IF('heat units'!H1563&gt;1,1,'heat units'!H1563))</f>
        <v>0</v>
      </c>
      <c r="D1563">
        <f>IF(B1563&gt;'user input'!$C$6,0,(C1563/(C1563+EXP('user input'!$C$15-'user input'!$C$14*C1563))))</f>
        <v>0</v>
      </c>
      <c r="E1563">
        <f>IF(C1563&lt;'user input'!$C$12,(D1563-D1562)*'user input'!$C$17*(1-EXP(5*(F1562-'user input'!$C$17))),F1563-F1562)</f>
        <v>0</v>
      </c>
      <c r="F1563">
        <f>IF(C1563&lt;'user input'!$C$12,IF(B1563&gt;'user input'!$C$6,0,F1562+E1563),'user input'!$C$17*((1-C1563)/(1-'user input'!$C$12)))</f>
        <v>0</v>
      </c>
    </row>
    <row r="1564" spans="1:6" x14ac:dyDescent="0.2">
      <c r="A1564" s="1">
        <v>41740</v>
      </c>
      <c r="B1564">
        <v>102</v>
      </c>
      <c r="C1564">
        <f>IF(B1564&gt;'user input'!$C$6,0,IF('heat units'!H1564&gt;1,1,'heat units'!H1564))</f>
        <v>0</v>
      </c>
      <c r="D1564">
        <f>IF(B1564&gt;'user input'!$C$6,0,(C1564/(C1564+EXP('user input'!$C$15-'user input'!$C$14*C1564))))</f>
        <v>0</v>
      </c>
      <c r="E1564">
        <f>IF(C1564&lt;'user input'!$C$12,(D1564-D1563)*'user input'!$C$17*(1-EXP(5*(F1563-'user input'!$C$17))),F1564-F1563)</f>
        <v>0</v>
      </c>
      <c r="F1564">
        <f>IF(C1564&lt;'user input'!$C$12,IF(B1564&gt;'user input'!$C$6,0,F1563+E1564),'user input'!$C$17*((1-C1564)/(1-'user input'!$C$12)))</f>
        <v>0</v>
      </c>
    </row>
    <row r="1565" spans="1:6" x14ac:dyDescent="0.2">
      <c r="A1565" s="1">
        <v>41741</v>
      </c>
      <c r="B1565">
        <v>103</v>
      </c>
      <c r="C1565">
        <f>IF(B1565&gt;'user input'!$C$6,0,IF('heat units'!H1565&gt;1,1,'heat units'!H1565))</f>
        <v>0</v>
      </c>
      <c r="D1565">
        <f>IF(B1565&gt;'user input'!$C$6,0,(C1565/(C1565+EXP('user input'!$C$15-'user input'!$C$14*C1565))))</f>
        <v>0</v>
      </c>
      <c r="E1565">
        <f>IF(C1565&lt;'user input'!$C$12,(D1565-D1564)*'user input'!$C$17*(1-EXP(5*(F1564-'user input'!$C$17))),F1565-F1564)</f>
        <v>0</v>
      </c>
      <c r="F1565">
        <f>IF(C1565&lt;'user input'!$C$12,IF(B1565&gt;'user input'!$C$6,0,F1564+E1565),'user input'!$C$17*((1-C1565)/(1-'user input'!$C$12)))</f>
        <v>0</v>
      </c>
    </row>
    <row r="1566" spans="1:6" x14ac:dyDescent="0.2">
      <c r="A1566" s="1">
        <v>41742</v>
      </c>
      <c r="B1566">
        <v>104</v>
      </c>
      <c r="C1566">
        <f>IF(B1566&gt;'user input'!$C$6,0,IF('heat units'!H1566&gt;1,1,'heat units'!H1566))</f>
        <v>0</v>
      </c>
      <c r="D1566">
        <f>IF(B1566&gt;'user input'!$C$6,0,(C1566/(C1566+EXP('user input'!$C$15-'user input'!$C$14*C1566))))</f>
        <v>0</v>
      </c>
      <c r="E1566">
        <f>IF(C1566&lt;'user input'!$C$12,(D1566-D1565)*'user input'!$C$17*(1-EXP(5*(F1565-'user input'!$C$17))),F1566-F1565)</f>
        <v>0</v>
      </c>
      <c r="F1566">
        <f>IF(C1566&lt;'user input'!$C$12,IF(B1566&gt;'user input'!$C$6,0,F1565+E1566),'user input'!$C$17*((1-C1566)/(1-'user input'!$C$12)))</f>
        <v>0</v>
      </c>
    </row>
    <row r="1567" spans="1:6" x14ac:dyDescent="0.2">
      <c r="A1567" s="1">
        <v>41743</v>
      </c>
      <c r="B1567">
        <v>105</v>
      </c>
      <c r="C1567">
        <f>IF(B1567&gt;'user input'!$C$6,0,IF('heat units'!H1567&gt;1,1,'heat units'!H1567))</f>
        <v>0</v>
      </c>
      <c r="D1567">
        <f>IF(B1567&gt;'user input'!$C$6,0,(C1567/(C1567+EXP('user input'!$C$15-'user input'!$C$14*C1567))))</f>
        <v>0</v>
      </c>
      <c r="E1567">
        <f>IF(C1567&lt;'user input'!$C$12,(D1567-D1566)*'user input'!$C$17*(1-EXP(5*(F1566-'user input'!$C$17))),F1567-F1566)</f>
        <v>0</v>
      </c>
      <c r="F1567">
        <f>IF(C1567&lt;'user input'!$C$12,IF(B1567&gt;'user input'!$C$6,0,F1566+E1567),'user input'!$C$17*((1-C1567)/(1-'user input'!$C$12)))</f>
        <v>0</v>
      </c>
    </row>
    <row r="1568" spans="1:6" x14ac:dyDescent="0.2">
      <c r="A1568" s="1">
        <v>41744</v>
      </c>
      <c r="B1568">
        <v>106</v>
      </c>
      <c r="C1568">
        <f>IF(B1568&gt;'user input'!$C$6,0,IF('heat units'!H1568&gt;1,1,'heat units'!H1568))</f>
        <v>0</v>
      </c>
      <c r="D1568">
        <f>IF(B1568&gt;'user input'!$C$6,0,(C1568/(C1568+EXP('user input'!$C$15-'user input'!$C$14*C1568))))</f>
        <v>0</v>
      </c>
      <c r="E1568">
        <f>IF(C1568&lt;'user input'!$C$12,(D1568-D1567)*'user input'!$C$17*(1-EXP(5*(F1567-'user input'!$C$17))),F1568-F1567)</f>
        <v>0</v>
      </c>
      <c r="F1568">
        <f>IF(C1568&lt;'user input'!$C$12,IF(B1568&gt;'user input'!$C$6,0,F1567+E1568),'user input'!$C$17*((1-C1568)/(1-'user input'!$C$12)))</f>
        <v>0</v>
      </c>
    </row>
    <row r="1569" spans="1:6" x14ac:dyDescent="0.2">
      <c r="A1569" s="1">
        <v>41745</v>
      </c>
      <c r="B1569">
        <v>107</v>
      </c>
      <c r="C1569">
        <f>IF(B1569&gt;'user input'!$C$6,0,IF('heat units'!H1569&gt;1,1,'heat units'!H1569))</f>
        <v>0</v>
      </c>
      <c r="D1569">
        <f>IF(B1569&gt;'user input'!$C$6,0,(C1569/(C1569+EXP('user input'!$C$15-'user input'!$C$14*C1569))))</f>
        <v>0</v>
      </c>
      <c r="E1569">
        <f>IF(C1569&lt;'user input'!$C$12,(D1569-D1568)*'user input'!$C$17*(1-EXP(5*(F1568-'user input'!$C$17))),F1569-F1568)</f>
        <v>0</v>
      </c>
      <c r="F1569">
        <f>IF(C1569&lt;'user input'!$C$12,IF(B1569&gt;'user input'!$C$6,0,F1568+E1569),'user input'!$C$17*((1-C1569)/(1-'user input'!$C$12)))</f>
        <v>0</v>
      </c>
    </row>
    <row r="1570" spans="1:6" x14ac:dyDescent="0.2">
      <c r="A1570" s="1">
        <v>41746</v>
      </c>
      <c r="B1570">
        <v>108</v>
      </c>
      <c r="C1570">
        <f>IF(B1570&gt;'user input'!$C$6,0,IF('heat units'!H1570&gt;1,1,'heat units'!H1570))</f>
        <v>0</v>
      </c>
      <c r="D1570">
        <f>IF(B1570&gt;'user input'!$C$6,0,(C1570/(C1570+EXP('user input'!$C$15-'user input'!$C$14*C1570))))</f>
        <v>0</v>
      </c>
      <c r="E1570">
        <f>IF(C1570&lt;'user input'!$C$12,(D1570-D1569)*'user input'!$C$17*(1-EXP(5*(F1569-'user input'!$C$17))),F1570-F1569)</f>
        <v>0</v>
      </c>
      <c r="F1570">
        <f>IF(C1570&lt;'user input'!$C$12,IF(B1570&gt;'user input'!$C$6,0,F1569+E1570),'user input'!$C$17*((1-C1570)/(1-'user input'!$C$12)))</f>
        <v>0</v>
      </c>
    </row>
    <row r="1571" spans="1:6" x14ac:dyDescent="0.2">
      <c r="A1571" s="1">
        <v>41747</v>
      </c>
      <c r="B1571">
        <v>109</v>
      </c>
      <c r="C1571">
        <f>IF(B1571&gt;'user input'!$C$6,0,IF('heat units'!H1571&gt;1,1,'heat units'!H1571))</f>
        <v>0</v>
      </c>
      <c r="D1571">
        <f>IF(B1571&gt;'user input'!$C$6,0,(C1571/(C1571+EXP('user input'!$C$15-'user input'!$C$14*C1571))))</f>
        <v>0</v>
      </c>
      <c r="E1571">
        <f>IF(C1571&lt;'user input'!$C$12,(D1571-D1570)*'user input'!$C$17*(1-EXP(5*(F1570-'user input'!$C$17))),F1571-F1570)</f>
        <v>0</v>
      </c>
      <c r="F1571">
        <f>IF(C1571&lt;'user input'!$C$12,IF(B1571&gt;'user input'!$C$6,0,F1570+E1571),'user input'!$C$17*((1-C1571)/(1-'user input'!$C$12)))</f>
        <v>0</v>
      </c>
    </row>
    <row r="1572" spans="1:6" x14ac:dyDescent="0.2">
      <c r="A1572" s="1">
        <v>41748</v>
      </c>
      <c r="B1572">
        <v>110</v>
      </c>
      <c r="C1572">
        <f>IF(B1572&gt;'user input'!$C$6,0,IF('heat units'!H1572&gt;1,1,'heat units'!H1572))</f>
        <v>0</v>
      </c>
      <c r="D1572">
        <f>IF(B1572&gt;'user input'!$C$6,0,(C1572/(C1572+EXP('user input'!$C$15-'user input'!$C$14*C1572))))</f>
        <v>0</v>
      </c>
      <c r="E1572">
        <f>IF(C1572&lt;'user input'!$C$12,(D1572-D1571)*'user input'!$C$17*(1-EXP(5*(F1571-'user input'!$C$17))),F1572-F1571)</f>
        <v>0</v>
      </c>
      <c r="F1572">
        <f>IF(C1572&lt;'user input'!$C$12,IF(B1572&gt;'user input'!$C$6,0,F1571+E1572),'user input'!$C$17*((1-C1572)/(1-'user input'!$C$12)))</f>
        <v>0</v>
      </c>
    </row>
    <row r="1573" spans="1:6" x14ac:dyDescent="0.2">
      <c r="A1573" s="1">
        <v>41749</v>
      </c>
      <c r="B1573">
        <v>111</v>
      </c>
      <c r="C1573">
        <f>IF(B1573&gt;'user input'!$C$6,0,IF('heat units'!H1573&gt;1,1,'heat units'!H1573))</f>
        <v>0</v>
      </c>
      <c r="D1573">
        <f>IF(B1573&gt;'user input'!$C$6,0,(C1573/(C1573+EXP('user input'!$C$15-'user input'!$C$14*C1573))))</f>
        <v>0</v>
      </c>
      <c r="E1573">
        <f>IF(C1573&lt;'user input'!$C$12,(D1573-D1572)*'user input'!$C$17*(1-EXP(5*(F1572-'user input'!$C$17))),F1573-F1572)</f>
        <v>0</v>
      </c>
      <c r="F1573">
        <f>IF(C1573&lt;'user input'!$C$12,IF(B1573&gt;'user input'!$C$6,0,F1572+E1573),'user input'!$C$17*((1-C1573)/(1-'user input'!$C$12)))</f>
        <v>0</v>
      </c>
    </row>
    <row r="1574" spans="1:6" x14ac:dyDescent="0.2">
      <c r="A1574" s="1">
        <v>41750</v>
      </c>
      <c r="B1574">
        <v>112</v>
      </c>
      <c r="C1574">
        <f>IF(B1574&gt;'user input'!$C$6,0,IF('heat units'!H1574&gt;1,1,'heat units'!H1574))</f>
        <v>0</v>
      </c>
      <c r="D1574">
        <f>IF(B1574&gt;'user input'!$C$6,0,(C1574/(C1574+EXP('user input'!$C$15-'user input'!$C$14*C1574))))</f>
        <v>0</v>
      </c>
      <c r="E1574">
        <f>IF(C1574&lt;'user input'!$C$12,(D1574-D1573)*'user input'!$C$17*(1-EXP(5*(F1573-'user input'!$C$17))),F1574-F1573)</f>
        <v>0</v>
      </c>
      <c r="F1574">
        <f>IF(C1574&lt;'user input'!$C$12,IF(B1574&gt;'user input'!$C$6,0,F1573+E1574),'user input'!$C$17*((1-C1574)/(1-'user input'!$C$12)))</f>
        <v>0</v>
      </c>
    </row>
    <row r="1575" spans="1:6" x14ac:dyDescent="0.2">
      <c r="A1575" s="1">
        <v>41751</v>
      </c>
      <c r="B1575">
        <v>113</v>
      </c>
      <c r="C1575">
        <f>IF(B1575&gt;'user input'!$C$6,0,IF('heat units'!H1575&gt;1,1,'heat units'!H1575))</f>
        <v>0</v>
      </c>
      <c r="D1575">
        <f>IF(B1575&gt;'user input'!$C$6,0,(C1575/(C1575+EXP('user input'!$C$15-'user input'!$C$14*C1575))))</f>
        <v>0</v>
      </c>
      <c r="E1575">
        <f>IF(C1575&lt;'user input'!$C$12,(D1575-D1574)*'user input'!$C$17*(1-EXP(5*(F1574-'user input'!$C$17))),F1575-F1574)</f>
        <v>0</v>
      </c>
      <c r="F1575">
        <f>IF(C1575&lt;'user input'!$C$12,IF(B1575&gt;'user input'!$C$6,0,F1574+E1575),'user input'!$C$17*((1-C1575)/(1-'user input'!$C$12)))</f>
        <v>0</v>
      </c>
    </row>
    <row r="1576" spans="1:6" x14ac:dyDescent="0.2">
      <c r="A1576" s="1">
        <v>41752</v>
      </c>
      <c r="B1576">
        <v>114</v>
      </c>
      <c r="C1576">
        <f>IF(B1576&gt;'user input'!$C$6,0,IF('heat units'!H1576&gt;1,1,'heat units'!H1576))</f>
        <v>0</v>
      </c>
      <c r="D1576">
        <f>IF(B1576&gt;'user input'!$C$6,0,(C1576/(C1576+EXP('user input'!$C$15-'user input'!$C$14*C1576))))</f>
        <v>0</v>
      </c>
      <c r="E1576">
        <f>IF(C1576&lt;'user input'!$C$12,(D1576-D1575)*'user input'!$C$17*(1-EXP(5*(F1575-'user input'!$C$17))),F1576-F1575)</f>
        <v>0</v>
      </c>
      <c r="F1576">
        <f>IF(C1576&lt;'user input'!$C$12,IF(B1576&gt;'user input'!$C$6,0,F1575+E1576),'user input'!$C$17*((1-C1576)/(1-'user input'!$C$12)))</f>
        <v>0</v>
      </c>
    </row>
    <row r="1577" spans="1:6" x14ac:dyDescent="0.2">
      <c r="A1577" s="1">
        <v>41753</v>
      </c>
      <c r="B1577">
        <v>115</v>
      </c>
      <c r="C1577">
        <f>IF(B1577&gt;'user input'!$C$6,0,IF('heat units'!H1577&gt;1,1,'heat units'!H1577))</f>
        <v>0</v>
      </c>
      <c r="D1577">
        <f>IF(B1577&gt;'user input'!$C$6,0,(C1577/(C1577+EXP('user input'!$C$15-'user input'!$C$14*C1577))))</f>
        <v>0</v>
      </c>
      <c r="E1577">
        <f>IF(C1577&lt;'user input'!$C$12,(D1577-D1576)*'user input'!$C$17*(1-EXP(5*(F1576-'user input'!$C$17))),F1577-F1576)</f>
        <v>0</v>
      </c>
      <c r="F1577">
        <f>IF(C1577&lt;'user input'!$C$12,IF(B1577&gt;'user input'!$C$6,0,F1576+E1577),'user input'!$C$17*((1-C1577)/(1-'user input'!$C$12)))</f>
        <v>0</v>
      </c>
    </row>
    <row r="1578" spans="1:6" x14ac:dyDescent="0.2">
      <c r="A1578" s="1">
        <v>41754</v>
      </c>
      <c r="B1578">
        <v>116</v>
      </c>
      <c r="C1578">
        <f>IF(B1578&gt;'user input'!$C$6,0,IF('heat units'!H1578&gt;1,1,'heat units'!H1578))</f>
        <v>0</v>
      </c>
      <c r="D1578">
        <f>IF(B1578&gt;'user input'!$C$6,0,(C1578/(C1578+EXP('user input'!$C$15-'user input'!$C$14*C1578))))</f>
        <v>0</v>
      </c>
      <c r="E1578">
        <f>IF(C1578&lt;'user input'!$C$12,(D1578-D1577)*'user input'!$C$17*(1-EXP(5*(F1577-'user input'!$C$17))),F1578-F1577)</f>
        <v>0</v>
      </c>
      <c r="F1578">
        <f>IF(C1578&lt;'user input'!$C$12,IF(B1578&gt;'user input'!$C$6,0,F1577+E1578),'user input'!$C$17*((1-C1578)/(1-'user input'!$C$12)))</f>
        <v>0</v>
      </c>
    </row>
    <row r="1579" spans="1:6" x14ac:dyDescent="0.2">
      <c r="A1579" s="1">
        <v>41755</v>
      </c>
      <c r="B1579">
        <v>117</v>
      </c>
      <c r="C1579">
        <f>IF(B1579&gt;'user input'!$C$6,0,IF('heat units'!H1579&gt;1,1,'heat units'!H1579))</f>
        <v>0</v>
      </c>
      <c r="D1579">
        <f>IF(B1579&gt;'user input'!$C$6,0,(C1579/(C1579+EXP('user input'!$C$15-'user input'!$C$14*C1579))))</f>
        <v>0</v>
      </c>
      <c r="E1579">
        <f>IF(C1579&lt;'user input'!$C$12,(D1579-D1578)*'user input'!$C$17*(1-EXP(5*(F1578-'user input'!$C$17))),F1579-F1578)</f>
        <v>0</v>
      </c>
      <c r="F1579">
        <f>IF(C1579&lt;'user input'!$C$12,IF(B1579&gt;'user input'!$C$6,0,F1578+E1579),'user input'!$C$17*((1-C1579)/(1-'user input'!$C$12)))</f>
        <v>0</v>
      </c>
    </row>
    <row r="1580" spans="1:6" x14ac:dyDescent="0.2">
      <c r="A1580" s="1">
        <v>41756</v>
      </c>
      <c r="B1580">
        <v>118</v>
      </c>
      <c r="C1580">
        <f>IF(B1580&gt;'user input'!$C$6,0,IF('heat units'!H1580&gt;1,1,'heat units'!H1580))</f>
        <v>0</v>
      </c>
      <c r="D1580">
        <f>IF(B1580&gt;'user input'!$C$6,0,(C1580/(C1580+EXP('user input'!$C$15-'user input'!$C$14*C1580))))</f>
        <v>0</v>
      </c>
      <c r="E1580">
        <f>IF(C1580&lt;'user input'!$C$12,(D1580-D1579)*'user input'!$C$17*(1-EXP(5*(F1579-'user input'!$C$17))),F1580-F1579)</f>
        <v>0</v>
      </c>
      <c r="F1580">
        <f>IF(C1580&lt;'user input'!$C$12,IF(B1580&gt;'user input'!$C$6,0,F1579+E1580),'user input'!$C$17*((1-C1580)/(1-'user input'!$C$12)))</f>
        <v>0</v>
      </c>
    </row>
    <row r="1581" spans="1:6" x14ac:dyDescent="0.2">
      <c r="A1581" s="1">
        <v>41757</v>
      </c>
      <c r="B1581">
        <v>119</v>
      </c>
      <c r="C1581">
        <f>IF(B1581&gt;'user input'!$C$6,0,IF('heat units'!H1581&gt;1,1,'heat units'!H1581))</f>
        <v>0</v>
      </c>
      <c r="D1581">
        <f>IF(B1581&gt;'user input'!$C$6,0,(C1581/(C1581+EXP('user input'!$C$15-'user input'!$C$14*C1581))))</f>
        <v>0</v>
      </c>
      <c r="E1581">
        <f>IF(C1581&lt;'user input'!$C$12,(D1581-D1580)*'user input'!$C$17*(1-EXP(5*(F1580-'user input'!$C$17))),F1581-F1580)</f>
        <v>0</v>
      </c>
      <c r="F1581">
        <f>IF(C1581&lt;'user input'!$C$12,IF(B1581&gt;'user input'!$C$6,0,F1580+E1581),'user input'!$C$17*((1-C1581)/(1-'user input'!$C$12)))</f>
        <v>0</v>
      </c>
    </row>
    <row r="1582" spans="1:6" x14ac:dyDescent="0.2">
      <c r="A1582" s="1">
        <v>41758</v>
      </c>
      <c r="B1582">
        <v>120</v>
      </c>
      <c r="C1582">
        <f>IF(B1582&gt;'user input'!$C$6,0,IF('heat units'!H1582&gt;1,1,'heat units'!H1582))</f>
        <v>0</v>
      </c>
      <c r="D1582">
        <f>IF(B1582&gt;'user input'!$C$6,0,(C1582/(C1582+EXP('user input'!$C$15-'user input'!$C$14*C1582))))</f>
        <v>0</v>
      </c>
      <c r="E1582">
        <f>IF(C1582&lt;'user input'!$C$12,(D1582-D1581)*'user input'!$C$17*(1-EXP(5*(F1581-'user input'!$C$17))),F1582-F1581)</f>
        <v>0</v>
      </c>
      <c r="F1582">
        <f>IF(C1582&lt;'user input'!$C$12,IF(B1582&gt;'user input'!$C$6,0,F1581+E1582),'user input'!$C$17*((1-C1582)/(1-'user input'!$C$12)))</f>
        <v>0</v>
      </c>
    </row>
    <row r="1583" spans="1:6" x14ac:dyDescent="0.2">
      <c r="A1583" s="1">
        <v>41759</v>
      </c>
      <c r="B1583">
        <v>121</v>
      </c>
      <c r="C1583">
        <f>IF(B1583&gt;'user input'!$C$6,0,IF('heat units'!H1583&gt;1,1,'heat units'!H1583))</f>
        <v>0</v>
      </c>
      <c r="D1583">
        <f>IF(B1583&gt;'user input'!$C$6,0,(C1583/(C1583+EXP('user input'!$C$15-'user input'!$C$14*C1583))))</f>
        <v>0</v>
      </c>
      <c r="E1583">
        <f>IF(C1583&lt;'user input'!$C$12,(D1583-D1582)*'user input'!$C$17*(1-EXP(5*(F1582-'user input'!$C$17))),F1583-F1582)</f>
        <v>0</v>
      </c>
      <c r="F1583">
        <f>IF(C1583&lt;'user input'!$C$12,IF(B1583&gt;'user input'!$C$6,0,F1582+E1583),'user input'!$C$17*((1-C1583)/(1-'user input'!$C$12)))</f>
        <v>0</v>
      </c>
    </row>
    <row r="1584" spans="1:6" x14ac:dyDescent="0.2">
      <c r="A1584" s="1">
        <v>41760</v>
      </c>
      <c r="B1584">
        <v>122</v>
      </c>
      <c r="C1584">
        <f>IF(B1584&gt;'user input'!$C$6,0,IF('heat units'!H1584&gt;1,1,'heat units'!H1584))</f>
        <v>0</v>
      </c>
      <c r="D1584">
        <f>IF(B1584&gt;'user input'!$C$6,0,(C1584/(C1584+EXP('user input'!$C$15-'user input'!$C$14*C1584))))</f>
        <v>0</v>
      </c>
      <c r="E1584">
        <f>IF(C1584&lt;'user input'!$C$12,(D1584-D1583)*'user input'!$C$17*(1-EXP(5*(F1583-'user input'!$C$17))),F1584-F1583)</f>
        <v>0</v>
      </c>
      <c r="F1584">
        <f>IF(C1584&lt;'user input'!$C$12,IF(B1584&gt;'user input'!$C$6,0,F1583+E1584),'user input'!$C$17*((1-C1584)/(1-'user input'!$C$12)))</f>
        <v>0</v>
      </c>
    </row>
    <row r="1585" spans="1:6" x14ac:dyDescent="0.2">
      <c r="A1585" s="1">
        <v>41761</v>
      </c>
      <c r="B1585">
        <v>123</v>
      </c>
      <c r="C1585">
        <f>IF(B1585&gt;'user input'!$C$6,0,IF('heat units'!H1585&gt;1,1,'heat units'!H1585))</f>
        <v>2.3148148148148214E-4</v>
      </c>
      <c r="D1585">
        <f>IF(B1585&gt;'user input'!$C$6,0,(C1585/(C1585+EXP('user input'!$C$15-'user input'!$C$14*C1585))))</f>
        <v>1.0940285896308259E-5</v>
      </c>
      <c r="E1585">
        <f>IF(C1585&lt;'user input'!$C$12,(D1585-D1584)*'user input'!$C$17*(1-EXP(5*(F1584-'user input'!$C$17))),F1585-F1584)</f>
        <v>3.2820847648948253E-5</v>
      </c>
      <c r="F1585">
        <f>IF(C1585&lt;'user input'!$C$12,IF(B1585&gt;'user input'!$C$6,0,F1584+E1585),'user input'!$C$17*((1-C1585)/(1-'user input'!$C$12)))</f>
        <v>3.2820847648948253E-5</v>
      </c>
    </row>
    <row r="1586" spans="1:6" x14ac:dyDescent="0.2">
      <c r="A1586" s="1">
        <v>41762</v>
      </c>
      <c r="B1586">
        <v>124</v>
      </c>
      <c r="C1586">
        <f>IF(B1586&gt;'user input'!$C$6,0,IF('heat units'!H1586&gt;1,1,'heat units'!H1586))</f>
        <v>1.1574074074074078E-3</v>
      </c>
      <c r="D1586">
        <f>IF(B1586&gt;'user input'!$C$6,0,(C1586/(C1586+EXP('user input'!$C$15-'user input'!$C$14*C1586))))</f>
        <v>5.5381152530704183E-5</v>
      </c>
      <c r="E1586">
        <f>IF(C1586&lt;'user input'!$C$12,(D1586-D1585)*'user input'!$C$17*(1-EXP(5*(F1585-'user input'!$C$17))),F1586-F1585)</f>
        <v>1.3332255911280175E-4</v>
      </c>
      <c r="F1586">
        <f>IF(C1586&lt;'user input'!$C$12,IF(B1586&gt;'user input'!$C$6,0,F1585+E1586),'user input'!$C$17*((1-C1586)/(1-'user input'!$C$12)))</f>
        <v>1.6614340676174999E-4</v>
      </c>
    </row>
    <row r="1587" spans="1:6" x14ac:dyDescent="0.2">
      <c r="A1587" s="1">
        <v>41763</v>
      </c>
      <c r="B1587">
        <v>125</v>
      </c>
      <c r="C1587">
        <f>IF(B1587&gt;'user input'!$C$6,0,IF('heat units'!H1587&gt;1,1,'heat units'!H1587))</f>
        <v>4.3981481481481484E-3</v>
      </c>
      <c r="D1587">
        <f>IF(B1587&gt;'user input'!$C$6,0,(C1587/(C1587+EXP('user input'!$C$15-'user input'!$C$14*C1587))))</f>
        <v>2.1974213898782647E-4</v>
      </c>
      <c r="E1587">
        <f>IF(C1587&lt;'user input'!$C$12,(D1587-D1586)*'user input'!$C$17*(1-EXP(5*(F1586-'user input'!$C$17))),F1587-F1586)</f>
        <v>4.9308280841079202E-4</v>
      </c>
      <c r="F1587">
        <f>IF(C1587&lt;'user input'!$C$12,IF(B1587&gt;'user input'!$C$6,0,F1586+E1587),'user input'!$C$17*((1-C1587)/(1-'user input'!$C$12)))</f>
        <v>6.5922621517254206E-4</v>
      </c>
    </row>
    <row r="1588" spans="1:6" x14ac:dyDescent="0.2">
      <c r="A1588" s="1">
        <v>41764</v>
      </c>
      <c r="B1588">
        <v>126</v>
      </c>
      <c r="C1588">
        <f>IF(B1588&gt;'user input'!$C$6,0,IF('heat units'!H1588&gt;1,1,'heat units'!H1588))</f>
        <v>7.8703703703703713E-3</v>
      </c>
      <c r="D1588">
        <f>IF(B1588&gt;'user input'!$C$6,0,(C1588/(C1588+EXP('user input'!$C$15-'user input'!$C$14*C1588))))</f>
        <v>4.1185089276561025E-4</v>
      </c>
      <c r="E1588">
        <f>IF(C1588&lt;'user input'!$C$12,(D1588-D1587)*'user input'!$C$17*(1-EXP(5*(F1587-'user input'!$C$17))),F1588-F1587)</f>
        <v>5.7632608445174545E-4</v>
      </c>
      <c r="F1588">
        <f>IF(C1588&lt;'user input'!$C$12,IF(B1588&gt;'user input'!$C$6,0,F1587+E1588),'user input'!$C$17*((1-C1588)/(1-'user input'!$C$12)))</f>
        <v>1.2355522996242876E-3</v>
      </c>
    </row>
    <row r="1589" spans="1:6" x14ac:dyDescent="0.2">
      <c r="A1589" s="1">
        <v>41765</v>
      </c>
      <c r="B1589">
        <v>127</v>
      </c>
      <c r="C1589">
        <f>IF(B1589&gt;'user input'!$C$6,0,IF('heat units'!H1589&gt;1,1,'heat units'!H1589))</f>
        <v>1.0185185185185186E-2</v>
      </c>
      <c r="D1589">
        <f>IF(B1589&gt;'user input'!$C$6,0,(C1589/(C1589+EXP('user input'!$C$15-'user input'!$C$14*C1589))))</f>
        <v>5.496806145918494E-4</v>
      </c>
      <c r="E1589">
        <f>IF(C1589&lt;'user input'!$C$12,(D1589-D1588)*'user input'!$C$17*(1-EXP(5*(F1588-'user input'!$C$17))),F1589-F1588)</f>
        <v>4.1348903820759519E-4</v>
      </c>
      <c r="F1589">
        <f>IF(C1589&lt;'user input'!$C$12,IF(B1589&gt;'user input'!$C$6,0,F1588+E1589),'user input'!$C$17*((1-C1589)/(1-'user input'!$C$12)))</f>
        <v>1.6490413378318829E-3</v>
      </c>
    </row>
    <row r="1590" spans="1:6" x14ac:dyDescent="0.2">
      <c r="A1590" s="1">
        <v>41766</v>
      </c>
      <c r="B1590">
        <v>128</v>
      </c>
      <c r="C1590">
        <f>IF(B1590&gt;'user input'!$C$6,0,IF('heat units'!H1590&gt;1,1,'heat units'!H1590))</f>
        <v>1.3657407407407408E-2</v>
      </c>
      <c r="D1590">
        <f>IF(B1590&gt;'user input'!$C$6,0,(C1590/(C1590+EXP('user input'!$C$15-'user input'!$C$14*C1590))))</f>
        <v>7.7196562395073515E-4</v>
      </c>
      <c r="E1590">
        <f>IF(C1590&lt;'user input'!$C$12,(D1590-D1589)*'user input'!$C$17*(1-EXP(5*(F1589-'user input'!$C$17))),F1590-F1589)</f>
        <v>6.668548223952433E-4</v>
      </c>
      <c r="F1590">
        <f>IF(C1590&lt;'user input'!$C$12,IF(B1590&gt;'user input'!$C$6,0,F1589+E1590),'user input'!$C$17*((1-C1590)/(1-'user input'!$C$12)))</f>
        <v>2.3158961602271263E-3</v>
      </c>
    </row>
    <row r="1591" spans="1:6" x14ac:dyDescent="0.2">
      <c r="A1591" s="1">
        <v>41767</v>
      </c>
      <c r="B1591">
        <v>129</v>
      </c>
      <c r="C1591">
        <f>IF(B1591&gt;'user input'!$C$6,0,IF('heat units'!H1591&gt;1,1,'heat units'!H1591))</f>
        <v>1.5972222222222224E-2</v>
      </c>
      <c r="D1591">
        <f>IF(B1591&gt;'user input'!$C$6,0,(C1591/(C1591+EXP('user input'!$C$15-'user input'!$C$14*C1591))))</f>
        <v>9.310701871738387E-4</v>
      </c>
      <c r="E1591">
        <f>IF(C1591&lt;'user input'!$C$12,(D1591-D1590)*'user input'!$C$17*(1-EXP(5*(F1590-'user input'!$C$17))),F1591-F1590)</f>
        <v>4.7731354195738271E-4</v>
      </c>
      <c r="F1591">
        <f>IF(C1591&lt;'user input'!$C$12,IF(B1591&gt;'user input'!$C$6,0,F1590+E1591),'user input'!$C$17*((1-C1591)/(1-'user input'!$C$12)))</f>
        <v>2.7932097021845089E-3</v>
      </c>
    </row>
    <row r="1592" spans="1:6" x14ac:dyDescent="0.2">
      <c r="A1592" s="1">
        <v>41768</v>
      </c>
      <c r="B1592">
        <v>130</v>
      </c>
      <c r="C1592">
        <f>IF(B1592&gt;'user input'!$C$6,0,IF('heat units'!H1592&gt;1,1,'heat units'!H1592))</f>
        <v>2.5000000000000001E-2</v>
      </c>
      <c r="D1592">
        <f>IF(B1592&gt;'user input'!$C$6,0,(C1592/(C1592+EXP('user input'!$C$15-'user input'!$C$14*C1592))))</f>
        <v>1.6433415922488741E-3</v>
      </c>
      <c r="E1592">
        <f>IF(C1592&lt;'user input'!$C$12,(D1592-D1591)*'user input'!$C$17*(1-EXP(5*(F1591-'user input'!$C$17))),F1592-F1591)</f>
        <v>2.1368135523756357E-3</v>
      </c>
      <c r="F1592">
        <f>IF(C1592&lt;'user input'!$C$12,IF(B1592&gt;'user input'!$C$6,0,F1591+E1592),'user input'!$C$17*((1-C1592)/(1-'user input'!$C$12)))</f>
        <v>4.9300232545601442E-3</v>
      </c>
    </row>
    <row r="1593" spans="1:6" x14ac:dyDescent="0.2">
      <c r="A1593" s="1">
        <v>41769</v>
      </c>
      <c r="B1593">
        <v>131</v>
      </c>
      <c r="C1593">
        <f>IF(B1593&gt;'user input'!$C$6,0,IF('heat units'!H1593&gt;1,1,'heat units'!H1593))</f>
        <v>2.8472222222222222E-2</v>
      </c>
      <c r="D1593">
        <f>IF(B1593&gt;'user input'!$C$6,0,(C1593/(C1593+EXP('user input'!$C$15-'user input'!$C$14*C1593))))</f>
        <v>1.9600007507839848E-3</v>
      </c>
      <c r="E1593">
        <f>IF(C1593&lt;'user input'!$C$12,(D1593-D1592)*'user input'!$C$17*(1-EXP(5*(F1592-'user input'!$C$17))),F1593-F1592)</f>
        <v>9.4997717775266823E-4</v>
      </c>
      <c r="F1593">
        <f>IF(C1593&lt;'user input'!$C$12,IF(B1593&gt;'user input'!$C$6,0,F1592+E1593),'user input'!$C$17*((1-C1593)/(1-'user input'!$C$12)))</f>
        <v>5.8800004323128121E-3</v>
      </c>
    </row>
    <row r="1594" spans="1:6" x14ac:dyDescent="0.2">
      <c r="A1594" s="1">
        <v>41770</v>
      </c>
      <c r="B1594">
        <v>132</v>
      </c>
      <c r="C1594">
        <f>IF(B1594&gt;'user input'!$C$6,0,IF('heat units'!H1594&gt;1,1,'heat units'!H1594))</f>
        <v>3.3564814814814811E-2</v>
      </c>
      <c r="D1594">
        <f>IF(B1594&gt;'user input'!$C$6,0,(C1594/(C1594+EXP('user input'!$C$15-'user input'!$C$14*C1594))))</f>
        <v>2.4722963602983182E-3</v>
      </c>
      <c r="E1594">
        <f>IF(C1594&lt;'user input'!$C$12,(D1594-D1593)*'user input'!$C$17*(1-EXP(5*(F1593-'user input'!$C$17))),F1594-F1593)</f>
        <v>1.5368863443785269E-3</v>
      </c>
      <c r="F1594">
        <f>IF(C1594&lt;'user input'!$C$12,IF(B1594&gt;'user input'!$C$6,0,F1593+E1594),'user input'!$C$17*((1-C1594)/(1-'user input'!$C$12)))</f>
        <v>7.416886776691339E-3</v>
      </c>
    </row>
    <row r="1595" spans="1:6" x14ac:dyDescent="0.2">
      <c r="A1595" s="1">
        <v>41771</v>
      </c>
      <c r="B1595">
        <v>133</v>
      </c>
      <c r="C1595">
        <f>IF(B1595&gt;'user input'!$C$6,0,IF('heat units'!H1595&gt;1,1,'heat units'!H1595))</f>
        <v>4.282407407407407E-2</v>
      </c>
      <c r="D1595">
        <f>IF(B1595&gt;'user input'!$C$6,0,(C1595/(C1595+EXP('user input'!$C$15-'user input'!$C$14*C1595))))</f>
        <v>3.5665943590084581E-3</v>
      </c>
      <c r="E1595">
        <f>IF(C1595&lt;'user input'!$C$12,(D1595-D1594)*'user input'!$C$17*(1-EXP(5*(F1594-'user input'!$C$17))),F1595-F1594)</f>
        <v>3.2828929539445127E-3</v>
      </c>
      <c r="F1595">
        <f>IF(C1595&lt;'user input'!$C$12,IF(B1595&gt;'user input'!$C$6,0,F1594+E1595),'user input'!$C$17*((1-C1595)/(1-'user input'!$C$12)))</f>
        <v>1.0699779730635852E-2</v>
      </c>
    </row>
    <row r="1596" spans="1:6" x14ac:dyDescent="0.2">
      <c r="A1596" s="1">
        <v>41772</v>
      </c>
      <c r="B1596">
        <v>134</v>
      </c>
      <c r="C1596">
        <f>IF(B1596&gt;'user input'!$C$6,0,IF('heat units'!H1596&gt;1,1,'heat units'!H1596))</f>
        <v>4.9768518518518517E-2</v>
      </c>
      <c r="D1596">
        <f>IF(B1596&gt;'user input'!$C$6,0,(C1596/(C1596+EXP('user input'!$C$15-'user input'!$C$14*C1596))))</f>
        <v>4.5442659033222378E-3</v>
      </c>
      <c r="E1596">
        <f>IF(C1596&lt;'user input'!$C$12,(D1596-D1595)*'user input'!$C$17*(1-EXP(5*(F1595-'user input'!$C$17))),F1596-F1595)</f>
        <v>2.9330136864181076E-3</v>
      </c>
      <c r="F1596">
        <f>IF(C1596&lt;'user input'!$C$12,IF(B1596&gt;'user input'!$C$6,0,F1595+E1596),'user input'!$C$17*((1-C1596)/(1-'user input'!$C$12)))</f>
        <v>1.363279341705396E-2</v>
      </c>
    </row>
    <row r="1597" spans="1:6" x14ac:dyDescent="0.2">
      <c r="A1597" s="1">
        <v>41773</v>
      </c>
      <c r="B1597">
        <v>135</v>
      </c>
      <c r="C1597">
        <f>IF(B1597&gt;'user input'!$C$6,0,IF('heat units'!H1597&gt;1,1,'heat units'!H1597))</f>
        <v>5.439814814814814E-2</v>
      </c>
      <c r="D1597">
        <f>IF(B1597&gt;'user input'!$C$6,0,(C1597/(C1597+EXP('user input'!$C$15-'user input'!$C$14*C1597))))</f>
        <v>5.2806190740567732E-3</v>
      </c>
      <c r="E1597">
        <f>IF(C1597&lt;'user input'!$C$12,(D1597-D1596)*'user input'!$C$17*(1-EXP(5*(F1596-'user input'!$C$17))),F1597-F1596)</f>
        <v>2.2090587887787574E-3</v>
      </c>
      <c r="F1597">
        <f>IF(C1597&lt;'user input'!$C$12,IF(B1597&gt;'user input'!$C$6,0,F1596+E1597),'user input'!$C$17*((1-C1597)/(1-'user input'!$C$12)))</f>
        <v>1.5841852205832715E-2</v>
      </c>
    </row>
    <row r="1598" spans="1:6" x14ac:dyDescent="0.2">
      <c r="A1598" s="1">
        <v>41774</v>
      </c>
      <c r="B1598">
        <v>136</v>
      </c>
      <c r="C1598">
        <f>IF(B1598&gt;'user input'!$C$6,0,IF('heat units'!H1598&gt;1,1,'heat units'!H1598))</f>
        <v>5.5787037037037038E-2</v>
      </c>
      <c r="D1598">
        <f>IF(B1598&gt;'user input'!$C$6,0,(C1598/(C1598+EXP('user input'!$C$15-'user input'!$C$14*C1598))))</f>
        <v>5.515758827168378E-3</v>
      </c>
      <c r="E1598">
        <f>IF(C1598&lt;'user input'!$C$12,(D1598-D1597)*'user input'!$C$17*(1-EXP(5*(F1597-'user input'!$C$17))),F1598-F1597)</f>
        <v>7.0541902575773231E-4</v>
      </c>
      <c r="F1598">
        <f>IF(C1598&lt;'user input'!$C$12,IF(B1598&gt;'user input'!$C$6,0,F1597+E1598),'user input'!$C$17*((1-C1598)/(1-'user input'!$C$12)))</f>
        <v>1.6547271231590447E-2</v>
      </c>
    </row>
    <row r="1599" spans="1:6" x14ac:dyDescent="0.2">
      <c r="A1599" s="1">
        <v>41775</v>
      </c>
      <c r="B1599">
        <v>137</v>
      </c>
      <c r="C1599">
        <f>IF(B1599&gt;'user input'!$C$6,0,IF('heat units'!H1599&gt;1,1,'heat units'!H1599))</f>
        <v>5.6944444444444443E-2</v>
      </c>
      <c r="D1599">
        <f>IF(B1599&gt;'user input'!$C$6,0,(C1599/(C1599+EXP('user input'!$C$15-'user input'!$C$14*C1599))))</f>
        <v>5.7169413389623284E-3</v>
      </c>
      <c r="E1599">
        <f>IF(C1599&lt;'user input'!$C$12,(D1599-D1598)*'user input'!$C$17*(1-EXP(5*(F1598-'user input'!$C$17))),F1599-F1598)</f>
        <v>6.0354733483022156E-4</v>
      </c>
      <c r="F1599">
        <f>IF(C1599&lt;'user input'!$C$12,IF(B1599&gt;'user input'!$C$6,0,F1598+E1599),'user input'!$C$17*((1-C1599)/(1-'user input'!$C$12)))</f>
        <v>1.7150818566420669E-2</v>
      </c>
    </row>
    <row r="1600" spans="1:6" x14ac:dyDescent="0.2">
      <c r="A1600" s="1">
        <v>41776</v>
      </c>
      <c r="B1600">
        <v>138</v>
      </c>
      <c r="C1600">
        <f>IF(B1600&gt;'user input'!$C$6,0,IF('heat units'!H1600&gt;1,1,'heat units'!H1600))</f>
        <v>5.8101851851851842E-2</v>
      </c>
      <c r="D1600">
        <f>IF(B1600&gt;'user input'!$C$6,0,(C1600/(C1600+EXP('user input'!$C$15-'user input'!$C$14*C1600))))</f>
        <v>5.9229847126998454E-3</v>
      </c>
      <c r="E1600">
        <f>IF(C1600&lt;'user input'!$C$12,(D1600-D1599)*'user input'!$C$17*(1-EXP(5*(F1599-'user input'!$C$17))),F1600-F1599)</f>
        <v>6.1812991519453152E-4</v>
      </c>
      <c r="F1600">
        <f>IF(C1600&lt;'user input'!$C$12,IF(B1600&gt;'user input'!$C$6,0,F1599+E1600),'user input'!$C$17*((1-C1600)/(1-'user input'!$C$12)))</f>
        <v>1.7768948481615199E-2</v>
      </c>
    </row>
    <row r="1601" spans="1:6" x14ac:dyDescent="0.2">
      <c r="A1601" s="1">
        <v>41777</v>
      </c>
      <c r="B1601">
        <v>139</v>
      </c>
      <c r="C1601">
        <f>IF(B1601&gt;'user input'!$C$6,0,IF('heat units'!H1601&gt;1,1,'heat units'!H1601))</f>
        <v>6.1111111111111109E-2</v>
      </c>
      <c r="D1601">
        <f>IF(B1601&gt;'user input'!$C$6,0,(C1601/(C1601+EXP('user input'!$C$15-'user input'!$C$14*C1601))))</f>
        <v>6.482163065846887E-3</v>
      </c>
      <c r="E1601">
        <f>IF(C1601&lt;'user input'!$C$12,(D1601-D1600)*'user input'!$C$17*(1-EXP(5*(F1600-'user input'!$C$17))),F1601-F1600)</f>
        <v>1.6775344986008952E-3</v>
      </c>
      <c r="F1601">
        <f>IF(C1601&lt;'user input'!$C$12,IF(B1601&gt;'user input'!$C$6,0,F1600+E1601),'user input'!$C$17*((1-C1601)/(1-'user input'!$C$12)))</f>
        <v>1.9446482980216093E-2</v>
      </c>
    </row>
    <row r="1602" spans="1:6" x14ac:dyDescent="0.2">
      <c r="A1602" s="1">
        <v>41778</v>
      </c>
      <c r="B1602">
        <v>140</v>
      </c>
      <c r="C1602">
        <f>IF(B1602&gt;'user input'!$C$6,0,IF('heat units'!H1602&gt;1,1,'heat units'!H1602))</f>
        <v>6.6898148148148137E-2</v>
      </c>
      <c r="D1602">
        <f>IF(B1602&gt;'user input'!$C$6,0,(C1602/(C1602+EXP('user input'!$C$15-'user input'!$C$14*C1602))))</f>
        <v>7.6584471561193749E-3</v>
      </c>
      <c r="E1602">
        <f>IF(C1602&lt;'user input'!$C$12,(D1602-D1601)*'user input'!$C$17*(1-EXP(5*(F1601-'user input'!$C$17))),F1602-F1601)</f>
        <v>3.5288510811002363E-3</v>
      </c>
      <c r="F1602">
        <f>IF(C1602&lt;'user input'!$C$12,IF(B1602&gt;'user input'!$C$6,0,F1601+E1602),'user input'!$C$17*((1-C1602)/(1-'user input'!$C$12)))</f>
        <v>2.2975334061316331E-2</v>
      </c>
    </row>
    <row r="1603" spans="1:6" x14ac:dyDescent="0.2">
      <c r="A1603" s="1">
        <v>41779</v>
      </c>
      <c r="B1603">
        <v>141</v>
      </c>
      <c r="C1603">
        <f>IF(B1603&gt;'user input'!$C$6,0,IF('heat units'!H1603&gt;1,1,'heat units'!H1603))</f>
        <v>7.2685185185185172E-2</v>
      </c>
      <c r="D1603">
        <f>IF(B1603&gt;'user input'!$C$6,0,(C1603/(C1603+EXP('user input'!$C$15-'user input'!$C$14*C1603))))</f>
        <v>8.9791552596740504E-3</v>
      </c>
      <c r="E1603">
        <f>IF(C1603&lt;'user input'!$C$12,(D1603-D1602)*'user input'!$C$17*(1-EXP(5*(F1602-'user input'!$C$17))),F1603-F1602)</f>
        <v>3.9621229510952791E-3</v>
      </c>
      <c r="F1603">
        <f>IF(C1603&lt;'user input'!$C$12,IF(B1603&gt;'user input'!$C$6,0,F1602+E1603),'user input'!$C$17*((1-C1603)/(1-'user input'!$C$12)))</f>
        <v>2.6937457012411611E-2</v>
      </c>
    </row>
    <row r="1604" spans="1:6" x14ac:dyDescent="0.2">
      <c r="A1604" s="1">
        <v>41780</v>
      </c>
      <c r="B1604">
        <v>142</v>
      </c>
      <c r="C1604">
        <f>IF(B1604&gt;'user input'!$C$6,0,IF('heat units'!H1604&gt;1,1,'heat units'!H1604))</f>
        <v>8.2175925925925916E-2</v>
      </c>
      <c r="D1604">
        <f>IF(B1604&gt;'user input'!$C$6,0,(C1604/(C1604+EXP('user input'!$C$15-'user input'!$C$14*C1604))))</f>
        <v>1.1497435985259225E-2</v>
      </c>
      <c r="E1604">
        <f>IF(C1604&lt;'user input'!$C$12,(D1604-D1603)*'user input'!$C$17*(1-EXP(5*(F1603-'user input'!$C$17))),F1604-F1603)</f>
        <v>7.5548395325079638E-3</v>
      </c>
      <c r="F1604">
        <f>IF(C1604&lt;'user input'!$C$12,IF(B1604&gt;'user input'!$C$6,0,F1603+E1604),'user input'!$C$17*((1-C1604)/(1-'user input'!$C$12)))</f>
        <v>3.4492296544919573E-2</v>
      </c>
    </row>
    <row r="1605" spans="1:6" x14ac:dyDescent="0.2">
      <c r="A1605" s="1">
        <v>41781</v>
      </c>
      <c r="B1605">
        <v>143</v>
      </c>
      <c r="C1605">
        <f>IF(B1605&gt;'user input'!$C$6,0,IF('heat units'!H1605&gt;1,1,'heat units'!H1605))</f>
        <v>9.0046296296296291E-2</v>
      </c>
      <c r="D1605">
        <f>IF(B1605&gt;'user input'!$C$6,0,(C1605/(C1605+EXP('user input'!$C$15-'user input'!$C$14*C1605))))</f>
        <v>1.396335345756604E-2</v>
      </c>
      <c r="E1605">
        <f>IF(C1605&lt;'user input'!$C$12,(D1605-D1604)*'user input'!$C$17*(1-EXP(5*(F1604-'user input'!$C$17))),F1605-F1604)</f>
        <v>7.3977497279772084E-3</v>
      </c>
      <c r="F1605">
        <f>IF(C1605&lt;'user input'!$C$12,IF(B1605&gt;'user input'!$C$6,0,F1604+E1605),'user input'!$C$17*((1-C1605)/(1-'user input'!$C$12)))</f>
        <v>4.1890046272896782E-2</v>
      </c>
    </row>
    <row r="1606" spans="1:6" x14ac:dyDescent="0.2">
      <c r="A1606" s="1">
        <v>41782</v>
      </c>
      <c r="B1606">
        <v>144</v>
      </c>
      <c r="C1606">
        <f>IF(B1606&gt;'user input'!$C$6,0,IF('heat units'!H1606&gt;1,1,'heat units'!H1606))</f>
        <v>9.5601851851851841E-2</v>
      </c>
      <c r="D1606">
        <f>IF(B1606&gt;'user input'!$C$6,0,(C1606/(C1606+EXP('user input'!$C$15-'user input'!$C$14*C1606))))</f>
        <v>1.593733027897697E-2</v>
      </c>
      <c r="E1606">
        <f>IF(C1606&lt;'user input'!$C$12,(D1606-D1605)*'user input'!$C$17*(1-EXP(5*(F1605-'user input'!$C$17))),F1606-F1605)</f>
        <v>5.9219282306134822E-3</v>
      </c>
      <c r="F1606">
        <f>IF(C1606&lt;'user input'!$C$12,IF(B1606&gt;'user input'!$C$6,0,F1605+E1606),'user input'!$C$17*((1-C1606)/(1-'user input'!$C$12)))</f>
        <v>4.7811974503510261E-2</v>
      </c>
    </row>
    <row r="1607" spans="1:6" x14ac:dyDescent="0.2">
      <c r="A1607" s="1">
        <v>41783</v>
      </c>
      <c r="B1607">
        <v>145</v>
      </c>
      <c r="C1607">
        <f>IF(B1607&gt;'user input'!$C$6,0,IF('heat units'!H1607&gt;1,1,'heat units'!H1607))</f>
        <v>0.10092592592592592</v>
      </c>
      <c r="D1607">
        <f>IF(B1607&gt;'user input'!$C$6,0,(C1607/(C1607+EXP('user input'!$C$15-'user input'!$C$14*C1607))))</f>
        <v>1.8029257341912359E-2</v>
      </c>
      <c r="E1607">
        <f>IF(C1607&lt;'user input'!$C$12,(D1607-D1606)*'user input'!$C$17*(1-EXP(5*(F1606-'user input'!$C$17))),F1607-F1606)</f>
        <v>6.2757787505858401E-3</v>
      </c>
      <c r="F1607">
        <f>IF(C1607&lt;'user input'!$C$12,IF(B1607&gt;'user input'!$C$6,0,F1606+E1607),'user input'!$C$17*((1-C1607)/(1-'user input'!$C$12)))</f>
        <v>5.4087753254096101E-2</v>
      </c>
    </row>
    <row r="1608" spans="1:6" x14ac:dyDescent="0.2">
      <c r="A1608" s="1">
        <v>41784</v>
      </c>
      <c r="B1608">
        <v>146</v>
      </c>
      <c r="C1608">
        <f>IF(B1608&gt;'user input'!$C$6,0,IF('heat units'!H1608&gt;1,1,'heat units'!H1608))</f>
        <v>0.10694444444444443</v>
      </c>
      <c r="D1608">
        <f>IF(B1608&gt;'user input'!$C$6,0,(C1608/(C1608+EXP('user input'!$C$15-'user input'!$C$14*C1608))))</f>
        <v>2.0651846188842009E-2</v>
      </c>
      <c r="E1608">
        <f>IF(C1608&lt;'user input'!$C$12,(D1608-D1607)*'user input'!$C$17*(1-EXP(5*(F1607-'user input'!$C$17))),F1608-F1607)</f>
        <v>7.8677633866247355E-3</v>
      </c>
      <c r="F1608">
        <f>IF(C1608&lt;'user input'!$C$12,IF(B1608&gt;'user input'!$C$6,0,F1607+E1608),'user input'!$C$17*((1-C1608)/(1-'user input'!$C$12)))</f>
        <v>6.195551664072084E-2</v>
      </c>
    </row>
    <row r="1609" spans="1:6" x14ac:dyDescent="0.2">
      <c r="A1609" s="1">
        <v>41785</v>
      </c>
      <c r="B1609">
        <v>147</v>
      </c>
      <c r="C1609">
        <f>IF(B1609&gt;'user input'!$C$6,0,IF('heat units'!H1609&gt;1,1,'heat units'!H1609))</f>
        <v>0.11782407407407405</v>
      </c>
      <c r="D1609">
        <f>IF(B1609&gt;'user input'!$C$6,0,(C1609/(C1609+EXP('user input'!$C$15-'user input'!$C$14*C1609))))</f>
        <v>2.6171333998649009E-2</v>
      </c>
      <c r="E1609">
        <f>IF(C1609&lt;'user input'!$C$12,(D1609-D1608)*'user input'!$C$17*(1-EXP(5*(F1608-'user input'!$C$17))),F1609-F1608)</f>
        <v>1.655845652483728E-2</v>
      </c>
      <c r="F1609">
        <f>IF(C1609&lt;'user input'!$C$12,IF(B1609&gt;'user input'!$C$6,0,F1608+E1609),'user input'!$C$17*((1-C1609)/(1-'user input'!$C$12)))</f>
        <v>7.8513973165558124E-2</v>
      </c>
    </row>
    <row r="1610" spans="1:6" x14ac:dyDescent="0.2">
      <c r="A1610" s="1">
        <v>41786</v>
      </c>
      <c r="B1610">
        <v>148</v>
      </c>
      <c r="C1610">
        <f>IF(B1610&gt;'user input'!$C$6,0,IF('heat units'!H1610&gt;1,1,'heat units'!H1610))</f>
        <v>0.12847222222222218</v>
      </c>
      <c r="D1610">
        <f>IF(B1610&gt;'user input'!$C$6,0,(C1610/(C1610+EXP('user input'!$C$15-'user input'!$C$14*C1610))))</f>
        <v>3.2687767349961851E-2</v>
      </c>
      <c r="E1610">
        <f>IF(C1610&lt;'user input'!$C$12,(D1610-D1609)*'user input'!$C$17*(1-EXP(5*(F1609-'user input'!$C$17))),F1610-F1609)</f>
        <v>1.9549291198605257E-2</v>
      </c>
      <c r="F1610">
        <f>IF(C1610&lt;'user input'!$C$12,IF(B1610&gt;'user input'!$C$6,0,F1609+E1610),'user input'!$C$17*((1-C1610)/(1-'user input'!$C$12)))</f>
        <v>9.8063264364163377E-2</v>
      </c>
    </row>
    <row r="1611" spans="1:6" x14ac:dyDescent="0.2">
      <c r="A1611" s="1">
        <v>41787</v>
      </c>
      <c r="B1611">
        <v>149</v>
      </c>
      <c r="C1611">
        <f>IF(B1611&gt;'user input'!$C$6,0,IF('heat units'!H1611&gt;1,1,'heat units'!H1611))</f>
        <v>0.13888888888888887</v>
      </c>
      <c r="D1611">
        <f>IF(B1611&gt;'user input'!$C$6,0,(C1611/(C1611+EXP('user input'!$C$15-'user input'!$C$14*C1611))))</f>
        <v>4.0305496152534842E-2</v>
      </c>
      <c r="E1611">
        <f>IF(C1611&lt;'user input'!$C$12,(D1611-D1610)*'user input'!$C$17*(1-EXP(5*(F1610-'user input'!$C$17))),F1611-F1610)</f>
        <v>2.2853174992842753E-2</v>
      </c>
      <c r="F1611">
        <f>IF(C1611&lt;'user input'!$C$12,IF(B1611&gt;'user input'!$C$6,0,F1610+E1611),'user input'!$C$17*((1-C1611)/(1-'user input'!$C$12)))</f>
        <v>0.12091643935700613</v>
      </c>
    </row>
    <row r="1612" spans="1:6" x14ac:dyDescent="0.2">
      <c r="A1612" s="1">
        <v>41788</v>
      </c>
      <c r="B1612">
        <v>150</v>
      </c>
      <c r="C1612">
        <f>IF(B1612&gt;'user input'!$C$6,0,IF('heat units'!H1612&gt;1,1,'heat units'!H1612))</f>
        <v>0.14490740740740737</v>
      </c>
      <c r="D1612">
        <f>IF(B1612&gt;'user input'!$C$6,0,(C1612/(C1612+EXP('user input'!$C$15-'user input'!$C$14*C1612))))</f>
        <v>4.5340852589704078E-2</v>
      </c>
      <c r="E1612">
        <f>IF(C1612&lt;'user input'!$C$12,(D1612-D1611)*'user input'!$C$17*(1-EXP(5*(F1611-'user input'!$C$17))),F1612-F1611)</f>
        <v>1.5106060852859631E-2</v>
      </c>
      <c r="F1612">
        <f>IF(C1612&lt;'user input'!$C$12,IF(B1612&gt;'user input'!$C$6,0,F1611+E1612),'user input'!$C$17*((1-C1612)/(1-'user input'!$C$12)))</f>
        <v>0.13602250020986575</v>
      </c>
    </row>
    <row r="1613" spans="1:6" x14ac:dyDescent="0.2">
      <c r="A1613" s="1">
        <v>41789</v>
      </c>
      <c r="B1613">
        <v>151</v>
      </c>
      <c r="C1613">
        <f>IF(B1613&gt;'user input'!$C$6,0,IF('heat units'!H1613&gt;1,1,'heat units'!H1613))</f>
        <v>0.15231481481481479</v>
      </c>
      <c r="D1613">
        <f>IF(B1613&gt;'user input'!$C$6,0,(C1613/(C1613+EXP('user input'!$C$15-'user input'!$C$14*C1613))))</f>
        <v>5.2245590019617115E-2</v>
      </c>
      <c r="E1613">
        <f>IF(C1613&lt;'user input'!$C$12,(D1613-D1612)*'user input'!$C$17*(1-EXP(5*(F1612-'user input'!$C$17))),F1613-F1612)</f>
        <v>2.0714199780805125E-2</v>
      </c>
      <c r="F1613">
        <f>IF(C1613&lt;'user input'!$C$12,IF(B1613&gt;'user input'!$C$6,0,F1612+E1613),'user input'!$C$17*((1-C1613)/(1-'user input'!$C$12)))</f>
        <v>0.15673669999067089</v>
      </c>
    </row>
    <row r="1614" spans="1:6" x14ac:dyDescent="0.2">
      <c r="A1614" s="1">
        <v>41790</v>
      </c>
      <c r="B1614">
        <v>152</v>
      </c>
      <c r="C1614">
        <f>IF(B1614&gt;'user input'!$C$6,0,IF('heat units'!H1614&gt;1,1,'heat units'!H1614))</f>
        <v>0.16064814814814812</v>
      </c>
      <c r="D1614">
        <f>IF(B1614&gt;'user input'!$C$6,0,(C1614/(C1614+EXP('user input'!$C$15-'user input'!$C$14*C1614))))</f>
        <v>6.1035183559955949E-2</v>
      </c>
      <c r="E1614">
        <f>IF(C1614&lt;'user input'!$C$12,(D1614-D1613)*'user input'!$C$17*(1-EXP(5*(F1613-'user input'!$C$17))),F1614-F1613)</f>
        <v>2.6368762959733973E-2</v>
      </c>
      <c r="F1614">
        <f>IF(C1614&lt;'user input'!$C$12,IF(B1614&gt;'user input'!$C$6,0,F1613+E1614),'user input'!$C$17*((1-C1614)/(1-'user input'!$C$12)))</f>
        <v>0.18310546295040486</v>
      </c>
    </row>
    <row r="1615" spans="1:6" x14ac:dyDescent="0.2">
      <c r="A1615" s="1">
        <v>41791</v>
      </c>
      <c r="B1615">
        <v>153</v>
      </c>
      <c r="C1615">
        <f>IF(B1615&gt;'user input'!$C$6,0,IF('heat units'!H1615&gt;1,1,'heat units'!H1615))</f>
        <v>0.17222222222222219</v>
      </c>
      <c r="D1615">
        <f>IF(B1615&gt;'user input'!$C$6,0,(C1615/(C1615+EXP('user input'!$C$15-'user input'!$C$14*C1615))))</f>
        <v>7.5241175528079199E-2</v>
      </c>
      <c r="E1615">
        <f>IF(C1615&lt;'user input'!$C$12,(D1615-D1614)*'user input'!$C$17*(1-EXP(5*(F1614-'user input'!$C$17))),F1615-F1614)</f>
        <v>4.2617943336897494E-2</v>
      </c>
      <c r="F1615">
        <f>IF(C1615&lt;'user input'!$C$12,IF(B1615&gt;'user input'!$C$6,0,F1614+E1615),'user input'!$C$17*((1-C1615)/(1-'user input'!$C$12)))</f>
        <v>0.22572340628730236</v>
      </c>
    </row>
    <row r="1616" spans="1:6" x14ac:dyDescent="0.2">
      <c r="A1616" s="1">
        <v>41792</v>
      </c>
      <c r="B1616">
        <v>154</v>
      </c>
      <c r="C1616">
        <f>IF(B1616&gt;'user input'!$C$6,0,IF('heat units'!H1616&gt;1,1,'heat units'!H1616))</f>
        <v>0.1847222222222222</v>
      </c>
      <c r="D1616">
        <f>IF(B1616&gt;'user input'!$C$6,0,(C1616/(C1616+EXP('user input'!$C$15-'user input'!$C$14*C1616))))</f>
        <v>9.3515329781187206E-2</v>
      </c>
      <c r="E1616">
        <f>IF(C1616&lt;'user input'!$C$12,(D1616-D1615)*'user input'!$C$17*(1-EXP(5*(F1615-'user input'!$C$17))),F1616-F1615)</f>
        <v>5.4822410915925712E-2</v>
      </c>
      <c r="F1616">
        <f>IF(C1616&lt;'user input'!$C$12,IF(B1616&gt;'user input'!$C$6,0,F1615+E1616),'user input'!$C$17*((1-C1616)/(1-'user input'!$C$12)))</f>
        <v>0.28054581720322808</v>
      </c>
    </row>
    <row r="1617" spans="1:6" x14ac:dyDescent="0.2">
      <c r="A1617" s="1">
        <v>41793</v>
      </c>
      <c r="B1617">
        <v>155</v>
      </c>
      <c r="C1617">
        <f>IF(B1617&gt;'user input'!$C$6,0,IF('heat units'!H1617&gt;1,1,'heat units'!H1617))</f>
        <v>0.19374999999999998</v>
      </c>
      <c r="D1617">
        <f>IF(B1617&gt;'user input'!$C$6,0,(C1617/(C1617+EXP('user input'!$C$15-'user input'!$C$14*C1617))))</f>
        <v>0.10881600702864117</v>
      </c>
      <c r="E1617">
        <f>IF(C1617&lt;'user input'!$C$12,(D1617-D1616)*'user input'!$C$17*(1-EXP(5*(F1616-'user input'!$C$17))),F1617-F1616)</f>
        <v>4.5901974645507548E-2</v>
      </c>
      <c r="F1617">
        <f>IF(C1617&lt;'user input'!$C$12,IF(B1617&gt;'user input'!$C$6,0,F1616+E1617),'user input'!$C$17*((1-C1617)/(1-'user input'!$C$12)))</f>
        <v>0.32644779184873562</v>
      </c>
    </row>
    <row r="1618" spans="1:6" x14ac:dyDescent="0.2">
      <c r="A1618" s="1">
        <v>41794</v>
      </c>
      <c r="B1618">
        <v>156</v>
      </c>
      <c r="C1618">
        <f>IF(B1618&gt;'user input'!$C$6,0,IF('heat units'!H1618&gt;1,1,'heat units'!H1618))</f>
        <v>0.20231481481481478</v>
      </c>
      <c r="D1618">
        <f>IF(B1618&gt;'user input'!$C$6,0,(C1618/(C1618+EXP('user input'!$C$15-'user input'!$C$14*C1618))))</f>
        <v>0.12510042292428808</v>
      </c>
      <c r="E1618">
        <f>IF(C1618&lt;'user input'!$C$12,(D1618-D1617)*'user input'!$C$17*(1-EXP(5*(F1617-'user input'!$C$17))),F1618-F1617)</f>
        <v>4.885317124202878E-2</v>
      </c>
      <c r="F1618">
        <f>IF(C1618&lt;'user input'!$C$12,IF(B1618&gt;'user input'!$C$6,0,F1617+E1618),'user input'!$C$17*((1-C1618)/(1-'user input'!$C$12)))</f>
        <v>0.37530096309076438</v>
      </c>
    </row>
    <row r="1619" spans="1:6" x14ac:dyDescent="0.2">
      <c r="A1619" s="1">
        <v>41795</v>
      </c>
      <c r="B1619">
        <v>157</v>
      </c>
      <c r="C1619">
        <f>IF(B1619&gt;'user input'!$C$6,0,IF('heat units'!H1619&gt;1,1,'heat units'!H1619))</f>
        <v>0.20856481481481479</v>
      </c>
      <c r="D1619">
        <f>IF(B1619&gt;'user input'!$C$6,0,(C1619/(C1619+EXP('user input'!$C$15-'user input'!$C$14*C1619))))</f>
        <v>0.13813009125380285</v>
      </c>
      <c r="E1619">
        <f>IF(C1619&lt;'user input'!$C$12,(D1619-D1618)*'user input'!$C$17*(1-EXP(5*(F1618-'user input'!$C$17))),F1619-F1618)</f>
        <v>3.9088926898966717E-2</v>
      </c>
      <c r="F1619">
        <f>IF(C1619&lt;'user input'!$C$12,IF(B1619&gt;'user input'!$C$6,0,F1618+E1619),'user input'!$C$17*((1-C1619)/(1-'user input'!$C$12)))</f>
        <v>0.41438988998973109</v>
      </c>
    </row>
    <row r="1620" spans="1:6" x14ac:dyDescent="0.2">
      <c r="A1620" s="1">
        <v>41796</v>
      </c>
      <c r="B1620">
        <v>158</v>
      </c>
      <c r="C1620">
        <f>IF(B1620&gt;'user input'!$C$6,0,IF('heat units'!H1620&gt;1,1,'heat units'!H1620))</f>
        <v>0.21620370370370368</v>
      </c>
      <c r="D1620">
        <f>IF(B1620&gt;'user input'!$C$6,0,(C1620/(C1620+EXP('user input'!$C$15-'user input'!$C$14*C1620))))</f>
        <v>0.15542275884639659</v>
      </c>
      <c r="E1620">
        <f>IF(C1620&lt;'user input'!$C$12,(D1620-D1619)*'user input'!$C$17*(1-EXP(5*(F1619-'user input'!$C$17))),F1620-F1619)</f>
        <v>5.1877876768587572E-2</v>
      </c>
      <c r="F1620">
        <f>IF(C1620&lt;'user input'!$C$12,IF(B1620&gt;'user input'!$C$6,0,F1619+E1620),'user input'!$C$17*((1-C1620)/(1-'user input'!$C$12)))</f>
        <v>0.46626776675831866</v>
      </c>
    </row>
    <row r="1621" spans="1:6" x14ac:dyDescent="0.2">
      <c r="A1621" s="1">
        <v>41797</v>
      </c>
      <c r="B1621">
        <v>159</v>
      </c>
      <c r="C1621">
        <f>IF(B1621&gt;'user input'!$C$6,0,IF('heat units'!H1621&gt;1,1,'heat units'!H1621))</f>
        <v>0.22499999999999995</v>
      </c>
      <c r="D1621">
        <f>IF(B1621&gt;'user input'!$C$6,0,(C1621/(C1621+EXP('user input'!$C$15-'user input'!$C$14*C1621))))</f>
        <v>0.177253733142931</v>
      </c>
      <c r="E1621">
        <f>IF(C1621&lt;'user input'!$C$12,(D1621-D1620)*'user input'!$C$17*(1-EXP(5*(F1620-'user input'!$C$17))),F1621-F1620)</f>
        <v>6.5492716700962586E-2</v>
      </c>
      <c r="F1621">
        <f>IF(C1621&lt;'user input'!$C$12,IF(B1621&gt;'user input'!$C$6,0,F1620+E1621),'user input'!$C$17*((1-C1621)/(1-'user input'!$C$12)))</f>
        <v>0.53176048345928129</v>
      </c>
    </row>
    <row r="1622" spans="1:6" x14ac:dyDescent="0.2">
      <c r="A1622" s="1">
        <v>41798</v>
      </c>
      <c r="B1622">
        <v>160</v>
      </c>
      <c r="C1622">
        <f>IF(B1622&gt;'user input'!$C$6,0,IF('heat units'!H1622&gt;1,1,'heat units'!H1622))</f>
        <v>0.23379629629629625</v>
      </c>
      <c r="D1622">
        <f>IF(B1622&gt;'user input'!$C$6,0,(C1622/(C1622+EXP('user input'!$C$15-'user input'!$C$14*C1622))))</f>
        <v>0.20117391185679029</v>
      </c>
      <c r="E1622">
        <f>IF(C1622&lt;'user input'!$C$12,(D1622-D1621)*'user input'!$C$17*(1-EXP(5*(F1621-'user input'!$C$17))),F1622-F1621)</f>
        <v>7.176022268913089E-2</v>
      </c>
      <c r="F1622">
        <f>IF(C1622&lt;'user input'!$C$12,IF(B1622&gt;'user input'!$C$6,0,F1621+E1622),'user input'!$C$17*((1-C1622)/(1-'user input'!$C$12)))</f>
        <v>0.60352070614841213</v>
      </c>
    </row>
    <row r="1623" spans="1:6" x14ac:dyDescent="0.2">
      <c r="A1623" s="1">
        <v>41799</v>
      </c>
      <c r="B1623">
        <v>161</v>
      </c>
      <c r="C1623">
        <f>IF(B1623&gt;'user input'!$C$6,0,IF('heat units'!H1623&gt;1,1,'heat units'!H1623))</f>
        <v>0.23912037037037034</v>
      </c>
      <c r="D1623">
        <f>IF(B1623&gt;'user input'!$C$6,0,(C1623/(C1623+EXP('user input'!$C$15-'user input'!$C$14*C1623))))</f>
        <v>0.21666780415805223</v>
      </c>
      <c r="E1623">
        <f>IF(C1623&lt;'user input'!$C$12,(D1623-D1622)*'user input'!$C$17*(1-EXP(5*(F1622-'user input'!$C$17))),F1623-F1622)</f>
        <v>4.6481386238530827E-2</v>
      </c>
      <c r="F1623">
        <f>IF(C1623&lt;'user input'!$C$12,IF(B1623&gt;'user input'!$C$6,0,F1622+E1623),'user input'!$C$17*((1-C1623)/(1-'user input'!$C$12)))</f>
        <v>0.65000209238694295</v>
      </c>
    </row>
    <row r="1624" spans="1:6" x14ac:dyDescent="0.2">
      <c r="A1624" s="1">
        <v>41800</v>
      </c>
      <c r="B1624">
        <v>162</v>
      </c>
      <c r="C1624">
        <f>IF(B1624&gt;'user input'!$C$6,0,IF('heat units'!H1624&gt;1,1,'heat units'!H1624))</f>
        <v>0.24560185185185182</v>
      </c>
      <c r="D1624">
        <f>IF(B1624&gt;'user input'!$C$6,0,(C1624/(C1624+EXP('user input'!$C$15-'user input'!$C$14*C1624))))</f>
        <v>0.23654975849418883</v>
      </c>
      <c r="E1624">
        <f>IF(C1624&lt;'user input'!$C$12,(D1624-D1623)*'user input'!$C$17*(1-EXP(5*(F1623-'user input'!$C$17))),F1624-F1623)</f>
        <v>5.9645392437898875E-2</v>
      </c>
      <c r="F1624">
        <f>IF(C1624&lt;'user input'!$C$12,IF(B1624&gt;'user input'!$C$6,0,F1623+E1624),'user input'!$C$17*((1-C1624)/(1-'user input'!$C$12)))</f>
        <v>0.70964748482484186</v>
      </c>
    </row>
    <row r="1625" spans="1:6" x14ac:dyDescent="0.2">
      <c r="A1625" s="1">
        <v>41801</v>
      </c>
      <c r="B1625">
        <v>163</v>
      </c>
      <c r="C1625">
        <f>IF(B1625&gt;'user input'!$C$6,0,IF('heat units'!H1625&gt;1,1,'heat units'!H1625))</f>
        <v>0.25254629629629621</v>
      </c>
      <c r="D1625">
        <f>IF(B1625&gt;'user input'!$C$6,0,(C1625/(C1625+EXP('user input'!$C$15-'user input'!$C$14*C1625))))</f>
        <v>0.2590615163872319</v>
      </c>
      <c r="E1625">
        <f>IF(C1625&lt;'user input'!$C$12,(D1625-D1624)*'user input'!$C$17*(1-EXP(5*(F1624-'user input'!$C$17))),F1625-F1624)</f>
        <v>6.7534555730502127E-2</v>
      </c>
      <c r="F1625">
        <f>IF(C1625&lt;'user input'!$C$12,IF(B1625&gt;'user input'!$C$6,0,F1624+E1625),'user input'!$C$17*((1-C1625)/(1-'user input'!$C$12)))</f>
        <v>0.77718204055534401</v>
      </c>
    </row>
    <row r="1626" spans="1:6" x14ac:dyDescent="0.2">
      <c r="A1626" s="1">
        <v>41802</v>
      </c>
      <c r="B1626">
        <v>164</v>
      </c>
      <c r="C1626">
        <f>IF(B1626&gt;'user input'!$C$6,0,IF('heat units'!H1626&gt;1,1,'heat units'!H1626))</f>
        <v>0.25902777777777769</v>
      </c>
      <c r="D1626">
        <f>IF(B1626&gt;'user input'!$C$6,0,(C1626/(C1626+EXP('user input'!$C$15-'user input'!$C$14*C1626))))</f>
        <v>0.28115213184218624</v>
      </c>
      <c r="E1626">
        <f>IF(C1626&lt;'user input'!$C$12,(D1626-D1625)*'user input'!$C$17*(1-EXP(5*(F1625-'user input'!$C$17))),F1626-F1625)</f>
        <v>6.6270858855549911E-2</v>
      </c>
      <c r="F1626">
        <f>IF(C1626&lt;'user input'!$C$12,IF(B1626&gt;'user input'!$C$6,0,F1625+E1626),'user input'!$C$17*((1-C1626)/(1-'user input'!$C$12)))</f>
        <v>0.84345289941089396</v>
      </c>
    </row>
    <row r="1627" spans="1:6" x14ac:dyDescent="0.2">
      <c r="A1627" s="1">
        <v>41803</v>
      </c>
      <c r="B1627">
        <v>165</v>
      </c>
      <c r="C1627">
        <f>IF(B1627&gt;'user input'!$C$6,0,IF('heat units'!H1627&gt;1,1,'heat units'!H1627))</f>
        <v>0.26435185185185178</v>
      </c>
      <c r="D1627">
        <f>IF(B1627&gt;'user input'!$C$6,0,(C1627/(C1627+EXP('user input'!$C$15-'user input'!$C$14*C1627))))</f>
        <v>0.30003250984078633</v>
      </c>
      <c r="E1627">
        <f>IF(C1627&lt;'user input'!$C$12,(D1627-D1626)*'user input'!$C$17*(1-EXP(5*(F1626-'user input'!$C$17))),F1627-F1626)</f>
        <v>5.6639958423319856E-2</v>
      </c>
      <c r="F1627">
        <f>IF(C1627&lt;'user input'!$C$12,IF(B1627&gt;'user input'!$C$6,0,F1626+E1627),'user input'!$C$17*((1-C1627)/(1-'user input'!$C$12)))</f>
        <v>0.90009285783421378</v>
      </c>
    </row>
    <row r="1628" spans="1:6" x14ac:dyDescent="0.2">
      <c r="A1628" s="1">
        <v>41804</v>
      </c>
      <c r="B1628">
        <v>166</v>
      </c>
      <c r="C1628">
        <f>IF(B1628&gt;'user input'!$C$6,0,IF('heat units'!H1628&gt;1,1,'heat units'!H1628))</f>
        <v>0.27013888888888887</v>
      </c>
      <c r="D1628">
        <f>IF(B1628&gt;'user input'!$C$6,0,(C1628/(C1628+EXP('user input'!$C$15-'user input'!$C$14*C1628))))</f>
        <v>0.32125163030955123</v>
      </c>
      <c r="E1628">
        <f>IF(C1628&lt;'user input'!$C$12,(D1628-D1627)*'user input'!$C$17*(1-EXP(5*(F1627-'user input'!$C$17))),F1628-F1627)</f>
        <v>6.3655607694546201E-2</v>
      </c>
      <c r="F1628">
        <f>IF(C1628&lt;'user input'!$C$12,IF(B1628&gt;'user input'!$C$6,0,F1627+E1628),'user input'!$C$17*((1-C1628)/(1-'user input'!$C$12)))</f>
        <v>0.96374846552876003</v>
      </c>
    </row>
    <row r="1629" spans="1:6" x14ac:dyDescent="0.2">
      <c r="A1629" s="1">
        <v>41805</v>
      </c>
      <c r="B1629">
        <v>167</v>
      </c>
      <c r="C1629">
        <f>IF(B1629&gt;'user input'!$C$6,0,IF('heat units'!H1629&gt;1,1,'heat units'!H1629))</f>
        <v>0.27962962962962962</v>
      </c>
      <c r="D1629">
        <f>IF(B1629&gt;'user input'!$C$6,0,(C1629/(C1629+EXP('user input'!$C$15-'user input'!$C$14*C1629))))</f>
        <v>0.35744791050633051</v>
      </c>
      <c r="E1629">
        <f>IF(C1629&lt;'user input'!$C$12,(D1629-D1628)*'user input'!$C$17*(1-EXP(5*(F1628-'user input'!$C$17))),F1629-F1628)</f>
        <v>0.1085847279458395</v>
      </c>
      <c r="F1629">
        <f>IF(C1629&lt;'user input'!$C$12,IF(B1629&gt;'user input'!$C$6,0,F1628+E1629),'user input'!$C$17*((1-C1629)/(1-'user input'!$C$12)))</f>
        <v>1.0723331934745994</v>
      </c>
    </row>
    <row r="1630" spans="1:6" x14ac:dyDescent="0.2">
      <c r="A1630" s="1">
        <v>41806</v>
      </c>
      <c r="B1630">
        <v>168</v>
      </c>
      <c r="C1630">
        <f>IF(B1630&gt;'user input'!$C$6,0,IF('heat units'!H1630&gt;1,1,'heat units'!H1630))</f>
        <v>0.28842592592592592</v>
      </c>
      <c r="D1630">
        <f>IF(B1630&gt;'user input'!$C$6,0,(C1630/(C1630+EXP('user input'!$C$15-'user input'!$C$14*C1630))))</f>
        <v>0.39227875681563845</v>
      </c>
      <c r="E1630">
        <f>IF(C1630&lt;'user input'!$C$12,(D1630-D1629)*'user input'!$C$17*(1-EXP(5*(F1629-'user input'!$C$17))),F1630-F1629)</f>
        <v>0.10448572794178329</v>
      </c>
      <c r="F1630">
        <f>IF(C1630&lt;'user input'!$C$12,IF(B1630&gt;'user input'!$C$6,0,F1629+E1630),'user input'!$C$17*((1-C1630)/(1-'user input'!$C$12)))</f>
        <v>1.1768189214163827</v>
      </c>
    </row>
    <row r="1631" spans="1:6" x14ac:dyDescent="0.2">
      <c r="A1631" s="1">
        <v>41807</v>
      </c>
      <c r="B1631">
        <v>169</v>
      </c>
      <c r="C1631">
        <f>IF(B1631&gt;'user input'!$C$6,0,IF('heat units'!H1631&gt;1,1,'heat units'!H1631))</f>
        <v>0.29814814814814816</v>
      </c>
      <c r="D1631">
        <f>IF(B1631&gt;'user input'!$C$6,0,(C1631/(C1631+EXP('user input'!$C$15-'user input'!$C$14*C1631))))</f>
        <v>0.43181369519950924</v>
      </c>
      <c r="E1631">
        <f>IF(C1631&lt;'user input'!$C$12,(D1631-D1630)*'user input'!$C$17*(1-EXP(5*(F1630-'user input'!$C$17))),F1631-F1630)</f>
        <v>0.11859178003528298</v>
      </c>
      <c r="F1631">
        <f>IF(C1631&lt;'user input'!$C$12,IF(B1631&gt;'user input'!$C$6,0,F1630+E1631),'user input'!$C$17*((1-C1631)/(1-'user input'!$C$12)))</f>
        <v>1.2954107014516656</v>
      </c>
    </row>
    <row r="1632" spans="1:6" x14ac:dyDescent="0.2">
      <c r="A1632" s="1">
        <v>41808</v>
      </c>
      <c r="B1632">
        <v>170</v>
      </c>
      <c r="C1632">
        <f>IF(B1632&gt;'user input'!$C$6,0,IF('heat units'!H1632&gt;1,1,'heat units'!H1632))</f>
        <v>0.30995370370370373</v>
      </c>
      <c r="D1632">
        <f>IF(B1632&gt;'user input'!$C$6,0,(C1632/(C1632+EXP('user input'!$C$15-'user input'!$C$14*C1632))))</f>
        <v>0.48060970467445363</v>
      </c>
      <c r="E1632">
        <f>IF(C1632&lt;'user input'!$C$12,(D1632-D1631)*'user input'!$C$17*(1-EXP(5*(F1631-'user input'!$C$17))),F1632-F1631)</f>
        <v>0.14635891877841237</v>
      </c>
      <c r="F1632">
        <f>IF(C1632&lt;'user input'!$C$12,IF(B1632&gt;'user input'!$C$6,0,F1631+E1632),'user input'!$C$17*((1-C1632)/(1-'user input'!$C$12)))</f>
        <v>1.441769620230078</v>
      </c>
    </row>
    <row r="1633" spans="1:6" x14ac:dyDescent="0.2">
      <c r="A1633" s="1">
        <v>41809</v>
      </c>
      <c r="B1633">
        <v>171</v>
      </c>
      <c r="C1633">
        <f>IF(B1633&gt;'user input'!$C$6,0,IF('heat units'!H1633&gt;1,1,'heat units'!H1633))</f>
        <v>0.31967592592592597</v>
      </c>
      <c r="D1633">
        <f>IF(B1633&gt;'user input'!$C$6,0,(C1633/(C1633+EXP('user input'!$C$15-'user input'!$C$14*C1633))))</f>
        <v>0.5208431548260557</v>
      </c>
      <c r="E1633">
        <f>IF(C1633&lt;'user input'!$C$12,(D1633-D1632)*'user input'!$C$17*(1-EXP(5*(F1632-'user input'!$C$17))),F1633-F1632)</f>
        <v>0.12065045577341395</v>
      </c>
      <c r="F1633">
        <f>IF(C1633&lt;'user input'!$C$12,IF(B1633&gt;'user input'!$C$6,0,F1632+E1633),'user input'!$C$17*((1-C1633)/(1-'user input'!$C$12)))</f>
        <v>1.5624200760034921</v>
      </c>
    </row>
    <row r="1634" spans="1:6" x14ac:dyDescent="0.2">
      <c r="A1634" s="1">
        <v>41810</v>
      </c>
      <c r="B1634">
        <v>172</v>
      </c>
      <c r="C1634">
        <f>IF(B1634&gt;'user input'!$C$6,0,IF('heat units'!H1634&gt;1,1,'heat units'!H1634))</f>
        <v>0.32870370370370372</v>
      </c>
      <c r="D1634">
        <f>IF(B1634&gt;'user input'!$C$6,0,(C1634/(C1634+EXP('user input'!$C$15-'user input'!$C$14*C1634))))</f>
        <v>0.5577685658274153</v>
      </c>
      <c r="E1634">
        <f>IF(C1634&lt;'user input'!$C$12,(D1634-D1633)*'user input'!$C$17*(1-EXP(5*(F1633-'user input'!$C$17))),F1634-F1633)</f>
        <v>0.11069252221200614</v>
      </c>
      <c r="F1634">
        <f>IF(C1634&lt;'user input'!$C$12,IF(B1634&gt;'user input'!$C$6,0,F1633+E1634),'user input'!$C$17*((1-C1634)/(1-'user input'!$C$12)))</f>
        <v>1.6731125982154982</v>
      </c>
    </row>
    <row r="1635" spans="1:6" x14ac:dyDescent="0.2">
      <c r="A1635" s="1">
        <v>41811</v>
      </c>
      <c r="B1635">
        <v>173</v>
      </c>
      <c r="C1635">
        <f>IF(B1635&gt;'user input'!$C$6,0,IF('heat units'!H1635&gt;1,1,'heat units'!H1635))</f>
        <v>0.34004629629629629</v>
      </c>
      <c r="D1635">
        <f>IF(B1635&gt;'user input'!$C$6,0,(C1635/(C1635+EXP('user input'!$C$15-'user input'!$C$14*C1635))))</f>
        <v>0.6029713942248851</v>
      </c>
      <c r="E1635">
        <f>IF(C1635&lt;'user input'!$C$12,(D1635-D1634)*'user input'!$C$17*(1-EXP(5*(F1634-'user input'!$C$17))),F1635-F1634)</f>
        <v>0.13543025245339649</v>
      </c>
      <c r="F1635">
        <f>IF(C1635&lt;'user input'!$C$12,IF(B1635&gt;'user input'!$C$6,0,F1634+E1635),'user input'!$C$17*((1-C1635)/(1-'user input'!$C$12)))</f>
        <v>1.8085428506688948</v>
      </c>
    </row>
    <row r="1636" spans="1:6" x14ac:dyDescent="0.2">
      <c r="A1636" s="1">
        <v>41812</v>
      </c>
      <c r="B1636">
        <v>174</v>
      </c>
      <c r="C1636">
        <f>IF(B1636&gt;'user input'!$C$6,0,IF('heat units'!H1636&gt;1,1,'heat units'!H1636))</f>
        <v>0.34930555555555554</v>
      </c>
      <c r="D1636">
        <f>IF(B1636&gt;'user input'!$C$6,0,(C1636/(C1636+EXP('user input'!$C$15-'user input'!$C$14*C1636))))</f>
        <v>0.63845530373098758</v>
      </c>
      <c r="E1636">
        <f>IF(C1636&lt;'user input'!$C$12,(D1636-D1635)*'user input'!$C$17*(1-EXP(5*(F1635-'user input'!$C$17))),F1636-F1635)</f>
        <v>0.10617634598497593</v>
      </c>
      <c r="F1636">
        <f>IF(C1636&lt;'user input'!$C$12,IF(B1636&gt;'user input'!$C$6,0,F1635+E1636),'user input'!$C$17*((1-C1636)/(1-'user input'!$C$12)))</f>
        <v>1.9147191966538706</v>
      </c>
    </row>
    <row r="1637" spans="1:6" x14ac:dyDescent="0.2">
      <c r="A1637" s="1">
        <v>41813</v>
      </c>
      <c r="B1637">
        <v>175</v>
      </c>
      <c r="C1637">
        <f>IF(B1637&gt;'user input'!$C$6,0,IF('heat units'!H1637&gt;1,1,'heat units'!H1637))</f>
        <v>0.35995370370370366</v>
      </c>
      <c r="D1637">
        <f>IF(B1637&gt;'user input'!$C$6,0,(C1637/(C1637+EXP('user input'!$C$15-'user input'!$C$14*C1637))))</f>
        <v>0.67726357246726299</v>
      </c>
      <c r="E1637">
        <f>IF(C1637&lt;'user input'!$C$12,(D1637-D1636)*'user input'!$C$17*(1-EXP(5*(F1636-'user input'!$C$17))),F1637-F1636)</f>
        <v>0.11591266679192744</v>
      </c>
      <c r="F1637">
        <f>IF(C1637&lt;'user input'!$C$12,IF(B1637&gt;'user input'!$C$6,0,F1636+E1637),'user input'!$C$17*((1-C1637)/(1-'user input'!$C$12)))</f>
        <v>2.030631863445798</v>
      </c>
    </row>
    <row r="1638" spans="1:6" x14ac:dyDescent="0.2">
      <c r="A1638" s="1">
        <v>41814</v>
      </c>
      <c r="B1638">
        <v>176</v>
      </c>
      <c r="C1638">
        <f>IF(B1638&gt;'user input'!$C$6,0,IF('heat units'!H1638&gt;1,1,'heat units'!H1638))</f>
        <v>0.37083333333333329</v>
      </c>
      <c r="D1638">
        <f>IF(B1638&gt;'user input'!$C$6,0,(C1638/(C1638+EXP('user input'!$C$15-'user input'!$C$14*C1638))))</f>
        <v>0.71435505243900044</v>
      </c>
      <c r="E1638">
        <f>IF(C1638&lt;'user input'!$C$12,(D1638-D1637)*'user input'!$C$17*(1-EXP(5*(F1637-'user input'!$C$17))),F1638-F1637)</f>
        <v>0.11040058516010173</v>
      </c>
      <c r="F1638">
        <f>IF(C1638&lt;'user input'!$C$12,IF(B1638&gt;'user input'!$C$6,0,F1637+E1638),'user input'!$C$17*((1-C1638)/(1-'user input'!$C$12)))</f>
        <v>2.1410324486058996</v>
      </c>
    </row>
    <row r="1639" spans="1:6" x14ac:dyDescent="0.2">
      <c r="A1639" s="1">
        <v>41815</v>
      </c>
      <c r="B1639">
        <v>177</v>
      </c>
      <c r="C1639">
        <f>IF(B1639&gt;'user input'!$C$6,0,IF('heat units'!H1639&gt;1,1,'heat units'!H1639))</f>
        <v>0.38240740740740736</v>
      </c>
      <c r="D1639">
        <f>IF(B1639&gt;'user input'!$C$6,0,(C1639/(C1639+EXP('user input'!$C$15-'user input'!$C$14*C1639))))</f>
        <v>0.75068864700217697</v>
      </c>
      <c r="E1639">
        <f>IF(C1639&lt;'user input'!$C$12,(D1639-D1638)*'user input'!$C$17*(1-EXP(5*(F1638-'user input'!$C$17))),F1639-F1638)</f>
        <v>0.1075141455105707</v>
      </c>
      <c r="F1639">
        <f>IF(C1639&lt;'user input'!$C$12,IF(B1639&gt;'user input'!$C$6,0,F1638+E1639),'user input'!$C$17*((1-C1639)/(1-'user input'!$C$12)))</f>
        <v>2.2485465941164704</v>
      </c>
    </row>
    <row r="1640" spans="1:6" x14ac:dyDescent="0.2">
      <c r="A1640" s="1">
        <v>41816</v>
      </c>
      <c r="B1640">
        <v>178</v>
      </c>
      <c r="C1640">
        <f>IF(B1640&gt;'user input'!$C$6,0,IF('heat units'!H1640&gt;1,1,'heat units'!H1640))</f>
        <v>0.39120370370370366</v>
      </c>
      <c r="D1640">
        <f>IF(B1640&gt;'user input'!$C$6,0,(C1640/(C1640+EXP('user input'!$C$15-'user input'!$C$14*C1640))))</f>
        <v>0.77604626212931616</v>
      </c>
      <c r="E1640">
        <f>IF(C1640&lt;'user input'!$C$12,(D1640-D1639)*'user input'!$C$17*(1-EXP(5*(F1639-'user input'!$C$17))),F1640-F1639)</f>
        <v>7.4296737576545147E-2</v>
      </c>
      <c r="F1640">
        <f>IF(C1640&lt;'user input'!$C$12,IF(B1640&gt;'user input'!$C$6,0,F1639+E1640),'user input'!$C$17*((1-C1640)/(1-'user input'!$C$12)))</f>
        <v>2.3228433316930155</v>
      </c>
    </row>
    <row r="1641" spans="1:6" x14ac:dyDescent="0.2">
      <c r="A1641" s="1">
        <v>41817</v>
      </c>
      <c r="B1641">
        <v>179</v>
      </c>
      <c r="C1641">
        <f>IF(B1641&gt;'user input'!$C$6,0,IF('heat units'!H1641&gt;1,1,'heat units'!H1641))</f>
        <v>0.40115740740740741</v>
      </c>
      <c r="D1641">
        <f>IF(B1641&gt;'user input'!$C$6,0,(C1641/(C1641+EXP('user input'!$C$15-'user input'!$C$14*C1641))))</f>
        <v>0.80236359316156802</v>
      </c>
      <c r="E1641">
        <f>IF(C1641&lt;'user input'!$C$12,(D1641-D1640)*'user input'!$C$17*(1-EXP(5*(F1640-'user input'!$C$17))),F1641-F1640)</f>
        <v>7.6279380101115665E-2</v>
      </c>
      <c r="F1641">
        <f>IF(C1641&lt;'user input'!$C$12,IF(B1641&gt;'user input'!$C$6,0,F1640+E1641),'user input'!$C$17*((1-C1641)/(1-'user input'!$C$12)))</f>
        <v>2.3991227117941309</v>
      </c>
    </row>
    <row r="1642" spans="1:6" x14ac:dyDescent="0.2">
      <c r="A1642" s="1">
        <v>41818</v>
      </c>
      <c r="B1642">
        <v>180</v>
      </c>
      <c r="C1642">
        <f>IF(B1642&gt;'user input'!$C$6,0,IF('heat units'!H1642&gt;1,1,'heat units'!H1642))</f>
        <v>0.41319444444444442</v>
      </c>
      <c r="D1642">
        <f>IF(B1642&gt;'user input'!$C$6,0,(C1642/(C1642+EXP('user input'!$C$15-'user input'!$C$14*C1642))))</f>
        <v>0.83087177571326098</v>
      </c>
      <c r="E1642">
        <f>IF(C1642&lt;'user input'!$C$12,(D1642-D1641)*'user input'!$C$17*(1-EXP(5*(F1641-'user input'!$C$17))),F1642-F1641)</f>
        <v>8.128516778799906E-2</v>
      </c>
      <c r="F1642">
        <f>IF(C1642&lt;'user input'!$C$12,IF(B1642&gt;'user input'!$C$6,0,F1641+E1642),'user input'!$C$17*((1-C1642)/(1-'user input'!$C$12)))</f>
        <v>2.4804078795821298</v>
      </c>
    </row>
    <row r="1643" spans="1:6" x14ac:dyDescent="0.2">
      <c r="A1643" s="1">
        <v>41819</v>
      </c>
      <c r="B1643">
        <v>181</v>
      </c>
      <c r="C1643">
        <f>IF(B1643&gt;'user input'!$C$6,0,IF('heat units'!H1643&gt;1,1,'heat units'!H1643))</f>
        <v>0.42476851851851855</v>
      </c>
      <c r="D1643">
        <f>IF(B1643&gt;'user input'!$C$6,0,(C1643/(C1643+EXP('user input'!$C$15-'user input'!$C$14*C1643))))</f>
        <v>0.85500009706357105</v>
      </c>
      <c r="E1643">
        <f>IF(C1643&lt;'user input'!$C$12,(D1643-D1642)*'user input'!$C$17*(1-EXP(5*(F1642-'user input'!$C$17))),F1643-F1642)</f>
        <v>6.6997698178782705E-2</v>
      </c>
      <c r="F1643">
        <f>IF(C1643&lt;'user input'!$C$12,IF(B1643&gt;'user input'!$C$6,0,F1642+E1643),'user input'!$C$17*((1-C1643)/(1-'user input'!$C$12)))</f>
        <v>2.5474055777609124</v>
      </c>
    </row>
    <row r="1644" spans="1:6" x14ac:dyDescent="0.2">
      <c r="A1644" s="1">
        <v>41820</v>
      </c>
      <c r="B1644">
        <v>182</v>
      </c>
      <c r="C1644">
        <f>IF(B1644&gt;'user input'!$C$6,0,IF('heat units'!H1644&gt;1,1,'heat units'!H1644))</f>
        <v>0.43495370370370373</v>
      </c>
      <c r="D1644">
        <f>IF(B1644&gt;'user input'!$C$6,0,(C1644/(C1644+EXP('user input'!$C$15-'user input'!$C$14*C1644))))</f>
        <v>0.8737352994247759</v>
      </c>
      <c r="E1644">
        <f>IF(C1644&lt;'user input'!$C$12,(D1644-D1643)*'user input'!$C$17*(1-EXP(5*(F1643-'user input'!$C$17))),F1644-F1643)</f>
        <v>5.0357930536607122E-2</v>
      </c>
      <c r="F1644">
        <f>IF(C1644&lt;'user input'!$C$12,IF(B1644&gt;'user input'!$C$6,0,F1643+E1644),'user input'!$C$17*((1-C1644)/(1-'user input'!$C$12)))</f>
        <v>2.5977635082975197</v>
      </c>
    </row>
    <row r="1645" spans="1:6" x14ac:dyDescent="0.2">
      <c r="A1645" s="1">
        <v>41821</v>
      </c>
      <c r="B1645">
        <v>183</v>
      </c>
      <c r="C1645">
        <f>IF(B1645&gt;'user input'!$C$6,0,IF('heat units'!H1645&gt;1,1,'heat units'!H1645))</f>
        <v>0.44606481481481486</v>
      </c>
      <c r="D1645">
        <f>IF(B1645&gt;'user input'!$C$6,0,(C1645/(C1645+EXP('user input'!$C$15-'user input'!$C$14*C1645))))</f>
        <v>0.89171199207584739</v>
      </c>
      <c r="E1645">
        <f>IF(C1645&lt;'user input'!$C$12,(D1645-D1644)*'user input'!$C$17*(1-EXP(5*(F1644-'user input'!$C$17))),F1645-F1644)</f>
        <v>4.6712597702198017E-2</v>
      </c>
      <c r="F1645">
        <f>IF(C1645&lt;'user input'!$C$12,IF(B1645&gt;'user input'!$C$6,0,F1644+E1645),'user input'!$C$17*((1-C1645)/(1-'user input'!$C$12)))</f>
        <v>2.6444761059997175</v>
      </c>
    </row>
    <row r="1646" spans="1:6" x14ac:dyDescent="0.2">
      <c r="A1646" s="1">
        <v>41822</v>
      </c>
      <c r="B1646">
        <v>184</v>
      </c>
      <c r="C1646">
        <f>IF(B1646&gt;'user input'!$C$6,0,IF('heat units'!H1646&gt;1,1,'heat units'!H1646))</f>
        <v>0.45416666666666666</v>
      </c>
      <c r="D1646">
        <f>IF(B1646&gt;'user input'!$C$6,0,(C1646/(C1646+EXP('user input'!$C$15-'user input'!$C$14*C1646))))</f>
        <v>0.9033309444562585</v>
      </c>
      <c r="E1646">
        <f>IF(C1646&lt;'user input'!$C$12,(D1646-D1645)*'user input'!$C$17*(1-EXP(5*(F1645-'user input'!$C$17))),F1646-F1645)</f>
        <v>2.8964651443005317E-2</v>
      </c>
      <c r="F1646">
        <f>IF(C1646&lt;'user input'!$C$12,IF(B1646&gt;'user input'!$C$6,0,F1645+E1646),'user input'!$C$17*((1-C1646)/(1-'user input'!$C$12)))</f>
        <v>2.673440757442723</v>
      </c>
    </row>
    <row r="1647" spans="1:6" x14ac:dyDescent="0.2">
      <c r="A1647" s="1">
        <v>41823</v>
      </c>
      <c r="B1647">
        <v>185</v>
      </c>
      <c r="C1647">
        <f>IF(B1647&gt;'user input'!$C$6,0,IF('heat units'!H1647&gt;1,1,'heat units'!H1647))</f>
        <v>0.45810185185185182</v>
      </c>
      <c r="D1647">
        <f>IF(B1647&gt;'user input'!$C$6,0,(C1647/(C1647+EXP('user input'!$C$15-'user input'!$C$14*C1647))))</f>
        <v>0.9085532894018874</v>
      </c>
      <c r="E1647">
        <f>IF(C1647&lt;'user input'!$C$12,(D1647-D1646)*'user input'!$C$17*(1-EXP(5*(F1646-'user input'!$C$17))),F1647-F1646)</f>
        <v>1.2605970738131836E-2</v>
      </c>
      <c r="F1647">
        <f>IF(C1647&lt;'user input'!$C$12,IF(B1647&gt;'user input'!$C$6,0,F1646+E1647),'user input'!$C$17*((1-C1647)/(1-'user input'!$C$12)))</f>
        <v>2.6860467281808549</v>
      </c>
    </row>
    <row r="1648" spans="1:6" x14ac:dyDescent="0.2">
      <c r="A1648" s="1">
        <v>41824</v>
      </c>
      <c r="B1648">
        <v>186</v>
      </c>
      <c r="C1648">
        <f>IF(B1648&gt;'user input'!$C$6,0,IF('heat units'!H1648&gt;1,1,'heat units'!H1648))</f>
        <v>0.46435185185185179</v>
      </c>
      <c r="D1648">
        <f>IF(B1648&gt;'user input'!$C$6,0,(C1648/(C1648+EXP('user input'!$C$15-'user input'!$C$14*C1648))))</f>
        <v>0.91631551677790679</v>
      </c>
      <c r="E1648">
        <f>IF(C1648&lt;'user input'!$C$12,(D1648-D1647)*'user input'!$C$17*(1-EXP(5*(F1647-'user input'!$C$17))),F1648-F1647)</f>
        <v>1.8440868050104753E-2</v>
      </c>
      <c r="F1648">
        <f>IF(C1648&lt;'user input'!$C$12,IF(B1648&gt;'user input'!$C$6,0,F1647+E1648),'user input'!$C$17*((1-C1648)/(1-'user input'!$C$12)))</f>
        <v>2.7044875962309596</v>
      </c>
    </row>
    <row r="1649" spans="1:6" x14ac:dyDescent="0.2">
      <c r="A1649" s="1">
        <v>41825</v>
      </c>
      <c r="B1649">
        <v>187</v>
      </c>
      <c r="C1649">
        <f>IF(B1649&gt;'user input'!$C$6,0,IF('heat units'!H1649&gt;1,1,'heat units'!H1649))</f>
        <v>0.47222222222222221</v>
      </c>
      <c r="D1649">
        <f>IF(B1649&gt;'user input'!$C$6,0,(C1649/(C1649+EXP('user input'!$C$15-'user input'!$C$14*C1649))))</f>
        <v>0.9252187282074722</v>
      </c>
      <c r="E1649">
        <f>IF(C1649&lt;'user input'!$C$12,(D1649-D1648)*'user input'!$C$17*(1-EXP(5*(F1648-'user input'!$C$17))),F1649-F1648)</f>
        <v>2.0614673581052574E-2</v>
      </c>
      <c r="F1649">
        <f>IF(C1649&lt;'user input'!$C$12,IF(B1649&gt;'user input'!$C$6,0,F1648+E1649),'user input'!$C$17*((1-C1649)/(1-'user input'!$C$12)))</f>
        <v>2.725102269812012</v>
      </c>
    </row>
    <row r="1650" spans="1:6" x14ac:dyDescent="0.2">
      <c r="A1650" s="1">
        <v>41826</v>
      </c>
      <c r="B1650">
        <v>188</v>
      </c>
      <c r="C1650">
        <f>IF(B1650&gt;'user input'!$C$6,0,IF('heat units'!H1650&gt;1,1,'heat units'!H1650))</f>
        <v>0.48055555555555551</v>
      </c>
      <c r="D1650">
        <f>IF(B1650&gt;'user input'!$C$6,0,(C1650/(C1650+EXP('user input'!$C$15-'user input'!$C$14*C1650))))</f>
        <v>0.93367126590769123</v>
      </c>
      <c r="E1650">
        <f>IF(C1650&lt;'user input'!$C$12,(D1650-D1649)*'user input'!$C$17*(1-EXP(5*(F1649-'user input'!$C$17))),F1650-F1649)</f>
        <v>1.8942925147564935E-2</v>
      </c>
      <c r="F1650">
        <f>IF(C1650&lt;'user input'!$C$12,IF(B1650&gt;'user input'!$C$6,0,F1649+E1650),'user input'!$C$17*((1-C1650)/(1-'user input'!$C$12)))</f>
        <v>2.7440451949595768</v>
      </c>
    </row>
    <row r="1651" spans="1:6" x14ac:dyDescent="0.2">
      <c r="A1651" s="1">
        <v>41827</v>
      </c>
      <c r="B1651">
        <v>189</v>
      </c>
      <c r="C1651">
        <f>IF(B1651&gt;'user input'!$C$6,0,IF('heat units'!H1651&gt;1,1,'heat units'!H1651))</f>
        <v>0.49050925925925926</v>
      </c>
      <c r="D1651">
        <f>IF(B1651&gt;'user input'!$C$6,0,(C1651/(C1651+EXP('user input'!$C$15-'user input'!$C$14*C1651))))</f>
        <v>0.94258049484729545</v>
      </c>
      <c r="E1651">
        <f>IF(C1651&lt;'user input'!$C$12,(D1651-D1650)*'user input'!$C$17*(1-EXP(5*(F1650-'user input'!$C$17))),F1651-F1650)</f>
        <v>1.9294713453464302E-2</v>
      </c>
      <c r="F1651">
        <f>IF(C1651&lt;'user input'!$C$12,IF(B1651&gt;'user input'!$C$6,0,F1650+E1651),'user input'!$C$17*((1-C1651)/(1-'user input'!$C$12)))</f>
        <v>2.763339908413041</v>
      </c>
    </row>
    <row r="1652" spans="1:6" x14ac:dyDescent="0.2">
      <c r="A1652" s="1">
        <v>41828</v>
      </c>
      <c r="B1652">
        <v>190</v>
      </c>
      <c r="C1652">
        <f>IF(B1652&gt;'user input'!$C$6,0,IF('heat units'!H1652&gt;1,1,'heat units'!H1652))</f>
        <v>0.50138888888888888</v>
      </c>
      <c r="D1652">
        <f>IF(B1652&gt;'user input'!$C$6,0,(C1652/(C1652+EXP('user input'!$C$15-'user input'!$C$14*C1652))))</f>
        <v>0.95100512727036779</v>
      </c>
      <c r="E1652">
        <f>IF(C1652&lt;'user input'!$C$12,(D1652-D1651)*'user input'!$C$17*(1-EXP(5*(F1651-'user input'!$C$17))),F1652-F1651)</f>
        <v>1.7533355534552746E-2</v>
      </c>
      <c r="F1652">
        <f>IF(C1652&lt;'user input'!$C$12,IF(B1652&gt;'user input'!$C$6,0,F1651+E1652),'user input'!$C$17*((1-C1652)/(1-'user input'!$C$12)))</f>
        <v>2.7808732639475937</v>
      </c>
    </row>
    <row r="1653" spans="1:6" x14ac:dyDescent="0.2">
      <c r="A1653" s="1">
        <v>41829</v>
      </c>
      <c r="B1653">
        <v>191</v>
      </c>
      <c r="C1653">
        <f>IF(B1653&gt;'user input'!$C$6,0,IF('heat units'!H1653&gt;1,1,'heat units'!H1653))</f>
        <v>0.50902777777777775</v>
      </c>
      <c r="D1653">
        <f>IF(B1653&gt;'user input'!$C$6,0,(C1653/(C1653+EXP('user input'!$C$15-'user input'!$C$14*C1653))))</f>
        <v>0.95619334025580383</v>
      </c>
      <c r="E1653">
        <f>IF(C1653&lt;'user input'!$C$12,(D1653-D1652)*'user input'!$C$17*(1-EXP(5*(F1652-'user input'!$C$17))),F1653-F1652)</f>
        <v>1.0360949277999958E-2</v>
      </c>
      <c r="F1653">
        <f>IF(C1653&lt;'user input'!$C$12,IF(B1653&gt;'user input'!$C$6,0,F1652+E1653),'user input'!$C$17*((1-C1653)/(1-'user input'!$C$12)))</f>
        <v>2.7912342132255938</v>
      </c>
    </row>
    <row r="1654" spans="1:6" x14ac:dyDescent="0.2">
      <c r="A1654" s="1">
        <v>41830</v>
      </c>
      <c r="B1654">
        <v>192</v>
      </c>
      <c r="C1654">
        <f>IF(B1654&gt;'user input'!$C$6,0,IF('heat units'!H1654&gt;1,1,'heat units'!H1654))</f>
        <v>0.51481481481481473</v>
      </c>
      <c r="D1654">
        <f>IF(B1654&gt;'user input'!$C$6,0,(C1654/(C1654+EXP('user input'!$C$15-'user input'!$C$14*C1654))))</f>
        <v>0.95976460604742753</v>
      </c>
      <c r="E1654">
        <f>IF(C1654&lt;'user input'!$C$12,(D1654-D1653)*'user input'!$C$17*(1-EXP(5*(F1653-'user input'!$C$17))),F1654-F1653)</f>
        <v>6.9414273746221606E-3</v>
      </c>
      <c r="F1654">
        <f>IF(C1654&lt;'user input'!$C$12,IF(B1654&gt;'user input'!$C$6,0,F1653+E1654),'user input'!$C$17*((1-C1654)/(1-'user input'!$C$12)))</f>
        <v>2.7981756406002161</v>
      </c>
    </row>
    <row r="1655" spans="1:6" x14ac:dyDescent="0.2">
      <c r="A1655" s="1">
        <v>41831</v>
      </c>
      <c r="B1655">
        <v>193</v>
      </c>
      <c r="C1655">
        <f>IF(B1655&gt;'user input'!$C$6,0,IF('heat units'!H1655&gt;1,1,'heat units'!H1655))</f>
        <v>0.52245370370370359</v>
      </c>
      <c r="D1655">
        <f>IF(B1655&gt;'user input'!$C$6,0,(C1655/(C1655+EXP('user input'!$C$15-'user input'!$C$14*C1655))))</f>
        <v>0.96404674054377193</v>
      </c>
      <c r="E1655">
        <f>IF(C1655&lt;'user input'!$C$12,(D1655-D1654)*'user input'!$C$17*(1-EXP(5*(F1654-'user input'!$C$17))),F1655-F1654)</f>
        <v>8.1633886867768721E-3</v>
      </c>
      <c r="F1655">
        <f>IF(C1655&lt;'user input'!$C$12,IF(B1655&gt;'user input'!$C$6,0,F1654+E1655),'user input'!$C$17*((1-C1655)/(1-'user input'!$C$12)))</f>
        <v>2.8063390292869927</v>
      </c>
    </row>
    <row r="1656" spans="1:6" x14ac:dyDescent="0.2">
      <c r="A1656" s="1">
        <v>41832</v>
      </c>
      <c r="B1656">
        <v>194</v>
      </c>
      <c r="C1656">
        <f>IF(B1656&gt;'user input'!$C$6,0,IF('heat units'!H1656&gt;1,1,'heat units'!H1656))</f>
        <v>0.53101851851851845</v>
      </c>
      <c r="D1656">
        <f>IF(B1656&gt;'user input'!$C$6,0,(C1656/(C1656+EXP('user input'!$C$15-'user input'!$C$14*C1656))))</f>
        <v>0.96831838493342648</v>
      </c>
      <c r="E1656">
        <f>IF(C1656&lt;'user input'!$C$12,(D1656-D1655)*'user input'!$C$17*(1-EXP(5*(F1655-'user input'!$C$17))),F1656-F1655)</f>
        <v>7.9487674943524468E-3</v>
      </c>
      <c r="F1656">
        <f>IF(C1656&lt;'user input'!$C$12,IF(B1656&gt;'user input'!$C$6,0,F1655+E1656),'user input'!$C$17*((1-C1656)/(1-'user input'!$C$12)))</f>
        <v>2.8142877967813451</v>
      </c>
    </row>
    <row r="1657" spans="1:6" x14ac:dyDescent="0.2">
      <c r="A1657" s="1">
        <v>41833</v>
      </c>
      <c r="B1657">
        <v>195</v>
      </c>
      <c r="C1657">
        <f>IF(B1657&gt;'user input'!$C$6,0,IF('heat units'!H1657&gt;1,1,'heat units'!H1657))</f>
        <v>0.54050925925925919</v>
      </c>
      <c r="D1657">
        <f>IF(B1657&gt;'user input'!$C$6,0,(C1657/(C1657+EXP('user input'!$C$15-'user input'!$C$14*C1657))))</f>
        <v>0.97247037839118655</v>
      </c>
      <c r="E1657">
        <f>IF(C1657&lt;'user input'!$C$12,(D1657-D1656)*'user input'!$C$17*(1-EXP(5*(F1656-'user input'!$C$17))),F1657-F1656)</f>
        <v>7.5343500469566369E-3</v>
      </c>
      <c r="F1657">
        <f>IF(C1657&lt;'user input'!$C$12,IF(B1657&gt;'user input'!$C$6,0,F1656+E1657),'user input'!$C$17*((1-C1657)/(1-'user input'!$C$12)))</f>
        <v>2.8218221468283016</v>
      </c>
    </row>
    <row r="1658" spans="1:6" x14ac:dyDescent="0.2">
      <c r="A1658" s="1">
        <v>41834</v>
      </c>
      <c r="B1658">
        <v>196</v>
      </c>
      <c r="C1658">
        <f>IF(B1658&gt;'user input'!$C$6,0,IF('heat units'!H1658&gt;1,1,'heat units'!H1658))</f>
        <v>0.5488425925925926</v>
      </c>
      <c r="D1658">
        <f>IF(B1658&gt;'user input'!$C$6,0,(C1658/(C1658+EXP('user input'!$C$15-'user input'!$C$14*C1658))))</f>
        <v>0.9756701913397875</v>
      </c>
      <c r="E1658">
        <f>IF(C1658&lt;'user input'!$C$12,(D1658-D1657)*'user input'!$C$17*(1-EXP(5*(F1657-'user input'!$C$17))),F1658-F1657)</f>
        <v>5.6608780459868205E-3</v>
      </c>
      <c r="F1658">
        <f>IF(C1658&lt;'user input'!$C$12,IF(B1658&gt;'user input'!$C$6,0,F1657+E1658),'user input'!$C$17*((1-C1658)/(1-'user input'!$C$12)))</f>
        <v>2.8274830248742884</v>
      </c>
    </row>
    <row r="1659" spans="1:6" x14ac:dyDescent="0.2">
      <c r="A1659" s="1">
        <v>41835</v>
      </c>
      <c r="B1659">
        <v>197</v>
      </c>
      <c r="C1659">
        <f>IF(B1659&gt;'user input'!$C$6,0,IF('heat units'!H1659&gt;1,1,'heat units'!H1659))</f>
        <v>0.55509259259259258</v>
      </c>
      <c r="D1659">
        <f>IF(B1659&gt;'user input'!$C$6,0,(C1659/(C1659+EXP('user input'!$C$15-'user input'!$C$14*C1659))))</f>
        <v>0.97782585428510138</v>
      </c>
      <c r="E1659">
        <f>IF(C1659&lt;'user input'!$C$12,(D1659-D1658)*'user input'!$C$17*(1-EXP(5*(F1658-'user input'!$C$17))),F1659-F1658)</f>
        <v>3.7374689697960693E-3</v>
      </c>
      <c r="F1659">
        <f>IF(C1659&lt;'user input'!$C$12,IF(B1659&gt;'user input'!$C$6,0,F1658+E1659),'user input'!$C$17*((1-C1659)/(1-'user input'!$C$12)))</f>
        <v>2.8312204938440844</v>
      </c>
    </row>
    <row r="1660" spans="1:6" x14ac:dyDescent="0.2">
      <c r="A1660" s="1">
        <v>41836</v>
      </c>
      <c r="B1660">
        <v>198</v>
      </c>
      <c r="C1660">
        <f>IF(B1660&gt;'user input'!$C$6,0,IF('heat units'!H1660&gt;1,1,'heat units'!H1660))</f>
        <v>0.56087962962962967</v>
      </c>
      <c r="D1660">
        <f>IF(B1660&gt;'user input'!$C$6,0,(C1660/(C1660+EXP('user input'!$C$15-'user input'!$C$14*C1660))))</f>
        <v>0.97965246346066781</v>
      </c>
      <c r="E1660">
        <f>IF(C1660&lt;'user input'!$C$12,(D1660-D1659)*'user input'!$C$17*(1-EXP(5*(F1659-'user input'!$C$17))),F1660-F1659)</f>
        <v>3.1233307572857286E-3</v>
      </c>
      <c r="F1660">
        <f>IF(C1660&lt;'user input'!$C$12,IF(B1660&gt;'user input'!$C$6,0,F1659+E1660),'user input'!$C$17*((1-C1660)/(1-'user input'!$C$12)))</f>
        <v>2.8343438246013699</v>
      </c>
    </row>
    <row r="1661" spans="1:6" x14ac:dyDescent="0.2">
      <c r="A1661" s="1">
        <v>41837</v>
      </c>
      <c r="B1661">
        <v>199</v>
      </c>
      <c r="C1661">
        <f>IF(B1661&gt;'user input'!$C$6,0,IF('heat units'!H1661&gt;1,1,'heat units'!H1661))</f>
        <v>0.56597222222222221</v>
      </c>
      <c r="D1661">
        <f>IF(B1661&gt;'user input'!$C$6,0,(C1661/(C1661+EXP('user input'!$C$15-'user input'!$C$14*C1661))))</f>
        <v>0.98113577012615383</v>
      </c>
      <c r="E1661">
        <f>IF(C1661&lt;'user input'!$C$12,(D1661-D1660)*'user input'!$C$17*(1-EXP(5*(F1660-'user input'!$C$17))),F1661-F1660)</f>
        <v>2.5061969293497248E-3</v>
      </c>
      <c r="F1661">
        <f>IF(C1661&lt;'user input'!$C$12,IF(B1661&gt;'user input'!$C$6,0,F1660+E1661),'user input'!$C$17*((1-C1661)/(1-'user input'!$C$12)))</f>
        <v>2.8368500215307195</v>
      </c>
    </row>
    <row r="1662" spans="1:6" x14ac:dyDescent="0.2">
      <c r="A1662" s="1">
        <v>41838</v>
      </c>
      <c r="B1662">
        <v>200</v>
      </c>
      <c r="C1662">
        <f>IF(B1662&gt;'user input'!$C$6,0,IF('heat units'!H1662&gt;1,1,'heat units'!H1662))</f>
        <v>0.57199074074074063</v>
      </c>
      <c r="D1662">
        <f>IF(B1662&gt;'user input'!$C$6,0,(C1662/(C1662+EXP('user input'!$C$15-'user input'!$C$14*C1662))))</f>
        <v>0.98275066184049109</v>
      </c>
      <c r="E1662">
        <f>IF(C1662&lt;'user input'!$C$12,(D1662-D1661)*'user input'!$C$17*(1-EXP(5*(F1661-'user input'!$C$17))),F1662-F1661)</f>
        <v>2.7018388955766643E-3</v>
      </c>
      <c r="F1662">
        <f>IF(C1662&lt;'user input'!$C$12,IF(B1662&gt;'user input'!$C$6,0,F1661+E1662),'user input'!$C$17*((1-C1662)/(1-'user input'!$C$12)))</f>
        <v>2.8395518604262961</v>
      </c>
    </row>
    <row r="1663" spans="1:6" x14ac:dyDescent="0.2">
      <c r="A1663" s="1">
        <v>41839</v>
      </c>
      <c r="B1663">
        <v>201</v>
      </c>
      <c r="C1663">
        <f>IF(B1663&gt;'user input'!$C$6,0,IF('heat units'!H1663&gt;1,1,'heat units'!H1663))</f>
        <v>0.57939814814814805</v>
      </c>
      <c r="D1663">
        <f>IF(B1663&gt;'user input'!$C$6,0,(C1663/(C1663+EXP('user input'!$C$15-'user input'!$C$14*C1663))))</f>
        <v>0.98455037266033785</v>
      </c>
      <c r="E1663">
        <f>IF(C1663&lt;'user input'!$C$12,(D1663-D1662)*'user input'!$C$17*(1-EXP(5*(F1662-'user input'!$C$17))),F1663-F1662)</f>
        <v>2.9785756817942671E-3</v>
      </c>
      <c r="F1663">
        <f>IF(C1663&lt;'user input'!$C$12,IF(B1663&gt;'user input'!$C$6,0,F1662+E1663),'user input'!$C$17*((1-C1663)/(1-'user input'!$C$12)))</f>
        <v>2.8425304361080905</v>
      </c>
    </row>
    <row r="1664" spans="1:6" x14ac:dyDescent="0.2">
      <c r="A1664" s="1">
        <v>41840</v>
      </c>
      <c r="B1664">
        <v>202</v>
      </c>
      <c r="C1664">
        <f>IF(B1664&gt;'user input'!$C$6,0,IF('heat units'!H1664&gt;1,1,'heat units'!H1664))</f>
        <v>0.58703703703703691</v>
      </c>
      <c r="D1664">
        <f>IF(B1664&gt;'user input'!$C$6,0,(C1664/(C1664+EXP('user input'!$C$15-'user input'!$C$14*C1664))))</f>
        <v>0.98621030594118952</v>
      </c>
      <c r="E1664">
        <f>IF(C1664&lt;'user input'!$C$12,(D1664-D1663)*'user input'!$C$17*(1-EXP(5*(F1663-'user input'!$C$17))),F1664-F1663)</f>
        <v>2.7137415695640296E-3</v>
      </c>
      <c r="F1664">
        <f>IF(C1664&lt;'user input'!$C$12,IF(B1664&gt;'user input'!$C$6,0,F1663+E1664),'user input'!$C$17*((1-C1664)/(1-'user input'!$C$12)))</f>
        <v>2.8452441776776545</v>
      </c>
    </row>
    <row r="1665" spans="1:6" x14ac:dyDescent="0.2">
      <c r="A1665" s="1">
        <v>41841</v>
      </c>
      <c r="B1665">
        <v>203</v>
      </c>
      <c r="C1665">
        <f>IF(B1665&gt;'user input'!$C$6,0,IF('heat units'!H1665&gt;1,1,'heat units'!H1665))</f>
        <v>0.5967592592592591</v>
      </c>
      <c r="D1665">
        <f>IF(B1665&gt;'user input'!$C$6,0,(C1665/(C1665+EXP('user input'!$C$15-'user input'!$C$14*C1665))))</f>
        <v>0.98806779468943651</v>
      </c>
      <c r="E1665">
        <f>IF(C1665&lt;'user input'!$C$12,(D1665-D1664)*'user input'!$C$17*(1-EXP(5*(F1664-'user input'!$C$17))),F1665-F1664)</f>
        <v>3.0020737288173243E-3</v>
      </c>
      <c r="F1665">
        <f>IF(C1665&lt;'user input'!$C$12,IF(B1665&gt;'user input'!$C$6,0,F1664+E1665),'user input'!$C$17*((1-C1665)/(1-'user input'!$C$12)))</f>
        <v>2.8482462514064717</v>
      </c>
    </row>
    <row r="1666" spans="1:6" x14ac:dyDescent="0.2">
      <c r="A1666" s="1">
        <v>41842</v>
      </c>
      <c r="B1666">
        <v>204</v>
      </c>
      <c r="C1666">
        <f>IF(B1666&gt;'user input'!$C$6,0,IF('heat units'!H1666&gt;1,1,'heat units'!H1666))</f>
        <v>0.60810185185185173</v>
      </c>
      <c r="D1666">
        <f>IF(B1666&gt;'user input'!$C$6,0,(C1666/(C1666+EXP('user input'!$C$15-'user input'!$C$14*C1666))))</f>
        <v>0.98992093400780412</v>
      </c>
      <c r="E1666">
        <f>IF(C1666&lt;'user input'!$C$12,(D1666-D1665)*'user input'!$C$17*(1-EXP(5*(F1665-'user input'!$C$17))),F1666-F1665)</f>
        <v>2.9562616416428191E-3</v>
      </c>
      <c r="F1666">
        <f>IF(C1666&lt;'user input'!$C$12,IF(B1666&gt;'user input'!$C$6,0,F1665+E1666),'user input'!$C$17*((1-C1666)/(1-'user input'!$C$12)))</f>
        <v>2.8512025130481145</v>
      </c>
    </row>
    <row r="1667" spans="1:6" x14ac:dyDescent="0.2">
      <c r="A1667" s="1">
        <v>41843</v>
      </c>
      <c r="B1667">
        <v>205</v>
      </c>
      <c r="C1667">
        <f>IF(B1667&gt;'user input'!$C$6,0,IF('heat units'!H1667&gt;1,1,'heat units'!H1667))</f>
        <v>0.61805555555555547</v>
      </c>
      <c r="D1667">
        <f>IF(B1667&gt;'user input'!$C$6,0,(C1667/(C1667+EXP('user input'!$C$15-'user input'!$C$14*C1667))))</f>
        <v>0.99130811161559584</v>
      </c>
      <c r="E1667">
        <f>IF(C1667&lt;'user input'!$C$12,(D1667-D1666)*'user input'!$C$17*(1-EXP(5*(F1666-'user input'!$C$17))),F1667-F1666)</f>
        <v>2.1839089921179872E-3</v>
      </c>
      <c r="F1667">
        <f>IF(C1667&lt;'user input'!$C$12,IF(B1667&gt;'user input'!$C$6,0,F1666+E1667),'user input'!$C$17*((1-C1667)/(1-'user input'!$C$12)))</f>
        <v>2.8533864220402325</v>
      </c>
    </row>
    <row r="1668" spans="1:6" x14ac:dyDescent="0.2">
      <c r="A1668" s="1">
        <v>41844</v>
      </c>
      <c r="B1668">
        <v>206</v>
      </c>
      <c r="C1668">
        <f>IF(B1668&gt;'user input'!$C$6,0,IF('heat units'!H1668&gt;1,1,'heat units'!H1668))</f>
        <v>0.62523148148148133</v>
      </c>
      <c r="D1668">
        <f>IF(B1668&gt;'user input'!$C$6,0,(C1668/(C1668+EXP('user input'!$C$15-'user input'!$C$14*C1668))))</f>
        <v>0.99218784601943366</v>
      </c>
      <c r="E1668">
        <f>IF(C1668&lt;'user input'!$C$12,(D1668-D1667)*'user input'!$C$17*(1-EXP(5*(F1667-'user input'!$C$17))),F1668-F1667)</f>
        <v>1.3712433913004854E-3</v>
      </c>
      <c r="F1668">
        <f>IF(C1668&lt;'user input'!$C$12,IF(B1668&gt;'user input'!$C$6,0,F1667+E1668),'user input'!$C$17*((1-C1668)/(1-'user input'!$C$12)))</f>
        <v>2.8547576654315332</v>
      </c>
    </row>
    <row r="1669" spans="1:6" x14ac:dyDescent="0.2">
      <c r="A1669" s="1">
        <v>41845</v>
      </c>
      <c r="B1669">
        <v>207</v>
      </c>
      <c r="C1669">
        <f>IF(B1669&gt;'user input'!$C$6,0,IF('heat units'!H1669&gt;1,1,'heat units'!H1669))</f>
        <v>0.63287037037037019</v>
      </c>
      <c r="D1669">
        <f>IF(B1669&gt;'user input'!$C$6,0,(C1669/(C1669+EXP('user input'!$C$15-'user input'!$C$14*C1669))))</f>
        <v>0.99302639754273303</v>
      </c>
      <c r="E1669">
        <f>IF(C1669&lt;'user input'!$C$12,(D1669-D1668)*'user input'!$C$17*(1-EXP(5*(F1668-'user input'!$C$17))),F1669-F1668)</f>
        <v>1.2987366547513343E-3</v>
      </c>
      <c r="F1669">
        <f>IF(C1669&lt;'user input'!$C$12,IF(B1669&gt;'user input'!$C$6,0,F1668+E1669),'user input'!$C$17*((1-C1669)/(1-'user input'!$C$12)))</f>
        <v>2.8560564020862844</v>
      </c>
    </row>
    <row r="1670" spans="1:6" x14ac:dyDescent="0.2">
      <c r="A1670" s="1">
        <v>41846</v>
      </c>
      <c r="B1670">
        <v>208</v>
      </c>
      <c r="C1670">
        <f>IF(B1670&gt;'user input'!$C$6,0,IF('heat units'!H1670&gt;1,1,'heat units'!H1670))</f>
        <v>0.64236111111111094</v>
      </c>
      <c r="D1670">
        <f>IF(B1670&gt;'user input'!$C$6,0,(C1670/(C1670+EXP('user input'!$C$15-'user input'!$C$14*C1670))))</f>
        <v>0.99394349877585497</v>
      </c>
      <c r="E1670">
        <f>IF(C1670&lt;'user input'!$C$12,(D1670-D1669)*'user input'!$C$17*(1-EXP(5*(F1669-'user input'!$C$17))),F1670-F1669)</f>
        <v>1.4117226943146884E-3</v>
      </c>
      <c r="F1670">
        <f>IF(C1670&lt;'user input'!$C$12,IF(B1670&gt;'user input'!$C$6,0,F1669+E1670),'user input'!$C$17*((1-C1670)/(1-'user input'!$C$12)))</f>
        <v>2.8574681247805991</v>
      </c>
    </row>
    <row r="1671" spans="1:6" x14ac:dyDescent="0.2">
      <c r="A1671" s="1">
        <v>41847</v>
      </c>
      <c r="B1671">
        <v>209</v>
      </c>
      <c r="C1671">
        <f>IF(B1671&gt;'user input'!$C$6,0,IF('heat units'!H1671&gt;1,1,'heat units'!H1671))</f>
        <v>0.65208333333333313</v>
      </c>
      <c r="D1671">
        <f>IF(B1671&gt;'user input'!$C$6,0,(C1671/(C1671+EXP('user input'!$C$15-'user input'!$C$14*C1671))))</f>
        <v>0.99475752907923565</v>
      </c>
      <c r="E1671">
        <f>IF(C1671&lt;'user input'!$C$12,(D1671-D1670)*'user input'!$C$17*(1-EXP(5*(F1670-'user input'!$C$17))),F1671-F1670)</f>
        <v>1.2446397954817866E-3</v>
      </c>
      <c r="F1671">
        <f>IF(C1671&lt;'user input'!$C$12,IF(B1671&gt;'user input'!$C$6,0,F1670+E1671),'user input'!$C$17*((1-C1671)/(1-'user input'!$C$12)))</f>
        <v>2.8587127645760808</v>
      </c>
    </row>
    <row r="1672" spans="1:6" x14ac:dyDescent="0.2">
      <c r="A1672" s="1">
        <v>41848</v>
      </c>
      <c r="B1672">
        <v>210</v>
      </c>
      <c r="C1672">
        <f>IF(B1672&gt;'user input'!$C$6,0,IF('heat units'!H1672&gt;1,1,'heat units'!H1672))</f>
        <v>0.65902777777777766</v>
      </c>
      <c r="D1672">
        <f>IF(B1672&gt;'user input'!$C$6,0,(C1672/(C1672+EXP('user input'!$C$15-'user input'!$C$14*C1672))))</f>
        <v>0.99527077675739473</v>
      </c>
      <c r="E1672">
        <f>IF(C1672&lt;'user input'!$C$12,(D1672-D1671)*'user input'!$C$17*(1-EXP(5*(F1671-'user input'!$C$17))),F1672-F1671)</f>
        <v>7.8003465864205537E-4</v>
      </c>
      <c r="F1672">
        <f>IF(C1672&lt;'user input'!$C$12,IF(B1672&gt;'user input'!$C$6,0,F1671+E1672),'user input'!$C$17*((1-C1672)/(1-'user input'!$C$12)))</f>
        <v>2.8594927992347228</v>
      </c>
    </row>
    <row r="1673" spans="1:6" x14ac:dyDescent="0.2">
      <c r="A1673" s="1">
        <v>41849</v>
      </c>
      <c r="B1673">
        <v>211</v>
      </c>
      <c r="C1673">
        <f>IF(B1673&gt;'user input'!$C$6,0,IF('heat units'!H1673&gt;1,1,'heat units'!H1673))</f>
        <v>0.66527777777777763</v>
      </c>
      <c r="D1673">
        <f>IF(B1673&gt;'user input'!$C$6,0,(C1673/(C1673+EXP('user input'!$C$15-'user input'!$C$14*C1673))))</f>
        <v>0.99568937258187851</v>
      </c>
      <c r="E1673">
        <f>IF(C1673&lt;'user input'!$C$12,(D1673-D1672)*'user input'!$C$17*(1-EXP(5*(F1672-'user input'!$C$17))),F1673-F1672)</f>
        <v>6.3376133203987633E-4</v>
      </c>
      <c r="F1673">
        <f>IF(C1673&lt;'user input'!$C$12,IF(B1673&gt;'user input'!$C$6,0,F1672+E1673),'user input'!$C$17*((1-C1673)/(1-'user input'!$C$12)))</f>
        <v>2.8601265605667625</v>
      </c>
    </row>
    <row r="1674" spans="1:6" x14ac:dyDescent="0.2">
      <c r="A1674" s="1">
        <v>41850</v>
      </c>
      <c r="B1674">
        <v>212</v>
      </c>
      <c r="C1674">
        <f>IF(B1674&gt;'user input'!$C$6,0,IF('heat units'!H1674&gt;1,1,'heat units'!H1674))</f>
        <v>0.67268518518518505</v>
      </c>
      <c r="D1674">
        <f>IF(B1674&gt;'user input'!$C$6,0,(C1674/(C1674+EXP('user input'!$C$15-'user input'!$C$14*C1674))))</f>
        <v>0.99613752085049978</v>
      </c>
      <c r="E1674">
        <f>IF(C1674&lt;'user input'!$C$12,(D1674-D1673)*'user input'!$C$17*(1-EXP(5*(F1673-'user input'!$C$17))),F1674-F1673)</f>
        <v>6.7639066068634387E-4</v>
      </c>
      <c r="F1674">
        <f>IF(C1674&lt;'user input'!$C$12,IF(B1674&gt;'user input'!$C$6,0,F1673+E1674),'user input'!$C$17*((1-C1674)/(1-'user input'!$C$12)))</f>
        <v>2.8608029512274489</v>
      </c>
    </row>
    <row r="1675" spans="1:6" x14ac:dyDescent="0.2">
      <c r="A1675" s="1">
        <v>41851</v>
      </c>
      <c r="B1675">
        <v>213</v>
      </c>
      <c r="C1675">
        <f>IF(B1675&gt;'user input'!$C$6,0,IF('heat units'!H1675&gt;1,1,'heat units'!H1675))</f>
        <v>0.67986111111111092</v>
      </c>
      <c r="D1675">
        <f>IF(B1675&gt;'user input'!$C$6,0,(C1675/(C1675+EXP('user input'!$C$15-'user input'!$C$14*C1675))))</f>
        <v>0.9965269399642257</v>
      </c>
      <c r="E1675">
        <f>IF(C1675&lt;'user input'!$C$12,(D1675-D1674)*'user input'!$C$17*(1-EXP(5*(F1674-'user input'!$C$17))),F1675-F1674)</f>
        <v>5.8578411449453581E-4</v>
      </c>
      <c r="F1675">
        <f>IF(C1675&lt;'user input'!$C$12,IF(B1675&gt;'user input'!$C$6,0,F1674+E1675),'user input'!$C$17*((1-C1675)/(1-'user input'!$C$12)))</f>
        <v>2.8613887353419436</v>
      </c>
    </row>
    <row r="1676" spans="1:6" x14ac:dyDescent="0.2">
      <c r="A1676" s="1">
        <v>41852</v>
      </c>
      <c r="B1676">
        <v>214</v>
      </c>
      <c r="C1676">
        <f>IF(B1676&gt;'user input'!$C$6,0,IF('heat units'!H1676&gt;1,1,'heat units'!H1676))</f>
        <v>0.68796296296296278</v>
      </c>
      <c r="D1676">
        <f>IF(B1676&gt;'user input'!$C$6,0,(C1676/(C1676+EXP('user input'!$C$15-'user input'!$C$14*C1676))))</f>
        <v>0.99691936291942751</v>
      </c>
      <c r="E1676">
        <f>IF(C1676&lt;'user input'!$C$12,(D1676-D1675)*'user input'!$C$17*(1-EXP(5*(F1675-'user input'!$C$17))),F1676-F1675)</f>
        <v>5.8858094865564558E-4</v>
      </c>
      <c r="F1676">
        <f>IF(C1676&lt;'user input'!$C$12,IF(B1676&gt;'user input'!$C$6,0,F1675+E1676),'user input'!$C$17*((1-C1676)/(1-'user input'!$C$12)))</f>
        <v>2.861977316290599</v>
      </c>
    </row>
    <row r="1677" spans="1:6" x14ac:dyDescent="0.2">
      <c r="A1677" s="1">
        <v>41853</v>
      </c>
      <c r="B1677">
        <v>215</v>
      </c>
      <c r="C1677">
        <f>IF(B1677&gt;'user input'!$C$6,0,IF('heat units'!H1677&gt;1,1,'heat units'!H1677))</f>
        <v>0.69629629629629608</v>
      </c>
      <c r="D1677">
        <f>IF(B1677&gt;'user input'!$C$6,0,(C1677/(C1677+EXP('user input'!$C$15-'user input'!$C$14*C1677))))</f>
        <v>0.99727652406821032</v>
      </c>
      <c r="E1677">
        <f>IF(C1677&lt;'user input'!$C$12,(D1677-D1676)*'user input'!$C$17*(1-EXP(5*(F1676-'user input'!$C$17))),F1677-F1676)</f>
        <v>5.3411394238441379E-4</v>
      </c>
      <c r="F1677">
        <f>IF(C1677&lt;'user input'!$C$12,IF(B1677&gt;'user input'!$C$6,0,F1676+E1677),'user input'!$C$17*((1-C1677)/(1-'user input'!$C$12)))</f>
        <v>2.8625114302329835</v>
      </c>
    </row>
    <row r="1678" spans="1:6" x14ac:dyDescent="0.2">
      <c r="A1678" s="1">
        <v>41854</v>
      </c>
      <c r="B1678">
        <v>216</v>
      </c>
      <c r="C1678">
        <f>IF(B1678&gt;'user input'!$C$6,0,IF('heat units'!H1678&gt;1,1,'heat units'!H1678))</f>
        <v>0.70624999999999982</v>
      </c>
      <c r="D1678">
        <f>IF(B1678&gt;'user input'!$C$6,0,(C1678/(C1678+EXP('user input'!$C$15-'user input'!$C$14*C1678))))</f>
        <v>0.99764896974733497</v>
      </c>
      <c r="E1678">
        <f>IF(C1678&lt;'user input'!$C$12,(D1678-D1677)*'user input'!$C$17*(1-EXP(5*(F1677-'user input'!$C$17))),F1678-F1677)</f>
        <v>5.5547258145521969E-4</v>
      </c>
      <c r="F1678">
        <f>IF(C1678&lt;'user input'!$C$12,IF(B1678&gt;'user input'!$C$6,0,F1677+E1678),'user input'!$C$17*((1-C1678)/(1-'user input'!$C$12)))</f>
        <v>2.8630669028144387</v>
      </c>
    </row>
    <row r="1679" spans="1:6" x14ac:dyDescent="0.2">
      <c r="A1679" s="1">
        <v>41855</v>
      </c>
      <c r="B1679">
        <v>217</v>
      </c>
      <c r="C1679">
        <f>IF(B1679&gt;'user input'!$C$6,0,IF('heat units'!H1679&gt;1,1,'heat units'!H1679))</f>
        <v>0.71666666666666645</v>
      </c>
      <c r="D1679">
        <f>IF(B1679&gt;'user input'!$C$6,0,(C1679/(C1679+EXP('user input'!$C$15-'user input'!$C$14*C1679))))</f>
        <v>0.99798399839113505</v>
      </c>
      <c r="E1679">
        <f>IF(C1679&lt;'user input'!$C$12,(D1679-D1678)*'user input'!$C$17*(1-EXP(5*(F1678-'user input'!$C$17))),F1679-F1678)</f>
        <v>4.9826242225587281E-4</v>
      </c>
      <c r="F1679">
        <f>IF(C1679&lt;'user input'!$C$12,IF(B1679&gt;'user input'!$C$6,0,F1678+E1679),'user input'!$C$17*((1-C1679)/(1-'user input'!$C$12)))</f>
        <v>2.8635651652366945</v>
      </c>
    </row>
    <row r="1680" spans="1:6" x14ac:dyDescent="0.2">
      <c r="A1680" s="1">
        <v>41856</v>
      </c>
      <c r="B1680">
        <v>218</v>
      </c>
      <c r="C1680">
        <f>IF(B1680&gt;'user input'!$C$6,0,IF('heat units'!H1680&gt;1,1,'heat units'!H1680))</f>
        <v>0.72662037037037019</v>
      </c>
      <c r="D1680">
        <f>IF(B1680&gt;'user input'!$C$6,0,(C1680/(C1680+EXP('user input'!$C$15-'user input'!$C$14*C1680))))</f>
        <v>0.99825916692741989</v>
      </c>
      <c r="E1680">
        <f>IF(C1680&lt;'user input'!$C$12,(D1680-D1679)*'user input'!$C$17*(1-EXP(5*(F1679-'user input'!$C$17))),F1680-F1679)</f>
        <v>4.0819872484304114E-4</v>
      </c>
      <c r="F1680">
        <f>IF(C1680&lt;'user input'!$C$12,IF(B1680&gt;'user input'!$C$6,0,F1679+E1680),'user input'!$C$17*((1-C1680)/(1-'user input'!$C$12)))</f>
        <v>2.8639733639615375</v>
      </c>
    </row>
    <row r="1681" spans="1:6" x14ac:dyDescent="0.2">
      <c r="A1681" s="1">
        <v>41857</v>
      </c>
      <c r="B1681">
        <v>219</v>
      </c>
      <c r="C1681">
        <f>IF(B1681&gt;'user input'!$C$6,0,IF('heat units'!H1681&gt;1,1,'heat units'!H1681))</f>
        <v>0.73518518518518505</v>
      </c>
      <c r="D1681">
        <f>IF(B1681&gt;'user input'!$C$6,0,(C1681/(C1681+EXP('user input'!$C$15-'user input'!$C$14*C1681))))</f>
        <v>0.99846549426383757</v>
      </c>
      <c r="E1681">
        <f>IF(C1681&lt;'user input'!$C$12,(D1681-D1680)*'user input'!$C$17*(1-EXP(5*(F1680-'user input'!$C$17))),F1681-F1680)</f>
        <v>3.0543696616678072E-4</v>
      </c>
      <c r="F1681">
        <f>IF(C1681&lt;'user input'!$C$12,IF(B1681&gt;'user input'!$C$6,0,F1680+E1681),'user input'!$C$17*((1-C1681)/(1-'user input'!$C$12)))</f>
        <v>2.8642788009277043</v>
      </c>
    </row>
    <row r="1682" spans="1:6" x14ac:dyDescent="0.2">
      <c r="A1682" s="1">
        <v>41858</v>
      </c>
      <c r="B1682">
        <v>220</v>
      </c>
      <c r="C1682">
        <f>IF(B1682&gt;'user input'!$C$6,0,IF('heat units'!H1682&gt;1,1,'heat units'!H1682))</f>
        <v>0.74328703703703691</v>
      </c>
      <c r="D1682">
        <f>IF(B1682&gt;'user input'!$C$6,0,(C1682/(C1682+EXP('user input'!$C$15-'user input'!$C$14*C1682))))</f>
        <v>0.99863797261848652</v>
      </c>
      <c r="E1682">
        <f>IF(C1682&lt;'user input'!$C$12,(D1682-D1681)*'user input'!$C$17*(1-EXP(5*(F1681-'user input'!$C$17))),F1682-F1681)</f>
        <v>2.5492798696246586E-4</v>
      </c>
      <c r="F1682">
        <f>IF(C1682&lt;'user input'!$C$12,IF(B1682&gt;'user input'!$C$6,0,F1681+E1682),'user input'!$C$17*((1-C1682)/(1-'user input'!$C$12)))</f>
        <v>2.8645337289146666</v>
      </c>
    </row>
    <row r="1683" spans="1:6" x14ac:dyDescent="0.2">
      <c r="A1683" s="1">
        <v>41859</v>
      </c>
      <c r="B1683">
        <v>221</v>
      </c>
      <c r="C1683">
        <f>IF(B1683&gt;'user input'!$C$6,0,IF('heat units'!H1683&gt;1,1,'heat units'!H1683))</f>
        <v>0.7520833333333331</v>
      </c>
      <c r="D1683">
        <f>IF(B1683&gt;'user input'!$C$6,0,(C1683/(C1683+EXP('user input'!$C$15-'user input'!$C$14*C1683))))</f>
        <v>0.99880322240653119</v>
      </c>
      <c r="E1683">
        <f>IF(C1683&lt;'user input'!$C$12,(D1683-D1682)*'user input'!$C$17*(1-EXP(5*(F1682-'user input'!$C$17))),F1683-F1682)</f>
        <v>2.4392317362615713E-4</v>
      </c>
      <c r="F1683">
        <f>IF(C1683&lt;'user input'!$C$12,IF(B1683&gt;'user input'!$C$6,0,F1682+E1683),'user input'!$C$17*((1-C1683)/(1-'user input'!$C$12)))</f>
        <v>2.8647776520882928</v>
      </c>
    </row>
    <row r="1684" spans="1:6" x14ac:dyDescent="0.2">
      <c r="A1684" s="1">
        <v>41860</v>
      </c>
      <c r="B1684">
        <v>222</v>
      </c>
      <c r="C1684">
        <f>IF(B1684&gt;'user input'!$C$6,0,IF('heat units'!H1684&gt;1,1,'heat units'!H1684))</f>
        <v>0.76087962962962941</v>
      </c>
      <c r="D1684">
        <f>IF(B1684&gt;'user input'!$C$6,0,(C1684/(C1684+EXP('user input'!$C$15-'user input'!$C$14*C1684))))</f>
        <v>0.99894830044012617</v>
      </c>
      <c r="E1684">
        <f>IF(C1684&lt;'user input'!$C$12,(D1684-D1683)*'user input'!$C$17*(1-EXP(5*(F1683-'user input'!$C$17))),F1684-F1683)</f>
        <v>2.1387809098038577E-4</v>
      </c>
      <c r="F1684">
        <f>IF(C1684&lt;'user input'!$C$12,IF(B1684&gt;'user input'!$C$6,0,F1683+E1684),'user input'!$C$17*((1-C1684)/(1-'user input'!$C$12)))</f>
        <v>2.8649915301792732</v>
      </c>
    </row>
    <row r="1685" spans="1:6" x14ac:dyDescent="0.2">
      <c r="A1685" s="1">
        <v>41861</v>
      </c>
      <c r="B1685">
        <v>223</v>
      </c>
      <c r="C1685">
        <f>IF(B1685&gt;'user input'!$C$6,0,IF('heat units'!H1685&gt;1,1,'heat units'!H1685))</f>
        <v>0.77060185185185159</v>
      </c>
      <c r="D1685">
        <f>IF(B1685&gt;'user input'!$C$6,0,(C1685/(C1685+EXP('user input'!$C$15-'user input'!$C$14*C1685))))</f>
        <v>0.99908815516638982</v>
      </c>
      <c r="E1685">
        <f>IF(C1685&lt;'user input'!$C$12,(D1685-D1684)*'user input'!$C$17*(1-EXP(5*(F1684-'user input'!$C$17))),F1685-F1684)</f>
        <v>2.0594942988730674E-4</v>
      </c>
      <c r="F1685">
        <f>IF(C1685&lt;'user input'!$C$12,IF(B1685&gt;'user input'!$C$6,0,F1684+E1685),'user input'!$C$17*((1-C1685)/(1-'user input'!$C$12)))</f>
        <v>2.8651974796091606</v>
      </c>
    </row>
    <row r="1686" spans="1:6" x14ac:dyDescent="0.2">
      <c r="A1686" s="1">
        <v>41862</v>
      </c>
      <c r="B1686">
        <v>224</v>
      </c>
      <c r="C1686">
        <f>IF(B1686&gt;'user input'!$C$6,0,IF('heat units'!H1686&gt;1,1,'heat units'!H1686))</f>
        <v>0.78009259259259234</v>
      </c>
      <c r="D1686">
        <f>IF(B1686&gt;'user input'!$C$6,0,(C1686/(C1686+EXP('user input'!$C$15-'user input'!$C$14*C1686))))</f>
        <v>0.99920661401840749</v>
      </c>
      <c r="E1686">
        <f>IF(C1686&lt;'user input'!$C$12,(D1686-D1685)*'user input'!$C$17*(1-EXP(5*(F1685-'user input'!$C$17))),F1686-F1685)</f>
        <v>1.7425555054167386E-4</v>
      </c>
      <c r="F1686">
        <f>IF(C1686&lt;'user input'!$C$12,IF(B1686&gt;'user input'!$C$6,0,F1685+E1686),'user input'!$C$17*((1-C1686)/(1-'user input'!$C$12)))</f>
        <v>2.8653717351597021</v>
      </c>
    </row>
    <row r="1687" spans="1:6" x14ac:dyDescent="0.2">
      <c r="A1687" s="1">
        <v>41863</v>
      </c>
      <c r="B1687">
        <v>225</v>
      </c>
      <c r="C1687">
        <f>IF(B1687&gt;'user input'!$C$6,0,IF('heat units'!H1687&gt;1,1,'heat units'!H1687))</f>
        <v>0.78958333333333319</v>
      </c>
      <c r="D1687">
        <f>IF(B1687&gt;'user input'!$C$6,0,(C1687/(C1687+EXP('user input'!$C$15-'user input'!$C$14*C1687))))</f>
        <v>0.99930959225162364</v>
      </c>
      <c r="E1687">
        <f>IF(C1687&lt;'user input'!$C$12,(D1687-D1686)*'user input'!$C$17*(1-EXP(5*(F1686-'user input'!$C$17))),F1687-F1686)</f>
        <v>1.5134597947405421E-4</v>
      </c>
      <c r="F1687">
        <f>IF(C1687&lt;'user input'!$C$12,IF(B1687&gt;'user input'!$C$6,0,F1686+E1687),'user input'!$C$17*((1-C1687)/(1-'user input'!$C$12)))</f>
        <v>2.8655230811391763</v>
      </c>
    </row>
    <row r="1688" spans="1:6" x14ac:dyDescent="0.2">
      <c r="A1688" s="1">
        <v>41864</v>
      </c>
      <c r="B1688">
        <v>226</v>
      </c>
      <c r="C1688">
        <f>IF(B1688&gt;'user input'!$C$6,0,IF('heat units'!H1688&gt;1,1,'heat units'!H1688))</f>
        <v>0.79629629629629606</v>
      </c>
      <c r="D1688">
        <f>IF(B1688&gt;'user input'!$C$6,0,(C1688/(C1688+EXP('user input'!$C$15-'user input'!$C$14*C1688))))</f>
        <v>0.99937420360938023</v>
      </c>
      <c r="E1688">
        <f>IF(C1688&lt;'user input'!$C$12,(D1688-D1687)*'user input'!$C$17*(1-EXP(5*(F1687-'user input'!$C$17))),F1688-F1687)</f>
        <v>9.488375323373868E-5</v>
      </c>
      <c r="F1688">
        <f>IF(C1688&lt;'user input'!$C$12,IF(B1688&gt;'user input'!$C$6,0,F1687+E1688),'user input'!$C$17*((1-C1688)/(1-'user input'!$C$12)))</f>
        <v>2.8656179648924098</v>
      </c>
    </row>
    <row r="1689" spans="1:6" x14ac:dyDescent="0.2">
      <c r="A1689" s="1">
        <v>41865</v>
      </c>
      <c r="B1689">
        <v>227</v>
      </c>
      <c r="C1689">
        <f>IF(B1689&gt;'user input'!$C$6,0,IF('heat units'!H1689&gt;1,1,'heat units'!H1689))</f>
        <v>0.80439814814814792</v>
      </c>
      <c r="D1689">
        <f>IF(B1689&gt;'user input'!$C$6,0,(C1689/(C1689+EXP('user input'!$C$15-'user input'!$C$14*C1689))))</f>
        <v>0.99944413517160269</v>
      </c>
      <c r="E1689">
        <f>IF(C1689&lt;'user input'!$C$12,(D1689-D1688)*'user input'!$C$17*(1-EXP(5*(F1688-'user input'!$C$17))),F1689-F1688)</f>
        <v>1.0264581468517189E-4</v>
      </c>
      <c r="F1689">
        <f>IF(C1689&lt;'user input'!$C$12,IF(B1689&gt;'user input'!$C$6,0,F1688+E1689),'user input'!$C$17*((1-C1689)/(1-'user input'!$C$12)))</f>
        <v>2.8657206107070952</v>
      </c>
    </row>
    <row r="1690" spans="1:6" x14ac:dyDescent="0.2">
      <c r="A1690" s="1">
        <v>41866</v>
      </c>
      <c r="B1690">
        <v>228</v>
      </c>
      <c r="C1690">
        <f>IF(B1690&gt;'user input'!$C$6,0,IF('heat units'!H1690&gt;1,1,'heat units'!H1690))</f>
        <v>0.81157407407407378</v>
      </c>
      <c r="D1690">
        <f>IF(B1690&gt;'user input'!$C$6,0,(C1690/(C1690+EXP('user input'!$C$15-'user input'!$C$14*C1690))))</f>
        <v>0.99949948064569161</v>
      </c>
      <c r="E1690">
        <f>IF(C1690&lt;'user input'!$C$12,(D1690-D1689)*'user input'!$C$17*(1-EXP(5*(F1689-'user input'!$C$17))),F1690-F1689)</f>
        <v>8.119276563707405E-5</v>
      </c>
      <c r="F1690">
        <f>IF(C1690&lt;'user input'!$C$12,IF(B1690&gt;'user input'!$C$6,0,F1689+E1690),'user input'!$C$17*((1-C1690)/(1-'user input'!$C$12)))</f>
        <v>2.8658018034727322</v>
      </c>
    </row>
    <row r="1691" spans="1:6" x14ac:dyDescent="0.2">
      <c r="A1691" s="1">
        <v>41867</v>
      </c>
      <c r="B1691">
        <v>229</v>
      </c>
      <c r="C1691">
        <f>IF(B1691&gt;'user input'!$C$6,0,IF('heat units'!H1691&gt;1,1,'heat units'!H1691))</f>
        <v>0.81874999999999976</v>
      </c>
      <c r="D1691">
        <f>IF(B1691&gt;'user input'!$C$6,0,(C1691/(C1691+EXP('user input'!$C$15-'user input'!$C$14*C1691))))</f>
        <v>0.99954928283213496</v>
      </c>
      <c r="E1691">
        <f>IF(C1691&lt;'user input'!$C$12,(D1691-D1690)*'user input'!$C$17*(1-EXP(5*(F1690-'user input'!$C$17))),F1691-F1690)</f>
        <v>7.3029667032595914E-5</v>
      </c>
      <c r="F1691">
        <f>IF(C1691&lt;'user input'!$C$12,IF(B1691&gt;'user input'!$C$6,0,F1690+E1691),'user input'!$C$17*((1-C1691)/(1-'user input'!$C$12)))</f>
        <v>2.8658748331397645</v>
      </c>
    </row>
    <row r="1692" spans="1:6" x14ac:dyDescent="0.2">
      <c r="A1692" s="1">
        <v>41868</v>
      </c>
      <c r="B1692">
        <v>230</v>
      </c>
      <c r="C1692">
        <f>IF(B1692&gt;'user input'!$C$6,0,IF('heat units'!H1692&gt;1,1,'heat units'!H1692))</f>
        <v>0.82962962962962938</v>
      </c>
      <c r="D1692">
        <f>IF(B1692&gt;'user input'!$C$6,0,(C1692/(C1692+EXP('user input'!$C$15-'user input'!$C$14*C1692))))</f>
        <v>0.99961544879088138</v>
      </c>
      <c r="E1692">
        <f>IF(C1692&lt;'user input'!$C$12,(D1692-D1691)*'user input'!$C$17*(1-EXP(5*(F1691-'user input'!$C$17))),F1692-F1691)</f>
        <v>9.6988358316626411E-5</v>
      </c>
      <c r="F1692">
        <f>IF(C1692&lt;'user input'!$C$12,IF(B1692&gt;'user input'!$C$6,0,F1691+E1692),'user input'!$C$17*((1-C1692)/(1-'user input'!$C$12)))</f>
        <v>2.8659718214980812</v>
      </c>
    </row>
    <row r="1693" spans="1:6" x14ac:dyDescent="0.2">
      <c r="A1693" s="1">
        <v>41869</v>
      </c>
      <c r="B1693">
        <v>231</v>
      </c>
      <c r="C1693">
        <f>IF(B1693&gt;'user input'!$C$6,0,IF('heat units'!H1693&gt;1,1,'heat units'!H1693))</f>
        <v>0.83958333333333302</v>
      </c>
      <c r="D1693">
        <f>IF(B1693&gt;'user input'!$C$6,0,(C1693/(C1693+EXP('user input'!$C$15-'user input'!$C$14*C1693))))</f>
        <v>0.99966739093451507</v>
      </c>
      <c r="E1693">
        <f>IF(C1693&lt;'user input'!$C$12,(D1693-D1692)*'user input'!$C$17*(1-EXP(5*(F1692-'user input'!$C$17))),F1693-F1692)</f>
        <v>7.6099943219407965E-5</v>
      </c>
      <c r="F1693">
        <f>IF(C1693&lt;'user input'!$C$12,IF(B1693&gt;'user input'!$C$6,0,F1692+E1693),'user input'!$C$17*((1-C1693)/(1-'user input'!$C$12)))</f>
        <v>2.8660479214413006</v>
      </c>
    </row>
    <row r="1694" spans="1:6" x14ac:dyDescent="0.2">
      <c r="A1694" s="1">
        <v>41870</v>
      </c>
      <c r="B1694">
        <v>232</v>
      </c>
      <c r="C1694">
        <f>IF(B1694&gt;'user input'!$C$6,0,IF('heat units'!H1694&gt;1,1,'heat units'!H1694))</f>
        <v>0.85046296296296264</v>
      </c>
      <c r="D1694">
        <f>IF(B1694&gt;'user input'!$C$6,0,(C1694/(C1694+EXP('user input'!$C$15-'user input'!$C$14*C1694))))</f>
        <v>0.99971613102220158</v>
      </c>
      <c r="E1694">
        <f>IF(C1694&lt;'user input'!$C$12,(D1694-D1693)*'user input'!$C$17*(1-EXP(5*(F1693-'user input'!$C$17))),F1694-F1693)</f>
        <v>7.1380170128344962E-5</v>
      </c>
      <c r="F1694">
        <f>IF(C1694&lt;'user input'!$C$12,IF(B1694&gt;'user input'!$C$6,0,F1693+E1694),'user input'!$C$17*((1-C1694)/(1-'user input'!$C$12)))</f>
        <v>2.866119301611429</v>
      </c>
    </row>
    <row r="1695" spans="1:6" x14ac:dyDescent="0.2">
      <c r="A1695" s="1">
        <v>41871</v>
      </c>
      <c r="B1695">
        <v>233</v>
      </c>
      <c r="C1695">
        <f>IF(B1695&gt;'user input'!$C$6,0,IF('heat units'!H1695&gt;1,1,'heat units'!H1695))</f>
        <v>0.86018518518518494</v>
      </c>
      <c r="D1695">
        <f>IF(B1695&gt;'user input'!$C$6,0,(C1695/(C1695+EXP('user input'!$C$15-'user input'!$C$14*C1695))))</f>
        <v>0.99975357759571748</v>
      </c>
      <c r="E1695">
        <f>IF(C1695&lt;'user input'!$C$12,(D1695-D1694)*'user input'!$C$17*(1-EXP(5*(F1694-'user input'!$C$17))),F1695-F1694)</f>
        <v>5.4820221303867159E-5</v>
      </c>
      <c r="F1695">
        <f>IF(C1695&lt;'user input'!$C$12,IF(B1695&gt;'user input'!$C$6,0,F1694+E1695),'user input'!$C$17*((1-C1695)/(1-'user input'!$C$12)))</f>
        <v>2.8661741218327328</v>
      </c>
    </row>
    <row r="1696" spans="1:6" x14ac:dyDescent="0.2">
      <c r="A1696" s="1">
        <v>41872</v>
      </c>
      <c r="B1696">
        <v>234</v>
      </c>
      <c r="C1696">
        <f>IF(B1696&gt;'user input'!$C$6,0,IF('heat units'!H1696&gt;1,1,'heat units'!H1696))</f>
        <v>0.87106481481481468</v>
      </c>
      <c r="D1696">
        <f>IF(B1696&gt;'user input'!$C$6,0,(C1696/(C1696+EXP('user input'!$C$15-'user input'!$C$14*C1696))))</f>
        <v>0.99978962621971212</v>
      </c>
      <c r="E1696">
        <f>IF(C1696&lt;'user input'!$C$12,(D1696-D1695)*'user input'!$C$17*(1-EXP(5*(F1695-'user input'!$C$17))),F1696-F1695)</f>
        <v>5.2758501870201137E-5</v>
      </c>
      <c r="F1696">
        <f>IF(C1696&lt;'user input'!$C$12,IF(B1696&gt;'user input'!$C$6,0,F1695+E1696),'user input'!$C$17*((1-C1696)/(1-'user input'!$C$12)))</f>
        <v>2.8662268803346032</v>
      </c>
    </row>
    <row r="1697" spans="1:6" x14ac:dyDescent="0.2">
      <c r="A1697" s="1">
        <v>41873</v>
      </c>
      <c r="B1697">
        <v>235</v>
      </c>
      <c r="C1697">
        <f>IF(B1697&gt;'user input'!$C$6,0,IF('heat units'!H1697&gt;1,1,'heat units'!H1697))</f>
        <v>0.88217592592592575</v>
      </c>
      <c r="D1697">
        <f>IF(B1697&gt;'user input'!$C$6,0,(C1697/(C1697+EXP('user input'!$C$15-'user input'!$C$14*C1697))))</f>
        <v>0.99982097688108784</v>
      </c>
      <c r="E1697">
        <f>IF(C1697&lt;'user input'!$C$12,(D1697-D1696)*'user input'!$C$17*(1-EXP(5*(F1696-'user input'!$C$17))),F1697-F1696)</f>
        <v>4.5870150528892078E-5</v>
      </c>
      <c r="F1697">
        <f>IF(C1697&lt;'user input'!$C$12,IF(B1697&gt;'user input'!$C$6,0,F1696+E1697),'user input'!$C$17*((1-C1697)/(1-'user input'!$C$12)))</f>
        <v>2.8662727504851322</v>
      </c>
    </row>
    <row r="1698" spans="1:6" x14ac:dyDescent="0.2">
      <c r="A1698" s="1">
        <v>41874</v>
      </c>
      <c r="B1698">
        <v>236</v>
      </c>
      <c r="C1698">
        <f>IF(B1698&gt;'user input'!$C$6,0,IF('heat units'!H1698&gt;1,1,'heat units'!H1698))</f>
        <v>0.89537037037037015</v>
      </c>
      <c r="D1698">
        <f>IF(B1698&gt;'user input'!$C$6,0,(C1698/(C1698+EXP('user input'!$C$15-'user input'!$C$14*C1698))))</f>
        <v>0.9998521664905361</v>
      </c>
      <c r="E1698">
        <f>IF(C1698&lt;'user input'!$C$12,(D1698-D1697)*'user input'!$C$17*(1-EXP(5*(F1697-'user input'!$C$17))),F1698-F1697)</f>
        <v>4.5623515294925477E-5</v>
      </c>
      <c r="F1698">
        <f>IF(C1698&lt;'user input'!$C$12,IF(B1698&gt;'user input'!$C$6,0,F1697+E1698),'user input'!$C$17*((1-C1698)/(1-'user input'!$C$12)))</f>
        <v>2.8663183740004272</v>
      </c>
    </row>
    <row r="1699" spans="1:6" x14ac:dyDescent="0.2">
      <c r="A1699" s="1">
        <v>41875</v>
      </c>
      <c r="B1699">
        <v>237</v>
      </c>
      <c r="C1699">
        <f>IF(B1699&gt;'user input'!$C$6,0,IF('heat units'!H1699&gt;1,1,'heat units'!H1699))</f>
        <v>0.90671296296296267</v>
      </c>
      <c r="D1699">
        <f>IF(B1699&gt;'user input'!$C$6,0,(C1699/(C1699+EXP('user input'!$C$15-'user input'!$C$14*C1699))))</f>
        <v>0.99987457662546775</v>
      </c>
      <c r="E1699">
        <f>IF(C1699&lt;'user input'!$C$12,(D1699-D1698)*'user input'!$C$17*(1-EXP(5*(F1698-'user input'!$C$17))),F1699-F1698)</f>
        <v>-6.770726288930673E-2</v>
      </c>
      <c r="F1699">
        <f>IF(C1699&lt;'user input'!$C$12,IF(B1699&gt;'user input'!$C$6,0,F1698+E1699),'user input'!$C$17*((1-C1699)/(1-'user input'!$C$12)))</f>
        <v>2.7986111111111205</v>
      </c>
    </row>
    <row r="1700" spans="1:6" x14ac:dyDescent="0.2">
      <c r="A1700" s="1">
        <v>41876</v>
      </c>
      <c r="B1700">
        <v>238</v>
      </c>
      <c r="C1700">
        <f>IF(B1700&gt;'user input'!$C$6,0,IF('heat units'!H1700&gt;1,1,'heat units'!H1700))</f>
        <v>0.92013888888888862</v>
      </c>
      <c r="D1700">
        <f>IF(B1700&gt;'user input'!$C$6,0,(C1700/(C1700+EXP('user input'!$C$15-'user input'!$C$14*C1700))))</f>
        <v>0.99989673417311942</v>
      </c>
      <c r="E1700">
        <f>IF(C1700&lt;'user input'!$C$12,(D1700-D1699)*'user input'!$C$17*(1-EXP(5*(F1699-'user input'!$C$17))),F1700-F1699)</f>
        <v>-0.40277777777777857</v>
      </c>
      <c r="F1700">
        <f>IF(C1700&lt;'user input'!$C$12,IF(B1700&gt;'user input'!$C$6,0,F1699+E1700),'user input'!$C$17*((1-C1700)/(1-'user input'!$C$12)))</f>
        <v>2.3958333333333419</v>
      </c>
    </row>
    <row r="1701" spans="1:6" x14ac:dyDescent="0.2">
      <c r="A1701" s="1">
        <v>41877</v>
      </c>
      <c r="B1701">
        <v>239</v>
      </c>
      <c r="C1701">
        <f>IF(B1701&gt;'user input'!$C$6,0,IF('heat units'!H1701&gt;1,1,'heat units'!H1701))</f>
        <v>0.93124999999999958</v>
      </c>
      <c r="D1701">
        <f>IF(B1701&gt;'user input'!$C$6,0,(C1701/(C1701+EXP('user input'!$C$15-'user input'!$C$14*C1701))))</f>
        <v>0.99991206555907763</v>
      </c>
      <c r="E1701">
        <f>IF(C1701&lt;'user input'!$C$12,(D1701-D1700)*'user input'!$C$17*(1-EXP(5*(F1700-'user input'!$C$17))),F1701-F1700)</f>
        <v>-0.33333333333332904</v>
      </c>
      <c r="F1701">
        <f>IF(C1701&lt;'user input'!$C$12,IF(B1701&gt;'user input'!$C$6,0,F1700+E1701),'user input'!$C$17*((1-C1701)/(1-'user input'!$C$12)))</f>
        <v>2.0625000000000129</v>
      </c>
    </row>
    <row r="1702" spans="1:6" x14ac:dyDescent="0.2">
      <c r="A1702" s="1">
        <v>41878</v>
      </c>
      <c r="B1702">
        <v>240</v>
      </c>
      <c r="C1702">
        <f>IF(B1702&gt;'user input'!$C$6,0,IF('heat units'!H1702&gt;1,1,'heat units'!H1702))</f>
        <v>0.93981481481481444</v>
      </c>
      <c r="D1702">
        <f>IF(B1702&gt;'user input'!$C$6,0,(C1702/(C1702+EXP('user input'!$C$15-'user input'!$C$14*C1702))))</f>
        <v>0.99992230407093796</v>
      </c>
      <c r="E1702">
        <f>IF(C1702&lt;'user input'!$C$12,(D1702-D1701)*'user input'!$C$17*(1-EXP(5*(F1701-'user input'!$C$17))),F1702-F1701)</f>
        <v>-0.25694444444444553</v>
      </c>
      <c r="F1702">
        <f>IF(C1702&lt;'user input'!$C$12,IF(B1702&gt;'user input'!$C$6,0,F1701+E1702),'user input'!$C$17*((1-C1702)/(1-'user input'!$C$12)))</f>
        <v>1.8055555555555673</v>
      </c>
    </row>
    <row r="1703" spans="1:6" x14ac:dyDescent="0.2">
      <c r="A1703" s="1">
        <v>41879</v>
      </c>
      <c r="B1703">
        <v>241</v>
      </c>
      <c r="C1703">
        <f>IF(B1703&gt;'user input'!$C$6,0,IF('heat units'!H1703&gt;1,1,'heat units'!H1703))</f>
        <v>0.94675925925925886</v>
      </c>
      <c r="D1703">
        <f>IF(B1703&gt;'user input'!$C$6,0,(C1703/(C1703+EXP('user input'!$C$15-'user input'!$C$14*C1703))))</f>
        <v>0.99992971953953147</v>
      </c>
      <c r="E1703">
        <f>IF(C1703&lt;'user input'!$C$12,(D1703-D1702)*'user input'!$C$17*(1-EXP(5*(F1702-'user input'!$C$17))),F1703-F1702)</f>
        <v>-0.20833333333333259</v>
      </c>
      <c r="F1703">
        <f>IF(C1703&lt;'user input'!$C$12,IF(B1703&gt;'user input'!$C$6,0,F1702+E1703),'user input'!$C$17*((1-C1703)/(1-'user input'!$C$12)))</f>
        <v>1.5972222222222348</v>
      </c>
    </row>
    <row r="1704" spans="1:6" x14ac:dyDescent="0.2">
      <c r="A1704" s="1">
        <v>41880</v>
      </c>
      <c r="B1704">
        <v>242</v>
      </c>
      <c r="C1704">
        <f>IF(B1704&gt;'user input'!$C$6,0,IF('heat units'!H1704&gt;1,1,'heat units'!H1704))</f>
        <v>0.95393518518518472</v>
      </c>
      <c r="D1704">
        <f>IF(B1704&gt;'user input'!$C$6,0,(C1704/(C1704+EXP('user input'!$C$15-'user input'!$C$14*C1704))))</f>
        <v>0.99993663593515614</v>
      </c>
      <c r="E1704">
        <f>IF(C1704&lt;'user input'!$C$12,(D1704-D1703)*'user input'!$C$17*(1-EXP(5*(F1703-'user input'!$C$17))),F1704-F1703)</f>
        <v>-0.2152777777777759</v>
      </c>
      <c r="F1704">
        <f>IF(C1704&lt;'user input'!$C$12,IF(B1704&gt;'user input'!$C$6,0,F1703+E1704),'user input'!$C$17*((1-C1704)/(1-'user input'!$C$12)))</f>
        <v>1.3819444444444589</v>
      </c>
    </row>
    <row r="1705" spans="1:6" x14ac:dyDescent="0.2">
      <c r="A1705" s="1">
        <v>41881</v>
      </c>
      <c r="B1705">
        <v>243</v>
      </c>
      <c r="C1705">
        <f>IF(B1705&gt;'user input'!$C$6,0,IF('heat units'!H1705&gt;1,1,'heat units'!H1705))</f>
        <v>0.96597222222222168</v>
      </c>
      <c r="D1705">
        <f>IF(B1705&gt;'user input'!$C$6,0,(C1705/(C1705+EXP('user input'!$C$15-'user input'!$C$14*C1705))))</f>
        <v>0.99994673675129542</v>
      </c>
      <c r="E1705">
        <f>IF(C1705&lt;'user input'!$C$12,(D1705-D1704)*'user input'!$C$17*(1-EXP(5*(F1704-'user input'!$C$17))),F1705-F1704)</f>
        <v>-0.36111111111110894</v>
      </c>
      <c r="F1705">
        <f>IF(C1705&lt;'user input'!$C$12,IF(B1705&gt;'user input'!$C$6,0,F1704+E1705),'user input'!$C$17*((1-C1705)/(1-'user input'!$C$12)))</f>
        <v>1.0208333333333499</v>
      </c>
    </row>
    <row r="1706" spans="1:6" x14ac:dyDescent="0.2">
      <c r="A1706" s="1">
        <v>41882</v>
      </c>
      <c r="B1706">
        <v>244</v>
      </c>
      <c r="C1706">
        <f>IF(B1706&gt;'user input'!$C$6,0,IF('heat units'!H1706&gt;1,1,'heat units'!H1706))</f>
        <v>0.97546296296296253</v>
      </c>
      <c r="D1706">
        <f>IF(B1706&gt;'user input'!$C$6,0,(C1706/(C1706+EXP('user input'!$C$15-'user input'!$C$14*C1706))))</f>
        <v>0.99995354711837325</v>
      </c>
      <c r="E1706">
        <f>IF(C1706&lt;'user input'!$C$12,(D1706-D1705)*'user input'!$C$17*(1-EXP(5*(F1705-'user input'!$C$17))),F1706-F1705)</f>
        <v>-0.28472222222222565</v>
      </c>
      <c r="F1706">
        <f>IF(C1706&lt;'user input'!$C$12,IF(B1706&gt;'user input'!$C$6,0,F1705+E1706),'user input'!$C$17*((1-C1706)/(1-'user input'!$C$12)))</f>
        <v>0.73611111111112426</v>
      </c>
    </row>
    <row r="1707" spans="1:6" x14ac:dyDescent="0.2">
      <c r="A1707" s="1">
        <v>41883</v>
      </c>
      <c r="B1707">
        <v>245</v>
      </c>
      <c r="C1707">
        <f>IF(B1707&gt;'user input'!$C$6,0,IF('heat units'!H1707&gt;1,1,'heat units'!H1707))</f>
        <v>0.98634259259259216</v>
      </c>
      <c r="D1707">
        <f>IF(B1707&gt;'user input'!$C$6,0,(C1707/(C1707+EXP('user input'!$C$15-'user input'!$C$14*C1707))))</f>
        <v>0.9999602851563133</v>
      </c>
      <c r="E1707">
        <f>IF(C1707&lt;'user input'!$C$12,(D1707-D1706)*'user input'!$C$17*(1-EXP(5*(F1706-'user input'!$C$17))),F1707-F1706)</f>
        <v>-0.32638888888888895</v>
      </c>
      <c r="F1707">
        <f>IF(C1707&lt;'user input'!$C$12,IF(B1707&gt;'user input'!$C$6,0,F1706+E1707),'user input'!$C$17*((1-C1707)/(1-'user input'!$C$12)))</f>
        <v>0.40972222222223531</v>
      </c>
    </row>
    <row r="1708" spans="1:6" x14ac:dyDescent="0.2">
      <c r="A1708" s="1">
        <v>41884</v>
      </c>
      <c r="B1708">
        <v>246</v>
      </c>
      <c r="C1708">
        <f>IF(B1708&gt;'user input'!$C$6,0,IF('heat units'!H1708&gt;1,1,'heat units'!H1708))</f>
        <v>0.99467592592592557</v>
      </c>
      <c r="D1708">
        <f>IF(B1708&gt;'user input'!$C$6,0,(C1708/(C1708+EXP('user input'!$C$15-'user input'!$C$14*C1708))))</f>
        <v>0.99996477447673504</v>
      </c>
      <c r="E1708">
        <f>IF(C1708&lt;'user input'!$C$12,(D1708-D1707)*'user input'!$C$17*(1-EXP(5*(F1707-'user input'!$C$17))),F1708-F1707)</f>
        <v>-0.2500000000000025</v>
      </c>
      <c r="F1708">
        <f>IF(C1708&lt;'user input'!$C$12,IF(B1708&gt;'user input'!$C$6,0,F1707+E1708),'user input'!$C$17*((1-C1708)/(1-'user input'!$C$12)))</f>
        <v>0.15972222222223281</v>
      </c>
    </row>
    <row r="1709" spans="1:6" x14ac:dyDescent="0.2">
      <c r="A1709" s="1">
        <v>41885</v>
      </c>
      <c r="B1709">
        <v>247</v>
      </c>
      <c r="C1709">
        <f>IF(B1709&gt;'user input'!$C$6,0,IF('heat units'!H1709&gt;1,1,'heat units'!H1709))</f>
        <v>1</v>
      </c>
      <c r="D1709">
        <f>IF(B1709&gt;'user input'!$C$6,0,(C1709/(C1709+EXP('user input'!$C$15-'user input'!$C$14*C1709))))</f>
        <v>0.99996737202265329</v>
      </c>
      <c r="E1709">
        <f>IF(C1709&lt;'user input'!$C$12,(D1709-D1708)*'user input'!$C$17*(1-EXP(5*(F1708-'user input'!$C$17))),F1709-F1708)</f>
        <v>-0.15972222222223281</v>
      </c>
      <c r="F1709">
        <f>IF(C1709&lt;'user input'!$C$12,IF(B1709&gt;'user input'!$C$6,0,F1708+E1709),'user input'!$C$17*((1-C1709)/(1-'user input'!$C$12)))</f>
        <v>0</v>
      </c>
    </row>
    <row r="1710" spans="1:6" x14ac:dyDescent="0.2">
      <c r="A1710" s="1">
        <v>41886</v>
      </c>
      <c r="B1710">
        <v>248</v>
      </c>
      <c r="C1710">
        <f>IF(B1710&gt;'user input'!$C$6,0,IF('heat units'!H1710&gt;1,1,'heat units'!H1710))</f>
        <v>1</v>
      </c>
      <c r="D1710">
        <f>IF(B1710&gt;'user input'!$C$6,0,(C1710/(C1710+EXP('user input'!$C$15-'user input'!$C$14*C1710))))</f>
        <v>0.99996737202265329</v>
      </c>
      <c r="E1710">
        <f>IF(C1710&lt;'user input'!$C$12,(D1710-D1709)*'user input'!$C$17*(1-EXP(5*(F1709-'user input'!$C$17))),F1710-F1709)</f>
        <v>0</v>
      </c>
      <c r="F1710">
        <f>IF(C1710&lt;'user input'!$C$12,IF(B1710&gt;'user input'!$C$6,0,F1709+E1710),'user input'!$C$17*((1-C1710)/(1-'user input'!$C$12)))</f>
        <v>0</v>
      </c>
    </row>
    <row r="1711" spans="1:6" x14ac:dyDescent="0.2">
      <c r="A1711" s="1">
        <v>41887</v>
      </c>
      <c r="B1711">
        <v>249</v>
      </c>
      <c r="C1711">
        <f>IF(B1711&gt;'user input'!$C$6,0,IF('heat units'!H1711&gt;1,1,'heat units'!H1711))</f>
        <v>1</v>
      </c>
      <c r="D1711">
        <f>IF(B1711&gt;'user input'!$C$6,0,(C1711/(C1711+EXP('user input'!$C$15-'user input'!$C$14*C1711))))</f>
        <v>0.99996737202265329</v>
      </c>
      <c r="E1711">
        <f>IF(C1711&lt;'user input'!$C$12,(D1711-D1710)*'user input'!$C$17*(1-EXP(5*(F1710-'user input'!$C$17))),F1711-F1710)</f>
        <v>0</v>
      </c>
      <c r="F1711">
        <f>IF(C1711&lt;'user input'!$C$12,IF(B1711&gt;'user input'!$C$6,0,F1710+E1711),'user input'!$C$17*((1-C1711)/(1-'user input'!$C$12)))</f>
        <v>0</v>
      </c>
    </row>
    <row r="1712" spans="1:6" x14ac:dyDescent="0.2">
      <c r="A1712" s="1">
        <v>41888</v>
      </c>
      <c r="B1712">
        <v>250</v>
      </c>
      <c r="C1712">
        <f>IF(B1712&gt;'user input'!$C$6,0,IF('heat units'!H1712&gt;1,1,'heat units'!H1712))</f>
        <v>1</v>
      </c>
      <c r="D1712">
        <f>IF(B1712&gt;'user input'!$C$6,0,(C1712/(C1712+EXP('user input'!$C$15-'user input'!$C$14*C1712))))</f>
        <v>0.99996737202265329</v>
      </c>
      <c r="E1712">
        <f>IF(C1712&lt;'user input'!$C$12,(D1712-D1711)*'user input'!$C$17*(1-EXP(5*(F1711-'user input'!$C$17))),F1712-F1711)</f>
        <v>0</v>
      </c>
      <c r="F1712">
        <f>IF(C1712&lt;'user input'!$C$12,IF(B1712&gt;'user input'!$C$6,0,F1711+E1712),'user input'!$C$17*((1-C1712)/(1-'user input'!$C$12)))</f>
        <v>0</v>
      </c>
    </row>
    <row r="1713" spans="1:6" x14ac:dyDescent="0.2">
      <c r="A1713" s="1">
        <v>41889</v>
      </c>
      <c r="B1713">
        <v>251</v>
      </c>
      <c r="C1713">
        <f>IF(B1713&gt;'user input'!$C$6,0,IF('heat units'!H1713&gt;1,1,'heat units'!H1713))</f>
        <v>1</v>
      </c>
      <c r="D1713">
        <f>IF(B1713&gt;'user input'!$C$6,0,(C1713/(C1713+EXP('user input'!$C$15-'user input'!$C$14*C1713))))</f>
        <v>0.99996737202265329</v>
      </c>
      <c r="E1713">
        <f>IF(C1713&lt;'user input'!$C$12,(D1713-D1712)*'user input'!$C$17*(1-EXP(5*(F1712-'user input'!$C$17))),F1713-F1712)</f>
        <v>0</v>
      </c>
      <c r="F1713">
        <f>IF(C1713&lt;'user input'!$C$12,IF(B1713&gt;'user input'!$C$6,0,F1712+E1713),'user input'!$C$17*((1-C1713)/(1-'user input'!$C$12)))</f>
        <v>0</v>
      </c>
    </row>
    <row r="1714" spans="1:6" x14ac:dyDescent="0.2">
      <c r="A1714" s="1">
        <v>41890</v>
      </c>
      <c r="B1714">
        <v>252</v>
      </c>
      <c r="C1714">
        <f>IF(B1714&gt;'user input'!$C$6,0,IF('heat units'!H1714&gt;1,1,'heat units'!H1714))</f>
        <v>1</v>
      </c>
      <c r="D1714">
        <f>IF(B1714&gt;'user input'!$C$6,0,(C1714/(C1714+EXP('user input'!$C$15-'user input'!$C$14*C1714))))</f>
        <v>0.99996737202265329</v>
      </c>
      <c r="E1714">
        <f>IF(C1714&lt;'user input'!$C$12,(D1714-D1713)*'user input'!$C$17*(1-EXP(5*(F1713-'user input'!$C$17))),F1714-F1713)</f>
        <v>0</v>
      </c>
      <c r="F1714">
        <f>IF(C1714&lt;'user input'!$C$12,IF(B1714&gt;'user input'!$C$6,0,F1713+E1714),'user input'!$C$17*((1-C1714)/(1-'user input'!$C$12)))</f>
        <v>0</v>
      </c>
    </row>
    <row r="1715" spans="1:6" x14ac:dyDescent="0.2">
      <c r="A1715" s="1">
        <v>41891</v>
      </c>
      <c r="B1715">
        <v>253</v>
      </c>
      <c r="C1715">
        <f>IF(B1715&gt;'user input'!$C$6,0,IF('heat units'!H1715&gt;1,1,'heat units'!H1715))</f>
        <v>1</v>
      </c>
      <c r="D1715">
        <f>IF(B1715&gt;'user input'!$C$6,0,(C1715/(C1715+EXP('user input'!$C$15-'user input'!$C$14*C1715))))</f>
        <v>0.99996737202265329</v>
      </c>
      <c r="E1715">
        <f>IF(C1715&lt;'user input'!$C$12,(D1715-D1714)*'user input'!$C$17*(1-EXP(5*(F1714-'user input'!$C$17))),F1715-F1714)</f>
        <v>0</v>
      </c>
      <c r="F1715">
        <f>IF(C1715&lt;'user input'!$C$12,IF(B1715&gt;'user input'!$C$6,0,F1714+E1715),'user input'!$C$17*((1-C1715)/(1-'user input'!$C$12)))</f>
        <v>0</v>
      </c>
    </row>
    <row r="1716" spans="1:6" x14ac:dyDescent="0.2">
      <c r="A1716" s="1">
        <v>41892</v>
      </c>
      <c r="B1716">
        <v>254</v>
      </c>
      <c r="C1716">
        <f>IF(B1716&gt;'user input'!$C$6,0,IF('heat units'!H1716&gt;1,1,'heat units'!H1716))</f>
        <v>1</v>
      </c>
      <c r="D1716">
        <f>IF(B1716&gt;'user input'!$C$6,0,(C1716/(C1716+EXP('user input'!$C$15-'user input'!$C$14*C1716))))</f>
        <v>0.99996737202265329</v>
      </c>
      <c r="E1716">
        <f>IF(C1716&lt;'user input'!$C$12,(D1716-D1715)*'user input'!$C$17*(1-EXP(5*(F1715-'user input'!$C$17))),F1716-F1715)</f>
        <v>0</v>
      </c>
      <c r="F1716">
        <f>IF(C1716&lt;'user input'!$C$12,IF(B1716&gt;'user input'!$C$6,0,F1715+E1716),'user input'!$C$17*((1-C1716)/(1-'user input'!$C$12)))</f>
        <v>0</v>
      </c>
    </row>
    <row r="1717" spans="1:6" x14ac:dyDescent="0.2">
      <c r="A1717" s="1">
        <v>41893</v>
      </c>
      <c r="B1717">
        <v>255</v>
      </c>
      <c r="C1717">
        <f>IF(B1717&gt;'user input'!$C$6,0,IF('heat units'!H1717&gt;1,1,'heat units'!H1717))</f>
        <v>1</v>
      </c>
      <c r="D1717">
        <f>IF(B1717&gt;'user input'!$C$6,0,(C1717/(C1717+EXP('user input'!$C$15-'user input'!$C$14*C1717))))</f>
        <v>0.99996737202265329</v>
      </c>
      <c r="E1717">
        <f>IF(C1717&lt;'user input'!$C$12,(D1717-D1716)*'user input'!$C$17*(1-EXP(5*(F1716-'user input'!$C$17))),F1717-F1716)</f>
        <v>0</v>
      </c>
      <c r="F1717">
        <f>IF(C1717&lt;'user input'!$C$12,IF(B1717&gt;'user input'!$C$6,0,F1716+E1717),'user input'!$C$17*((1-C1717)/(1-'user input'!$C$12)))</f>
        <v>0</v>
      </c>
    </row>
    <row r="1718" spans="1:6" x14ac:dyDescent="0.2">
      <c r="A1718" s="1">
        <v>41894</v>
      </c>
      <c r="B1718">
        <v>256</v>
      </c>
      <c r="C1718">
        <f>IF(B1718&gt;'user input'!$C$6,0,IF('heat units'!H1718&gt;1,1,'heat units'!H1718))</f>
        <v>1</v>
      </c>
      <c r="D1718">
        <f>IF(B1718&gt;'user input'!$C$6,0,(C1718/(C1718+EXP('user input'!$C$15-'user input'!$C$14*C1718))))</f>
        <v>0.99996737202265329</v>
      </c>
      <c r="E1718">
        <f>IF(C1718&lt;'user input'!$C$12,(D1718-D1717)*'user input'!$C$17*(1-EXP(5*(F1717-'user input'!$C$17))),F1718-F1717)</f>
        <v>0</v>
      </c>
      <c r="F1718">
        <f>IF(C1718&lt;'user input'!$C$12,IF(B1718&gt;'user input'!$C$6,0,F1717+E1718),'user input'!$C$17*((1-C1718)/(1-'user input'!$C$12)))</f>
        <v>0</v>
      </c>
    </row>
    <row r="1719" spans="1:6" x14ac:dyDescent="0.2">
      <c r="A1719" s="1">
        <v>41895</v>
      </c>
      <c r="B1719">
        <v>257</v>
      </c>
      <c r="C1719">
        <f>IF(B1719&gt;'user input'!$C$6,0,IF('heat units'!H1719&gt;1,1,'heat units'!H1719))</f>
        <v>1</v>
      </c>
      <c r="D1719">
        <f>IF(B1719&gt;'user input'!$C$6,0,(C1719/(C1719+EXP('user input'!$C$15-'user input'!$C$14*C1719))))</f>
        <v>0.99996737202265329</v>
      </c>
      <c r="E1719">
        <f>IF(C1719&lt;'user input'!$C$12,(D1719-D1718)*'user input'!$C$17*(1-EXP(5*(F1718-'user input'!$C$17))),F1719-F1718)</f>
        <v>0</v>
      </c>
      <c r="F1719">
        <f>IF(C1719&lt;'user input'!$C$12,IF(B1719&gt;'user input'!$C$6,0,F1718+E1719),'user input'!$C$17*((1-C1719)/(1-'user input'!$C$12)))</f>
        <v>0</v>
      </c>
    </row>
    <row r="1720" spans="1:6" x14ac:dyDescent="0.2">
      <c r="A1720" s="1">
        <v>41896</v>
      </c>
      <c r="B1720">
        <v>258</v>
      </c>
      <c r="C1720">
        <f>IF(B1720&gt;'user input'!$C$6,0,IF('heat units'!H1720&gt;1,1,'heat units'!H1720))</f>
        <v>1</v>
      </c>
      <c r="D1720">
        <f>IF(B1720&gt;'user input'!$C$6,0,(C1720/(C1720+EXP('user input'!$C$15-'user input'!$C$14*C1720))))</f>
        <v>0.99996737202265329</v>
      </c>
      <c r="E1720">
        <f>IF(C1720&lt;'user input'!$C$12,(D1720-D1719)*'user input'!$C$17*(1-EXP(5*(F1719-'user input'!$C$17))),F1720-F1719)</f>
        <v>0</v>
      </c>
      <c r="F1720">
        <f>IF(C1720&lt;'user input'!$C$12,IF(B1720&gt;'user input'!$C$6,0,F1719+E1720),'user input'!$C$17*((1-C1720)/(1-'user input'!$C$12)))</f>
        <v>0</v>
      </c>
    </row>
    <row r="1721" spans="1:6" x14ac:dyDescent="0.2">
      <c r="A1721" s="1">
        <v>41897</v>
      </c>
      <c r="B1721">
        <v>259</v>
      </c>
      <c r="C1721">
        <f>IF(B1721&gt;'user input'!$C$6,0,IF('heat units'!H1721&gt;1,1,'heat units'!H1721))</f>
        <v>1</v>
      </c>
      <c r="D1721">
        <f>IF(B1721&gt;'user input'!$C$6,0,(C1721/(C1721+EXP('user input'!$C$15-'user input'!$C$14*C1721))))</f>
        <v>0.99996737202265329</v>
      </c>
      <c r="E1721">
        <f>IF(C1721&lt;'user input'!$C$12,(D1721-D1720)*'user input'!$C$17*(1-EXP(5*(F1720-'user input'!$C$17))),F1721-F1720)</f>
        <v>0</v>
      </c>
      <c r="F1721">
        <f>IF(C1721&lt;'user input'!$C$12,IF(B1721&gt;'user input'!$C$6,0,F1720+E1721),'user input'!$C$17*((1-C1721)/(1-'user input'!$C$12)))</f>
        <v>0</v>
      </c>
    </row>
    <row r="1722" spans="1:6" x14ac:dyDescent="0.2">
      <c r="A1722" s="1">
        <v>41898</v>
      </c>
      <c r="B1722">
        <v>260</v>
      </c>
      <c r="C1722">
        <f>IF(B1722&gt;'user input'!$C$6,0,IF('heat units'!H1722&gt;1,1,'heat units'!H1722))</f>
        <v>1</v>
      </c>
      <c r="D1722">
        <f>IF(B1722&gt;'user input'!$C$6,0,(C1722/(C1722+EXP('user input'!$C$15-'user input'!$C$14*C1722))))</f>
        <v>0.99996737202265329</v>
      </c>
      <c r="E1722">
        <f>IF(C1722&lt;'user input'!$C$12,(D1722-D1721)*'user input'!$C$17*(1-EXP(5*(F1721-'user input'!$C$17))),F1722-F1721)</f>
        <v>0</v>
      </c>
      <c r="F1722">
        <f>IF(C1722&lt;'user input'!$C$12,IF(B1722&gt;'user input'!$C$6,0,F1721+E1722),'user input'!$C$17*((1-C1722)/(1-'user input'!$C$12)))</f>
        <v>0</v>
      </c>
    </row>
    <row r="1723" spans="1:6" x14ac:dyDescent="0.2">
      <c r="A1723" s="1">
        <v>41899</v>
      </c>
      <c r="B1723">
        <v>261</v>
      </c>
      <c r="C1723">
        <f>IF(B1723&gt;'user input'!$C$6,0,IF('heat units'!H1723&gt;1,1,'heat units'!H1723))</f>
        <v>1</v>
      </c>
      <c r="D1723">
        <f>IF(B1723&gt;'user input'!$C$6,0,(C1723/(C1723+EXP('user input'!$C$15-'user input'!$C$14*C1723))))</f>
        <v>0.99996737202265329</v>
      </c>
      <c r="E1723">
        <f>IF(C1723&lt;'user input'!$C$12,(D1723-D1722)*'user input'!$C$17*(1-EXP(5*(F1722-'user input'!$C$17))),F1723-F1722)</f>
        <v>0</v>
      </c>
      <c r="F1723">
        <f>IF(C1723&lt;'user input'!$C$12,IF(B1723&gt;'user input'!$C$6,0,F1722+E1723),'user input'!$C$17*((1-C1723)/(1-'user input'!$C$12)))</f>
        <v>0</v>
      </c>
    </row>
    <row r="1724" spans="1:6" x14ac:dyDescent="0.2">
      <c r="A1724" s="1">
        <v>41900</v>
      </c>
      <c r="B1724">
        <v>262</v>
      </c>
      <c r="C1724">
        <f>IF(B1724&gt;'user input'!$C$6,0,IF('heat units'!H1724&gt;1,1,'heat units'!H1724))</f>
        <v>1</v>
      </c>
      <c r="D1724">
        <f>IF(B1724&gt;'user input'!$C$6,0,(C1724/(C1724+EXP('user input'!$C$15-'user input'!$C$14*C1724))))</f>
        <v>0.99996737202265329</v>
      </c>
      <c r="E1724">
        <f>IF(C1724&lt;'user input'!$C$12,(D1724-D1723)*'user input'!$C$17*(1-EXP(5*(F1723-'user input'!$C$17))),F1724-F1723)</f>
        <v>0</v>
      </c>
      <c r="F1724">
        <f>IF(C1724&lt;'user input'!$C$12,IF(B1724&gt;'user input'!$C$6,0,F1723+E1724),'user input'!$C$17*((1-C1724)/(1-'user input'!$C$12)))</f>
        <v>0</v>
      </c>
    </row>
    <row r="1725" spans="1:6" x14ac:dyDescent="0.2">
      <c r="A1725" s="1">
        <v>41901</v>
      </c>
      <c r="B1725">
        <v>263</v>
      </c>
      <c r="C1725">
        <f>IF(B1725&gt;'user input'!$C$6,0,IF('heat units'!H1725&gt;1,1,'heat units'!H1725))</f>
        <v>1</v>
      </c>
      <c r="D1725">
        <f>IF(B1725&gt;'user input'!$C$6,0,(C1725/(C1725+EXP('user input'!$C$15-'user input'!$C$14*C1725))))</f>
        <v>0.99996737202265329</v>
      </c>
      <c r="E1725">
        <f>IF(C1725&lt;'user input'!$C$12,(D1725-D1724)*'user input'!$C$17*(1-EXP(5*(F1724-'user input'!$C$17))),F1725-F1724)</f>
        <v>0</v>
      </c>
      <c r="F1725">
        <f>IF(C1725&lt;'user input'!$C$12,IF(B1725&gt;'user input'!$C$6,0,F1724+E1725),'user input'!$C$17*((1-C1725)/(1-'user input'!$C$12)))</f>
        <v>0</v>
      </c>
    </row>
    <row r="1726" spans="1:6" x14ac:dyDescent="0.2">
      <c r="A1726" s="1">
        <v>41902</v>
      </c>
      <c r="B1726">
        <v>264</v>
      </c>
      <c r="C1726">
        <f>IF(B1726&gt;'user input'!$C$6,0,IF('heat units'!H1726&gt;1,1,'heat units'!H1726))</f>
        <v>1</v>
      </c>
      <c r="D1726">
        <f>IF(B1726&gt;'user input'!$C$6,0,(C1726/(C1726+EXP('user input'!$C$15-'user input'!$C$14*C1726))))</f>
        <v>0.99996737202265329</v>
      </c>
      <c r="E1726">
        <f>IF(C1726&lt;'user input'!$C$12,(D1726-D1725)*'user input'!$C$17*(1-EXP(5*(F1725-'user input'!$C$17))),F1726-F1725)</f>
        <v>0</v>
      </c>
      <c r="F1726">
        <f>IF(C1726&lt;'user input'!$C$12,IF(B1726&gt;'user input'!$C$6,0,F1725+E1726),'user input'!$C$17*((1-C1726)/(1-'user input'!$C$12)))</f>
        <v>0</v>
      </c>
    </row>
    <row r="1727" spans="1:6" x14ac:dyDescent="0.2">
      <c r="A1727" s="1">
        <v>41903</v>
      </c>
      <c r="B1727">
        <v>265</v>
      </c>
      <c r="C1727">
        <f>IF(B1727&gt;'user input'!$C$6,0,IF('heat units'!H1727&gt;1,1,'heat units'!H1727))</f>
        <v>1</v>
      </c>
      <c r="D1727">
        <f>IF(B1727&gt;'user input'!$C$6,0,(C1727/(C1727+EXP('user input'!$C$15-'user input'!$C$14*C1727))))</f>
        <v>0.99996737202265329</v>
      </c>
      <c r="E1727">
        <f>IF(C1727&lt;'user input'!$C$12,(D1727-D1726)*'user input'!$C$17*(1-EXP(5*(F1726-'user input'!$C$17))),F1727-F1726)</f>
        <v>0</v>
      </c>
      <c r="F1727">
        <f>IF(C1727&lt;'user input'!$C$12,IF(B1727&gt;'user input'!$C$6,0,F1726+E1727),'user input'!$C$17*((1-C1727)/(1-'user input'!$C$12)))</f>
        <v>0</v>
      </c>
    </row>
    <row r="1728" spans="1:6" x14ac:dyDescent="0.2">
      <c r="A1728" s="1">
        <v>41904</v>
      </c>
      <c r="B1728">
        <v>266</v>
      </c>
      <c r="C1728">
        <f>IF(B1728&gt;'user input'!$C$6,0,IF('heat units'!H1728&gt;1,1,'heat units'!H1728))</f>
        <v>1</v>
      </c>
      <c r="D1728">
        <f>IF(B1728&gt;'user input'!$C$6,0,(C1728/(C1728+EXP('user input'!$C$15-'user input'!$C$14*C1728))))</f>
        <v>0.99996737202265329</v>
      </c>
      <c r="E1728">
        <f>IF(C1728&lt;'user input'!$C$12,(D1728-D1727)*'user input'!$C$17*(1-EXP(5*(F1727-'user input'!$C$17))),F1728-F1727)</f>
        <v>0</v>
      </c>
      <c r="F1728">
        <f>IF(C1728&lt;'user input'!$C$12,IF(B1728&gt;'user input'!$C$6,0,F1727+E1728),'user input'!$C$17*((1-C1728)/(1-'user input'!$C$12)))</f>
        <v>0</v>
      </c>
    </row>
    <row r="1729" spans="1:6" x14ac:dyDescent="0.2">
      <c r="A1729" s="1">
        <v>41905</v>
      </c>
      <c r="B1729">
        <v>267</v>
      </c>
      <c r="C1729">
        <f>IF(B1729&gt;'user input'!$C$6,0,IF('heat units'!H1729&gt;1,1,'heat units'!H1729))</f>
        <v>1</v>
      </c>
      <c r="D1729">
        <f>IF(B1729&gt;'user input'!$C$6,0,(C1729/(C1729+EXP('user input'!$C$15-'user input'!$C$14*C1729))))</f>
        <v>0.99996737202265329</v>
      </c>
      <c r="E1729">
        <f>IF(C1729&lt;'user input'!$C$12,(D1729-D1728)*'user input'!$C$17*(1-EXP(5*(F1728-'user input'!$C$17))),F1729-F1728)</f>
        <v>0</v>
      </c>
      <c r="F1729">
        <f>IF(C1729&lt;'user input'!$C$12,IF(B1729&gt;'user input'!$C$6,0,F1728+E1729),'user input'!$C$17*((1-C1729)/(1-'user input'!$C$12)))</f>
        <v>0</v>
      </c>
    </row>
    <row r="1730" spans="1:6" x14ac:dyDescent="0.2">
      <c r="A1730" s="1">
        <v>41906</v>
      </c>
      <c r="B1730">
        <v>268</v>
      </c>
      <c r="C1730">
        <f>IF(B1730&gt;'user input'!$C$6,0,IF('heat units'!H1730&gt;1,1,'heat units'!H1730))</f>
        <v>1</v>
      </c>
      <c r="D1730">
        <f>IF(B1730&gt;'user input'!$C$6,0,(C1730/(C1730+EXP('user input'!$C$15-'user input'!$C$14*C1730))))</f>
        <v>0.99996737202265329</v>
      </c>
      <c r="E1730">
        <f>IF(C1730&lt;'user input'!$C$12,(D1730-D1729)*'user input'!$C$17*(1-EXP(5*(F1729-'user input'!$C$17))),F1730-F1729)</f>
        <v>0</v>
      </c>
      <c r="F1730">
        <f>IF(C1730&lt;'user input'!$C$12,IF(B1730&gt;'user input'!$C$6,0,F1729+E1730),'user input'!$C$17*((1-C1730)/(1-'user input'!$C$12)))</f>
        <v>0</v>
      </c>
    </row>
    <row r="1731" spans="1:6" x14ac:dyDescent="0.2">
      <c r="A1731" s="1">
        <v>41907</v>
      </c>
      <c r="B1731">
        <v>269</v>
      </c>
      <c r="C1731">
        <f>IF(B1731&gt;'user input'!$C$6,0,IF('heat units'!H1731&gt;1,1,'heat units'!H1731))</f>
        <v>1</v>
      </c>
      <c r="D1731">
        <f>IF(B1731&gt;'user input'!$C$6,0,(C1731/(C1731+EXP('user input'!$C$15-'user input'!$C$14*C1731))))</f>
        <v>0.99996737202265329</v>
      </c>
      <c r="E1731">
        <f>IF(C1731&lt;'user input'!$C$12,(D1731-D1730)*'user input'!$C$17*(1-EXP(5*(F1730-'user input'!$C$17))),F1731-F1730)</f>
        <v>0</v>
      </c>
      <c r="F1731">
        <f>IF(C1731&lt;'user input'!$C$12,IF(B1731&gt;'user input'!$C$6,0,F1730+E1731),'user input'!$C$17*((1-C1731)/(1-'user input'!$C$12)))</f>
        <v>0</v>
      </c>
    </row>
    <row r="1732" spans="1:6" x14ac:dyDescent="0.2">
      <c r="A1732" s="1">
        <v>41908</v>
      </c>
      <c r="B1732">
        <v>270</v>
      </c>
      <c r="C1732">
        <f>IF(B1732&gt;'user input'!$C$6,0,IF('heat units'!H1732&gt;1,1,'heat units'!H1732))</f>
        <v>1</v>
      </c>
      <c r="D1732">
        <f>IF(B1732&gt;'user input'!$C$6,0,(C1732/(C1732+EXP('user input'!$C$15-'user input'!$C$14*C1732))))</f>
        <v>0.99996737202265329</v>
      </c>
      <c r="E1732">
        <f>IF(C1732&lt;'user input'!$C$12,(D1732-D1731)*'user input'!$C$17*(1-EXP(5*(F1731-'user input'!$C$17))),F1732-F1731)</f>
        <v>0</v>
      </c>
      <c r="F1732">
        <f>IF(C1732&lt;'user input'!$C$12,IF(B1732&gt;'user input'!$C$6,0,F1731+E1732),'user input'!$C$17*((1-C1732)/(1-'user input'!$C$12)))</f>
        <v>0</v>
      </c>
    </row>
    <row r="1733" spans="1:6" x14ac:dyDescent="0.2">
      <c r="A1733" s="1">
        <v>41909</v>
      </c>
      <c r="B1733">
        <v>271</v>
      </c>
      <c r="C1733">
        <f>IF(B1733&gt;'user input'!$C$6,0,IF('heat units'!H1733&gt;1,1,'heat units'!H1733))</f>
        <v>1</v>
      </c>
      <c r="D1733">
        <f>IF(B1733&gt;'user input'!$C$6,0,(C1733/(C1733+EXP('user input'!$C$15-'user input'!$C$14*C1733))))</f>
        <v>0.99996737202265329</v>
      </c>
      <c r="E1733">
        <f>IF(C1733&lt;'user input'!$C$12,(D1733-D1732)*'user input'!$C$17*(1-EXP(5*(F1732-'user input'!$C$17))),F1733-F1732)</f>
        <v>0</v>
      </c>
      <c r="F1733">
        <f>IF(C1733&lt;'user input'!$C$12,IF(B1733&gt;'user input'!$C$6,0,F1732+E1733),'user input'!$C$17*((1-C1733)/(1-'user input'!$C$12)))</f>
        <v>0</v>
      </c>
    </row>
    <row r="1734" spans="1:6" x14ac:dyDescent="0.2">
      <c r="A1734" s="1">
        <v>41910</v>
      </c>
      <c r="B1734">
        <v>272</v>
      </c>
      <c r="C1734">
        <f>IF(B1734&gt;'user input'!$C$6,0,IF('heat units'!H1734&gt;1,1,'heat units'!H1734))</f>
        <v>1</v>
      </c>
      <c r="D1734">
        <f>IF(B1734&gt;'user input'!$C$6,0,(C1734/(C1734+EXP('user input'!$C$15-'user input'!$C$14*C1734))))</f>
        <v>0.99996737202265329</v>
      </c>
      <c r="E1734">
        <f>IF(C1734&lt;'user input'!$C$12,(D1734-D1733)*'user input'!$C$17*(1-EXP(5*(F1733-'user input'!$C$17))),F1734-F1733)</f>
        <v>0</v>
      </c>
      <c r="F1734">
        <f>IF(C1734&lt;'user input'!$C$12,IF(B1734&gt;'user input'!$C$6,0,F1733+E1734),'user input'!$C$17*((1-C1734)/(1-'user input'!$C$12)))</f>
        <v>0</v>
      </c>
    </row>
    <row r="1735" spans="1:6" x14ac:dyDescent="0.2">
      <c r="A1735" s="1">
        <v>41911</v>
      </c>
      <c r="B1735">
        <v>273</v>
      </c>
      <c r="C1735">
        <f>IF(B1735&gt;'user input'!$C$6,0,IF('heat units'!H1735&gt;1,1,'heat units'!H1735))</f>
        <v>1</v>
      </c>
      <c r="D1735">
        <f>IF(B1735&gt;'user input'!$C$6,0,(C1735/(C1735+EXP('user input'!$C$15-'user input'!$C$14*C1735))))</f>
        <v>0.99996737202265329</v>
      </c>
      <c r="E1735">
        <f>IF(C1735&lt;'user input'!$C$12,(D1735-D1734)*'user input'!$C$17*(1-EXP(5*(F1734-'user input'!$C$17))),F1735-F1734)</f>
        <v>0</v>
      </c>
      <c r="F1735">
        <f>IF(C1735&lt;'user input'!$C$12,IF(B1735&gt;'user input'!$C$6,0,F1734+E1735),'user input'!$C$17*((1-C1735)/(1-'user input'!$C$12)))</f>
        <v>0</v>
      </c>
    </row>
    <row r="1736" spans="1:6" x14ac:dyDescent="0.2">
      <c r="A1736" s="1">
        <v>41912</v>
      </c>
      <c r="B1736">
        <v>274</v>
      </c>
      <c r="C1736">
        <f>IF(B1736&gt;'user input'!$C$6,0,IF('heat units'!H1736&gt;1,1,'heat units'!H1736))</f>
        <v>1</v>
      </c>
      <c r="D1736">
        <f>IF(B1736&gt;'user input'!$C$6,0,(C1736/(C1736+EXP('user input'!$C$15-'user input'!$C$14*C1736))))</f>
        <v>0.99996737202265329</v>
      </c>
      <c r="E1736">
        <f>IF(C1736&lt;'user input'!$C$12,(D1736-D1735)*'user input'!$C$17*(1-EXP(5*(F1735-'user input'!$C$17))),F1736-F1735)</f>
        <v>0</v>
      </c>
      <c r="F1736">
        <f>IF(C1736&lt;'user input'!$C$12,IF(B1736&gt;'user input'!$C$6,0,F1735+E1736),'user input'!$C$17*((1-C1736)/(1-'user input'!$C$12)))</f>
        <v>0</v>
      </c>
    </row>
    <row r="1737" spans="1:6" x14ac:dyDescent="0.2">
      <c r="A1737" s="1">
        <v>41913</v>
      </c>
      <c r="B1737">
        <v>275</v>
      </c>
      <c r="C1737">
        <f>IF(B1737&gt;'user input'!$C$6,0,IF('heat units'!H1737&gt;1,1,'heat units'!H1737))</f>
        <v>1</v>
      </c>
      <c r="D1737">
        <f>IF(B1737&gt;'user input'!$C$6,0,(C1737/(C1737+EXP('user input'!$C$15-'user input'!$C$14*C1737))))</f>
        <v>0.99996737202265329</v>
      </c>
      <c r="E1737">
        <f>IF(C1737&lt;'user input'!$C$12,(D1737-D1736)*'user input'!$C$17*(1-EXP(5*(F1736-'user input'!$C$17))),F1737-F1736)</f>
        <v>0</v>
      </c>
      <c r="F1737">
        <f>IF(C1737&lt;'user input'!$C$12,IF(B1737&gt;'user input'!$C$6,0,F1736+E1737),'user input'!$C$17*((1-C1737)/(1-'user input'!$C$12)))</f>
        <v>0</v>
      </c>
    </row>
    <row r="1738" spans="1:6" x14ac:dyDescent="0.2">
      <c r="A1738" s="1">
        <v>41914</v>
      </c>
      <c r="B1738">
        <v>276</v>
      </c>
      <c r="C1738">
        <f>IF(B1738&gt;'user input'!$C$6,0,IF('heat units'!H1738&gt;1,1,'heat units'!H1738))</f>
        <v>1</v>
      </c>
      <c r="D1738">
        <f>IF(B1738&gt;'user input'!$C$6,0,(C1738/(C1738+EXP('user input'!$C$15-'user input'!$C$14*C1738))))</f>
        <v>0.99996737202265329</v>
      </c>
      <c r="E1738">
        <f>IF(C1738&lt;'user input'!$C$12,(D1738-D1737)*'user input'!$C$17*(1-EXP(5*(F1737-'user input'!$C$17))),F1738-F1737)</f>
        <v>0</v>
      </c>
      <c r="F1738">
        <f>IF(C1738&lt;'user input'!$C$12,IF(B1738&gt;'user input'!$C$6,0,F1737+E1738),'user input'!$C$17*((1-C1738)/(1-'user input'!$C$12)))</f>
        <v>0</v>
      </c>
    </row>
    <row r="1739" spans="1:6" x14ac:dyDescent="0.2">
      <c r="A1739" s="1">
        <v>41915</v>
      </c>
      <c r="B1739">
        <v>277</v>
      </c>
      <c r="C1739">
        <f>IF(B1739&gt;'user input'!$C$6,0,IF('heat units'!H1739&gt;1,1,'heat units'!H1739))</f>
        <v>1</v>
      </c>
      <c r="D1739">
        <f>IF(B1739&gt;'user input'!$C$6,0,(C1739/(C1739+EXP('user input'!$C$15-'user input'!$C$14*C1739))))</f>
        <v>0.99996737202265329</v>
      </c>
      <c r="E1739">
        <f>IF(C1739&lt;'user input'!$C$12,(D1739-D1738)*'user input'!$C$17*(1-EXP(5*(F1738-'user input'!$C$17))),F1739-F1738)</f>
        <v>0</v>
      </c>
      <c r="F1739">
        <f>IF(C1739&lt;'user input'!$C$12,IF(B1739&gt;'user input'!$C$6,0,F1738+E1739),'user input'!$C$17*((1-C1739)/(1-'user input'!$C$12)))</f>
        <v>0</v>
      </c>
    </row>
    <row r="1740" spans="1:6" x14ac:dyDescent="0.2">
      <c r="A1740" s="1">
        <v>41916</v>
      </c>
      <c r="B1740">
        <v>278</v>
      </c>
      <c r="C1740">
        <f>IF(B1740&gt;'user input'!$C$6,0,IF('heat units'!H1740&gt;1,1,'heat units'!H1740))</f>
        <v>1</v>
      </c>
      <c r="D1740">
        <f>IF(B1740&gt;'user input'!$C$6,0,(C1740/(C1740+EXP('user input'!$C$15-'user input'!$C$14*C1740))))</f>
        <v>0.99996737202265329</v>
      </c>
      <c r="E1740">
        <f>IF(C1740&lt;'user input'!$C$12,(D1740-D1739)*'user input'!$C$17*(1-EXP(5*(F1739-'user input'!$C$17))),F1740-F1739)</f>
        <v>0</v>
      </c>
      <c r="F1740">
        <f>IF(C1740&lt;'user input'!$C$12,IF(B1740&gt;'user input'!$C$6,0,F1739+E1740),'user input'!$C$17*((1-C1740)/(1-'user input'!$C$12)))</f>
        <v>0</v>
      </c>
    </row>
    <row r="1741" spans="1:6" x14ac:dyDescent="0.2">
      <c r="A1741" s="1">
        <v>41917</v>
      </c>
      <c r="B1741">
        <v>279</v>
      </c>
      <c r="C1741">
        <f>IF(B1741&gt;'user input'!$C$6,0,IF('heat units'!H1741&gt;1,1,'heat units'!H1741))</f>
        <v>1</v>
      </c>
      <c r="D1741">
        <f>IF(B1741&gt;'user input'!$C$6,0,(C1741/(C1741+EXP('user input'!$C$15-'user input'!$C$14*C1741))))</f>
        <v>0.99996737202265329</v>
      </c>
      <c r="E1741">
        <f>IF(C1741&lt;'user input'!$C$12,(D1741-D1740)*'user input'!$C$17*(1-EXP(5*(F1740-'user input'!$C$17))),F1741-F1740)</f>
        <v>0</v>
      </c>
      <c r="F1741">
        <f>IF(C1741&lt;'user input'!$C$12,IF(B1741&gt;'user input'!$C$6,0,F1740+E1741),'user input'!$C$17*((1-C1741)/(1-'user input'!$C$12)))</f>
        <v>0</v>
      </c>
    </row>
    <row r="1742" spans="1:6" x14ac:dyDescent="0.2">
      <c r="A1742" s="1">
        <v>41918</v>
      </c>
      <c r="B1742">
        <v>280</v>
      </c>
      <c r="C1742">
        <f>IF(B1742&gt;'user input'!$C$6,0,IF('heat units'!H1742&gt;1,1,'heat units'!H1742))</f>
        <v>1</v>
      </c>
      <c r="D1742">
        <f>IF(B1742&gt;'user input'!$C$6,0,(C1742/(C1742+EXP('user input'!$C$15-'user input'!$C$14*C1742))))</f>
        <v>0.99996737202265329</v>
      </c>
      <c r="E1742">
        <f>IF(C1742&lt;'user input'!$C$12,(D1742-D1741)*'user input'!$C$17*(1-EXP(5*(F1741-'user input'!$C$17))),F1742-F1741)</f>
        <v>0</v>
      </c>
      <c r="F1742">
        <f>IF(C1742&lt;'user input'!$C$12,IF(B1742&gt;'user input'!$C$6,0,F1741+E1742),'user input'!$C$17*((1-C1742)/(1-'user input'!$C$12)))</f>
        <v>0</v>
      </c>
    </row>
    <row r="1743" spans="1:6" x14ac:dyDescent="0.2">
      <c r="A1743" s="1">
        <v>41919</v>
      </c>
      <c r="B1743">
        <v>281</v>
      </c>
      <c r="C1743">
        <f>IF(B1743&gt;'user input'!$C$6,0,IF('heat units'!H1743&gt;1,1,'heat units'!H1743))</f>
        <v>1</v>
      </c>
      <c r="D1743">
        <f>IF(B1743&gt;'user input'!$C$6,0,(C1743/(C1743+EXP('user input'!$C$15-'user input'!$C$14*C1743))))</f>
        <v>0.99996737202265329</v>
      </c>
      <c r="E1743">
        <f>IF(C1743&lt;'user input'!$C$12,(D1743-D1742)*'user input'!$C$17*(1-EXP(5*(F1742-'user input'!$C$17))),F1743-F1742)</f>
        <v>0</v>
      </c>
      <c r="F1743">
        <f>IF(C1743&lt;'user input'!$C$12,IF(B1743&gt;'user input'!$C$6,0,F1742+E1743),'user input'!$C$17*((1-C1743)/(1-'user input'!$C$12)))</f>
        <v>0</v>
      </c>
    </row>
    <row r="1744" spans="1:6" x14ac:dyDescent="0.2">
      <c r="A1744" s="1">
        <v>41920</v>
      </c>
      <c r="B1744">
        <v>282</v>
      </c>
      <c r="C1744">
        <f>IF(B1744&gt;'user input'!$C$6,0,IF('heat units'!H1744&gt;1,1,'heat units'!H1744))</f>
        <v>1</v>
      </c>
      <c r="D1744">
        <f>IF(B1744&gt;'user input'!$C$6,0,(C1744/(C1744+EXP('user input'!$C$15-'user input'!$C$14*C1744))))</f>
        <v>0.99996737202265329</v>
      </c>
      <c r="E1744">
        <f>IF(C1744&lt;'user input'!$C$12,(D1744-D1743)*'user input'!$C$17*(1-EXP(5*(F1743-'user input'!$C$17))),F1744-F1743)</f>
        <v>0</v>
      </c>
      <c r="F1744">
        <f>IF(C1744&lt;'user input'!$C$12,IF(B1744&gt;'user input'!$C$6,0,F1743+E1744),'user input'!$C$17*((1-C1744)/(1-'user input'!$C$12)))</f>
        <v>0</v>
      </c>
    </row>
    <row r="1745" spans="1:6" x14ac:dyDescent="0.2">
      <c r="A1745" s="1">
        <v>41921</v>
      </c>
      <c r="B1745">
        <v>283</v>
      </c>
      <c r="C1745">
        <f>IF(B1745&gt;'user input'!$C$6,0,IF('heat units'!H1745&gt;1,1,'heat units'!H1745))</f>
        <v>1</v>
      </c>
      <c r="D1745">
        <f>IF(B1745&gt;'user input'!$C$6,0,(C1745/(C1745+EXP('user input'!$C$15-'user input'!$C$14*C1745))))</f>
        <v>0.99996737202265329</v>
      </c>
      <c r="E1745">
        <f>IF(C1745&lt;'user input'!$C$12,(D1745-D1744)*'user input'!$C$17*(1-EXP(5*(F1744-'user input'!$C$17))),F1745-F1744)</f>
        <v>0</v>
      </c>
      <c r="F1745">
        <f>IF(C1745&lt;'user input'!$C$12,IF(B1745&gt;'user input'!$C$6,0,F1744+E1745),'user input'!$C$17*((1-C1745)/(1-'user input'!$C$12)))</f>
        <v>0</v>
      </c>
    </row>
    <row r="1746" spans="1:6" x14ac:dyDescent="0.2">
      <c r="A1746" s="1">
        <v>41922</v>
      </c>
      <c r="B1746">
        <v>284</v>
      </c>
      <c r="C1746">
        <f>IF(B1746&gt;'user input'!$C$6,0,IF('heat units'!H1746&gt;1,1,'heat units'!H1746))</f>
        <v>1</v>
      </c>
      <c r="D1746">
        <f>IF(B1746&gt;'user input'!$C$6,0,(C1746/(C1746+EXP('user input'!$C$15-'user input'!$C$14*C1746))))</f>
        <v>0.99996737202265329</v>
      </c>
      <c r="E1746">
        <f>IF(C1746&lt;'user input'!$C$12,(D1746-D1745)*'user input'!$C$17*(1-EXP(5*(F1745-'user input'!$C$17))),F1746-F1745)</f>
        <v>0</v>
      </c>
      <c r="F1746">
        <f>IF(C1746&lt;'user input'!$C$12,IF(B1746&gt;'user input'!$C$6,0,F1745+E1746),'user input'!$C$17*((1-C1746)/(1-'user input'!$C$12)))</f>
        <v>0</v>
      </c>
    </row>
    <row r="1747" spans="1:6" x14ac:dyDescent="0.2">
      <c r="A1747" s="1">
        <v>41923</v>
      </c>
      <c r="B1747">
        <v>285</v>
      </c>
      <c r="C1747">
        <f>IF(B1747&gt;'user input'!$C$6,0,IF('heat units'!H1747&gt;1,1,'heat units'!H1747))</f>
        <v>1</v>
      </c>
      <c r="D1747">
        <f>IF(B1747&gt;'user input'!$C$6,0,(C1747/(C1747+EXP('user input'!$C$15-'user input'!$C$14*C1747))))</f>
        <v>0.99996737202265329</v>
      </c>
      <c r="E1747">
        <f>IF(C1747&lt;'user input'!$C$12,(D1747-D1746)*'user input'!$C$17*(1-EXP(5*(F1746-'user input'!$C$17))),F1747-F1746)</f>
        <v>0</v>
      </c>
      <c r="F1747">
        <f>IF(C1747&lt;'user input'!$C$12,IF(B1747&gt;'user input'!$C$6,0,F1746+E1747),'user input'!$C$17*((1-C1747)/(1-'user input'!$C$12)))</f>
        <v>0</v>
      </c>
    </row>
    <row r="1748" spans="1:6" x14ac:dyDescent="0.2">
      <c r="A1748" s="1">
        <v>41924</v>
      </c>
      <c r="B1748">
        <v>286</v>
      </c>
      <c r="C1748">
        <f>IF(B1748&gt;'user input'!$C$6,0,IF('heat units'!H1748&gt;1,1,'heat units'!H1748))</f>
        <v>1</v>
      </c>
      <c r="D1748">
        <f>IF(B1748&gt;'user input'!$C$6,0,(C1748/(C1748+EXP('user input'!$C$15-'user input'!$C$14*C1748))))</f>
        <v>0.99996737202265329</v>
      </c>
      <c r="E1748">
        <f>IF(C1748&lt;'user input'!$C$12,(D1748-D1747)*'user input'!$C$17*(1-EXP(5*(F1747-'user input'!$C$17))),F1748-F1747)</f>
        <v>0</v>
      </c>
      <c r="F1748">
        <f>IF(C1748&lt;'user input'!$C$12,IF(B1748&gt;'user input'!$C$6,0,F1747+E1748),'user input'!$C$17*((1-C1748)/(1-'user input'!$C$12)))</f>
        <v>0</v>
      </c>
    </row>
    <row r="1749" spans="1:6" x14ac:dyDescent="0.2">
      <c r="A1749" s="1">
        <v>41925</v>
      </c>
      <c r="B1749">
        <v>287</v>
      </c>
      <c r="C1749">
        <f>IF(B1749&gt;'user input'!$C$6,0,IF('heat units'!H1749&gt;1,1,'heat units'!H1749))</f>
        <v>1</v>
      </c>
      <c r="D1749">
        <f>IF(B1749&gt;'user input'!$C$6,0,(C1749/(C1749+EXP('user input'!$C$15-'user input'!$C$14*C1749))))</f>
        <v>0.99996737202265329</v>
      </c>
      <c r="E1749">
        <f>IF(C1749&lt;'user input'!$C$12,(D1749-D1748)*'user input'!$C$17*(1-EXP(5*(F1748-'user input'!$C$17))),F1749-F1748)</f>
        <v>0</v>
      </c>
      <c r="F1749">
        <f>IF(C1749&lt;'user input'!$C$12,IF(B1749&gt;'user input'!$C$6,0,F1748+E1749),'user input'!$C$17*((1-C1749)/(1-'user input'!$C$12)))</f>
        <v>0</v>
      </c>
    </row>
    <row r="1750" spans="1:6" x14ac:dyDescent="0.2">
      <c r="A1750" s="1">
        <v>41926</v>
      </c>
      <c r="B1750">
        <v>288</v>
      </c>
      <c r="C1750">
        <f>IF(B1750&gt;'user input'!$C$6,0,IF('heat units'!H1750&gt;1,1,'heat units'!H1750))</f>
        <v>1</v>
      </c>
      <c r="D1750">
        <f>IF(B1750&gt;'user input'!$C$6,0,(C1750/(C1750+EXP('user input'!$C$15-'user input'!$C$14*C1750))))</f>
        <v>0.99996737202265329</v>
      </c>
      <c r="E1750">
        <f>IF(C1750&lt;'user input'!$C$12,(D1750-D1749)*'user input'!$C$17*(1-EXP(5*(F1749-'user input'!$C$17))),F1750-F1749)</f>
        <v>0</v>
      </c>
      <c r="F1750">
        <f>IF(C1750&lt;'user input'!$C$12,IF(B1750&gt;'user input'!$C$6,0,F1749+E1750),'user input'!$C$17*((1-C1750)/(1-'user input'!$C$12)))</f>
        <v>0</v>
      </c>
    </row>
    <row r="1751" spans="1:6" x14ac:dyDescent="0.2">
      <c r="A1751" s="1">
        <v>41927</v>
      </c>
      <c r="B1751">
        <v>289</v>
      </c>
      <c r="C1751">
        <f>IF(B1751&gt;'user input'!$C$6,0,IF('heat units'!H1751&gt;1,1,'heat units'!H1751))</f>
        <v>1</v>
      </c>
      <c r="D1751">
        <f>IF(B1751&gt;'user input'!$C$6,0,(C1751/(C1751+EXP('user input'!$C$15-'user input'!$C$14*C1751))))</f>
        <v>0.99996737202265329</v>
      </c>
      <c r="E1751">
        <f>IF(C1751&lt;'user input'!$C$12,(D1751-D1750)*'user input'!$C$17*(1-EXP(5*(F1750-'user input'!$C$17))),F1751-F1750)</f>
        <v>0</v>
      </c>
      <c r="F1751">
        <f>IF(C1751&lt;'user input'!$C$12,IF(B1751&gt;'user input'!$C$6,0,F1750+E1751),'user input'!$C$17*((1-C1751)/(1-'user input'!$C$12)))</f>
        <v>0</v>
      </c>
    </row>
    <row r="1752" spans="1:6" x14ac:dyDescent="0.2">
      <c r="A1752" s="1">
        <v>41928</v>
      </c>
      <c r="B1752">
        <v>290</v>
      </c>
      <c r="C1752">
        <f>IF(B1752&gt;'user input'!$C$6,0,IF('heat units'!H1752&gt;1,1,'heat units'!H1752))</f>
        <v>1</v>
      </c>
      <c r="D1752">
        <f>IF(B1752&gt;'user input'!$C$6,0,(C1752/(C1752+EXP('user input'!$C$15-'user input'!$C$14*C1752))))</f>
        <v>0.99996737202265329</v>
      </c>
      <c r="E1752">
        <f>IF(C1752&lt;'user input'!$C$12,(D1752-D1751)*'user input'!$C$17*(1-EXP(5*(F1751-'user input'!$C$17))),F1752-F1751)</f>
        <v>0</v>
      </c>
      <c r="F1752">
        <f>IF(C1752&lt;'user input'!$C$12,IF(B1752&gt;'user input'!$C$6,0,F1751+E1752),'user input'!$C$17*((1-C1752)/(1-'user input'!$C$12)))</f>
        <v>0</v>
      </c>
    </row>
    <row r="1753" spans="1:6" x14ac:dyDescent="0.2">
      <c r="A1753" s="1">
        <v>41929</v>
      </c>
      <c r="B1753">
        <v>291</v>
      </c>
      <c r="C1753">
        <f>IF(B1753&gt;'user input'!$C$6,0,IF('heat units'!H1753&gt;1,1,'heat units'!H1753))</f>
        <v>1</v>
      </c>
      <c r="D1753">
        <f>IF(B1753&gt;'user input'!$C$6,0,(C1753/(C1753+EXP('user input'!$C$15-'user input'!$C$14*C1753))))</f>
        <v>0.99996737202265329</v>
      </c>
      <c r="E1753">
        <f>IF(C1753&lt;'user input'!$C$12,(D1753-D1752)*'user input'!$C$17*(1-EXP(5*(F1752-'user input'!$C$17))),F1753-F1752)</f>
        <v>0</v>
      </c>
      <c r="F1753">
        <f>IF(C1753&lt;'user input'!$C$12,IF(B1753&gt;'user input'!$C$6,0,F1752+E1753),'user input'!$C$17*((1-C1753)/(1-'user input'!$C$12)))</f>
        <v>0</v>
      </c>
    </row>
    <row r="1754" spans="1:6" x14ac:dyDescent="0.2">
      <c r="A1754" s="1">
        <v>41930</v>
      </c>
      <c r="B1754">
        <v>292</v>
      </c>
      <c r="C1754">
        <f>IF(B1754&gt;'user input'!$C$6,0,IF('heat units'!H1754&gt;1,1,'heat units'!H1754))</f>
        <v>1</v>
      </c>
      <c r="D1754">
        <f>IF(B1754&gt;'user input'!$C$6,0,(C1754/(C1754+EXP('user input'!$C$15-'user input'!$C$14*C1754))))</f>
        <v>0.99996737202265329</v>
      </c>
      <c r="E1754">
        <f>IF(C1754&lt;'user input'!$C$12,(D1754-D1753)*'user input'!$C$17*(1-EXP(5*(F1753-'user input'!$C$17))),F1754-F1753)</f>
        <v>0</v>
      </c>
      <c r="F1754">
        <f>IF(C1754&lt;'user input'!$C$12,IF(B1754&gt;'user input'!$C$6,0,F1753+E1754),'user input'!$C$17*((1-C1754)/(1-'user input'!$C$12)))</f>
        <v>0</v>
      </c>
    </row>
    <row r="1755" spans="1:6" x14ac:dyDescent="0.2">
      <c r="A1755" s="1">
        <v>41931</v>
      </c>
      <c r="B1755">
        <v>293</v>
      </c>
      <c r="C1755">
        <f>IF(B1755&gt;'user input'!$C$6,0,IF('heat units'!H1755&gt;1,1,'heat units'!H1755))</f>
        <v>1</v>
      </c>
      <c r="D1755">
        <f>IF(B1755&gt;'user input'!$C$6,0,(C1755/(C1755+EXP('user input'!$C$15-'user input'!$C$14*C1755))))</f>
        <v>0.99996737202265329</v>
      </c>
      <c r="E1755">
        <f>IF(C1755&lt;'user input'!$C$12,(D1755-D1754)*'user input'!$C$17*(1-EXP(5*(F1754-'user input'!$C$17))),F1755-F1754)</f>
        <v>0</v>
      </c>
      <c r="F1755">
        <f>IF(C1755&lt;'user input'!$C$12,IF(B1755&gt;'user input'!$C$6,0,F1754+E1755),'user input'!$C$17*((1-C1755)/(1-'user input'!$C$12)))</f>
        <v>0</v>
      </c>
    </row>
    <row r="1756" spans="1:6" x14ac:dyDescent="0.2">
      <c r="A1756" s="1">
        <v>41932</v>
      </c>
      <c r="B1756">
        <v>294</v>
      </c>
      <c r="C1756">
        <f>IF(B1756&gt;'user input'!$C$6,0,IF('heat units'!H1756&gt;1,1,'heat units'!H1756))</f>
        <v>1</v>
      </c>
      <c r="D1756">
        <f>IF(B1756&gt;'user input'!$C$6,0,(C1756/(C1756+EXP('user input'!$C$15-'user input'!$C$14*C1756))))</f>
        <v>0.99996737202265329</v>
      </c>
      <c r="E1756">
        <f>IF(C1756&lt;'user input'!$C$12,(D1756-D1755)*'user input'!$C$17*(1-EXP(5*(F1755-'user input'!$C$17))),F1756-F1755)</f>
        <v>0</v>
      </c>
      <c r="F1756">
        <f>IF(C1756&lt;'user input'!$C$12,IF(B1756&gt;'user input'!$C$6,0,F1755+E1756),'user input'!$C$17*((1-C1756)/(1-'user input'!$C$12)))</f>
        <v>0</v>
      </c>
    </row>
    <row r="1757" spans="1:6" x14ac:dyDescent="0.2">
      <c r="A1757" s="1">
        <v>41933</v>
      </c>
      <c r="B1757">
        <v>295</v>
      </c>
      <c r="C1757">
        <f>IF(B1757&gt;'user input'!$C$6,0,IF('heat units'!H1757&gt;1,1,'heat units'!H1757))</f>
        <v>1</v>
      </c>
      <c r="D1757">
        <f>IF(B1757&gt;'user input'!$C$6,0,(C1757/(C1757+EXP('user input'!$C$15-'user input'!$C$14*C1757))))</f>
        <v>0.99996737202265329</v>
      </c>
      <c r="E1757">
        <f>IF(C1757&lt;'user input'!$C$12,(D1757-D1756)*'user input'!$C$17*(1-EXP(5*(F1756-'user input'!$C$17))),F1757-F1756)</f>
        <v>0</v>
      </c>
      <c r="F1757">
        <f>IF(C1757&lt;'user input'!$C$12,IF(B1757&gt;'user input'!$C$6,0,F1756+E1757),'user input'!$C$17*((1-C1757)/(1-'user input'!$C$12)))</f>
        <v>0</v>
      </c>
    </row>
    <row r="1758" spans="1:6" x14ac:dyDescent="0.2">
      <c r="A1758" s="1">
        <v>41934</v>
      </c>
      <c r="B1758">
        <v>296</v>
      </c>
      <c r="C1758">
        <f>IF(B1758&gt;'user input'!$C$6,0,IF('heat units'!H1758&gt;1,1,'heat units'!H1758))</f>
        <v>1</v>
      </c>
      <c r="D1758">
        <f>IF(B1758&gt;'user input'!$C$6,0,(C1758/(C1758+EXP('user input'!$C$15-'user input'!$C$14*C1758))))</f>
        <v>0.99996737202265329</v>
      </c>
      <c r="E1758">
        <f>IF(C1758&lt;'user input'!$C$12,(D1758-D1757)*'user input'!$C$17*(1-EXP(5*(F1757-'user input'!$C$17))),F1758-F1757)</f>
        <v>0</v>
      </c>
      <c r="F1758">
        <f>IF(C1758&lt;'user input'!$C$12,IF(B1758&gt;'user input'!$C$6,0,F1757+E1758),'user input'!$C$17*((1-C1758)/(1-'user input'!$C$12)))</f>
        <v>0</v>
      </c>
    </row>
    <row r="1759" spans="1:6" x14ac:dyDescent="0.2">
      <c r="A1759" s="1">
        <v>41935</v>
      </c>
      <c r="B1759">
        <v>297</v>
      </c>
      <c r="C1759">
        <f>IF(B1759&gt;'user input'!$C$6,0,IF('heat units'!H1759&gt;1,1,'heat units'!H1759))</f>
        <v>1</v>
      </c>
      <c r="D1759">
        <f>IF(B1759&gt;'user input'!$C$6,0,(C1759/(C1759+EXP('user input'!$C$15-'user input'!$C$14*C1759))))</f>
        <v>0.99996737202265329</v>
      </c>
      <c r="E1759">
        <f>IF(C1759&lt;'user input'!$C$12,(D1759-D1758)*'user input'!$C$17*(1-EXP(5*(F1758-'user input'!$C$17))),F1759-F1758)</f>
        <v>0</v>
      </c>
      <c r="F1759">
        <f>IF(C1759&lt;'user input'!$C$12,IF(B1759&gt;'user input'!$C$6,0,F1758+E1759),'user input'!$C$17*((1-C1759)/(1-'user input'!$C$12)))</f>
        <v>0</v>
      </c>
    </row>
    <row r="1760" spans="1:6" x14ac:dyDescent="0.2">
      <c r="A1760" s="1">
        <v>41936</v>
      </c>
      <c r="B1760">
        <v>298</v>
      </c>
      <c r="C1760">
        <f>IF(B1760&gt;'user input'!$C$6,0,IF('heat units'!H1760&gt;1,1,'heat units'!H1760))</f>
        <v>1</v>
      </c>
      <c r="D1760">
        <f>IF(B1760&gt;'user input'!$C$6,0,(C1760/(C1760+EXP('user input'!$C$15-'user input'!$C$14*C1760))))</f>
        <v>0.99996737202265329</v>
      </c>
      <c r="E1760">
        <f>IF(C1760&lt;'user input'!$C$12,(D1760-D1759)*'user input'!$C$17*(1-EXP(5*(F1759-'user input'!$C$17))),F1760-F1759)</f>
        <v>0</v>
      </c>
      <c r="F1760">
        <f>IF(C1760&lt;'user input'!$C$12,IF(B1760&gt;'user input'!$C$6,0,F1759+E1760),'user input'!$C$17*((1-C1760)/(1-'user input'!$C$12)))</f>
        <v>0</v>
      </c>
    </row>
    <row r="1761" spans="1:6" x14ac:dyDescent="0.2">
      <c r="A1761" s="1">
        <v>41937</v>
      </c>
      <c r="B1761">
        <v>299</v>
      </c>
      <c r="C1761">
        <f>IF(B1761&gt;'user input'!$C$6,0,IF('heat units'!H1761&gt;1,1,'heat units'!H1761))</f>
        <v>1</v>
      </c>
      <c r="D1761">
        <f>IF(B1761&gt;'user input'!$C$6,0,(C1761/(C1761+EXP('user input'!$C$15-'user input'!$C$14*C1761))))</f>
        <v>0.99996737202265329</v>
      </c>
      <c r="E1761">
        <f>IF(C1761&lt;'user input'!$C$12,(D1761-D1760)*'user input'!$C$17*(1-EXP(5*(F1760-'user input'!$C$17))),F1761-F1760)</f>
        <v>0</v>
      </c>
      <c r="F1761">
        <f>IF(C1761&lt;'user input'!$C$12,IF(B1761&gt;'user input'!$C$6,0,F1760+E1761),'user input'!$C$17*((1-C1761)/(1-'user input'!$C$12)))</f>
        <v>0</v>
      </c>
    </row>
    <row r="1762" spans="1:6" x14ac:dyDescent="0.2">
      <c r="A1762" s="1">
        <v>41938</v>
      </c>
      <c r="B1762">
        <v>300</v>
      </c>
      <c r="C1762">
        <f>IF(B1762&gt;'user input'!$C$6,0,IF('heat units'!H1762&gt;1,1,'heat units'!H1762))</f>
        <v>1</v>
      </c>
      <c r="D1762">
        <f>IF(B1762&gt;'user input'!$C$6,0,(C1762/(C1762+EXP('user input'!$C$15-'user input'!$C$14*C1762))))</f>
        <v>0.99996737202265329</v>
      </c>
      <c r="E1762">
        <f>IF(C1762&lt;'user input'!$C$12,(D1762-D1761)*'user input'!$C$17*(1-EXP(5*(F1761-'user input'!$C$17))),F1762-F1761)</f>
        <v>0</v>
      </c>
      <c r="F1762">
        <f>IF(C1762&lt;'user input'!$C$12,IF(B1762&gt;'user input'!$C$6,0,F1761+E1762),'user input'!$C$17*((1-C1762)/(1-'user input'!$C$12)))</f>
        <v>0</v>
      </c>
    </row>
    <row r="1763" spans="1:6" x14ac:dyDescent="0.2">
      <c r="A1763" s="1">
        <v>41939</v>
      </c>
      <c r="B1763">
        <v>301</v>
      </c>
      <c r="C1763">
        <f>IF(B1763&gt;'user input'!$C$6,0,IF('heat units'!H1763&gt;1,1,'heat units'!H1763))</f>
        <v>1</v>
      </c>
      <c r="D1763">
        <f>IF(B1763&gt;'user input'!$C$6,0,(C1763/(C1763+EXP('user input'!$C$15-'user input'!$C$14*C1763))))</f>
        <v>0.99996737202265329</v>
      </c>
      <c r="E1763">
        <f>IF(C1763&lt;'user input'!$C$12,(D1763-D1762)*'user input'!$C$17*(1-EXP(5*(F1762-'user input'!$C$17))),F1763-F1762)</f>
        <v>0</v>
      </c>
      <c r="F1763">
        <f>IF(C1763&lt;'user input'!$C$12,IF(B1763&gt;'user input'!$C$6,0,F1762+E1763),'user input'!$C$17*((1-C1763)/(1-'user input'!$C$12)))</f>
        <v>0</v>
      </c>
    </row>
    <row r="1764" spans="1:6" x14ac:dyDescent="0.2">
      <c r="A1764" s="1">
        <v>41940</v>
      </c>
      <c r="B1764">
        <v>302</v>
      </c>
      <c r="C1764">
        <f>IF(B1764&gt;'user input'!$C$6,0,IF('heat units'!H1764&gt;1,1,'heat units'!H1764))</f>
        <v>1</v>
      </c>
      <c r="D1764">
        <f>IF(B1764&gt;'user input'!$C$6,0,(C1764/(C1764+EXP('user input'!$C$15-'user input'!$C$14*C1764))))</f>
        <v>0.99996737202265329</v>
      </c>
      <c r="E1764">
        <f>IF(C1764&lt;'user input'!$C$12,(D1764-D1763)*'user input'!$C$17*(1-EXP(5*(F1763-'user input'!$C$17))),F1764-F1763)</f>
        <v>0</v>
      </c>
      <c r="F1764">
        <f>IF(C1764&lt;'user input'!$C$12,IF(B1764&gt;'user input'!$C$6,0,F1763+E1764),'user input'!$C$17*((1-C1764)/(1-'user input'!$C$12)))</f>
        <v>0</v>
      </c>
    </row>
    <row r="1765" spans="1:6" x14ac:dyDescent="0.2">
      <c r="A1765" s="1">
        <v>41941</v>
      </c>
      <c r="B1765">
        <v>303</v>
      </c>
      <c r="C1765">
        <f>IF(B1765&gt;'user input'!$C$6,0,IF('heat units'!H1765&gt;1,1,'heat units'!H1765))</f>
        <v>1</v>
      </c>
      <c r="D1765">
        <f>IF(B1765&gt;'user input'!$C$6,0,(C1765/(C1765+EXP('user input'!$C$15-'user input'!$C$14*C1765))))</f>
        <v>0.99996737202265329</v>
      </c>
      <c r="E1765">
        <f>IF(C1765&lt;'user input'!$C$12,(D1765-D1764)*'user input'!$C$17*(1-EXP(5*(F1764-'user input'!$C$17))),F1765-F1764)</f>
        <v>0</v>
      </c>
      <c r="F1765">
        <f>IF(C1765&lt;'user input'!$C$12,IF(B1765&gt;'user input'!$C$6,0,F1764+E1765),'user input'!$C$17*((1-C1765)/(1-'user input'!$C$12)))</f>
        <v>0</v>
      </c>
    </row>
    <row r="1766" spans="1:6" x14ac:dyDescent="0.2">
      <c r="A1766" s="1">
        <v>41942</v>
      </c>
      <c r="B1766">
        <v>304</v>
      </c>
      <c r="C1766">
        <f>IF(B1766&gt;'user input'!$C$6,0,IF('heat units'!H1766&gt;1,1,'heat units'!H1766))</f>
        <v>1</v>
      </c>
      <c r="D1766">
        <f>IF(B1766&gt;'user input'!$C$6,0,(C1766/(C1766+EXP('user input'!$C$15-'user input'!$C$14*C1766))))</f>
        <v>0.99996737202265329</v>
      </c>
      <c r="E1766">
        <f>IF(C1766&lt;'user input'!$C$12,(D1766-D1765)*'user input'!$C$17*(1-EXP(5*(F1765-'user input'!$C$17))),F1766-F1765)</f>
        <v>0</v>
      </c>
      <c r="F1766">
        <f>IF(C1766&lt;'user input'!$C$12,IF(B1766&gt;'user input'!$C$6,0,F1765+E1766),'user input'!$C$17*((1-C1766)/(1-'user input'!$C$12)))</f>
        <v>0</v>
      </c>
    </row>
    <row r="1767" spans="1:6" x14ac:dyDescent="0.2">
      <c r="A1767" s="1">
        <v>41943</v>
      </c>
      <c r="B1767">
        <v>305</v>
      </c>
      <c r="C1767">
        <f>IF(B1767&gt;'user input'!$C$6,0,IF('heat units'!H1767&gt;1,1,'heat units'!H1767))</f>
        <v>1</v>
      </c>
      <c r="D1767">
        <f>IF(B1767&gt;'user input'!$C$6,0,(C1767/(C1767+EXP('user input'!$C$15-'user input'!$C$14*C1767))))</f>
        <v>0.99996737202265329</v>
      </c>
      <c r="E1767">
        <f>IF(C1767&lt;'user input'!$C$12,(D1767-D1766)*'user input'!$C$17*(1-EXP(5*(F1766-'user input'!$C$17))),F1767-F1766)</f>
        <v>0</v>
      </c>
      <c r="F1767">
        <f>IF(C1767&lt;'user input'!$C$12,IF(B1767&gt;'user input'!$C$6,0,F1766+E1767),'user input'!$C$17*((1-C1767)/(1-'user input'!$C$12)))</f>
        <v>0</v>
      </c>
    </row>
    <row r="1768" spans="1:6" x14ac:dyDescent="0.2">
      <c r="A1768" s="1">
        <v>41944</v>
      </c>
      <c r="B1768">
        <v>306</v>
      </c>
      <c r="C1768">
        <f>IF(B1768&gt;'user input'!$C$6,0,IF('heat units'!H1768&gt;1,1,'heat units'!H1768))</f>
        <v>1</v>
      </c>
      <c r="D1768">
        <f>IF(B1768&gt;'user input'!$C$6,0,(C1768/(C1768+EXP('user input'!$C$15-'user input'!$C$14*C1768))))</f>
        <v>0.99996737202265329</v>
      </c>
      <c r="E1768">
        <f>IF(C1768&lt;'user input'!$C$12,(D1768-D1767)*'user input'!$C$17*(1-EXP(5*(F1767-'user input'!$C$17))),F1768-F1767)</f>
        <v>0</v>
      </c>
      <c r="F1768">
        <f>IF(C1768&lt;'user input'!$C$12,IF(B1768&gt;'user input'!$C$6,0,F1767+E1768),'user input'!$C$17*((1-C1768)/(1-'user input'!$C$12)))</f>
        <v>0</v>
      </c>
    </row>
    <row r="1769" spans="1:6" x14ac:dyDescent="0.2">
      <c r="A1769" s="1">
        <v>41945</v>
      </c>
      <c r="B1769">
        <v>307</v>
      </c>
      <c r="C1769">
        <f>IF(B1769&gt;'user input'!$C$6,0,IF('heat units'!H1769&gt;1,1,'heat units'!H1769))</f>
        <v>1</v>
      </c>
      <c r="D1769">
        <f>IF(B1769&gt;'user input'!$C$6,0,(C1769/(C1769+EXP('user input'!$C$15-'user input'!$C$14*C1769))))</f>
        <v>0.99996737202265329</v>
      </c>
      <c r="E1769">
        <f>IF(C1769&lt;'user input'!$C$12,(D1769-D1768)*'user input'!$C$17*(1-EXP(5*(F1768-'user input'!$C$17))),F1769-F1768)</f>
        <v>0</v>
      </c>
      <c r="F1769">
        <f>IF(C1769&lt;'user input'!$C$12,IF(B1769&gt;'user input'!$C$6,0,F1768+E1769),'user input'!$C$17*((1-C1769)/(1-'user input'!$C$12)))</f>
        <v>0</v>
      </c>
    </row>
    <row r="1770" spans="1:6" x14ac:dyDescent="0.2">
      <c r="A1770" s="1">
        <v>41946</v>
      </c>
      <c r="B1770">
        <v>308</v>
      </c>
      <c r="C1770">
        <f>IF(B1770&gt;'user input'!$C$6,0,IF('heat units'!H1770&gt;1,1,'heat units'!H1770))</f>
        <v>1</v>
      </c>
      <c r="D1770">
        <f>IF(B1770&gt;'user input'!$C$6,0,(C1770/(C1770+EXP('user input'!$C$15-'user input'!$C$14*C1770))))</f>
        <v>0.99996737202265329</v>
      </c>
      <c r="E1770">
        <f>IF(C1770&lt;'user input'!$C$12,(D1770-D1769)*'user input'!$C$17*(1-EXP(5*(F1769-'user input'!$C$17))),F1770-F1769)</f>
        <v>0</v>
      </c>
      <c r="F1770">
        <f>IF(C1770&lt;'user input'!$C$12,IF(B1770&gt;'user input'!$C$6,0,F1769+E1770),'user input'!$C$17*((1-C1770)/(1-'user input'!$C$12)))</f>
        <v>0</v>
      </c>
    </row>
    <row r="1771" spans="1:6" x14ac:dyDescent="0.2">
      <c r="A1771" s="1">
        <v>41947</v>
      </c>
      <c r="B1771">
        <v>309</v>
      </c>
      <c r="C1771">
        <f>IF(B1771&gt;'user input'!$C$6,0,IF('heat units'!H1771&gt;1,1,'heat units'!H1771))</f>
        <v>1</v>
      </c>
      <c r="D1771">
        <f>IF(B1771&gt;'user input'!$C$6,0,(C1771/(C1771+EXP('user input'!$C$15-'user input'!$C$14*C1771))))</f>
        <v>0.99996737202265329</v>
      </c>
      <c r="E1771">
        <f>IF(C1771&lt;'user input'!$C$12,(D1771-D1770)*'user input'!$C$17*(1-EXP(5*(F1770-'user input'!$C$17))),F1771-F1770)</f>
        <v>0</v>
      </c>
      <c r="F1771">
        <f>IF(C1771&lt;'user input'!$C$12,IF(B1771&gt;'user input'!$C$6,0,F1770+E1771),'user input'!$C$17*((1-C1771)/(1-'user input'!$C$12)))</f>
        <v>0</v>
      </c>
    </row>
    <row r="1772" spans="1:6" x14ac:dyDescent="0.2">
      <c r="A1772" s="1">
        <v>41948</v>
      </c>
      <c r="B1772">
        <v>310</v>
      </c>
      <c r="C1772">
        <f>IF(B1772&gt;'user input'!$C$6,0,IF('heat units'!H1772&gt;1,1,'heat units'!H1772))</f>
        <v>1</v>
      </c>
      <c r="D1772">
        <f>IF(B1772&gt;'user input'!$C$6,0,(C1772/(C1772+EXP('user input'!$C$15-'user input'!$C$14*C1772))))</f>
        <v>0.99996737202265329</v>
      </c>
      <c r="E1772">
        <f>IF(C1772&lt;'user input'!$C$12,(D1772-D1771)*'user input'!$C$17*(1-EXP(5*(F1771-'user input'!$C$17))),F1772-F1771)</f>
        <v>0</v>
      </c>
      <c r="F1772">
        <f>IF(C1772&lt;'user input'!$C$12,IF(B1772&gt;'user input'!$C$6,0,F1771+E1772),'user input'!$C$17*((1-C1772)/(1-'user input'!$C$12)))</f>
        <v>0</v>
      </c>
    </row>
    <row r="1773" spans="1:6" x14ac:dyDescent="0.2">
      <c r="A1773" s="1">
        <v>41949</v>
      </c>
      <c r="B1773">
        <v>311</v>
      </c>
      <c r="C1773">
        <f>IF(B1773&gt;'user input'!$C$6,0,IF('heat units'!H1773&gt;1,1,'heat units'!H1773))</f>
        <v>1</v>
      </c>
      <c r="D1773">
        <f>IF(B1773&gt;'user input'!$C$6,0,(C1773/(C1773+EXP('user input'!$C$15-'user input'!$C$14*C1773))))</f>
        <v>0.99996737202265329</v>
      </c>
      <c r="E1773">
        <f>IF(C1773&lt;'user input'!$C$12,(D1773-D1772)*'user input'!$C$17*(1-EXP(5*(F1772-'user input'!$C$17))),F1773-F1772)</f>
        <v>0</v>
      </c>
      <c r="F1773">
        <f>IF(C1773&lt;'user input'!$C$12,IF(B1773&gt;'user input'!$C$6,0,F1772+E1773),'user input'!$C$17*((1-C1773)/(1-'user input'!$C$12)))</f>
        <v>0</v>
      </c>
    </row>
    <row r="1774" spans="1:6" x14ac:dyDescent="0.2">
      <c r="A1774" s="1">
        <v>41950</v>
      </c>
      <c r="B1774">
        <v>312</v>
      </c>
      <c r="C1774">
        <f>IF(B1774&gt;'user input'!$C$6,0,IF('heat units'!H1774&gt;1,1,'heat units'!H1774))</f>
        <v>1</v>
      </c>
      <c r="D1774">
        <f>IF(B1774&gt;'user input'!$C$6,0,(C1774/(C1774+EXP('user input'!$C$15-'user input'!$C$14*C1774))))</f>
        <v>0.99996737202265329</v>
      </c>
      <c r="E1774">
        <f>IF(C1774&lt;'user input'!$C$12,(D1774-D1773)*'user input'!$C$17*(1-EXP(5*(F1773-'user input'!$C$17))),F1774-F1773)</f>
        <v>0</v>
      </c>
      <c r="F1774">
        <f>IF(C1774&lt;'user input'!$C$12,IF(B1774&gt;'user input'!$C$6,0,F1773+E1774),'user input'!$C$17*((1-C1774)/(1-'user input'!$C$12)))</f>
        <v>0</v>
      </c>
    </row>
    <row r="1775" spans="1:6" x14ac:dyDescent="0.2">
      <c r="A1775" s="1">
        <v>41951</v>
      </c>
      <c r="B1775">
        <v>313</v>
      </c>
      <c r="C1775">
        <f>IF(B1775&gt;'user input'!$C$6,0,IF('heat units'!H1775&gt;1,1,'heat units'!H1775))</f>
        <v>1</v>
      </c>
      <c r="D1775">
        <f>IF(B1775&gt;'user input'!$C$6,0,(C1775/(C1775+EXP('user input'!$C$15-'user input'!$C$14*C1775))))</f>
        <v>0.99996737202265329</v>
      </c>
      <c r="E1775">
        <f>IF(C1775&lt;'user input'!$C$12,(D1775-D1774)*'user input'!$C$17*(1-EXP(5*(F1774-'user input'!$C$17))),F1775-F1774)</f>
        <v>0</v>
      </c>
      <c r="F1775">
        <f>IF(C1775&lt;'user input'!$C$12,IF(B1775&gt;'user input'!$C$6,0,F1774+E1775),'user input'!$C$17*((1-C1775)/(1-'user input'!$C$12)))</f>
        <v>0</v>
      </c>
    </row>
    <row r="1776" spans="1:6" x14ac:dyDescent="0.2">
      <c r="A1776" s="1">
        <v>41952</v>
      </c>
      <c r="B1776">
        <v>314</v>
      </c>
      <c r="C1776">
        <f>IF(B1776&gt;'user input'!$C$6,0,IF('heat units'!H1776&gt;1,1,'heat units'!H1776))</f>
        <v>1</v>
      </c>
      <c r="D1776">
        <f>IF(B1776&gt;'user input'!$C$6,0,(C1776/(C1776+EXP('user input'!$C$15-'user input'!$C$14*C1776))))</f>
        <v>0.99996737202265329</v>
      </c>
      <c r="E1776">
        <f>IF(C1776&lt;'user input'!$C$12,(D1776-D1775)*'user input'!$C$17*(1-EXP(5*(F1775-'user input'!$C$17))),F1776-F1775)</f>
        <v>0</v>
      </c>
      <c r="F1776">
        <f>IF(C1776&lt;'user input'!$C$12,IF(B1776&gt;'user input'!$C$6,0,F1775+E1776),'user input'!$C$17*((1-C1776)/(1-'user input'!$C$12)))</f>
        <v>0</v>
      </c>
    </row>
    <row r="1777" spans="1:6" x14ac:dyDescent="0.2">
      <c r="A1777" s="1">
        <v>41953</v>
      </c>
      <c r="B1777">
        <v>315</v>
      </c>
      <c r="C1777">
        <f>IF(B1777&gt;'user input'!$C$6,0,IF('heat units'!H1777&gt;1,1,'heat units'!H1777))</f>
        <v>1</v>
      </c>
      <c r="D1777">
        <f>IF(B1777&gt;'user input'!$C$6,0,(C1777/(C1777+EXP('user input'!$C$15-'user input'!$C$14*C1777))))</f>
        <v>0.99996737202265329</v>
      </c>
      <c r="E1777">
        <f>IF(C1777&lt;'user input'!$C$12,(D1777-D1776)*'user input'!$C$17*(1-EXP(5*(F1776-'user input'!$C$17))),F1777-F1776)</f>
        <v>0</v>
      </c>
      <c r="F1777">
        <f>IF(C1777&lt;'user input'!$C$12,IF(B1777&gt;'user input'!$C$6,0,F1776+E1777),'user input'!$C$17*((1-C1777)/(1-'user input'!$C$12)))</f>
        <v>0</v>
      </c>
    </row>
    <row r="1778" spans="1:6" x14ac:dyDescent="0.2">
      <c r="A1778" s="1">
        <v>41954</v>
      </c>
      <c r="B1778">
        <v>316</v>
      </c>
      <c r="C1778">
        <f>IF(B1778&gt;'user input'!$C$6,0,IF('heat units'!H1778&gt;1,1,'heat units'!H1778))</f>
        <v>1</v>
      </c>
      <c r="D1778">
        <f>IF(B1778&gt;'user input'!$C$6,0,(C1778/(C1778+EXP('user input'!$C$15-'user input'!$C$14*C1778))))</f>
        <v>0.99996737202265329</v>
      </c>
      <c r="E1778">
        <f>IF(C1778&lt;'user input'!$C$12,(D1778-D1777)*'user input'!$C$17*(1-EXP(5*(F1777-'user input'!$C$17))),F1778-F1777)</f>
        <v>0</v>
      </c>
      <c r="F1778">
        <f>IF(C1778&lt;'user input'!$C$12,IF(B1778&gt;'user input'!$C$6,0,F1777+E1778),'user input'!$C$17*((1-C1778)/(1-'user input'!$C$12)))</f>
        <v>0</v>
      </c>
    </row>
    <row r="1779" spans="1:6" x14ac:dyDescent="0.2">
      <c r="A1779" s="1">
        <v>41955</v>
      </c>
      <c r="B1779">
        <v>317</v>
      </c>
      <c r="C1779">
        <f>IF(B1779&gt;'user input'!$C$6,0,IF('heat units'!H1779&gt;1,1,'heat units'!H1779))</f>
        <v>1</v>
      </c>
      <c r="D1779">
        <f>IF(B1779&gt;'user input'!$C$6,0,(C1779/(C1779+EXP('user input'!$C$15-'user input'!$C$14*C1779))))</f>
        <v>0.99996737202265329</v>
      </c>
      <c r="E1779">
        <f>IF(C1779&lt;'user input'!$C$12,(D1779-D1778)*'user input'!$C$17*(1-EXP(5*(F1778-'user input'!$C$17))),F1779-F1778)</f>
        <v>0</v>
      </c>
      <c r="F1779">
        <f>IF(C1779&lt;'user input'!$C$12,IF(B1779&gt;'user input'!$C$6,0,F1778+E1779),'user input'!$C$17*((1-C1779)/(1-'user input'!$C$12)))</f>
        <v>0</v>
      </c>
    </row>
    <row r="1780" spans="1:6" x14ac:dyDescent="0.2">
      <c r="A1780" s="1">
        <v>41956</v>
      </c>
      <c r="B1780">
        <v>318</v>
      </c>
      <c r="C1780">
        <f>IF(B1780&gt;'user input'!$C$6,0,IF('heat units'!H1780&gt;1,1,'heat units'!H1780))</f>
        <v>1</v>
      </c>
      <c r="D1780">
        <f>IF(B1780&gt;'user input'!$C$6,0,(C1780/(C1780+EXP('user input'!$C$15-'user input'!$C$14*C1780))))</f>
        <v>0.99996737202265329</v>
      </c>
      <c r="E1780">
        <f>IF(C1780&lt;'user input'!$C$12,(D1780-D1779)*'user input'!$C$17*(1-EXP(5*(F1779-'user input'!$C$17))),F1780-F1779)</f>
        <v>0</v>
      </c>
      <c r="F1780">
        <f>IF(C1780&lt;'user input'!$C$12,IF(B1780&gt;'user input'!$C$6,0,F1779+E1780),'user input'!$C$17*((1-C1780)/(1-'user input'!$C$12)))</f>
        <v>0</v>
      </c>
    </row>
    <row r="1781" spans="1:6" x14ac:dyDescent="0.2">
      <c r="A1781" s="1">
        <v>41957</v>
      </c>
      <c r="B1781">
        <v>319</v>
      </c>
      <c r="C1781">
        <f>IF(B1781&gt;'user input'!$C$6,0,IF('heat units'!H1781&gt;1,1,'heat units'!H1781))</f>
        <v>1</v>
      </c>
      <c r="D1781">
        <f>IF(B1781&gt;'user input'!$C$6,0,(C1781/(C1781+EXP('user input'!$C$15-'user input'!$C$14*C1781))))</f>
        <v>0.99996737202265329</v>
      </c>
      <c r="E1781">
        <f>IF(C1781&lt;'user input'!$C$12,(D1781-D1780)*'user input'!$C$17*(1-EXP(5*(F1780-'user input'!$C$17))),F1781-F1780)</f>
        <v>0</v>
      </c>
      <c r="F1781">
        <f>IF(C1781&lt;'user input'!$C$12,IF(B1781&gt;'user input'!$C$6,0,F1780+E1781),'user input'!$C$17*((1-C1781)/(1-'user input'!$C$12)))</f>
        <v>0</v>
      </c>
    </row>
    <row r="1782" spans="1:6" x14ac:dyDescent="0.2">
      <c r="A1782" s="1">
        <v>41958</v>
      </c>
      <c r="B1782">
        <v>320</v>
      </c>
      <c r="C1782">
        <f>IF(B1782&gt;'user input'!$C$6,0,IF('heat units'!H1782&gt;1,1,'heat units'!H1782))</f>
        <v>0</v>
      </c>
      <c r="D1782">
        <f>IF(B1782&gt;'user input'!$C$6,0,(C1782/(C1782+EXP('user input'!$C$15-'user input'!$C$14*C1782))))</f>
        <v>0</v>
      </c>
      <c r="E1782">
        <f>IF(C1782&lt;'user input'!$C$12,(D1782-D1781)*'user input'!$C$17*(1-EXP(5*(F1781-'user input'!$C$17))),F1782-F1781)</f>
        <v>-2.9999011983909414</v>
      </c>
      <c r="F1782">
        <f>IF(C1782&lt;'user input'!$C$12,IF(B1782&gt;'user input'!$C$6,0,F1781+E1782),'user input'!$C$17*((1-C1782)/(1-'user input'!$C$12)))</f>
        <v>0</v>
      </c>
    </row>
    <row r="1783" spans="1:6" x14ac:dyDescent="0.2">
      <c r="A1783" s="1">
        <v>41959</v>
      </c>
      <c r="B1783">
        <v>321</v>
      </c>
      <c r="C1783">
        <f>IF(B1783&gt;'user input'!$C$6,0,IF('heat units'!H1783&gt;1,1,'heat units'!H1783))</f>
        <v>0</v>
      </c>
      <c r="D1783">
        <f>IF(B1783&gt;'user input'!$C$6,0,(C1783/(C1783+EXP('user input'!$C$15-'user input'!$C$14*C1783))))</f>
        <v>0</v>
      </c>
      <c r="E1783">
        <f>IF(C1783&lt;'user input'!$C$12,(D1783-D1782)*'user input'!$C$17*(1-EXP(5*(F1782-'user input'!$C$17))),F1783-F1782)</f>
        <v>0</v>
      </c>
      <c r="F1783">
        <f>IF(C1783&lt;'user input'!$C$12,IF(B1783&gt;'user input'!$C$6,0,F1782+E1783),'user input'!$C$17*((1-C1783)/(1-'user input'!$C$12)))</f>
        <v>0</v>
      </c>
    </row>
    <row r="1784" spans="1:6" x14ac:dyDescent="0.2">
      <c r="A1784" s="1">
        <v>41960</v>
      </c>
      <c r="B1784">
        <v>322</v>
      </c>
      <c r="C1784">
        <f>IF(B1784&gt;'user input'!$C$6,0,IF('heat units'!H1784&gt;1,1,'heat units'!H1784))</f>
        <v>0</v>
      </c>
      <c r="D1784">
        <f>IF(B1784&gt;'user input'!$C$6,0,(C1784/(C1784+EXP('user input'!$C$15-'user input'!$C$14*C1784))))</f>
        <v>0</v>
      </c>
      <c r="E1784">
        <f>IF(C1784&lt;'user input'!$C$12,(D1784-D1783)*'user input'!$C$17*(1-EXP(5*(F1783-'user input'!$C$17))),F1784-F1783)</f>
        <v>0</v>
      </c>
      <c r="F1784">
        <f>IF(C1784&lt;'user input'!$C$12,IF(B1784&gt;'user input'!$C$6,0,F1783+E1784),'user input'!$C$17*((1-C1784)/(1-'user input'!$C$12)))</f>
        <v>0</v>
      </c>
    </row>
    <row r="1785" spans="1:6" x14ac:dyDescent="0.2">
      <c r="A1785" s="1">
        <v>41961</v>
      </c>
      <c r="B1785">
        <v>323</v>
      </c>
      <c r="C1785">
        <f>IF(B1785&gt;'user input'!$C$6,0,IF('heat units'!H1785&gt;1,1,'heat units'!H1785))</f>
        <v>0</v>
      </c>
      <c r="D1785">
        <f>IF(B1785&gt;'user input'!$C$6,0,(C1785/(C1785+EXP('user input'!$C$15-'user input'!$C$14*C1785))))</f>
        <v>0</v>
      </c>
      <c r="E1785">
        <f>IF(C1785&lt;'user input'!$C$12,(D1785-D1784)*'user input'!$C$17*(1-EXP(5*(F1784-'user input'!$C$17))),F1785-F1784)</f>
        <v>0</v>
      </c>
      <c r="F1785">
        <f>IF(C1785&lt;'user input'!$C$12,IF(B1785&gt;'user input'!$C$6,0,F1784+E1785),'user input'!$C$17*((1-C1785)/(1-'user input'!$C$12)))</f>
        <v>0</v>
      </c>
    </row>
    <row r="1786" spans="1:6" x14ac:dyDescent="0.2">
      <c r="A1786" s="1">
        <v>41962</v>
      </c>
      <c r="B1786">
        <v>324</v>
      </c>
      <c r="C1786">
        <f>IF(B1786&gt;'user input'!$C$6,0,IF('heat units'!H1786&gt;1,1,'heat units'!H1786))</f>
        <v>0</v>
      </c>
      <c r="D1786">
        <f>IF(B1786&gt;'user input'!$C$6,0,(C1786/(C1786+EXP('user input'!$C$15-'user input'!$C$14*C1786))))</f>
        <v>0</v>
      </c>
      <c r="E1786">
        <f>IF(C1786&lt;'user input'!$C$12,(D1786-D1785)*'user input'!$C$17*(1-EXP(5*(F1785-'user input'!$C$17))),F1786-F1785)</f>
        <v>0</v>
      </c>
      <c r="F1786">
        <f>IF(C1786&lt;'user input'!$C$12,IF(B1786&gt;'user input'!$C$6,0,F1785+E1786),'user input'!$C$17*((1-C1786)/(1-'user input'!$C$12)))</f>
        <v>0</v>
      </c>
    </row>
    <row r="1787" spans="1:6" x14ac:dyDescent="0.2">
      <c r="A1787" s="1">
        <v>41963</v>
      </c>
      <c r="B1787">
        <v>325</v>
      </c>
      <c r="C1787">
        <f>IF(B1787&gt;'user input'!$C$6,0,IF('heat units'!H1787&gt;1,1,'heat units'!H1787))</f>
        <v>0</v>
      </c>
      <c r="D1787">
        <f>IF(B1787&gt;'user input'!$C$6,0,(C1787/(C1787+EXP('user input'!$C$15-'user input'!$C$14*C1787))))</f>
        <v>0</v>
      </c>
      <c r="E1787">
        <f>IF(C1787&lt;'user input'!$C$12,(D1787-D1786)*'user input'!$C$17*(1-EXP(5*(F1786-'user input'!$C$17))),F1787-F1786)</f>
        <v>0</v>
      </c>
      <c r="F1787">
        <f>IF(C1787&lt;'user input'!$C$12,IF(B1787&gt;'user input'!$C$6,0,F1786+E1787),'user input'!$C$17*((1-C1787)/(1-'user input'!$C$12)))</f>
        <v>0</v>
      </c>
    </row>
    <row r="1788" spans="1:6" x14ac:dyDescent="0.2">
      <c r="A1788" s="1">
        <v>41964</v>
      </c>
      <c r="B1788">
        <v>326</v>
      </c>
      <c r="C1788">
        <f>IF(B1788&gt;'user input'!$C$6,0,IF('heat units'!H1788&gt;1,1,'heat units'!H1788))</f>
        <v>0</v>
      </c>
      <c r="D1788">
        <f>IF(B1788&gt;'user input'!$C$6,0,(C1788/(C1788+EXP('user input'!$C$15-'user input'!$C$14*C1788))))</f>
        <v>0</v>
      </c>
      <c r="E1788">
        <f>IF(C1788&lt;'user input'!$C$12,(D1788-D1787)*'user input'!$C$17*(1-EXP(5*(F1787-'user input'!$C$17))),F1788-F1787)</f>
        <v>0</v>
      </c>
      <c r="F1788">
        <f>IF(C1788&lt;'user input'!$C$12,IF(B1788&gt;'user input'!$C$6,0,F1787+E1788),'user input'!$C$17*((1-C1788)/(1-'user input'!$C$12)))</f>
        <v>0</v>
      </c>
    </row>
    <row r="1789" spans="1:6" x14ac:dyDescent="0.2">
      <c r="A1789" s="1">
        <v>41965</v>
      </c>
      <c r="B1789">
        <v>327</v>
      </c>
      <c r="C1789">
        <f>IF(B1789&gt;'user input'!$C$6,0,IF('heat units'!H1789&gt;1,1,'heat units'!H1789))</f>
        <v>0</v>
      </c>
      <c r="D1789">
        <f>IF(B1789&gt;'user input'!$C$6,0,(C1789/(C1789+EXP('user input'!$C$15-'user input'!$C$14*C1789))))</f>
        <v>0</v>
      </c>
      <c r="E1789">
        <f>IF(C1789&lt;'user input'!$C$12,(D1789-D1788)*'user input'!$C$17*(1-EXP(5*(F1788-'user input'!$C$17))),F1789-F1788)</f>
        <v>0</v>
      </c>
      <c r="F1789">
        <f>IF(C1789&lt;'user input'!$C$12,IF(B1789&gt;'user input'!$C$6,0,F1788+E1789),'user input'!$C$17*((1-C1789)/(1-'user input'!$C$12)))</f>
        <v>0</v>
      </c>
    </row>
    <row r="1790" spans="1:6" x14ac:dyDescent="0.2">
      <c r="A1790" s="1">
        <v>41966</v>
      </c>
      <c r="B1790">
        <v>328</v>
      </c>
      <c r="C1790">
        <f>IF(B1790&gt;'user input'!$C$6,0,IF('heat units'!H1790&gt;1,1,'heat units'!H1790))</f>
        <v>0</v>
      </c>
      <c r="D1790">
        <f>IF(B1790&gt;'user input'!$C$6,0,(C1790/(C1790+EXP('user input'!$C$15-'user input'!$C$14*C1790))))</f>
        <v>0</v>
      </c>
      <c r="E1790">
        <f>IF(C1790&lt;'user input'!$C$12,(D1790-D1789)*'user input'!$C$17*(1-EXP(5*(F1789-'user input'!$C$17))),F1790-F1789)</f>
        <v>0</v>
      </c>
      <c r="F1790">
        <f>IF(C1790&lt;'user input'!$C$12,IF(B1790&gt;'user input'!$C$6,0,F1789+E1790),'user input'!$C$17*((1-C1790)/(1-'user input'!$C$12)))</f>
        <v>0</v>
      </c>
    </row>
    <row r="1791" spans="1:6" x14ac:dyDescent="0.2">
      <c r="A1791" s="1">
        <v>41967</v>
      </c>
      <c r="B1791">
        <v>329</v>
      </c>
      <c r="C1791">
        <f>IF(B1791&gt;'user input'!$C$6,0,IF('heat units'!H1791&gt;1,1,'heat units'!H1791))</f>
        <v>0</v>
      </c>
      <c r="D1791">
        <f>IF(B1791&gt;'user input'!$C$6,0,(C1791/(C1791+EXP('user input'!$C$15-'user input'!$C$14*C1791))))</f>
        <v>0</v>
      </c>
      <c r="E1791">
        <f>IF(C1791&lt;'user input'!$C$12,(D1791-D1790)*'user input'!$C$17*(1-EXP(5*(F1790-'user input'!$C$17))),F1791-F1790)</f>
        <v>0</v>
      </c>
      <c r="F1791">
        <f>IF(C1791&lt;'user input'!$C$12,IF(B1791&gt;'user input'!$C$6,0,F1790+E1791),'user input'!$C$17*((1-C1791)/(1-'user input'!$C$12)))</f>
        <v>0</v>
      </c>
    </row>
    <row r="1792" spans="1:6" x14ac:dyDescent="0.2">
      <c r="A1792" s="1">
        <v>41968</v>
      </c>
      <c r="B1792">
        <v>330</v>
      </c>
      <c r="C1792">
        <f>IF(B1792&gt;'user input'!$C$6,0,IF('heat units'!H1792&gt;1,1,'heat units'!H1792))</f>
        <v>0</v>
      </c>
      <c r="D1792">
        <f>IF(B1792&gt;'user input'!$C$6,0,(C1792/(C1792+EXP('user input'!$C$15-'user input'!$C$14*C1792))))</f>
        <v>0</v>
      </c>
      <c r="E1792">
        <f>IF(C1792&lt;'user input'!$C$12,(D1792-D1791)*'user input'!$C$17*(1-EXP(5*(F1791-'user input'!$C$17))),F1792-F1791)</f>
        <v>0</v>
      </c>
      <c r="F1792">
        <f>IF(C1792&lt;'user input'!$C$12,IF(B1792&gt;'user input'!$C$6,0,F1791+E1792),'user input'!$C$17*((1-C1792)/(1-'user input'!$C$12)))</f>
        <v>0</v>
      </c>
    </row>
    <row r="1793" spans="1:6" x14ac:dyDescent="0.2">
      <c r="A1793" s="1">
        <v>41969</v>
      </c>
      <c r="B1793">
        <v>331</v>
      </c>
      <c r="C1793">
        <f>IF(B1793&gt;'user input'!$C$6,0,IF('heat units'!H1793&gt;1,1,'heat units'!H1793))</f>
        <v>0</v>
      </c>
      <c r="D1793">
        <f>IF(B1793&gt;'user input'!$C$6,0,(C1793/(C1793+EXP('user input'!$C$15-'user input'!$C$14*C1793))))</f>
        <v>0</v>
      </c>
      <c r="E1793">
        <f>IF(C1793&lt;'user input'!$C$12,(D1793-D1792)*'user input'!$C$17*(1-EXP(5*(F1792-'user input'!$C$17))),F1793-F1792)</f>
        <v>0</v>
      </c>
      <c r="F1793">
        <f>IF(C1793&lt;'user input'!$C$12,IF(B1793&gt;'user input'!$C$6,0,F1792+E1793),'user input'!$C$17*((1-C1793)/(1-'user input'!$C$12)))</f>
        <v>0</v>
      </c>
    </row>
    <row r="1794" spans="1:6" x14ac:dyDescent="0.2">
      <c r="A1794" s="1">
        <v>41970</v>
      </c>
      <c r="B1794">
        <v>332</v>
      </c>
      <c r="C1794">
        <f>IF(B1794&gt;'user input'!$C$6,0,IF('heat units'!H1794&gt;1,1,'heat units'!H1794))</f>
        <v>0</v>
      </c>
      <c r="D1794">
        <f>IF(B1794&gt;'user input'!$C$6,0,(C1794/(C1794+EXP('user input'!$C$15-'user input'!$C$14*C1794))))</f>
        <v>0</v>
      </c>
      <c r="E1794">
        <f>IF(C1794&lt;'user input'!$C$12,(D1794-D1793)*'user input'!$C$17*(1-EXP(5*(F1793-'user input'!$C$17))),F1794-F1793)</f>
        <v>0</v>
      </c>
      <c r="F1794">
        <f>IF(C1794&lt;'user input'!$C$12,IF(B1794&gt;'user input'!$C$6,0,F1793+E1794),'user input'!$C$17*((1-C1794)/(1-'user input'!$C$12)))</f>
        <v>0</v>
      </c>
    </row>
    <row r="1795" spans="1:6" x14ac:dyDescent="0.2">
      <c r="A1795" s="1">
        <v>41971</v>
      </c>
      <c r="B1795">
        <v>333</v>
      </c>
      <c r="C1795">
        <f>IF(B1795&gt;'user input'!$C$6,0,IF('heat units'!H1795&gt;1,1,'heat units'!H1795))</f>
        <v>0</v>
      </c>
      <c r="D1795">
        <f>IF(B1795&gt;'user input'!$C$6,0,(C1795/(C1795+EXP('user input'!$C$15-'user input'!$C$14*C1795))))</f>
        <v>0</v>
      </c>
      <c r="E1795">
        <f>IF(C1795&lt;'user input'!$C$12,(D1795-D1794)*'user input'!$C$17*(1-EXP(5*(F1794-'user input'!$C$17))),F1795-F1794)</f>
        <v>0</v>
      </c>
      <c r="F1795">
        <f>IF(C1795&lt;'user input'!$C$12,IF(B1795&gt;'user input'!$C$6,0,F1794+E1795),'user input'!$C$17*((1-C1795)/(1-'user input'!$C$12)))</f>
        <v>0</v>
      </c>
    </row>
    <row r="1796" spans="1:6" x14ac:dyDescent="0.2">
      <c r="A1796" s="1">
        <v>41972</v>
      </c>
      <c r="B1796">
        <v>334</v>
      </c>
      <c r="C1796">
        <f>IF(B1796&gt;'user input'!$C$6,0,IF('heat units'!H1796&gt;1,1,'heat units'!H1796))</f>
        <v>0</v>
      </c>
      <c r="D1796">
        <f>IF(B1796&gt;'user input'!$C$6,0,(C1796/(C1796+EXP('user input'!$C$15-'user input'!$C$14*C1796))))</f>
        <v>0</v>
      </c>
      <c r="E1796">
        <f>IF(C1796&lt;'user input'!$C$12,(D1796-D1795)*'user input'!$C$17*(1-EXP(5*(F1795-'user input'!$C$17))),F1796-F1795)</f>
        <v>0</v>
      </c>
      <c r="F1796">
        <f>IF(C1796&lt;'user input'!$C$12,IF(B1796&gt;'user input'!$C$6,0,F1795+E1796),'user input'!$C$17*((1-C1796)/(1-'user input'!$C$12)))</f>
        <v>0</v>
      </c>
    </row>
    <row r="1797" spans="1:6" x14ac:dyDescent="0.2">
      <c r="A1797" s="1">
        <v>41973</v>
      </c>
      <c r="B1797">
        <v>335</v>
      </c>
      <c r="C1797">
        <f>IF(B1797&gt;'user input'!$C$6,0,IF('heat units'!H1797&gt;1,1,'heat units'!H1797))</f>
        <v>0</v>
      </c>
      <c r="D1797">
        <f>IF(B1797&gt;'user input'!$C$6,0,(C1797/(C1797+EXP('user input'!$C$15-'user input'!$C$14*C1797))))</f>
        <v>0</v>
      </c>
      <c r="E1797">
        <f>IF(C1797&lt;'user input'!$C$12,(D1797-D1796)*'user input'!$C$17*(1-EXP(5*(F1796-'user input'!$C$17))),F1797-F1796)</f>
        <v>0</v>
      </c>
      <c r="F1797">
        <f>IF(C1797&lt;'user input'!$C$12,IF(B1797&gt;'user input'!$C$6,0,F1796+E1797),'user input'!$C$17*((1-C1797)/(1-'user input'!$C$12)))</f>
        <v>0</v>
      </c>
    </row>
    <row r="1798" spans="1:6" x14ac:dyDescent="0.2">
      <c r="A1798" s="1">
        <v>41974</v>
      </c>
      <c r="B1798">
        <v>336</v>
      </c>
      <c r="C1798">
        <f>IF(B1798&gt;'user input'!$C$6,0,IF('heat units'!H1798&gt;1,1,'heat units'!H1798))</f>
        <v>0</v>
      </c>
      <c r="D1798">
        <f>IF(B1798&gt;'user input'!$C$6,0,(C1798/(C1798+EXP('user input'!$C$15-'user input'!$C$14*C1798))))</f>
        <v>0</v>
      </c>
      <c r="E1798">
        <f>IF(C1798&lt;'user input'!$C$12,(D1798-D1797)*'user input'!$C$17*(1-EXP(5*(F1797-'user input'!$C$17))),F1798-F1797)</f>
        <v>0</v>
      </c>
      <c r="F1798">
        <f>IF(C1798&lt;'user input'!$C$12,IF(B1798&gt;'user input'!$C$6,0,F1797+E1798),'user input'!$C$17*((1-C1798)/(1-'user input'!$C$12)))</f>
        <v>0</v>
      </c>
    </row>
    <row r="1799" spans="1:6" x14ac:dyDescent="0.2">
      <c r="A1799" s="1">
        <v>41975</v>
      </c>
      <c r="B1799">
        <v>337</v>
      </c>
      <c r="C1799">
        <f>IF(B1799&gt;'user input'!$C$6,0,IF('heat units'!H1799&gt;1,1,'heat units'!H1799))</f>
        <v>0</v>
      </c>
      <c r="D1799">
        <f>IF(B1799&gt;'user input'!$C$6,0,(C1799/(C1799+EXP('user input'!$C$15-'user input'!$C$14*C1799))))</f>
        <v>0</v>
      </c>
      <c r="E1799">
        <f>IF(C1799&lt;'user input'!$C$12,(D1799-D1798)*'user input'!$C$17*(1-EXP(5*(F1798-'user input'!$C$17))),F1799-F1798)</f>
        <v>0</v>
      </c>
      <c r="F1799">
        <f>IF(C1799&lt;'user input'!$C$12,IF(B1799&gt;'user input'!$C$6,0,F1798+E1799),'user input'!$C$17*((1-C1799)/(1-'user input'!$C$12)))</f>
        <v>0</v>
      </c>
    </row>
    <row r="1800" spans="1:6" x14ac:dyDescent="0.2">
      <c r="A1800" s="1">
        <v>41976</v>
      </c>
      <c r="B1800">
        <v>338</v>
      </c>
      <c r="C1800">
        <f>IF(B1800&gt;'user input'!$C$6,0,IF('heat units'!H1800&gt;1,1,'heat units'!H1800))</f>
        <v>0</v>
      </c>
      <c r="D1800">
        <f>IF(B1800&gt;'user input'!$C$6,0,(C1800/(C1800+EXP('user input'!$C$15-'user input'!$C$14*C1800))))</f>
        <v>0</v>
      </c>
      <c r="E1800">
        <f>IF(C1800&lt;'user input'!$C$12,(D1800-D1799)*'user input'!$C$17*(1-EXP(5*(F1799-'user input'!$C$17))),F1800-F1799)</f>
        <v>0</v>
      </c>
      <c r="F1800">
        <f>IF(C1800&lt;'user input'!$C$12,IF(B1800&gt;'user input'!$C$6,0,F1799+E1800),'user input'!$C$17*((1-C1800)/(1-'user input'!$C$12)))</f>
        <v>0</v>
      </c>
    </row>
    <row r="1801" spans="1:6" x14ac:dyDescent="0.2">
      <c r="A1801" s="1">
        <v>41977</v>
      </c>
      <c r="B1801">
        <v>339</v>
      </c>
      <c r="C1801">
        <f>IF(B1801&gt;'user input'!$C$6,0,IF('heat units'!H1801&gt;1,1,'heat units'!H1801))</f>
        <v>0</v>
      </c>
      <c r="D1801">
        <f>IF(B1801&gt;'user input'!$C$6,0,(C1801/(C1801+EXP('user input'!$C$15-'user input'!$C$14*C1801))))</f>
        <v>0</v>
      </c>
      <c r="E1801">
        <f>IF(C1801&lt;'user input'!$C$12,(D1801-D1800)*'user input'!$C$17*(1-EXP(5*(F1800-'user input'!$C$17))),F1801-F1800)</f>
        <v>0</v>
      </c>
      <c r="F1801">
        <f>IF(C1801&lt;'user input'!$C$12,IF(B1801&gt;'user input'!$C$6,0,F1800+E1801),'user input'!$C$17*((1-C1801)/(1-'user input'!$C$12)))</f>
        <v>0</v>
      </c>
    </row>
    <row r="1802" spans="1:6" x14ac:dyDescent="0.2">
      <c r="A1802" s="1">
        <v>41978</v>
      </c>
      <c r="B1802">
        <v>340</v>
      </c>
      <c r="C1802">
        <f>IF(B1802&gt;'user input'!$C$6,0,IF('heat units'!H1802&gt;1,1,'heat units'!H1802))</f>
        <v>0</v>
      </c>
      <c r="D1802">
        <f>IF(B1802&gt;'user input'!$C$6,0,(C1802/(C1802+EXP('user input'!$C$15-'user input'!$C$14*C1802))))</f>
        <v>0</v>
      </c>
      <c r="E1802">
        <f>IF(C1802&lt;'user input'!$C$12,(D1802-D1801)*'user input'!$C$17*(1-EXP(5*(F1801-'user input'!$C$17))),F1802-F1801)</f>
        <v>0</v>
      </c>
      <c r="F1802">
        <f>IF(C1802&lt;'user input'!$C$12,IF(B1802&gt;'user input'!$C$6,0,F1801+E1802),'user input'!$C$17*((1-C1802)/(1-'user input'!$C$12)))</f>
        <v>0</v>
      </c>
    </row>
    <row r="1803" spans="1:6" x14ac:dyDescent="0.2">
      <c r="A1803" s="1">
        <v>41979</v>
      </c>
      <c r="B1803">
        <v>341</v>
      </c>
      <c r="C1803">
        <f>IF(B1803&gt;'user input'!$C$6,0,IF('heat units'!H1803&gt;1,1,'heat units'!H1803))</f>
        <v>0</v>
      </c>
      <c r="D1803">
        <f>IF(B1803&gt;'user input'!$C$6,0,(C1803/(C1803+EXP('user input'!$C$15-'user input'!$C$14*C1803))))</f>
        <v>0</v>
      </c>
      <c r="E1803">
        <f>IF(C1803&lt;'user input'!$C$12,(D1803-D1802)*'user input'!$C$17*(1-EXP(5*(F1802-'user input'!$C$17))),F1803-F1802)</f>
        <v>0</v>
      </c>
      <c r="F1803">
        <f>IF(C1803&lt;'user input'!$C$12,IF(B1803&gt;'user input'!$C$6,0,F1802+E1803),'user input'!$C$17*((1-C1803)/(1-'user input'!$C$12)))</f>
        <v>0</v>
      </c>
    </row>
    <row r="1804" spans="1:6" x14ac:dyDescent="0.2">
      <c r="A1804" s="1">
        <v>41980</v>
      </c>
      <c r="B1804">
        <v>342</v>
      </c>
      <c r="C1804">
        <f>IF(B1804&gt;'user input'!$C$6,0,IF('heat units'!H1804&gt;1,1,'heat units'!H1804))</f>
        <v>0</v>
      </c>
      <c r="D1804">
        <f>IF(B1804&gt;'user input'!$C$6,0,(C1804/(C1804+EXP('user input'!$C$15-'user input'!$C$14*C1804))))</f>
        <v>0</v>
      </c>
      <c r="E1804">
        <f>IF(C1804&lt;'user input'!$C$12,(D1804-D1803)*'user input'!$C$17*(1-EXP(5*(F1803-'user input'!$C$17))),F1804-F1803)</f>
        <v>0</v>
      </c>
      <c r="F1804">
        <f>IF(C1804&lt;'user input'!$C$12,IF(B1804&gt;'user input'!$C$6,0,F1803+E1804),'user input'!$C$17*((1-C1804)/(1-'user input'!$C$12)))</f>
        <v>0</v>
      </c>
    </row>
    <row r="1805" spans="1:6" x14ac:dyDescent="0.2">
      <c r="A1805" s="1">
        <v>41981</v>
      </c>
      <c r="B1805">
        <v>343</v>
      </c>
      <c r="C1805">
        <f>IF(B1805&gt;'user input'!$C$6,0,IF('heat units'!H1805&gt;1,1,'heat units'!H1805))</f>
        <v>0</v>
      </c>
      <c r="D1805">
        <f>IF(B1805&gt;'user input'!$C$6,0,(C1805/(C1805+EXP('user input'!$C$15-'user input'!$C$14*C1805))))</f>
        <v>0</v>
      </c>
      <c r="E1805">
        <f>IF(C1805&lt;'user input'!$C$12,(D1805-D1804)*'user input'!$C$17*(1-EXP(5*(F1804-'user input'!$C$17))),F1805-F1804)</f>
        <v>0</v>
      </c>
      <c r="F1805">
        <f>IF(C1805&lt;'user input'!$C$12,IF(B1805&gt;'user input'!$C$6,0,F1804+E1805),'user input'!$C$17*((1-C1805)/(1-'user input'!$C$12)))</f>
        <v>0</v>
      </c>
    </row>
    <row r="1806" spans="1:6" x14ac:dyDescent="0.2">
      <c r="A1806" s="1">
        <v>41982</v>
      </c>
      <c r="B1806">
        <v>344</v>
      </c>
      <c r="C1806">
        <f>IF(B1806&gt;'user input'!$C$6,0,IF('heat units'!H1806&gt;1,1,'heat units'!H1806))</f>
        <v>0</v>
      </c>
      <c r="D1806">
        <f>IF(B1806&gt;'user input'!$C$6,0,(C1806/(C1806+EXP('user input'!$C$15-'user input'!$C$14*C1806))))</f>
        <v>0</v>
      </c>
      <c r="E1806">
        <f>IF(C1806&lt;'user input'!$C$12,(D1806-D1805)*'user input'!$C$17*(1-EXP(5*(F1805-'user input'!$C$17))),F1806-F1805)</f>
        <v>0</v>
      </c>
      <c r="F1806">
        <f>IF(C1806&lt;'user input'!$C$12,IF(B1806&gt;'user input'!$C$6,0,F1805+E1806),'user input'!$C$17*((1-C1806)/(1-'user input'!$C$12)))</f>
        <v>0</v>
      </c>
    </row>
    <row r="1807" spans="1:6" x14ac:dyDescent="0.2">
      <c r="A1807" s="1">
        <v>41983</v>
      </c>
      <c r="B1807">
        <v>345</v>
      </c>
      <c r="C1807">
        <f>IF(B1807&gt;'user input'!$C$6,0,IF('heat units'!H1807&gt;1,1,'heat units'!H1807))</f>
        <v>0</v>
      </c>
      <c r="D1807">
        <f>IF(B1807&gt;'user input'!$C$6,0,(C1807/(C1807+EXP('user input'!$C$15-'user input'!$C$14*C1807))))</f>
        <v>0</v>
      </c>
      <c r="E1807">
        <f>IF(C1807&lt;'user input'!$C$12,(D1807-D1806)*'user input'!$C$17*(1-EXP(5*(F1806-'user input'!$C$17))),F1807-F1806)</f>
        <v>0</v>
      </c>
      <c r="F1807">
        <f>IF(C1807&lt;'user input'!$C$12,IF(B1807&gt;'user input'!$C$6,0,F1806+E1807),'user input'!$C$17*((1-C1807)/(1-'user input'!$C$12)))</f>
        <v>0</v>
      </c>
    </row>
    <row r="1808" spans="1:6" x14ac:dyDescent="0.2">
      <c r="A1808" s="1">
        <v>41984</v>
      </c>
      <c r="B1808">
        <v>346</v>
      </c>
      <c r="C1808">
        <f>IF(B1808&gt;'user input'!$C$6,0,IF('heat units'!H1808&gt;1,1,'heat units'!H1808))</f>
        <v>0</v>
      </c>
      <c r="D1808">
        <f>IF(B1808&gt;'user input'!$C$6,0,(C1808/(C1808+EXP('user input'!$C$15-'user input'!$C$14*C1808))))</f>
        <v>0</v>
      </c>
      <c r="E1808">
        <f>IF(C1808&lt;'user input'!$C$12,(D1808-D1807)*'user input'!$C$17*(1-EXP(5*(F1807-'user input'!$C$17))),F1808-F1807)</f>
        <v>0</v>
      </c>
      <c r="F1808">
        <f>IF(C1808&lt;'user input'!$C$12,IF(B1808&gt;'user input'!$C$6,0,F1807+E1808),'user input'!$C$17*((1-C1808)/(1-'user input'!$C$12)))</f>
        <v>0</v>
      </c>
    </row>
    <row r="1809" spans="1:6" x14ac:dyDescent="0.2">
      <c r="A1809" s="1">
        <v>41985</v>
      </c>
      <c r="B1809">
        <v>347</v>
      </c>
      <c r="C1809">
        <f>IF(B1809&gt;'user input'!$C$6,0,IF('heat units'!H1809&gt;1,1,'heat units'!H1809))</f>
        <v>0</v>
      </c>
      <c r="D1809">
        <f>IF(B1809&gt;'user input'!$C$6,0,(C1809/(C1809+EXP('user input'!$C$15-'user input'!$C$14*C1809))))</f>
        <v>0</v>
      </c>
      <c r="E1809">
        <f>IF(C1809&lt;'user input'!$C$12,(D1809-D1808)*'user input'!$C$17*(1-EXP(5*(F1808-'user input'!$C$17))),F1809-F1808)</f>
        <v>0</v>
      </c>
      <c r="F1809">
        <f>IF(C1809&lt;'user input'!$C$12,IF(B1809&gt;'user input'!$C$6,0,F1808+E1809),'user input'!$C$17*((1-C1809)/(1-'user input'!$C$12)))</f>
        <v>0</v>
      </c>
    </row>
    <row r="1810" spans="1:6" x14ac:dyDescent="0.2">
      <c r="A1810" s="1">
        <v>41986</v>
      </c>
      <c r="B1810">
        <v>348</v>
      </c>
      <c r="C1810">
        <f>IF(B1810&gt;'user input'!$C$6,0,IF('heat units'!H1810&gt;1,1,'heat units'!H1810))</f>
        <v>0</v>
      </c>
      <c r="D1810">
        <f>IF(B1810&gt;'user input'!$C$6,0,(C1810/(C1810+EXP('user input'!$C$15-'user input'!$C$14*C1810))))</f>
        <v>0</v>
      </c>
      <c r="E1810">
        <f>IF(C1810&lt;'user input'!$C$12,(D1810-D1809)*'user input'!$C$17*(1-EXP(5*(F1809-'user input'!$C$17))),F1810-F1809)</f>
        <v>0</v>
      </c>
      <c r="F1810">
        <f>IF(C1810&lt;'user input'!$C$12,IF(B1810&gt;'user input'!$C$6,0,F1809+E1810),'user input'!$C$17*((1-C1810)/(1-'user input'!$C$12)))</f>
        <v>0</v>
      </c>
    </row>
    <row r="1811" spans="1:6" x14ac:dyDescent="0.2">
      <c r="A1811" s="1">
        <v>41987</v>
      </c>
      <c r="B1811">
        <v>349</v>
      </c>
      <c r="C1811">
        <f>IF(B1811&gt;'user input'!$C$6,0,IF('heat units'!H1811&gt;1,1,'heat units'!H1811))</f>
        <v>0</v>
      </c>
      <c r="D1811">
        <f>IF(B1811&gt;'user input'!$C$6,0,(C1811/(C1811+EXP('user input'!$C$15-'user input'!$C$14*C1811))))</f>
        <v>0</v>
      </c>
      <c r="E1811">
        <f>IF(C1811&lt;'user input'!$C$12,(D1811-D1810)*'user input'!$C$17*(1-EXP(5*(F1810-'user input'!$C$17))),F1811-F1810)</f>
        <v>0</v>
      </c>
      <c r="F1811">
        <f>IF(C1811&lt;'user input'!$C$12,IF(B1811&gt;'user input'!$C$6,0,F1810+E1811),'user input'!$C$17*((1-C1811)/(1-'user input'!$C$12)))</f>
        <v>0</v>
      </c>
    </row>
    <row r="1812" spans="1:6" x14ac:dyDescent="0.2">
      <c r="A1812" s="1">
        <v>41988</v>
      </c>
      <c r="B1812">
        <v>350</v>
      </c>
      <c r="C1812">
        <f>IF(B1812&gt;'user input'!$C$6,0,IF('heat units'!H1812&gt;1,1,'heat units'!H1812))</f>
        <v>0</v>
      </c>
      <c r="D1812">
        <f>IF(B1812&gt;'user input'!$C$6,0,(C1812/(C1812+EXP('user input'!$C$15-'user input'!$C$14*C1812))))</f>
        <v>0</v>
      </c>
      <c r="E1812">
        <f>IF(C1812&lt;'user input'!$C$12,(D1812-D1811)*'user input'!$C$17*(1-EXP(5*(F1811-'user input'!$C$17))),F1812-F1811)</f>
        <v>0</v>
      </c>
      <c r="F1812">
        <f>IF(C1812&lt;'user input'!$C$12,IF(B1812&gt;'user input'!$C$6,0,F1811+E1812),'user input'!$C$17*((1-C1812)/(1-'user input'!$C$12)))</f>
        <v>0</v>
      </c>
    </row>
    <row r="1813" spans="1:6" x14ac:dyDescent="0.2">
      <c r="A1813" s="1">
        <v>41989</v>
      </c>
      <c r="B1813">
        <v>351</v>
      </c>
      <c r="C1813">
        <f>IF(B1813&gt;'user input'!$C$6,0,IF('heat units'!H1813&gt;1,1,'heat units'!H1813))</f>
        <v>0</v>
      </c>
      <c r="D1813">
        <f>IF(B1813&gt;'user input'!$C$6,0,(C1813/(C1813+EXP('user input'!$C$15-'user input'!$C$14*C1813))))</f>
        <v>0</v>
      </c>
      <c r="E1813">
        <f>IF(C1813&lt;'user input'!$C$12,(D1813-D1812)*'user input'!$C$17*(1-EXP(5*(F1812-'user input'!$C$17))),F1813-F1812)</f>
        <v>0</v>
      </c>
      <c r="F1813">
        <f>IF(C1813&lt;'user input'!$C$12,IF(B1813&gt;'user input'!$C$6,0,F1812+E1813),'user input'!$C$17*((1-C1813)/(1-'user input'!$C$12)))</f>
        <v>0</v>
      </c>
    </row>
    <row r="1814" spans="1:6" x14ac:dyDescent="0.2">
      <c r="A1814" s="1">
        <v>41990</v>
      </c>
      <c r="B1814">
        <v>352</v>
      </c>
      <c r="C1814">
        <f>IF(B1814&gt;'user input'!$C$6,0,IF('heat units'!H1814&gt;1,1,'heat units'!H1814))</f>
        <v>0</v>
      </c>
      <c r="D1814">
        <f>IF(B1814&gt;'user input'!$C$6,0,(C1814/(C1814+EXP('user input'!$C$15-'user input'!$C$14*C1814))))</f>
        <v>0</v>
      </c>
      <c r="E1814">
        <f>IF(C1814&lt;'user input'!$C$12,(D1814-D1813)*'user input'!$C$17*(1-EXP(5*(F1813-'user input'!$C$17))),F1814-F1813)</f>
        <v>0</v>
      </c>
      <c r="F1814">
        <f>IF(C1814&lt;'user input'!$C$12,IF(B1814&gt;'user input'!$C$6,0,F1813+E1814),'user input'!$C$17*((1-C1814)/(1-'user input'!$C$12)))</f>
        <v>0</v>
      </c>
    </row>
    <row r="1815" spans="1:6" x14ac:dyDescent="0.2">
      <c r="A1815" s="1">
        <v>41991</v>
      </c>
      <c r="B1815">
        <v>353</v>
      </c>
      <c r="C1815">
        <f>IF(B1815&gt;'user input'!$C$6,0,IF('heat units'!H1815&gt;1,1,'heat units'!H1815))</f>
        <v>0</v>
      </c>
      <c r="D1815">
        <f>IF(B1815&gt;'user input'!$C$6,0,(C1815/(C1815+EXP('user input'!$C$15-'user input'!$C$14*C1815))))</f>
        <v>0</v>
      </c>
      <c r="E1815">
        <f>IF(C1815&lt;'user input'!$C$12,(D1815-D1814)*'user input'!$C$17*(1-EXP(5*(F1814-'user input'!$C$17))),F1815-F1814)</f>
        <v>0</v>
      </c>
      <c r="F1815">
        <f>IF(C1815&lt;'user input'!$C$12,IF(B1815&gt;'user input'!$C$6,0,F1814+E1815),'user input'!$C$17*((1-C1815)/(1-'user input'!$C$12)))</f>
        <v>0</v>
      </c>
    </row>
    <row r="1816" spans="1:6" x14ac:dyDescent="0.2">
      <c r="A1816" s="1">
        <v>41992</v>
      </c>
      <c r="B1816">
        <v>354</v>
      </c>
      <c r="C1816">
        <f>IF(B1816&gt;'user input'!$C$6,0,IF('heat units'!H1816&gt;1,1,'heat units'!H1816))</f>
        <v>0</v>
      </c>
      <c r="D1816">
        <f>IF(B1816&gt;'user input'!$C$6,0,(C1816/(C1816+EXP('user input'!$C$15-'user input'!$C$14*C1816))))</f>
        <v>0</v>
      </c>
      <c r="E1816">
        <f>IF(C1816&lt;'user input'!$C$12,(D1816-D1815)*'user input'!$C$17*(1-EXP(5*(F1815-'user input'!$C$17))),F1816-F1815)</f>
        <v>0</v>
      </c>
      <c r="F1816">
        <f>IF(C1816&lt;'user input'!$C$12,IF(B1816&gt;'user input'!$C$6,0,F1815+E1816),'user input'!$C$17*((1-C1816)/(1-'user input'!$C$12)))</f>
        <v>0</v>
      </c>
    </row>
    <row r="1817" spans="1:6" x14ac:dyDescent="0.2">
      <c r="A1817" s="1">
        <v>41993</v>
      </c>
      <c r="B1817">
        <v>355</v>
      </c>
      <c r="C1817">
        <f>IF(B1817&gt;'user input'!$C$6,0,IF('heat units'!H1817&gt;1,1,'heat units'!H1817))</f>
        <v>0</v>
      </c>
      <c r="D1817">
        <f>IF(B1817&gt;'user input'!$C$6,0,(C1817/(C1817+EXP('user input'!$C$15-'user input'!$C$14*C1817))))</f>
        <v>0</v>
      </c>
      <c r="E1817">
        <f>IF(C1817&lt;'user input'!$C$12,(D1817-D1816)*'user input'!$C$17*(1-EXP(5*(F1816-'user input'!$C$17))),F1817-F1816)</f>
        <v>0</v>
      </c>
      <c r="F1817">
        <f>IF(C1817&lt;'user input'!$C$12,IF(B1817&gt;'user input'!$C$6,0,F1816+E1817),'user input'!$C$17*((1-C1817)/(1-'user input'!$C$12)))</f>
        <v>0</v>
      </c>
    </row>
    <row r="1818" spans="1:6" x14ac:dyDescent="0.2">
      <c r="A1818" s="1">
        <v>41994</v>
      </c>
      <c r="B1818">
        <v>356</v>
      </c>
      <c r="C1818">
        <f>IF(B1818&gt;'user input'!$C$6,0,IF('heat units'!H1818&gt;1,1,'heat units'!H1818))</f>
        <v>0</v>
      </c>
      <c r="D1818">
        <f>IF(B1818&gt;'user input'!$C$6,0,(C1818/(C1818+EXP('user input'!$C$15-'user input'!$C$14*C1818))))</f>
        <v>0</v>
      </c>
      <c r="E1818">
        <f>IF(C1818&lt;'user input'!$C$12,(D1818-D1817)*'user input'!$C$17*(1-EXP(5*(F1817-'user input'!$C$17))),F1818-F1817)</f>
        <v>0</v>
      </c>
      <c r="F1818">
        <f>IF(C1818&lt;'user input'!$C$12,IF(B1818&gt;'user input'!$C$6,0,F1817+E1818),'user input'!$C$17*((1-C1818)/(1-'user input'!$C$12)))</f>
        <v>0</v>
      </c>
    </row>
    <row r="1819" spans="1:6" x14ac:dyDescent="0.2">
      <c r="A1819" s="1">
        <v>41995</v>
      </c>
      <c r="B1819">
        <v>357</v>
      </c>
      <c r="C1819">
        <f>IF(B1819&gt;'user input'!$C$6,0,IF('heat units'!H1819&gt;1,1,'heat units'!H1819))</f>
        <v>0</v>
      </c>
      <c r="D1819">
        <f>IF(B1819&gt;'user input'!$C$6,0,(C1819/(C1819+EXP('user input'!$C$15-'user input'!$C$14*C1819))))</f>
        <v>0</v>
      </c>
      <c r="E1819">
        <f>IF(C1819&lt;'user input'!$C$12,(D1819-D1818)*'user input'!$C$17*(1-EXP(5*(F1818-'user input'!$C$17))),F1819-F1818)</f>
        <v>0</v>
      </c>
      <c r="F1819">
        <f>IF(C1819&lt;'user input'!$C$12,IF(B1819&gt;'user input'!$C$6,0,F1818+E1819),'user input'!$C$17*((1-C1819)/(1-'user input'!$C$12)))</f>
        <v>0</v>
      </c>
    </row>
    <row r="1820" spans="1:6" x14ac:dyDescent="0.2">
      <c r="A1820" s="1">
        <v>41996</v>
      </c>
      <c r="B1820">
        <v>358</v>
      </c>
      <c r="C1820">
        <f>IF(B1820&gt;'user input'!$C$6,0,IF('heat units'!H1820&gt;1,1,'heat units'!H1820))</f>
        <v>0</v>
      </c>
      <c r="D1820">
        <f>IF(B1820&gt;'user input'!$C$6,0,(C1820/(C1820+EXP('user input'!$C$15-'user input'!$C$14*C1820))))</f>
        <v>0</v>
      </c>
      <c r="E1820">
        <f>IF(C1820&lt;'user input'!$C$12,(D1820-D1819)*'user input'!$C$17*(1-EXP(5*(F1819-'user input'!$C$17))),F1820-F1819)</f>
        <v>0</v>
      </c>
      <c r="F1820">
        <f>IF(C1820&lt;'user input'!$C$12,IF(B1820&gt;'user input'!$C$6,0,F1819+E1820),'user input'!$C$17*((1-C1820)/(1-'user input'!$C$12)))</f>
        <v>0</v>
      </c>
    </row>
    <row r="1821" spans="1:6" x14ac:dyDescent="0.2">
      <c r="A1821" s="1">
        <v>41997</v>
      </c>
      <c r="B1821">
        <v>359</v>
      </c>
      <c r="C1821">
        <f>IF(B1821&gt;'user input'!$C$6,0,IF('heat units'!H1821&gt;1,1,'heat units'!H1821))</f>
        <v>0</v>
      </c>
      <c r="D1821">
        <f>IF(B1821&gt;'user input'!$C$6,0,(C1821/(C1821+EXP('user input'!$C$15-'user input'!$C$14*C1821))))</f>
        <v>0</v>
      </c>
      <c r="E1821">
        <f>IF(C1821&lt;'user input'!$C$12,(D1821-D1820)*'user input'!$C$17*(1-EXP(5*(F1820-'user input'!$C$17))),F1821-F1820)</f>
        <v>0</v>
      </c>
      <c r="F1821">
        <f>IF(C1821&lt;'user input'!$C$12,IF(B1821&gt;'user input'!$C$6,0,F1820+E1821),'user input'!$C$17*((1-C1821)/(1-'user input'!$C$12)))</f>
        <v>0</v>
      </c>
    </row>
    <row r="1822" spans="1:6" x14ac:dyDescent="0.2">
      <c r="A1822" s="1">
        <v>41998</v>
      </c>
      <c r="B1822">
        <v>360</v>
      </c>
      <c r="C1822">
        <f>IF(B1822&gt;'user input'!$C$6,0,IF('heat units'!H1822&gt;1,1,'heat units'!H1822))</f>
        <v>0</v>
      </c>
      <c r="D1822">
        <f>IF(B1822&gt;'user input'!$C$6,0,(C1822/(C1822+EXP('user input'!$C$15-'user input'!$C$14*C1822))))</f>
        <v>0</v>
      </c>
      <c r="E1822">
        <f>IF(C1822&lt;'user input'!$C$12,(D1822-D1821)*'user input'!$C$17*(1-EXP(5*(F1821-'user input'!$C$17))),F1822-F1821)</f>
        <v>0</v>
      </c>
      <c r="F1822">
        <f>IF(C1822&lt;'user input'!$C$12,IF(B1822&gt;'user input'!$C$6,0,F1821+E1822),'user input'!$C$17*((1-C1822)/(1-'user input'!$C$12)))</f>
        <v>0</v>
      </c>
    </row>
    <row r="1823" spans="1:6" x14ac:dyDescent="0.2">
      <c r="A1823" s="1">
        <v>41999</v>
      </c>
      <c r="B1823">
        <v>361</v>
      </c>
      <c r="C1823">
        <f>IF(B1823&gt;'user input'!$C$6,0,IF('heat units'!H1823&gt;1,1,'heat units'!H1823))</f>
        <v>0</v>
      </c>
      <c r="D1823">
        <f>IF(B1823&gt;'user input'!$C$6,0,(C1823/(C1823+EXP('user input'!$C$15-'user input'!$C$14*C1823))))</f>
        <v>0</v>
      </c>
      <c r="E1823">
        <f>IF(C1823&lt;'user input'!$C$12,(D1823-D1822)*'user input'!$C$17*(1-EXP(5*(F1822-'user input'!$C$17))),F1823-F1822)</f>
        <v>0</v>
      </c>
      <c r="F1823">
        <f>IF(C1823&lt;'user input'!$C$12,IF(B1823&gt;'user input'!$C$6,0,F1822+E1823),'user input'!$C$17*((1-C1823)/(1-'user input'!$C$12)))</f>
        <v>0</v>
      </c>
    </row>
    <row r="1824" spans="1:6" x14ac:dyDescent="0.2">
      <c r="A1824" s="1">
        <v>42000</v>
      </c>
      <c r="B1824">
        <v>362</v>
      </c>
      <c r="C1824">
        <f>IF(B1824&gt;'user input'!$C$6,0,IF('heat units'!H1824&gt;1,1,'heat units'!H1824))</f>
        <v>0</v>
      </c>
      <c r="D1824">
        <f>IF(B1824&gt;'user input'!$C$6,0,(C1824/(C1824+EXP('user input'!$C$15-'user input'!$C$14*C1824))))</f>
        <v>0</v>
      </c>
      <c r="E1824">
        <f>IF(C1824&lt;'user input'!$C$12,(D1824-D1823)*'user input'!$C$17*(1-EXP(5*(F1823-'user input'!$C$17))),F1824-F1823)</f>
        <v>0</v>
      </c>
      <c r="F1824">
        <f>IF(C1824&lt;'user input'!$C$12,IF(B1824&gt;'user input'!$C$6,0,F1823+E1824),'user input'!$C$17*((1-C1824)/(1-'user input'!$C$12)))</f>
        <v>0</v>
      </c>
    </row>
    <row r="1825" spans="1:6" x14ac:dyDescent="0.2">
      <c r="A1825" s="1">
        <v>42001</v>
      </c>
      <c r="B1825">
        <v>363</v>
      </c>
      <c r="C1825">
        <f>IF(B1825&gt;'user input'!$C$6,0,IF('heat units'!H1825&gt;1,1,'heat units'!H1825))</f>
        <v>0</v>
      </c>
      <c r="D1825">
        <f>IF(B1825&gt;'user input'!$C$6,0,(C1825/(C1825+EXP('user input'!$C$15-'user input'!$C$14*C1825))))</f>
        <v>0</v>
      </c>
      <c r="E1825">
        <f>IF(C1825&lt;'user input'!$C$12,(D1825-D1824)*'user input'!$C$17*(1-EXP(5*(F1824-'user input'!$C$17))),F1825-F1824)</f>
        <v>0</v>
      </c>
      <c r="F1825">
        <f>IF(C1825&lt;'user input'!$C$12,IF(B1825&gt;'user input'!$C$6,0,F1824+E1825),'user input'!$C$17*((1-C1825)/(1-'user input'!$C$12)))</f>
        <v>0</v>
      </c>
    </row>
    <row r="1826" spans="1:6" x14ac:dyDescent="0.2">
      <c r="A1826" s="1">
        <v>42002</v>
      </c>
      <c r="B1826">
        <v>364</v>
      </c>
      <c r="C1826">
        <f>IF(B1826&gt;'user input'!$C$6,0,IF('heat units'!H1826&gt;1,1,'heat units'!H1826))</f>
        <v>0</v>
      </c>
      <c r="D1826">
        <f>IF(B1826&gt;'user input'!$C$6,0,(C1826/(C1826+EXP('user input'!$C$15-'user input'!$C$14*C1826))))</f>
        <v>0</v>
      </c>
      <c r="E1826">
        <f>IF(C1826&lt;'user input'!$C$12,(D1826-D1825)*'user input'!$C$17*(1-EXP(5*(F1825-'user input'!$C$17))),F1826-F1825)</f>
        <v>0</v>
      </c>
      <c r="F1826">
        <f>IF(C1826&lt;'user input'!$C$12,IF(B1826&gt;'user input'!$C$6,0,F1825+E1826),'user input'!$C$17*((1-C1826)/(1-'user input'!$C$12)))</f>
        <v>0</v>
      </c>
    </row>
    <row r="1827" spans="1:6" x14ac:dyDescent="0.2">
      <c r="A1827" s="1">
        <v>42003</v>
      </c>
      <c r="B1827">
        <v>365</v>
      </c>
      <c r="C1827">
        <f>IF(B1827&gt;'user input'!$C$6,0,IF('heat units'!H1827&gt;1,1,'heat units'!H1827))</f>
        <v>0</v>
      </c>
      <c r="D1827">
        <f>IF(B1827&gt;'user input'!$C$6,0,(C1827/(C1827+EXP('user input'!$C$15-'user input'!$C$14*C1827))))</f>
        <v>0</v>
      </c>
      <c r="E1827">
        <f>IF(C1827&lt;'user input'!$C$12,(D1827-D1826)*'user input'!$C$17*(1-EXP(5*(F1826-'user input'!$C$17))),F1827-F1826)</f>
        <v>0</v>
      </c>
      <c r="F1827">
        <f>IF(C1827&lt;'user input'!$C$12,IF(B1827&gt;'user input'!$C$6,0,F1826+E1827),'user input'!$C$17*((1-C1827)/(1-'user input'!$C$12)))</f>
        <v>0</v>
      </c>
    </row>
    <row r="1828" spans="1:6" x14ac:dyDescent="0.2">
      <c r="A1828" s="1">
        <v>42004</v>
      </c>
      <c r="B1828">
        <v>1</v>
      </c>
      <c r="C1828">
        <f>IF(B1828&gt;'user input'!$C$6,0,IF('heat units'!H1828&gt;1,1,'heat units'!H1828))</f>
        <v>0</v>
      </c>
      <c r="D1828">
        <f>IF(B1828&gt;'user input'!$C$6,0,(C1828/(C1828+EXP('user input'!$C$15-'user input'!$C$14*C1828))))</f>
        <v>0</v>
      </c>
      <c r="E1828">
        <f>IF(C1828&lt;'user input'!$C$12,(D1828-D1827)*'user input'!$C$17*(1-EXP(5*(F1827-'user input'!$C$17))),F1828-F1827)</f>
        <v>0</v>
      </c>
      <c r="F1828">
        <f>IF(C1828&lt;'user input'!$C$12,IF(B1828&gt;'user input'!$C$6,0,F1827+E1828),'user input'!$C$17*((1-C1828)/(1-'user input'!$C$12)))</f>
        <v>0</v>
      </c>
    </row>
    <row r="1829" spans="1:6" x14ac:dyDescent="0.2">
      <c r="A1829" s="1">
        <v>42005</v>
      </c>
      <c r="B1829">
        <v>2</v>
      </c>
      <c r="C1829">
        <f>IF(B1829&gt;'user input'!$C$6,0,IF('heat units'!H1829&gt;1,1,'heat units'!H1829))</f>
        <v>0</v>
      </c>
      <c r="D1829">
        <f>IF(B1829&gt;'user input'!$C$6,0,(C1829/(C1829+EXP('user input'!$C$15-'user input'!$C$14*C1829))))</f>
        <v>0</v>
      </c>
      <c r="E1829">
        <f>IF(C1829&lt;'user input'!$C$12,(D1829-D1828)*'user input'!$C$17*(1-EXP(5*(F1828-'user input'!$C$17))),F1829-F1828)</f>
        <v>0</v>
      </c>
      <c r="F1829">
        <f>IF(C1829&lt;'user input'!$C$12,IF(B1829&gt;'user input'!$C$6,0,F1828+E1829),'user input'!$C$17*((1-C1829)/(1-'user input'!$C$12)))</f>
        <v>0</v>
      </c>
    </row>
    <row r="1830" spans="1:6" x14ac:dyDescent="0.2">
      <c r="A1830" s="1">
        <v>42006</v>
      </c>
      <c r="B1830">
        <v>3</v>
      </c>
      <c r="C1830">
        <f>IF(B1830&gt;'user input'!$C$6,0,IF('heat units'!H1830&gt;1,1,'heat units'!H1830))</f>
        <v>0</v>
      </c>
      <c r="D1830">
        <f>IF(B1830&gt;'user input'!$C$6,0,(C1830/(C1830+EXP('user input'!$C$15-'user input'!$C$14*C1830))))</f>
        <v>0</v>
      </c>
      <c r="E1830">
        <f>IF(C1830&lt;'user input'!$C$12,(D1830-D1829)*'user input'!$C$17*(1-EXP(5*(F1829-'user input'!$C$17))),F1830-F1829)</f>
        <v>0</v>
      </c>
      <c r="F1830">
        <f>IF(C1830&lt;'user input'!$C$12,IF(B1830&gt;'user input'!$C$6,0,F1829+E1830),'user input'!$C$17*((1-C1830)/(1-'user input'!$C$12)))</f>
        <v>0</v>
      </c>
    </row>
    <row r="1831" spans="1:6" x14ac:dyDescent="0.2">
      <c r="A1831" s="1">
        <v>42007</v>
      </c>
      <c r="B1831">
        <v>4</v>
      </c>
      <c r="C1831">
        <f>IF(B1831&gt;'user input'!$C$6,0,IF('heat units'!H1831&gt;1,1,'heat units'!H1831))</f>
        <v>0</v>
      </c>
      <c r="D1831">
        <f>IF(B1831&gt;'user input'!$C$6,0,(C1831/(C1831+EXP('user input'!$C$15-'user input'!$C$14*C1831))))</f>
        <v>0</v>
      </c>
      <c r="E1831">
        <f>IF(C1831&lt;'user input'!$C$12,(D1831-D1830)*'user input'!$C$17*(1-EXP(5*(F1830-'user input'!$C$17))),F1831-F1830)</f>
        <v>0</v>
      </c>
      <c r="F1831">
        <f>IF(C1831&lt;'user input'!$C$12,IF(B1831&gt;'user input'!$C$6,0,F1830+E1831),'user input'!$C$17*((1-C1831)/(1-'user input'!$C$12)))</f>
        <v>0</v>
      </c>
    </row>
    <row r="1832" spans="1:6" x14ac:dyDescent="0.2">
      <c r="A1832" s="1">
        <v>42008</v>
      </c>
      <c r="B1832">
        <v>5</v>
      </c>
      <c r="C1832">
        <f>IF(B1832&gt;'user input'!$C$6,0,IF('heat units'!H1832&gt;1,1,'heat units'!H1832))</f>
        <v>0</v>
      </c>
      <c r="D1832">
        <f>IF(B1832&gt;'user input'!$C$6,0,(C1832/(C1832+EXP('user input'!$C$15-'user input'!$C$14*C1832))))</f>
        <v>0</v>
      </c>
      <c r="E1832">
        <f>IF(C1832&lt;'user input'!$C$12,(D1832-D1831)*'user input'!$C$17*(1-EXP(5*(F1831-'user input'!$C$17))),F1832-F1831)</f>
        <v>0</v>
      </c>
      <c r="F1832">
        <f>IF(C1832&lt;'user input'!$C$12,IF(B1832&gt;'user input'!$C$6,0,F1831+E1832),'user input'!$C$17*((1-C1832)/(1-'user input'!$C$12)))</f>
        <v>0</v>
      </c>
    </row>
    <row r="1833" spans="1:6" x14ac:dyDescent="0.2">
      <c r="A1833" s="1">
        <v>42009</v>
      </c>
      <c r="B1833">
        <v>6</v>
      </c>
      <c r="C1833">
        <f>IF(B1833&gt;'user input'!$C$6,0,IF('heat units'!H1833&gt;1,1,'heat units'!H1833))</f>
        <v>0</v>
      </c>
      <c r="D1833">
        <f>IF(B1833&gt;'user input'!$C$6,0,(C1833/(C1833+EXP('user input'!$C$15-'user input'!$C$14*C1833))))</f>
        <v>0</v>
      </c>
      <c r="E1833">
        <f>IF(C1833&lt;'user input'!$C$12,(D1833-D1832)*'user input'!$C$17*(1-EXP(5*(F1832-'user input'!$C$17))),F1833-F1832)</f>
        <v>0</v>
      </c>
      <c r="F1833">
        <f>IF(C1833&lt;'user input'!$C$12,IF(B1833&gt;'user input'!$C$6,0,F1832+E1833),'user input'!$C$17*((1-C1833)/(1-'user input'!$C$12)))</f>
        <v>0</v>
      </c>
    </row>
    <row r="1834" spans="1:6" x14ac:dyDescent="0.2">
      <c r="A1834" s="1">
        <v>42010</v>
      </c>
      <c r="B1834">
        <v>7</v>
      </c>
      <c r="C1834">
        <f>IF(B1834&gt;'user input'!$C$6,0,IF('heat units'!H1834&gt;1,1,'heat units'!H1834))</f>
        <v>0</v>
      </c>
      <c r="D1834">
        <f>IF(B1834&gt;'user input'!$C$6,0,(C1834/(C1834+EXP('user input'!$C$15-'user input'!$C$14*C1834))))</f>
        <v>0</v>
      </c>
      <c r="E1834">
        <f>IF(C1834&lt;'user input'!$C$12,(D1834-D1833)*'user input'!$C$17*(1-EXP(5*(F1833-'user input'!$C$17))),F1834-F1833)</f>
        <v>0</v>
      </c>
      <c r="F1834">
        <f>IF(C1834&lt;'user input'!$C$12,IF(B1834&gt;'user input'!$C$6,0,F1833+E1834),'user input'!$C$17*((1-C1834)/(1-'user input'!$C$12)))</f>
        <v>0</v>
      </c>
    </row>
    <row r="1835" spans="1:6" x14ac:dyDescent="0.2">
      <c r="A1835" s="1">
        <v>42011</v>
      </c>
      <c r="B1835">
        <v>8</v>
      </c>
      <c r="C1835">
        <f>IF(B1835&gt;'user input'!$C$6,0,IF('heat units'!H1835&gt;1,1,'heat units'!H1835))</f>
        <v>0</v>
      </c>
      <c r="D1835">
        <f>IF(B1835&gt;'user input'!$C$6,0,(C1835/(C1835+EXP('user input'!$C$15-'user input'!$C$14*C1835))))</f>
        <v>0</v>
      </c>
      <c r="E1835">
        <f>IF(C1835&lt;'user input'!$C$12,(D1835-D1834)*'user input'!$C$17*(1-EXP(5*(F1834-'user input'!$C$17))),F1835-F1834)</f>
        <v>0</v>
      </c>
      <c r="F1835">
        <f>IF(C1835&lt;'user input'!$C$12,IF(B1835&gt;'user input'!$C$6,0,F1834+E1835),'user input'!$C$17*((1-C1835)/(1-'user input'!$C$12)))</f>
        <v>0</v>
      </c>
    </row>
    <row r="1836" spans="1:6" x14ac:dyDescent="0.2">
      <c r="A1836" s="1">
        <v>42012</v>
      </c>
      <c r="B1836">
        <v>9</v>
      </c>
      <c r="C1836">
        <f>IF(B1836&gt;'user input'!$C$6,0,IF('heat units'!H1836&gt;1,1,'heat units'!H1836))</f>
        <v>0</v>
      </c>
      <c r="D1836">
        <f>IF(B1836&gt;'user input'!$C$6,0,(C1836/(C1836+EXP('user input'!$C$15-'user input'!$C$14*C1836))))</f>
        <v>0</v>
      </c>
      <c r="E1836">
        <f>IF(C1836&lt;'user input'!$C$12,(D1836-D1835)*'user input'!$C$17*(1-EXP(5*(F1835-'user input'!$C$17))),F1836-F1835)</f>
        <v>0</v>
      </c>
      <c r="F1836">
        <f>IF(C1836&lt;'user input'!$C$12,IF(B1836&gt;'user input'!$C$6,0,F1835+E1836),'user input'!$C$17*((1-C1836)/(1-'user input'!$C$12)))</f>
        <v>0</v>
      </c>
    </row>
    <row r="1837" spans="1:6" x14ac:dyDescent="0.2">
      <c r="A1837" s="1">
        <v>42013</v>
      </c>
      <c r="B1837">
        <v>10</v>
      </c>
      <c r="C1837">
        <f>IF(B1837&gt;'user input'!$C$6,0,IF('heat units'!H1837&gt;1,1,'heat units'!H1837))</f>
        <v>0</v>
      </c>
      <c r="D1837">
        <f>IF(B1837&gt;'user input'!$C$6,0,(C1837/(C1837+EXP('user input'!$C$15-'user input'!$C$14*C1837))))</f>
        <v>0</v>
      </c>
      <c r="E1837">
        <f>IF(C1837&lt;'user input'!$C$12,(D1837-D1836)*'user input'!$C$17*(1-EXP(5*(F1836-'user input'!$C$17))),F1837-F1836)</f>
        <v>0</v>
      </c>
      <c r="F1837">
        <f>IF(C1837&lt;'user input'!$C$12,IF(B1837&gt;'user input'!$C$6,0,F1836+E1837),'user input'!$C$17*((1-C1837)/(1-'user input'!$C$12)))</f>
        <v>0</v>
      </c>
    </row>
    <row r="1838" spans="1:6" x14ac:dyDescent="0.2">
      <c r="A1838" s="1">
        <v>42014</v>
      </c>
      <c r="B1838">
        <v>11</v>
      </c>
      <c r="C1838">
        <f>IF(B1838&gt;'user input'!$C$6,0,IF('heat units'!H1838&gt;1,1,'heat units'!H1838))</f>
        <v>0</v>
      </c>
      <c r="D1838">
        <f>IF(B1838&gt;'user input'!$C$6,0,(C1838/(C1838+EXP('user input'!$C$15-'user input'!$C$14*C1838))))</f>
        <v>0</v>
      </c>
      <c r="E1838">
        <f>IF(C1838&lt;'user input'!$C$12,(D1838-D1837)*'user input'!$C$17*(1-EXP(5*(F1837-'user input'!$C$17))),F1838-F1837)</f>
        <v>0</v>
      </c>
      <c r="F1838">
        <f>IF(C1838&lt;'user input'!$C$12,IF(B1838&gt;'user input'!$C$6,0,F1837+E1838),'user input'!$C$17*((1-C1838)/(1-'user input'!$C$12)))</f>
        <v>0</v>
      </c>
    </row>
    <row r="1839" spans="1:6" x14ac:dyDescent="0.2">
      <c r="A1839" s="1">
        <v>42015</v>
      </c>
      <c r="B1839">
        <v>12</v>
      </c>
      <c r="C1839">
        <f>IF(B1839&gt;'user input'!$C$6,0,IF('heat units'!H1839&gt;1,1,'heat units'!H1839))</f>
        <v>0</v>
      </c>
      <c r="D1839">
        <f>IF(B1839&gt;'user input'!$C$6,0,(C1839/(C1839+EXP('user input'!$C$15-'user input'!$C$14*C1839))))</f>
        <v>0</v>
      </c>
      <c r="E1839">
        <f>IF(C1839&lt;'user input'!$C$12,(D1839-D1838)*'user input'!$C$17*(1-EXP(5*(F1838-'user input'!$C$17))),F1839-F1838)</f>
        <v>0</v>
      </c>
      <c r="F1839">
        <f>IF(C1839&lt;'user input'!$C$12,IF(B1839&gt;'user input'!$C$6,0,F1838+E1839),'user input'!$C$17*((1-C1839)/(1-'user input'!$C$12)))</f>
        <v>0</v>
      </c>
    </row>
    <row r="1840" spans="1:6" x14ac:dyDescent="0.2">
      <c r="A1840" s="1">
        <v>42016</v>
      </c>
      <c r="B1840">
        <v>13</v>
      </c>
      <c r="C1840">
        <f>IF(B1840&gt;'user input'!$C$6,0,IF('heat units'!H1840&gt;1,1,'heat units'!H1840))</f>
        <v>0</v>
      </c>
      <c r="D1840">
        <f>IF(B1840&gt;'user input'!$C$6,0,(C1840/(C1840+EXP('user input'!$C$15-'user input'!$C$14*C1840))))</f>
        <v>0</v>
      </c>
      <c r="E1840">
        <f>IF(C1840&lt;'user input'!$C$12,(D1840-D1839)*'user input'!$C$17*(1-EXP(5*(F1839-'user input'!$C$17))),F1840-F1839)</f>
        <v>0</v>
      </c>
      <c r="F1840">
        <f>IF(C1840&lt;'user input'!$C$12,IF(B1840&gt;'user input'!$C$6,0,F1839+E1840),'user input'!$C$17*((1-C1840)/(1-'user input'!$C$12)))</f>
        <v>0</v>
      </c>
    </row>
    <row r="1841" spans="1:6" x14ac:dyDescent="0.2">
      <c r="A1841" s="1">
        <v>42017</v>
      </c>
      <c r="B1841">
        <v>14</v>
      </c>
      <c r="C1841">
        <f>IF(B1841&gt;'user input'!$C$6,0,IF('heat units'!H1841&gt;1,1,'heat units'!H1841))</f>
        <v>0</v>
      </c>
      <c r="D1841">
        <f>IF(B1841&gt;'user input'!$C$6,0,(C1841/(C1841+EXP('user input'!$C$15-'user input'!$C$14*C1841))))</f>
        <v>0</v>
      </c>
      <c r="E1841">
        <f>IF(C1841&lt;'user input'!$C$12,(D1841-D1840)*'user input'!$C$17*(1-EXP(5*(F1840-'user input'!$C$17))),F1841-F1840)</f>
        <v>0</v>
      </c>
      <c r="F1841">
        <f>IF(C1841&lt;'user input'!$C$12,IF(B1841&gt;'user input'!$C$6,0,F1840+E1841),'user input'!$C$17*((1-C1841)/(1-'user input'!$C$12)))</f>
        <v>0</v>
      </c>
    </row>
    <row r="1842" spans="1:6" x14ac:dyDescent="0.2">
      <c r="A1842" s="1">
        <v>42018</v>
      </c>
      <c r="B1842">
        <v>15</v>
      </c>
      <c r="C1842">
        <f>IF(B1842&gt;'user input'!$C$6,0,IF('heat units'!H1842&gt;1,1,'heat units'!H1842))</f>
        <v>0</v>
      </c>
      <c r="D1842">
        <f>IF(B1842&gt;'user input'!$C$6,0,(C1842/(C1842+EXP('user input'!$C$15-'user input'!$C$14*C1842))))</f>
        <v>0</v>
      </c>
      <c r="E1842">
        <f>IF(C1842&lt;'user input'!$C$12,(D1842-D1841)*'user input'!$C$17*(1-EXP(5*(F1841-'user input'!$C$17))),F1842-F1841)</f>
        <v>0</v>
      </c>
      <c r="F1842">
        <f>IF(C1842&lt;'user input'!$C$12,IF(B1842&gt;'user input'!$C$6,0,F1841+E1842),'user input'!$C$17*((1-C1842)/(1-'user input'!$C$12)))</f>
        <v>0</v>
      </c>
    </row>
    <row r="1843" spans="1:6" x14ac:dyDescent="0.2">
      <c r="A1843" s="1">
        <v>42019</v>
      </c>
      <c r="B1843">
        <v>16</v>
      </c>
      <c r="C1843">
        <f>IF(B1843&gt;'user input'!$C$6,0,IF('heat units'!H1843&gt;1,1,'heat units'!H1843))</f>
        <v>0</v>
      </c>
      <c r="D1843">
        <f>IF(B1843&gt;'user input'!$C$6,0,(C1843/(C1843+EXP('user input'!$C$15-'user input'!$C$14*C1843))))</f>
        <v>0</v>
      </c>
      <c r="E1843">
        <f>IF(C1843&lt;'user input'!$C$12,(D1843-D1842)*'user input'!$C$17*(1-EXP(5*(F1842-'user input'!$C$17))),F1843-F1842)</f>
        <v>0</v>
      </c>
      <c r="F1843">
        <f>IF(C1843&lt;'user input'!$C$12,IF(B1843&gt;'user input'!$C$6,0,F1842+E1843),'user input'!$C$17*((1-C1843)/(1-'user input'!$C$12)))</f>
        <v>0</v>
      </c>
    </row>
    <row r="1844" spans="1:6" x14ac:dyDescent="0.2">
      <c r="A1844" s="1">
        <v>42020</v>
      </c>
      <c r="B1844">
        <v>17</v>
      </c>
      <c r="C1844">
        <f>IF(B1844&gt;'user input'!$C$6,0,IF('heat units'!H1844&gt;1,1,'heat units'!H1844))</f>
        <v>0</v>
      </c>
      <c r="D1844">
        <f>IF(B1844&gt;'user input'!$C$6,0,(C1844/(C1844+EXP('user input'!$C$15-'user input'!$C$14*C1844))))</f>
        <v>0</v>
      </c>
      <c r="E1844">
        <f>IF(C1844&lt;'user input'!$C$12,(D1844-D1843)*'user input'!$C$17*(1-EXP(5*(F1843-'user input'!$C$17))),F1844-F1843)</f>
        <v>0</v>
      </c>
      <c r="F1844">
        <f>IF(C1844&lt;'user input'!$C$12,IF(B1844&gt;'user input'!$C$6,0,F1843+E1844),'user input'!$C$17*((1-C1844)/(1-'user input'!$C$12)))</f>
        <v>0</v>
      </c>
    </row>
    <row r="1845" spans="1:6" x14ac:dyDescent="0.2">
      <c r="A1845" s="1">
        <v>42021</v>
      </c>
      <c r="B1845">
        <v>18</v>
      </c>
      <c r="C1845">
        <f>IF(B1845&gt;'user input'!$C$6,0,IF('heat units'!H1845&gt;1,1,'heat units'!H1845))</f>
        <v>0</v>
      </c>
      <c r="D1845">
        <f>IF(B1845&gt;'user input'!$C$6,0,(C1845/(C1845+EXP('user input'!$C$15-'user input'!$C$14*C1845))))</f>
        <v>0</v>
      </c>
      <c r="E1845">
        <f>IF(C1845&lt;'user input'!$C$12,(D1845-D1844)*'user input'!$C$17*(1-EXP(5*(F1844-'user input'!$C$17))),F1845-F1844)</f>
        <v>0</v>
      </c>
      <c r="F1845">
        <f>IF(C1845&lt;'user input'!$C$12,IF(B1845&gt;'user input'!$C$6,0,F1844+E1845),'user input'!$C$17*((1-C1845)/(1-'user input'!$C$12)))</f>
        <v>0</v>
      </c>
    </row>
    <row r="1846" spans="1:6" x14ac:dyDescent="0.2">
      <c r="A1846" s="1">
        <v>42022</v>
      </c>
      <c r="B1846">
        <v>19</v>
      </c>
      <c r="C1846">
        <f>IF(B1846&gt;'user input'!$C$6,0,IF('heat units'!H1846&gt;1,1,'heat units'!H1846))</f>
        <v>0</v>
      </c>
      <c r="D1846">
        <f>IF(B1846&gt;'user input'!$C$6,0,(C1846/(C1846+EXP('user input'!$C$15-'user input'!$C$14*C1846))))</f>
        <v>0</v>
      </c>
      <c r="E1846">
        <f>IF(C1846&lt;'user input'!$C$12,(D1846-D1845)*'user input'!$C$17*(1-EXP(5*(F1845-'user input'!$C$17))),F1846-F1845)</f>
        <v>0</v>
      </c>
      <c r="F1846">
        <f>IF(C1846&lt;'user input'!$C$12,IF(B1846&gt;'user input'!$C$6,0,F1845+E1846),'user input'!$C$17*((1-C1846)/(1-'user input'!$C$12)))</f>
        <v>0</v>
      </c>
    </row>
    <row r="1847" spans="1:6" x14ac:dyDescent="0.2">
      <c r="A1847" s="1">
        <v>42023</v>
      </c>
      <c r="B1847">
        <v>20</v>
      </c>
      <c r="C1847">
        <f>IF(B1847&gt;'user input'!$C$6,0,IF('heat units'!H1847&gt;1,1,'heat units'!H1847))</f>
        <v>0</v>
      </c>
      <c r="D1847">
        <f>IF(B1847&gt;'user input'!$C$6,0,(C1847/(C1847+EXP('user input'!$C$15-'user input'!$C$14*C1847))))</f>
        <v>0</v>
      </c>
      <c r="E1847">
        <f>IF(C1847&lt;'user input'!$C$12,(D1847-D1846)*'user input'!$C$17*(1-EXP(5*(F1846-'user input'!$C$17))),F1847-F1846)</f>
        <v>0</v>
      </c>
      <c r="F1847">
        <f>IF(C1847&lt;'user input'!$C$12,IF(B1847&gt;'user input'!$C$6,0,F1846+E1847),'user input'!$C$17*((1-C1847)/(1-'user input'!$C$12)))</f>
        <v>0</v>
      </c>
    </row>
    <row r="1848" spans="1:6" x14ac:dyDescent="0.2">
      <c r="A1848" s="1">
        <v>42024</v>
      </c>
      <c r="B1848">
        <v>21</v>
      </c>
      <c r="C1848">
        <f>IF(B1848&gt;'user input'!$C$6,0,IF('heat units'!H1848&gt;1,1,'heat units'!H1848))</f>
        <v>0</v>
      </c>
      <c r="D1848">
        <f>IF(B1848&gt;'user input'!$C$6,0,(C1848/(C1848+EXP('user input'!$C$15-'user input'!$C$14*C1848))))</f>
        <v>0</v>
      </c>
      <c r="E1848">
        <f>IF(C1848&lt;'user input'!$C$12,(D1848-D1847)*'user input'!$C$17*(1-EXP(5*(F1847-'user input'!$C$17))),F1848-F1847)</f>
        <v>0</v>
      </c>
      <c r="F1848">
        <f>IF(C1848&lt;'user input'!$C$12,IF(B1848&gt;'user input'!$C$6,0,F1847+E1848),'user input'!$C$17*((1-C1848)/(1-'user input'!$C$12)))</f>
        <v>0</v>
      </c>
    </row>
    <row r="1849" spans="1:6" x14ac:dyDescent="0.2">
      <c r="A1849" s="1">
        <v>42025</v>
      </c>
      <c r="B1849">
        <v>22</v>
      </c>
      <c r="C1849">
        <f>IF(B1849&gt;'user input'!$C$6,0,IF('heat units'!H1849&gt;1,1,'heat units'!H1849))</f>
        <v>0</v>
      </c>
      <c r="D1849">
        <f>IF(B1849&gt;'user input'!$C$6,0,(C1849/(C1849+EXP('user input'!$C$15-'user input'!$C$14*C1849))))</f>
        <v>0</v>
      </c>
      <c r="E1849">
        <f>IF(C1849&lt;'user input'!$C$12,(D1849-D1848)*'user input'!$C$17*(1-EXP(5*(F1848-'user input'!$C$17))),F1849-F1848)</f>
        <v>0</v>
      </c>
      <c r="F1849">
        <f>IF(C1849&lt;'user input'!$C$12,IF(B1849&gt;'user input'!$C$6,0,F1848+E1849),'user input'!$C$17*((1-C1849)/(1-'user input'!$C$12)))</f>
        <v>0</v>
      </c>
    </row>
    <row r="1850" spans="1:6" x14ac:dyDescent="0.2">
      <c r="A1850" s="1">
        <v>42026</v>
      </c>
      <c r="B1850">
        <v>23</v>
      </c>
      <c r="C1850">
        <f>IF(B1850&gt;'user input'!$C$6,0,IF('heat units'!H1850&gt;1,1,'heat units'!H1850))</f>
        <v>0</v>
      </c>
      <c r="D1850">
        <f>IF(B1850&gt;'user input'!$C$6,0,(C1850/(C1850+EXP('user input'!$C$15-'user input'!$C$14*C1850))))</f>
        <v>0</v>
      </c>
      <c r="E1850">
        <f>IF(C1850&lt;'user input'!$C$12,(D1850-D1849)*'user input'!$C$17*(1-EXP(5*(F1849-'user input'!$C$17))),F1850-F1849)</f>
        <v>0</v>
      </c>
      <c r="F1850">
        <f>IF(C1850&lt;'user input'!$C$12,IF(B1850&gt;'user input'!$C$6,0,F1849+E1850),'user input'!$C$17*((1-C1850)/(1-'user input'!$C$12)))</f>
        <v>0</v>
      </c>
    </row>
    <row r="1851" spans="1:6" x14ac:dyDescent="0.2">
      <c r="A1851" s="1">
        <v>42027</v>
      </c>
      <c r="B1851">
        <v>24</v>
      </c>
      <c r="C1851">
        <f>IF(B1851&gt;'user input'!$C$6,0,IF('heat units'!H1851&gt;1,1,'heat units'!H1851))</f>
        <v>0</v>
      </c>
      <c r="D1851">
        <f>IF(B1851&gt;'user input'!$C$6,0,(C1851/(C1851+EXP('user input'!$C$15-'user input'!$C$14*C1851))))</f>
        <v>0</v>
      </c>
      <c r="E1851">
        <f>IF(C1851&lt;'user input'!$C$12,(D1851-D1850)*'user input'!$C$17*(1-EXP(5*(F1850-'user input'!$C$17))),F1851-F1850)</f>
        <v>0</v>
      </c>
      <c r="F1851">
        <f>IF(C1851&lt;'user input'!$C$12,IF(B1851&gt;'user input'!$C$6,0,F1850+E1851),'user input'!$C$17*((1-C1851)/(1-'user input'!$C$12)))</f>
        <v>0</v>
      </c>
    </row>
    <row r="1852" spans="1:6" x14ac:dyDescent="0.2">
      <c r="A1852" s="1">
        <v>42028</v>
      </c>
      <c r="B1852">
        <v>25</v>
      </c>
      <c r="C1852">
        <f>IF(B1852&gt;'user input'!$C$6,0,IF('heat units'!H1852&gt;1,1,'heat units'!H1852))</f>
        <v>0</v>
      </c>
      <c r="D1852">
        <f>IF(B1852&gt;'user input'!$C$6,0,(C1852/(C1852+EXP('user input'!$C$15-'user input'!$C$14*C1852))))</f>
        <v>0</v>
      </c>
      <c r="E1852">
        <f>IF(C1852&lt;'user input'!$C$12,(D1852-D1851)*'user input'!$C$17*(1-EXP(5*(F1851-'user input'!$C$17))),F1852-F1851)</f>
        <v>0</v>
      </c>
      <c r="F1852">
        <f>IF(C1852&lt;'user input'!$C$12,IF(B1852&gt;'user input'!$C$6,0,F1851+E1852),'user input'!$C$17*((1-C1852)/(1-'user input'!$C$12)))</f>
        <v>0</v>
      </c>
    </row>
    <row r="1853" spans="1:6" x14ac:dyDescent="0.2">
      <c r="A1853" s="1">
        <v>42029</v>
      </c>
      <c r="B1853">
        <v>26</v>
      </c>
      <c r="C1853">
        <f>IF(B1853&gt;'user input'!$C$6,0,IF('heat units'!H1853&gt;1,1,'heat units'!H1853))</f>
        <v>0</v>
      </c>
      <c r="D1853">
        <f>IF(B1853&gt;'user input'!$C$6,0,(C1853/(C1853+EXP('user input'!$C$15-'user input'!$C$14*C1853))))</f>
        <v>0</v>
      </c>
      <c r="E1853">
        <f>IF(C1853&lt;'user input'!$C$12,(D1853-D1852)*'user input'!$C$17*(1-EXP(5*(F1852-'user input'!$C$17))),F1853-F1852)</f>
        <v>0</v>
      </c>
      <c r="F1853">
        <f>IF(C1853&lt;'user input'!$C$12,IF(B1853&gt;'user input'!$C$6,0,F1852+E1853),'user input'!$C$17*((1-C1853)/(1-'user input'!$C$12)))</f>
        <v>0</v>
      </c>
    </row>
    <row r="1854" spans="1:6" x14ac:dyDescent="0.2">
      <c r="A1854" s="1">
        <v>42030</v>
      </c>
      <c r="B1854">
        <v>27</v>
      </c>
      <c r="C1854">
        <f>IF(B1854&gt;'user input'!$C$6,0,IF('heat units'!H1854&gt;1,1,'heat units'!H1854))</f>
        <v>0</v>
      </c>
      <c r="D1854">
        <f>IF(B1854&gt;'user input'!$C$6,0,(C1854/(C1854+EXP('user input'!$C$15-'user input'!$C$14*C1854))))</f>
        <v>0</v>
      </c>
      <c r="E1854">
        <f>IF(C1854&lt;'user input'!$C$12,(D1854-D1853)*'user input'!$C$17*(1-EXP(5*(F1853-'user input'!$C$17))),F1854-F1853)</f>
        <v>0</v>
      </c>
      <c r="F1854">
        <f>IF(C1854&lt;'user input'!$C$12,IF(B1854&gt;'user input'!$C$6,0,F1853+E1854),'user input'!$C$17*((1-C1854)/(1-'user input'!$C$12)))</f>
        <v>0</v>
      </c>
    </row>
    <row r="1855" spans="1:6" x14ac:dyDescent="0.2">
      <c r="A1855" s="1">
        <v>42031</v>
      </c>
      <c r="B1855">
        <v>28</v>
      </c>
      <c r="C1855">
        <f>IF(B1855&gt;'user input'!$C$6,0,IF('heat units'!H1855&gt;1,1,'heat units'!H1855))</f>
        <v>0</v>
      </c>
      <c r="D1855">
        <f>IF(B1855&gt;'user input'!$C$6,0,(C1855/(C1855+EXP('user input'!$C$15-'user input'!$C$14*C1855))))</f>
        <v>0</v>
      </c>
      <c r="E1855">
        <f>IF(C1855&lt;'user input'!$C$12,(D1855-D1854)*'user input'!$C$17*(1-EXP(5*(F1854-'user input'!$C$17))),F1855-F1854)</f>
        <v>0</v>
      </c>
      <c r="F1855">
        <f>IF(C1855&lt;'user input'!$C$12,IF(B1855&gt;'user input'!$C$6,0,F1854+E1855),'user input'!$C$17*((1-C1855)/(1-'user input'!$C$12)))</f>
        <v>0</v>
      </c>
    </row>
    <row r="1856" spans="1:6" x14ac:dyDescent="0.2">
      <c r="A1856" s="1">
        <v>42032</v>
      </c>
      <c r="B1856">
        <v>29</v>
      </c>
      <c r="C1856">
        <f>IF(B1856&gt;'user input'!$C$6,0,IF('heat units'!H1856&gt;1,1,'heat units'!H1856))</f>
        <v>0</v>
      </c>
      <c r="D1856">
        <f>IF(B1856&gt;'user input'!$C$6,0,(C1856/(C1856+EXP('user input'!$C$15-'user input'!$C$14*C1856))))</f>
        <v>0</v>
      </c>
      <c r="E1856">
        <f>IF(C1856&lt;'user input'!$C$12,(D1856-D1855)*'user input'!$C$17*(1-EXP(5*(F1855-'user input'!$C$17))),F1856-F1855)</f>
        <v>0</v>
      </c>
      <c r="F1856">
        <f>IF(C1856&lt;'user input'!$C$12,IF(B1856&gt;'user input'!$C$6,0,F1855+E1856),'user input'!$C$17*((1-C1856)/(1-'user input'!$C$12)))</f>
        <v>0</v>
      </c>
    </row>
    <row r="1857" spans="1:6" x14ac:dyDescent="0.2">
      <c r="A1857" s="1">
        <v>42033</v>
      </c>
      <c r="B1857">
        <v>30</v>
      </c>
      <c r="C1857">
        <f>IF(B1857&gt;'user input'!$C$6,0,IF('heat units'!H1857&gt;1,1,'heat units'!H1857))</f>
        <v>0</v>
      </c>
      <c r="D1857">
        <f>IF(B1857&gt;'user input'!$C$6,0,(C1857/(C1857+EXP('user input'!$C$15-'user input'!$C$14*C1857))))</f>
        <v>0</v>
      </c>
      <c r="E1857">
        <f>IF(C1857&lt;'user input'!$C$12,(D1857-D1856)*'user input'!$C$17*(1-EXP(5*(F1856-'user input'!$C$17))),F1857-F1856)</f>
        <v>0</v>
      </c>
      <c r="F1857">
        <f>IF(C1857&lt;'user input'!$C$12,IF(B1857&gt;'user input'!$C$6,0,F1856+E1857),'user input'!$C$17*((1-C1857)/(1-'user input'!$C$12)))</f>
        <v>0</v>
      </c>
    </row>
    <row r="1858" spans="1:6" x14ac:dyDescent="0.2">
      <c r="A1858" s="1">
        <v>42034</v>
      </c>
      <c r="B1858">
        <v>31</v>
      </c>
      <c r="C1858">
        <f>IF(B1858&gt;'user input'!$C$6,0,IF('heat units'!H1858&gt;1,1,'heat units'!H1858))</f>
        <v>0</v>
      </c>
      <c r="D1858">
        <f>IF(B1858&gt;'user input'!$C$6,0,(C1858/(C1858+EXP('user input'!$C$15-'user input'!$C$14*C1858))))</f>
        <v>0</v>
      </c>
      <c r="E1858">
        <f>IF(C1858&lt;'user input'!$C$12,(D1858-D1857)*'user input'!$C$17*(1-EXP(5*(F1857-'user input'!$C$17))),F1858-F1857)</f>
        <v>0</v>
      </c>
      <c r="F1858">
        <f>IF(C1858&lt;'user input'!$C$12,IF(B1858&gt;'user input'!$C$6,0,F1857+E1858),'user input'!$C$17*((1-C1858)/(1-'user input'!$C$12)))</f>
        <v>0</v>
      </c>
    </row>
    <row r="1859" spans="1:6" x14ac:dyDescent="0.2">
      <c r="A1859" s="1">
        <v>42035</v>
      </c>
      <c r="B1859">
        <v>32</v>
      </c>
      <c r="C1859">
        <f>IF(B1859&gt;'user input'!$C$6,0,IF('heat units'!H1859&gt;1,1,'heat units'!H1859))</f>
        <v>0</v>
      </c>
      <c r="D1859">
        <f>IF(B1859&gt;'user input'!$C$6,0,(C1859/(C1859+EXP('user input'!$C$15-'user input'!$C$14*C1859))))</f>
        <v>0</v>
      </c>
      <c r="E1859">
        <f>IF(C1859&lt;'user input'!$C$12,(D1859-D1858)*'user input'!$C$17*(1-EXP(5*(F1858-'user input'!$C$17))),F1859-F1858)</f>
        <v>0</v>
      </c>
      <c r="F1859">
        <f>IF(C1859&lt;'user input'!$C$12,IF(B1859&gt;'user input'!$C$6,0,F1858+E1859),'user input'!$C$17*((1-C1859)/(1-'user input'!$C$12)))</f>
        <v>0</v>
      </c>
    </row>
    <row r="1860" spans="1:6" x14ac:dyDescent="0.2">
      <c r="A1860" s="1">
        <v>42036</v>
      </c>
      <c r="B1860">
        <v>33</v>
      </c>
      <c r="C1860">
        <f>IF(B1860&gt;'user input'!$C$6,0,IF('heat units'!H1860&gt;1,1,'heat units'!H1860))</f>
        <v>0</v>
      </c>
      <c r="D1860">
        <f>IF(B1860&gt;'user input'!$C$6,0,(C1860/(C1860+EXP('user input'!$C$15-'user input'!$C$14*C1860))))</f>
        <v>0</v>
      </c>
      <c r="E1860">
        <f>IF(C1860&lt;'user input'!$C$12,(D1860-D1859)*'user input'!$C$17*(1-EXP(5*(F1859-'user input'!$C$17))),F1860-F1859)</f>
        <v>0</v>
      </c>
      <c r="F1860">
        <f>IF(C1860&lt;'user input'!$C$12,IF(B1860&gt;'user input'!$C$6,0,F1859+E1860),'user input'!$C$17*((1-C1860)/(1-'user input'!$C$12)))</f>
        <v>0</v>
      </c>
    </row>
    <row r="1861" spans="1:6" x14ac:dyDescent="0.2">
      <c r="A1861" s="1">
        <v>42037</v>
      </c>
      <c r="B1861">
        <v>34</v>
      </c>
      <c r="C1861">
        <f>IF(B1861&gt;'user input'!$C$6,0,IF('heat units'!H1861&gt;1,1,'heat units'!H1861))</f>
        <v>0</v>
      </c>
      <c r="D1861">
        <f>IF(B1861&gt;'user input'!$C$6,0,(C1861/(C1861+EXP('user input'!$C$15-'user input'!$C$14*C1861))))</f>
        <v>0</v>
      </c>
      <c r="E1861">
        <f>IF(C1861&lt;'user input'!$C$12,(D1861-D1860)*'user input'!$C$17*(1-EXP(5*(F1860-'user input'!$C$17))),F1861-F1860)</f>
        <v>0</v>
      </c>
      <c r="F1861">
        <f>IF(C1861&lt;'user input'!$C$12,IF(B1861&gt;'user input'!$C$6,0,F1860+E1861),'user input'!$C$17*((1-C1861)/(1-'user input'!$C$12)))</f>
        <v>0</v>
      </c>
    </row>
    <row r="1862" spans="1:6" x14ac:dyDescent="0.2">
      <c r="A1862" s="1">
        <v>42038</v>
      </c>
      <c r="B1862">
        <v>35</v>
      </c>
      <c r="C1862">
        <f>IF(B1862&gt;'user input'!$C$6,0,IF('heat units'!H1862&gt;1,1,'heat units'!H1862))</f>
        <v>0</v>
      </c>
      <c r="D1862">
        <f>IF(B1862&gt;'user input'!$C$6,0,(C1862/(C1862+EXP('user input'!$C$15-'user input'!$C$14*C1862))))</f>
        <v>0</v>
      </c>
      <c r="E1862">
        <f>IF(C1862&lt;'user input'!$C$12,(D1862-D1861)*'user input'!$C$17*(1-EXP(5*(F1861-'user input'!$C$17))),F1862-F1861)</f>
        <v>0</v>
      </c>
      <c r="F1862">
        <f>IF(C1862&lt;'user input'!$C$12,IF(B1862&gt;'user input'!$C$6,0,F1861+E1862),'user input'!$C$17*((1-C1862)/(1-'user input'!$C$12)))</f>
        <v>0</v>
      </c>
    </row>
    <row r="1863" spans="1:6" x14ac:dyDescent="0.2">
      <c r="A1863" s="1">
        <v>42039</v>
      </c>
      <c r="B1863">
        <v>36</v>
      </c>
      <c r="C1863">
        <f>IF(B1863&gt;'user input'!$C$6,0,IF('heat units'!H1863&gt;1,1,'heat units'!H1863))</f>
        <v>0</v>
      </c>
      <c r="D1863">
        <f>IF(B1863&gt;'user input'!$C$6,0,(C1863/(C1863+EXP('user input'!$C$15-'user input'!$C$14*C1863))))</f>
        <v>0</v>
      </c>
      <c r="E1863">
        <f>IF(C1863&lt;'user input'!$C$12,(D1863-D1862)*'user input'!$C$17*(1-EXP(5*(F1862-'user input'!$C$17))),F1863-F1862)</f>
        <v>0</v>
      </c>
      <c r="F1863">
        <f>IF(C1863&lt;'user input'!$C$12,IF(B1863&gt;'user input'!$C$6,0,F1862+E1863),'user input'!$C$17*((1-C1863)/(1-'user input'!$C$12)))</f>
        <v>0</v>
      </c>
    </row>
    <row r="1864" spans="1:6" x14ac:dyDescent="0.2">
      <c r="A1864" s="1">
        <v>42040</v>
      </c>
      <c r="B1864">
        <v>37</v>
      </c>
      <c r="C1864">
        <f>IF(B1864&gt;'user input'!$C$6,0,IF('heat units'!H1864&gt;1,1,'heat units'!H1864))</f>
        <v>0</v>
      </c>
      <c r="D1864">
        <f>IF(B1864&gt;'user input'!$C$6,0,(C1864/(C1864+EXP('user input'!$C$15-'user input'!$C$14*C1864))))</f>
        <v>0</v>
      </c>
      <c r="E1864">
        <f>IF(C1864&lt;'user input'!$C$12,(D1864-D1863)*'user input'!$C$17*(1-EXP(5*(F1863-'user input'!$C$17))),F1864-F1863)</f>
        <v>0</v>
      </c>
      <c r="F1864">
        <f>IF(C1864&lt;'user input'!$C$12,IF(B1864&gt;'user input'!$C$6,0,F1863+E1864),'user input'!$C$17*((1-C1864)/(1-'user input'!$C$12)))</f>
        <v>0</v>
      </c>
    </row>
    <row r="1865" spans="1:6" x14ac:dyDescent="0.2">
      <c r="A1865" s="1">
        <v>42041</v>
      </c>
      <c r="B1865">
        <v>38</v>
      </c>
      <c r="C1865">
        <f>IF(B1865&gt;'user input'!$C$6,0,IF('heat units'!H1865&gt;1,1,'heat units'!H1865))</f>
        <v>0</v>
      </c>
      <c r="D1865">
        <f>IF(B1865&gt;'user input'!$C$6,0,(C1865/(C1865+EXP('user input'!$C$15-'user input'!$C$14*C1865))))</f>
        <v>0</v>
      </c>
      <c r="E1865">
        <f>IF(C1865&lt;'user input'!$C$12,(D1865-D1864)*'user input'!$C$17*(1-EXP(5*(F1864-'user input'!$C$17))),F1865-F1864)</f>
        <v>0</v>
      </c>
      <c r="F1865">
        <f>IF(C1865&lt;'user input'!$C$12,IF(B1865&gt;'user input'!$C$6,0,F1864+E1865),'user input'!$C$17*((1-C1865)/(1-'user input'!$C$12)))</f>
        <v>0</v>
      </c>
    </row>
    <row r="1866" spans="1:6" x14ac:dyDescent="0.2">
      <c r="A1866" s="1">
        <v>42042</v>
      </c>
      <c r="B1866">
        <v>39</v>
      </c>
      <c r="C1866">
        <f>IF(B1866&gt;'user input'!$C$6,0,IF('heat units'!H1866&gt;1,1,'heat units'!H1866))</f>
        <v>0</v>
      </c>
      <c r="D1866">
        <f>IF(B1866&gt;'user input'!$C$6,0,(C1866/(C1866+EXP('user input'!$C$15-'user input'!$C$14*C1866))))</f>
        <v>0</v>
      </c>
      <c r="E1866">
        <f>IF(C1866&lt;'user input'!$C$12,(D1866-D1865)*'user input'!$C$17*(1-EXP(5*(F1865-'user input'!$C$17))),F1866-F1865)</f>
        <v>0</v>
      </c>
      <c r="F1866">
        <f>IF(C1866&lt;'user input'!$C$12,IF(B1866&gt;'user input'!$C$6,0,F1865+E1866),'user input'!$C$17*((1-C1866)/(1-'user input'!$C$12)))</f>
        <v>0</v>
      </c>
    </row>
    <row r="1867" spans="1:6" x14ac:dyDescent="0.2">
      <c r="A1867" s="1">
        <v>42043</v>
      </c>
      <c r="B1867">
        <v>40</v>
      </c>
      <c r="C1867">
        <f>IF(B1867&gt;'user input'!$C$6,0,IF('heat units'!H1867&gt;1,1,'heat units'!H1867))</f>
        <v>0</v>
      </c>
      <c r="D1867">
        <f>IF(B1867&gt;'user input'!$C$6,0,(C1867/(C1867+EXP('user input'!$C$15-'user input'!$C$14*C1867))))</f>
        <v>0</v>
      </c>
      <c r="E1867">
        <f>IF(C1867&lt;'user input'!$C$12,(D1867-D1866)*'user input'!$C$17*(1-EXP(5*(F1866-'user input'!$C$17))),F1867-F1866)</f>
        <v>0</v>
      </c>
      <c r="F1867">
        <f>IF(C1867&lt;'user input'!$C$12,IF(B1867&gt;'user input'!$C$6,0,F1866+E1867),'user input'!$C$17*((1-C1867)/(1-'user input'!$C$12)))</f>
        <v>0</v>
      </c>
    </row>
    <row r="1868" spans="1:6" x14ac:dyDescent="0.2">
      <c r="A1868" s="1">
        <v>42044</v>
      </c>
      <c r="B1868">
        <v>41</v>
      </c>
      <c r="C1868">
        <f>IF(B1868&gt;'user input'!$C$6,0,IF('heat units'!H1868&gt;1,1,'heat units'!H1868))</f>
        <v>0</v>
      </c>
      <c r="D1868">
        <f>IF(B1868&gt;'user input'!$C$6,0,(C1868/(C1868+EXP('user input'!$C$15-'user input'!$C$14*C1868))))</f>
        <v>0</v>
      </c>
      <c r="E1868">
        <f>IF(C1868&lt;'user input'!$C$12,(D1868-D1867)*'user input'!$C$17*(1-EXP(5*(F1867-'user input'!$C$17))),F1868-F1867)</f>
        <v>0</v>
      </c>
      <c r="F1868">
        <f>IF(C1868&lt;'user input'!$C$12,IF(B1868&gt;'user input'!$C$6,0,F1867+E1868),'user input'!$C$17*((1-C1868)/(1-'user input'!$C$12)))</f>
        <v>0</v>
      </c>
    </row>
    <row r="1869" spans="1:6" x14ac:dyDescent="0.2">
      <c r="A1869" s="1">
        <v>42045</v>
      </c>
      <c r="B1869">
        <v>42</v>
      </c>
      <c r="C1869">
        <f>IF(B1869&gt;'user input'!$C$6,0,IF('heat units'!H1869&gt;1,1,'heat units'!H1869))</f>
        <v>0</v>
      </c>
      <c r="D1869">
        <f>IF(B1869&gt;'user input'!$C$6,0,(C1869/(C1869+EXP('user input'!$C$15-'user input'!$C$14*C1869))))</f>
        <v>0</v>
      </c>
      <c r="E1869">
        <f>IF(C1869&lt;'user input'!$C$12,(D1869-D1868)*'user input'!$C$17*(1-EXP(5*(F1868-'user input'!$C$17))),F1869-F1868)</f>
        <v>0</v>
      </c>
      <c r="F1869">
        <f>IF(C1869&lt;'user input'!$C$12,IF(B1869&gt;'user input'!$C$6,0,F1868+E1869),'user input'!$C$17*((1-C1869)/(1-'user input'!$C$12)))</f>
        <v>0</v>
      </c>
    </row>
    <row r="1870" spans="1:6" x14ac:dyDescent="0.2">
      <c r="A1870" s="1">
        <v>42046</v>
      </c>
      <c r="B1870">
        <v>43</v>
      </c>
      <c r="C1870">
        <f>IF(B1870&gt;'user input'!$C$6,0,IF('heat units'!H1870&gt;1,1,'heat units'!H1870))</f>
        <v>0</v>
      </c>
      <c r="D1870">
        <f>IF(B1870&gt;'user input'!$C$6,0,(C1870/(C1870+EXP('user input'!$C$15-'user input'!$C$14*C1870))))</f>
        <v>0</v>
      </c>
      <c r="E1870">
        <f>IF(C1870&lt;'user input'!$C$12,(D1870-D1869)*'user input'!$C$17*(1-EXP(5*(F1869-'user input'!$C$17))),F1870-F1869)</f>
        <v>0</v>
      </c>
      <c r="F1870">
        <f>IF(C1870&lt;'user input'!$C$12,IF(B1870&gt;'user input'!$C$6,0,F1869+E1870),'user input'!$C$17*((1-C1870)/(1-'user input'!$C$12)))</f>
        <v>0</v>
      </c>
    </row>
    <row r="1871" spans="1:6" x14ac:dyDescent="0.2">
      <c r="A1871" s="1">
        <v>42047</v>
      </c>
      <c r="B1871">
        <v>44</v>
      </c>
      <c r="C1871">
        <f>IF(B1871&gt;'user input'!$C$6,0,IF('heat units'!H1871&gt;1,1,'heat units'!H1871))</f>
        <v>0</v>
      </c>
      <c r="D1871">
        <f>IF(B1871&gt;'user input'!$C$6,0,(C1871/(C1871+EXP('user input'!$C$15-'user input'!$C$14*C1871))))</f>
        <v>0</v>
      </c>
      <c r="E1871">
        <f>IF(C1871&lt;'user input'!$C$12,(D1871-D1870)*'user input'!$C$17*(1-EXP(5*(F1870-'user input'!$C$17))),F1871-F1870)</f>
        <v>0</v>
      </c>
      <c r="F1871">
        <f>IF(C1871&lt;'user input'!$C$12,IF(B1871&gt;'user input'!$C$6,0,F1870+E1871),'user input'!$C$17*((1-C1871)/(1-'user input'!$C$12)))</f>
        <v>0</v>
      </c>
    </row>
    <row r="1872" spans="1:6" x14ac:dyDescent="0.2">
      <c r="A1872" s="1">
        <v>42048</v>
      </c>
      <c r="B1872">
        <v>45</v>
      </c>
      <c r="C1872">
        <f>IF(B1872&gt;'user input'!$C$6,0,IF('heat units'!H1872&gt;1,1,'heat units'!H1872))</f>
        <v>0</v>
      </c>
      <c r="D1872">
        <f>IF(B1872&gt;'user input'!$C$6,0,(C1872/(C1872+EXP('user input'!$C$15-'user input'!$C$14*C1872))))</f>
        <v>0</v>
      </c>
      <c r="E1872">
        <f>IF(C1872&lt;'user input'!$C$12,(D1872-D1871)*'user input'!$C$17*(1-EXP(5*(F1871-'user input'!$C$17))),F1872-F1871)</f>
        <v>0</v>
      </c>
      <c r="F1872">
        <f>IF(C1872&lt;'user input'!$C$12,IF(B1872&gt;'user input'!$C$6,0,F1871+E1872),'user input'!$C$17*((1-C1872)/(1-'user input'!$C$12)))</f>
        <v>0</v>
      </c>
    </row>
    <row r="1873" spans="1:6" x14ac:dyDescent="0.2">
      <c r="A1873" s="1">
        <v>42049</v>
      </c>
      <c r="B1873">
        <v>46</v>
      </c>
      <c r="C1873">
        <f>IF(B1873&gt;'user input'!$C$6,0,IF('heat units'!H1873&gt;1,1,'heat units'!H1873))</f>
        <v>0</v>
      </c>
      <c r="D1873">
        <f>IF(B1873&gt;'user input'!$C$6,0,(C1873/(C1873+EXP('user input'!$C$15-'user input'!$C$14*C1873))))</f>
        <v>0</v>
      </c>
      <c r="E1873">
        <f>IF(C1873&lt;'user input'!$C$12,(D1873-D1872)*'user input'!$C$17*(1-EXP(5*(F1872-'user input'!$C$17))),F1873-F1872)</f>
        <v>0</v>
      </c>
      <c r="F1873">
        <f>IF(C1873&lt;'user input'!$C$12,IF(B1873&gt;'user input'!$C$6,0,F1872+E1873),'user input'!$C$17*((1-C1873)/(1-'user input'!$C$12)))</f>
        <v>0</v>
      </c>
    </row>
    <row r="1874" spans="1:6" x14ac:dyDescent="0.2">
      <c r="A1874" s="1">
        <v>42050</v>
      </c>
      <c r="B1874">
        <v>47</v>
      </c>
      <c r="C1874">
        <f>IF(B1874&gt;'user input'!$C$6,0,IF('heat units'!H1874&gt;1,1,'heat units'!H1874))</f>
        <v>0</v>
      </c>
      <c r="D1874">
        <f>IF(B1874&gt;'user input'!$C$6,0,(C1874/(C1874+EXP('user input'!$C$15-'user input'!$C$14*C1874))))</f>
        <v>0</v>
      </c>
      <c r="E1874">
        <f>IF(C1874&lt;'user input'!$C$12,(D1874-D1873)*'user input'!$C$17*(1-EXP(5*(F1873-'user input'!$C$17))),F1874-F1873)</f>
        <v>0</v>
      </c>
      <c r="F1874">
        <f>IF(C1874&lt;'user input'!$C$12,IF(B1874&gt;'user input'!$C$6,0,F1873+E1874),'user input'!$C$17*((1-C1874)/(1-'user input'!$C$12)))</f>
        <v>0</v>
      </c>
    </row>
    <row r="1875" spans="1:6" x14ac:dyDescent="0.2">
      <c r="A1875" s="1">
        <v>42051</v>
      </c>
      <c r="B1875">
        <v>48</v>
      </c>
      <c r="C1875">
        <f>IF(B1875&gt;'user input'!$C$6,0,IF('heat units'!H1875&gt;1,1,'heat units'!H1875))</f>
        <v>0</v>
      </c>
      <c r="D1875">
        <f>IF(B1875&gt;'user input'!$C$6,0,(C1875/(C1875+EXP('user input'!$C$15-'user input'!$C$14*C1875))))</f>
        <v>0</v>
      </c>
      <c r="E1875">
        <f>IF(C1875&lt;'user input'!$C$12,(D1875-D1874)*'user input'!$C$17*(1-EXP(5*(F1874-'user input'!$C$17))),F1875-F1874)</f>
        <v>0</v>
      </c>
      <c r="F1875">
        <f>IF(C1875&lt;'user input'!$C$12,IF(B1875&gt;'user input'!$C$6,0,F1874+E1875),'user input'!$C$17*((1-C1875)/(1-'user input'!$C$12)))</f>
        <v>0</v>
      </c>
    </row>
    <row r="1876" spans="1:6" x14ac:dyDescent="0.2">
      <c r="A1876" s="1">
        <v>42052</v>
      </c>
      <c r="B1876">
        <v>49</v>
      </c>
      <c r="C1876">
        <f>IF(B1876&gt;'user input'!$C$6,0,IF('heat units'!H1876&gt;1,1,'heat units'!H1876))</f>
        <v>0</v>
      </c>
      <c r="D1876">
        <f>IF(B1876&gt;'user input'!$C$6,0,(C1876/(C1876+EXP('user input'!$C$15-'user input'!$C$14*C1876))))</f>
        <v>0</v>
      </c>
      <c r="E1876">
        <f>IF(C1876&lt;'user input'!$C$12,(D1876-D1875)*'user input'!$C$17*(1-EXP(5*(F1875-'user input'!$C$17))),F1876-F1875)</f>
        <v>0</v>
      </c>
      <c r="F1876">
        <f>IF(C1876&lt;'user input'!$C$12,IF(B1876&gt;'user input'!$C$6,0,F1875+E1876),'user input'!$C$17*((1-C1876)/(1-'user input'!$C$12)))</f>
        <v>0</v>
      </c>
    </row>
    <row r="1877" spans="1:6" x14ac:dyDescent="0.2">
      <c r="A1877" s="1">
        <v>42053</v>
      </c>
      <c r="B1877">
        <v>50</v>
      </c>
      <c r="C1877">
        <f>IF(B1877&gt;'user input'!$C$6,0,IF('heat units'!H1877&gt;1,1,'heat units'!H1877))</f>
        <v>0</v>
      </c>
      <c r="D1877">
        <f>IF(B1877&gt;'user input'!$C$6,0,(C1877/(C1877+EXP('user input'!$C$15-'user input'!$C$14*C1877))))</f>
        <v>0</v>
      </c>
      <c r="E1877">
        <f>IF(C1877&lt;'user input'!$C$12,(D1877-D1876)*'user input'!$C$17*(1-EXP(5*(F1876-'user input'!$C$17))),F1877-F1876)</f>
        <v>0</v>
      </c>
      <c r="F1877">
        <f>IF(C1877&lt;'user input'!$C$12,IF(B1877&gt;'user input'!$C$6,0,F1876+E1877),'user input'!$C$17*((1-C1877)/(1-'user input'!$C$12)))</f>
        <v>0</v>
      </c>
    </row>
    <row r="1878" spans="1:6" x14ac:dyDescent="0.2">
      <c r="A1878" s="1">
        <v>42054</v>
      </c>
      <c r="B1878">
        <v>51</v>
      </c>
      <c r="C1878">
        <f>IF(B1878&gt;'user input'!$C$6,0,IF('heat units'!H1878&gt;1,1,'heat units'!H1878))</f>
        <v>0</v>
      </c>
      <c r="D1878">
        <f>IF(B1878&gt;'user input'!$C$6,0,(C1878/(C1878+EXP('user input'!$C$15-'user input'!$C$14*C1878))))</f>
        <v>0</v>
      </c>
      <c r="E1878">
        <f>IF(C1878&lt;'user input'!$C$12,(D1878-D1877)*'user input'!$C$17*(1-EXP(5*(F1877-'user input'!$C$17))),F1878-F1877)</f>
        <v>0</v>
      </c>
      <c r="F1878">
        <f>IF(C1878&lt;'user input'!$C$12,IF(B1878&gt;'user input'!$C$6,0,F1877+E1878),'user input'!$C$17*((1-C1878)/(1-'user input'!$C$12)))</f>
        <v>0</v>
      </c>
    </row>
    <row r="1879" spans="1:6" x14ac:dyDescent="0.2">
      <c r="A1879" s="1">
        <v>42055</v>
      </c>
      <c r="B1879">
        <v>52</v>
      </c>
      <c r="C1879">
        <f>IF(B1879&gt;'user input'!$C$6,0,IF('heat units'!H1879&gt;1,1,'heat units'!H1879))</f>
        <v>0</v>
      </c>
      <c r="D1879">
        <f>IF(B1879&gt;'user input'!$C$6,0,(C1879/(C1879+EXP('user input'!$C$15-'user input'!$C$14*C1879))))</f>
        <v>0</v>
      </c>
      <c r="E1879">
        <f>IF(C1879&lt;'user input'!$C$12,(D1879-D1878)*'user input'!$C$17*(1-EXP(5*(F1878-'user input'!$C$17))),F1879-F1878)</f>
        <v>0</v>
      </c>
      <c r="F1879">
        <f>IF(C1879&lt;'user input'!$C$12,IF(B1879&gt;'user input'!$C$6,0,F1878+E1879),'user input'!$C$17*((1-C1879)/(1-'user input'!$C$12)))</f>
        <v>0</v>
      </c>
    </row>
    <row r="1880" spans="1:6" x14ac:dyDescent="0.2">
      <c r="A1880" s="1">
        <v>42056</v>
      </c>
      <c r="B1880">
        <v>53</v>
      </c>
      <c r="C1880">
        <f>IF(B1880&gt;'user input'!$C$6,0,IF('heat units'!H1880&gt;1,1,'heat units'!H1880))</f>
        <v>0</v>
      </c>
      <c r="D1880">
        <f>IF(B1880&gt;'user input'!$C$6,0,(C1880/(C1880+EXP('user input'!$C$15-'user input'!$C$14*C1880))))</f>
        <v>0</v>
      </c>
      <c r="E1880">
        <f>IF(C1880&lt;'user input'!$C$12,(D1880-D1879)*'user input'!$C$17*(1-EXP(5*(F1879-'user input'!$C$17))),F1880-F1879)</f>
        <v>0</v>
      </c>
      <c r="F1880">
        <f>IF(C1880&lt;'user input'!$C$12,IF(B1880&gt;'user input'!$C$6,0,F1879+E1880),'user input'!$C$17*((1-C1880)/(1-'user input'!$C$12)))</f>
        <v>0</v>
      </c>
    </row>
    <row r="1881" spans="1:6" x14ac:dyDescent="0.2">
      <c r="A1881" s="1">
        <v>42057</v>
      </c>
      <c r="B1881">
        <v>54</v>
      </c>
      <c r="C1881">
        <f>IF(B1881&gt;'user input'!$C$6,0,IF('heat units'!H1881&gt;1,1,'heat units'!H1881))</f>
        <v>0</v>
      </c>
      <c r="D1881">
        <f>IF(B1881&gt;'user input'!$C$6,0,(C1881/(C1881+EXP('user input'!$C$15-'user input'!$C$14*C1881))))</f>
        <v>0</v>
      </c>
      <c r="E1881">
        <f>IF(C1881&lt;'user input'!$C$12,(D1881-D1880)*'user input'!$C$17*(1-EXP(5*(F1880-'user input'!$C$17))),F1881-F1880)</f>
        <v>0</v>
      </c>
      <c r="F1881">
        <f>IF(C1881&lt;'user input'!$C$12,IF(B1881&gt;'user input'!$C$6,0,F1880+E1881),'user input'!$C$17*((1-C1881)/(1-'user input'!$C$12)))</f>
        <v>0</v>
      </c>
    </row>
    <row r="1882" spans="1:6" x14ac:dyDescent="0.2">
      <c r="A1882" s="1">
        <v>42058</v>
      </c>
      <c r="B1882">
        <v>55</v>
      </c>
      <c r="C1882">
        <f>IF(B1882&gt;'user input'!$C$6,0,IF('heat units'!H1882&gt;1,1,'heat units'!H1882))</f>
        <v>0</v>
      </c>
      <c r="D1882">
        <f>IF(B1882&gt;'user input'!$C$6,0,(C1882/(C1882+EXP('user input'!$C$15-'user input'!$C$14*C1882))))</f>
        <v>0</v>
      </c>
      <c r="E1882">
        <f>IF(C1882&lt;'user input'!$C$12,(D1882-D1881)*'user input'!$C$17*(1-EXP(5*(F1881-'user input'!$C$17))),F1882-F1881)</f>
        <v>0</v>
      </c>
      <c r="F1882">
        <f>IF(C1882&lt;'user input'!$C$12,IF(B1882&gt;'user input'!$C$6,0,F1881+E1882),'user input'!$C$17*((1-C1882)/(1-'user input'!$C$12)))</f>
        <v>0</v>
      </c>
    </row>
    <row r="1883" spans="1:6" x14ac:dyDescent="0.2">
      <c r="A1883" s="1">
        <v>42059</v>
      </c>
      <c r="B1883">
        <v>56</v>
      </c>
      <c r="C1883">
        <f>IF(B1883&gt;'user input'!$C$6,0,IF('heat units'!H1883&gt;1,1,'heat units'!H1883))</f>
        <v>0</v>
      </c>
      <c r="D1883">
        <f>IF(B1883&gt;'user input'!$C$6,0,(C1883/(C1883+EXP('user input'!$C$15-'user input'!$C$14*C1883))))</f>
        <v>0</v>
      </c>
      <c r="E1883">
        <f>IF(C1883&lt;'user input'!$C$12,(D1883-D1882)*'user input'!$C$17*(1-EXP(5*(F1882-'user input'!$C$17))),F1883-F1882)</f>
        <v>0</v>
      </c>
      <c r="F1883">
        <f>IF(C1883&lt;'user input'!$C$12,IF(B1883&gt;'user input'!$C$6,0,F1882+E1883),'user input'!$C$17*((1-C1883)/(1-'user input'!$C$12)))</f>
        <v>0</v>
      </c>
    </row>
    <row r="1884" spans="1:6" x14ac:dyDescent="0.2">
      <c r="A1884" s="1">
        <v>42060</v>
      </c>
      <c r="B1884">
        <v>57</v>
      </c>
      <c r="C1884">
        <f>IF(B1884&gt;'user input'!$C$6,0,IF('heat units'!H1884&gt;1,1,'heat units'!H1884))</f>
        <v>0</v>
      </c>
      <c r="D1884">
        <f>IF(B1884&gt;'user input'!$C$6,0,(C1884/(C1884+EXP('user input'!$C$15-'user input'!$C$14*C1884))))</f>
        <v>0</v>
      </c>
      <c r="E1884">
        <f>IF(C1884&lt;'user input'!$C$12,(D1884-D1883)*'user input'!$C$17*(1-EXP(5*(F1883-'user input'!$C$17))),F1884-F1883)</f>
        <v>0</v>
      </c>
      <c r="F1884">
        <f>IF(C1884&lt;'user input'!$C$12,IF(B1884&gt;'user input'!$C$6,0,F1883+E1884),'user input'!$C$17*((1-C1884)/(1-'user input'!$C$12)))</f>
        <v>0</v>
      </c>
    </row>
    <row r="1885" spans="1:6" x14ac:dyDescent="0.2">
      <c r="A1885" s="1">
        <v>42061</v>
      </c>
      <c r="B1885">
        <v>58</v>
      </c>
      <c r="C1885">
        <f>IF(B1885&gt;'user input'!$C$6,0,IF('heat units'!H1885&gt;1,1,'heat units'!H1885))</f>
        <v>0</v>
      </c>
      <c r="D1885">
        <f>IF(B1885&gt;'user input'!$C$6,0,(C1885/(C1885+EXP('user input'!$C$15-'user input'!$C$14*C1885))))</f>
        <v>0</v>
      </c>
      <c r="E1885">
        <f>IF(C1885&lt;'user input'!$C$12,(D1885-D1884)*'user input'!$C$17*(1-EXP(5*(F1884-'user input'!$C$17))),F1885-F1884)</f>
        <v>0</v>
      </c>
      <c r="F1885">
        <f>IF(C1885&lt;'user input'!$C$12,IF(B1885&gt;'user input'!$C$6,0,F1884+E1885),'user input'!$C$17*((1-C1885)/(1-'user input'!$C$12)))</f>
        <v>0</v>
      </c>
    </row>
    <row r="1886" spans="1:6" x14ac:dyDescent="0.2">
      <c r="A1886" s="1">
        <v>42062</v>
      </c>
      <c r="B1886">
        <v>59</v>
      </c>
      <c r="C1886">
        <f>IF(B1886&gt;'user input'!$C$6,0,IF('heat units'!H1886&gt;1,1,'heat units'!H1886))</f>
        <v>0</v>
      </c>
      <c r="D1886">
        <f>IF(B1886&gt;'user input'!$C$6,0,(C1886/(C1886+EXP('user input'!$C$15-'user input'!$C$14*C1886))))</f>
        <v>0</v>
      </c>
      <c r="E1886">
        <f>IF(C1886&lt;'user input'!$C$12,(D1886-D1885)*'user input'!$C$17*(1-EXP(5*(F1885-'user input'!$C$17))),F1886-F1885)</f>
        <v>0</v>
      </c>
      <c r="F1886">
        <f>IF(C1886&lt;'user input'!$C$12,IF(B1886&gt;'user input'!$C$6,0,F1885+E1886),'user input'!$C$17*((1-C1886)/(1-'user input'!$C$12)))</f>
        <v>0</v>
      </c>
    </row>
    <row r="1887" spans="1:6" x14ac:dyDescent="0.2">
      <c r="A1887" s="1">
        <v>42063</v>
      </c>
      <c r="B1887">
        <v>60</v>
      </c>
      <c r="C1887">
        <f>IF(B1887&gt;'user input'!$C$6,0,IF('heat units'!H1887&gt;1,1,'heat units'!H1887))</f>
        <v>0</v>
      </c>
      <c r="D1887">
        <f>IF(B1887&gt;'user input'!$C$6,0,(C1887/(C1887+EXP('user input'!$C$15-'user input'!$C$14*C1887))))</f>
        <v>0</v>
      </c>
      <c r="E1887">
        <f>IF(C1887&lt;'user input'!$C$12,(D1887-D1886)*'user input'!$C$17*(1-EXP(5*(F1886-'user input'!$C$17))),F1887-F1886)</f>
        <v>0</v>
      </c>
      <c r="F1887">
        <f>IF(C1887&lt;'user input'!$C$12,IF(B1887&gt;'user input'!$C$6,0,F1886+E1887),'user input'!$C$17*((1-C1887)/(1-'user input'!$C$12)))</f>
        <v>0</v>
      </c>
    </row>
    <row r="1888" spans="1:6" x14ac:dyDescent="0.2">
      <c r="A1888" s="1">
        <v>42064</v>
      </c>
      <c r="B1888">
        <v>61</v>
      </c>
      <c r="C1888">
        <f>IF(B1888&gt;'user input'!$C$6,0,IF('heat units'!H1888&gt;1,1,'heat units'!H1888))</f>
        <v>0</v>
      </c>
      <c r="D1888">
        <f>IF(B1888&gt;'user input'!$C$6,0,(C1888/(C1888+EXP('user input'!$C$15-'user input'!$C$14*C1888))))</f>
        <v>0</v>
      </c>
      <c r="E1888">
        <f>IF(C1888&lt;'user input'!$C$12,(D1888-D1887)*'user input'!$C$17*(1-EXP(5*(F1887-'user input'!$C$17))),F1888-F1887)</f>
        <v>0</v>
      </c>
      <c r="F1888">
        <f>IF(C1888&lt;'user input'!$C$12,IF(B1888&gt;'user input'!$C$6,0,F1887+E1888),'user input'!$C$17*((1-C1888)/(1-'user input'!$C$12)))</f>
        <v>0</v>
      </c>
    </row>
    <row r="1889" spans="1:6" x14ac:dyDescent="0.2">
      <c r="A1889" s="1">
        <v>42065</v>
      </c>
      <c r="B1889">
        <v>62</v>
      </c>
      <c r="C1889">
        <f>IF(B1889&gt;'user input'!$C$6,0,IF('heat units'!H1889&gt;1,1,'heat units'!H1889))</f>
        <v>0</v>
      </c>
      <c r="D1889">
        <f>IF(B1889&gt;'user input'!$C$6,0,(C1889/(C1889+EXP('user input'!$C$15-'user input'!$C$14*C1889))))</f>
        <v>0</v>
      </c>
      <c r="E1889">
        <f>IF(C1889&lt;'user input'!$C$12,(D1889-D1888)*'user input'!$C$17*(1-EXP(5*(F1888-'user input'!$C$17))),F1889-F1888)</f>
        <v>0</v>
      </c>
      <c r="F1889">
        <f>IF(C1889&lt;'user input'!$C$12,IF(B1889&gt;'user input'!$C$6,0,F1888+E1889),'user input'!$C$17*((1-C1889)/(1-'user input'!$C$12)))</f>
        <v>0</v>
      </c>
    </row>
    <row r="1890" spans="1:6" x14ac:dyDescent="0.2">
      <c r="A1890" s="1">
        <v>42066</v>
      </c>
      <c r="B1890">
        <v>63</v>
      </c>
      <c r="C1890">
        <f>IF(B1890&gt;'user input'!$C$6,0,IF('heat units'!H1890&gt;1,1,'heat units'!H1890))</f>
        <v>0</v>
      </c>
      <c r="D1890">
        <f>IF(B1890&gt;'user input'!$C$6,0,(C1890/(C1890+EXP('user input'!$C$15-'user input'!$C$14*C1890))))</f>
        <v>0</v>
      </c>
      <c r="E1890">
        <f>IF(C1890&lt;'user input'!$C$12,(D1890-D1889)*'user input'!$C$17*(1-EXP(5*(F1889-'user input'!$C$17))),F1890-F1889)</f>
        <v>0</v>
      </c>
      <c r="F1890">
        <f>IF(C1890&lt;'user input'!$C$12,IF(B1890&gt;'user input'!$C$6,0,F1889+E1890),'user input'!$C$17*((1-C1890)/(1-'user input'!$C$12)))</f>
        <v>0</v>
      </c>
    </row>
    <row r="1891" spans="1:6" x14ac:dyDescent="0.2">
      <c r="A1891" s="1">
        <v>42067</v>
      </c>
      <c r="B1891">
        <v>64</v>
      </c>
      <c r="C1891">
        <f>IF(B1891&gt;'user input'!$C$6,0,IF('heat units'!H1891&gt;1,1,'heat units'!H1891))</f>
        <v>0</v>
      </c>
      <c r="D1891">
        <f>IF(B1891&gt;'user input'!$C$6,0,(C1891/(C1891+EXP('user input'!$C$15-'user input'!$C$14*C1891))))</f>
        <v>0</v>
      </c>
      <c r="E1891">
        <f>IF(C1891&lt;'user input'!$C$12,(D1891-D1890)*'user input'!$C$17*(1-EXP(5*(F1890-'user input'!$C$17))),F1891-F1890)</f>
        <v>0</v>
      </c>
      <c r="F1891">
        <f>IF(C1891&lt;'user input'!$C$12,IF(B1891&gt;'user input'!$C$6,0,F1890+E1891),'user input'!$C$17*((1-C1891)/(1-'user input'!$C$12)))</f>
        <v>0</v>
      </c>
    </row>
    <row r="1892" spans="1:6" x14ac:dyDescent="0.2">
      <c r="A1892" s="1">
        <v>42068</v>
      </c>
      <c r="B1892">
        <v>65</v>
      </c>
      <c r="C1892">
        <f>IF(B1892&gt;'user input'!$C$6,0,IF('heat units'!H1892&gt;1,1,'heat units'!H1892))</f>
        <v>0</v>
      </c>
      <c r="D1892">
        <f>IF(B1892&gt;'user input'!$C$6,0,(C1892/(C1892+EXP('user input'!$C$15-'user input'!$C$14*C1892))))</f>
        <v>0</v>
      </c>
      <c r="E1892">
        <f>IF(C1892&lt;'user input'!$C$12,(D1892-D1891)*'user input'!$C$17*(1-EXP(5*(F1891-'user input'!$C$17))),F1892-F1891)</f>
        <v>0</v>
      </c>
      <c r="F1892">
        <f>IF(C1892&lt;'user input'!$C$12,IF(B1892&gt;'user input'!$C$6,0,F1891+E1892),'user input'!$C$17*((1-C1892)/(1-'user input'!$C$12)))</f>
        <v>0</v>
      </c>
    </row>
    <row r="1893" spans="1:6" x14ac:dyDescent="0.2">
      <c r="A1893" s="1">
        <v>42069</v>
      </c>
      <c r="B1893">
        <v>66</v>
      </c>
      <c r="C1893">
        <f>IF(B1893&gt;'user input'!$C$6,0,IF('heat units'!H1893&gt;1,1,'heat units'!H1893))</f>
        <v>0</v>
      </c>
      <c r="D1893">
        <f>IF(B1893&gt;'user input'!$C$6,0,(C1893/(C1893+EXP('user input'!$C$15-'user input'!$C$14*C1893))))</f>
        <v>0</v>
      </c>
      <c r="E1893">
        <f>IF(C1893&lt;'user input'!$C$12,(D1893-D1892)*'user input'!$C$17*(1-EXP(5*(F1892-'user input'!$C$17))),F1893-F1892)</f>
        <v>0</v>
      </c>
      <c r="F1893">
        <f>IF(C1893&lt;'user input'!$C$12,IF(B1893&gt;'user input'!$C$6,0,F1892+E1893),'user input'!$C$17*((1-C1893)/(1-'user input'!$C$12)))</f>
        <v>0</v>
      </c>
    </row>
    <row r="1894" spans="1:6" x14ac:dyDescent="0.2">
      <c r="A1894" s="1">
        <v>42070</v>
      </c>
      <c r="B1894">
        <v>67</v>
      </c>
      <c r="C1894">
        <f>IF(B1894&gt;'user input'!$C$6,0,IF('heat units'!H1894&gt;1,1,'heat units'!H1894))</f>
        <v>0</v>
      </c>
      <c r="D1894">
        <f>IF(B1894&gt;'user input'!$C$6,0,(C1894/(C1894+EXP('user input'!$C$15-'user input'!$C$14*C1894))))</f>
        <v>0</v>
      </c>
      <c r="E1894">
        <f>IF(C1894&lt;'user input'!$C$12,(D1894-D1893)*'user input'!$C$17*(1-EXP(5*(F1893-'user input'!$C$17))),F1894-F1893)</f>
        <v>0</v>
      </c>
      <c r="F1894">
        <f>IF(C1894&lt;'user input'!$C$12,IF(B1894&gt;'user input'!$C$6,0,F1893+E1894),'user input'!$C$17*((1-C1894)/(1-'user input'!$C$12)))</f>
        <v>0</v>
      </c>
    </row>
    <row r="1895" spans="1:6" x14ac:dyDescent="0.2">
      <c r="A1895" s="1">
        <v>42071</v>
      </c>
      <c r="B1895">
        <v>68</v>
      </c>
      <c r="C1895">
        <f>IF(B1895&gt;'user input'!$C$6,0,IF('heat units'!H1895&gt;1,1,'heat units'!H1895))</f>
        <v>0</v>
      </c>
      <c r="D1895">
        <f>IF(B1895&gt;'user input'!$C$6,0,(C1895/(C1895+EXP('user input'!$C$15-'user input'!$C$14*C1895))))</f>
        <v>0</v>
      </c>
      <c r="E1895">
        <f>IF(C1895&lt;'user input'!$C$12,(D1895-D1894)*'user input'!$C$17*(1-EXP(5*(F1894-'user input'!$C$17))),F1895-F1894)</f>
        <v>0</v>
      </c>
      <c r="F1895">
        <f>IF(C1895&lt;'user input'!$C$12,IF(B1895&gt;'user input'!$C$6,0,F1894+E1895),'user input'!$C$17*((1-C1895)/(1-'user input'!$C$12)))</f>
        <v>0</v>
      </c>
    </row>
    <row r="1896" spans="1:6" x14ac:dyDescent="0.2">
      <c r="A1896" s="1">
        <v>42072</v>
      </c>
      <c r="B1896">
        <v>69</v>
      </c>
      <c r="C1896">
        <f>IF(B1896&gt;'user input'!$C$6,0,IF('heat units'!H1896&gt;1,1,'heat units'!H1896))</f>
        <v>0</v>
      </c>
      <c r="D1896">
        <f>IF(B1896&gt;'user input'!$C$6,0,(C1896/(C1896+EXP('user input'!$C$15-'user input'!$C$14*C1896))))</f>
        <v>0</v>
      </c>
      <c r="E1896">
        <f>IF(C1896&lt;'user input'!$C$12,(D1896-D1895)*'user input'!$C$17*(1-EXP(5*(F1895-'user input'!$C$17))),F1896-F1895)</f>
        <v>0</v>
      </c>
      <c r="F1896">
        <f>IF(C1896&lt;'user input'!$C$12,IF(B1896&gt;'user input'!$C$6,0,F1895+E1896),'user input'!$C$17*((1-C1896)/(1-'user input'!$C$12)))</f>
        <v>0</v>
      </c>
    </row>
    <row r="1897" spans="1:6" x14ac:dyDescent="0.2">
      <c r="A1897" s="1">
        <v>42073</v>
      </c>
      <c r="B1897">
        <v>70</v>
      </c>
      <c r="C1897">
        <f>IF(B1897&gt;'user input'!$C$6,0,IF('heat units'!H1897&gt;1,1,'heat units'!H1897))</f>
        <v>0</v>
      </c>
      <c r="D1897">
        <f>IF(B1897&gt;'user input'!$C$6,0,(C1897/(C1897+EXP('user input'!$C$15-'user input'!$C$14*C1897))))</f>
        <v>0</v>
      </c>
      <c r="E1897">
        <f>IF(C1897&lt;'user input'!$C$12,(D1897-D1896)*'user input'!$C$17*(1-EXP(5*(F1896-'user input'!$C$17))),F1897-F1896)</f>
        <v>0</v>
      </c>
      <c r="F1897">
        <f>IF(C1897&lt;'user input'!$C$12,IF(B1897&gt;'user input'!$C$6,0,F1896+E1897),'user input'!$C$17*((1-C1897)/(1-'user input'!$C$12)))</f>
        <v>0</v>
      </c>
    </row>
    <row r="1898" spans="1:6" x14ac:dyDescent="0.2">
      <c r="A1898" s="1">
        <v>42074</v>
      </c>
      <c r="B1898">
        <v>71</v>
      </c>
      <c r="C1898">
        <f>IF(B1898&gt;'user input'!$C$6,0,IF('heat units'!H1898&gt;1,1,'heat units'!H1898))</f>
        <v>0</v>
      </c>
      <c r="D1898">
        <f>IF(B1898&gt;'user input'!$C$6,0,(C1898/(C1898+EXP('user input'!$C$15-'user input'!$C$14*C1898))))</f>
        <v>0</v>
      </c>
      <c r="E1898">
        <f>IF(C1898&lt;'user input'!$C$12,(D1898-D1897)*'user input'!$C$17*(1-EXP(5*(F1897-'user input'!$C$17))),F1898-F1897)</f>
        <v>0</v>
      </c>
      <c r="F1898">
        <f>IF(C1898&lt;'user input'!$C$12,IF(B1898&gt;'user input'!$C$6,0,F1897+E1898),'user input'!$C$17*((1-C1898)/(1-'user input'!$C$12)))</f>
        <v>0</v>
      </c>
    </row>
    <row r="1899" spans="1:6" x14ac:dyDescent="0.2">
      <c r="A1899" s="1">
        <v>42075</v>
      </c>
      <c r="B1899">
        <v>72</v>
      </c>
      <c r="C1899">
        <f>IF(B1899&gt;'user input'!$C$6,0,IF('heat units'!H1899&gt;1,1,'heat units'!H1899))</f>
        <v>0</v>
      </c>
      <c r="D1899">
        <f>IF(B1899&gt;'user input'!$C$6,0,(C1899/(C1899+EXP('user input'!$C$15-'user input'!$C$14*C1899))))</f>
        <v>0</v>
      </c>
      <c r="E1899">
        <f>IF(C1899&lt;'user input'!$C$12,(D1899-D1898)*'user input'!$C$17*(1-EXP(5*(F1898-'user input'!$C$17))),F1899-F1898)</f>
        <v>0</v>
      </c>
      <c r="F1899">
        <f>IF(C1899&lt;'user input'!$C$12,IF(B1899&gt;'user input'!$C$6,0,F1898+E1899),'user input'!$C$17*((1-C1899)/(1-'user input'!$C$12)))</f>
        <v>0</v>
      </c>
    </row>
    <row r="1900" spans="1:6" x14ac:dyDescent="0.2">
      <c r="A1900" s="1">
        <v>42076</v>
      </c>
      <c r="B1900">
        <v>73</v>
      </c>
      <c r="C1900">
        <f>IF(B1900&gt;'user input'!$C$6,0,IF('heat units'!H1900&gt;1,1,'heat units'!H1900))</f>
        <v>0</v>
      </c>
      <c r="D1900">
        <f>IF(B1900&gt;'user input'!$C$6,0,(C1900/(C1900+EXP('user input'!$C$15-'user input'!$C$14*C1900))))</f>
        <v>0</v>
      </c>
      <c r="E1900">
        <f>IF(C1900&lt;'user input'!$C$12,(D1900-D1899)*'user input'!$C$17*(1-EXP(5*(F1899-'user input'!$C$17))),F1900-F1899)</f>
        <v>0</v>
      </c>
      <c r="F1900">
        <f>IF(C1900&lt;'user input'!$C$12,IF(B1900&gt;'user input'!$C$6,0,F1899+E1900),'user input'!$C$17*((1-C1900)/(1-'user input'!$C$12)))</f>
        <v>0</v>
      </c>
    </row>
    <row r="1901" spans="1:6" x14ac:dyDescent="0.2">
      <c r="A1901" s="1">
        <v>42077</v>
      </c>
      <c r="B1901">
        <v>74</v>
      </c>
      <c r="C1901">
        <f>IF(B1901&gt;'user input'!$C$6,0,IF('heat units'!H1901&gt;1,1,'heat units'!H1901))</f>
        <v>0</v>
      </c>
      <c r="D1901">
        <f>IF(B1901&gt;'user input'!$C$6,0,(C1901/(C1901+EXP('user input'!$C$15-'user input'!$C$14*C1901))))</f>
        <v>0</v>
      </c>
      <c r="E1901">
        <f>IF(C1901&lt;'user input'!$C$12,(D1901-D1900)*'user input'!$C$17*(1-EXP(5*(F1900-'user input'!$C$17))),F1901-F1900)</f>
        <v>0</v>
      </c>
      <c r="F1901">
        <f>IF(C1901&lt;'user input'!$C$12,IF(B1901&gt;'user input'!$C$6,0,F1900+E1901),'user input'!$C$17*((1-C1901)/(1-'user input'!$C$12)))</f>
        <v>0</v>
      </c>
    </row>
    <row r="1902" spans="1:6" x14ac:dyDescent="0.2">
      <c r="A1902" s="1">
        <v>42078</v>
      </c>
      <c r="B1902">
        <v>75</v>
      </c>
      <c r="C1902">
        <f>IF(B1902&gt;'user input'!$C$6,0,IF('heat units'!H1902&gt;1,1,'heat units'!H1902))</f>
        <v>0</v>
      </c>
      <c r="D1902">
        <f>IF(B1902&gt;'user input'!$C$6,0,(C1902/(C1902+EXP('user input'!$C$15-'user input'!$C$14*C1902))))</f>
        <v>0</v>
      </c>
      <c r="E1902">
        <f>IF(C1902&lt;'user input'!$C$12,(D1902-D1901)*'user input'!$C$17*(1-EXP(5*(F1901-'user input'!$C$17))),F1902-F1901)</f>
        <v>0</v>
      </c>
      <c r="F1902">
        <f>IF(C1902&lt;'user input'!$C$12,IF(B1902&gt;'user input'!$C$6,0,F1901+E1902),'user input'!$C$17*((1-C1902)/(1-'user input'!$C$12)))</f>
        <v>0</v>
      </c>
    </row>
    <row r="1903" spans="1:6" x14ac:dyDescent="0.2">
      <c r="A1903" s="1">
        <v>42079</v>
      </c>
      <c r="B1903">
        <v>76</v>
      </c>
      <c r="C1903">
        <f>IF(B1903&gt;'user input'!$C$6,0,IF('heat units'!H1903&gt;1,1,'heat units'!H1903))</f>
        <v>0</v>
      </c>
      <c r="D1903">
        <f>IF(B1903&gt;'user input'!$C$6,0,(C1903/(C1903+EXP('user input'!$C$15-'user input'!$C$14*C1903))))</f>
        <v>0</v>
      </c>
      <c r="E1903">
        <f>IF(C1903&lt;'user input'!$C$12,(D1903-D1902)*'user input'!$C$17*(1-EXP(5*(F1902-'user input'!$C$17))),F1903-F1902)</f>
        <v>0</v>
      </c>
      <c r="F1903">
        <f>IF(C1903&lt;'user input'!$C$12,IF(B1903&gt;'user input'!$C$6,0,F1902+E1903),'user input'!$C$17*((1-C1903)/(1-'user input'!$C$12)))</f>
        <v>0</v>
      </c>
    </row>
    <row r="1904" spans="1:6" x14ac:dyDescent="0.2">
      <c r="A1904" s="1">
        <v>42080</v>
      </c>
      <c r="B1904">
        <v>77</v>
      </c>
      <c r="C1904">
        <f>IF(B1904&gt;'user input'!$C$6,0,IF('heat units'!H1904&gt;1,1,'heat units'!H1904))</f>
        <v>0</v>
      </c>
      <c r="D1904">
        <f>IF(B1904&gt;'user input'!$C$6,0,(C1904/(C1904+EXP('user input'!$C$15-'user input'!$C$14*C1904))))</f>
        <v>0</v>
      </c>
      <c r="E1904">
        <f>IF(C1904&lt;'user input'!$C$12,(D1904-D1903)*'user input'!$C$17*(1-EXP(5*(F1903-'user input'!$C$17))),F1904-F1903)</f>
        <v>0</v>
      </c>
      <c r="F1904">
        <f>IF(C1904&lt;'user input'!$C$12,IF(B1904&gt;'user input'!$C$6,0,F1903+E1904),'user input'!$C$17*((1-C1904)/(1-'user input'!$C$12)))</f>
        <v>0</v>
      </c>
    </row>
    <row r="1905" spans="1:6" x14ac:dyDescent="0.2">
      <c r="A1905" s="1">
        <v>42081</v>
      </c>
      <c r="B1905">
        <v>78</v>
      </c>
      <c r="C1905">
        <f>IF(B1905&gt;'user input'!$C$6,0,IF('heat units'!H1905&gt;1,1,'heat units'!H1905))</f>
        <v>0</v>
      </c>
      <c r="D1905">
        <f>IF(B1905&gt;'user input'!$C$6,0,(C1905/(C1905+EXP('user input'!$C$15-'user input'!$C$14*C1905))))</f>
        <v>0</v>
      </c>
      <c r="E1905">
        <f>IF(C1905&lt;'user input'!$C$12,(D1905-D1904)*'user input'!$C$17*(1-EXP(5*(F1904-'user input'!$C$17))),F1905-F1904)</f>
        <v>0</v>
      </c>
      <c r="F1905">
        <f>IF(C1905&lt;'user input'!$C$12,IF(B1905&gt;'user input'!$C$6,0,F1904+E1905),'user input'!$C$17*((1-C1905)/(1-'user input'!$C$12)))</f>
        <v>0</v>
      </c>
    </row>
    <row r="1906" spans="1:6" x14ac:dyDescent="0.2">
      <c r="A1906" s="1">
        <v>42082</v>
      </c>
      <c r="B1906">
        <v>79</v>
      </c>
      <c r="C1906">
        <f>IF(B1906&gt;'user input'!$C$6,0,IF('heat units'!H1906&gt;1,1,'heat units'!H1906))</f>
        <v>0</v>
      </c>
      <c r="D1906">
        <f>IF(B1906&gt;'user input'!$C$6,0,(C1906/(C1906+EXP('user input'!$C$15-'user input'!$C$14*C1906))))</f>
        <v>0</v>
      </c>
      <c r="E1906">
        <f>IF(C1906&lt;'user input'!$C$12,(D1906-D1905)*'user input'!$C$17*(1-EXP(5*(F1905-'user input'!$C$17))),F1906-F1905)</f>
        <v>0</v>
      </c>
      <c r="F1906">
        <f>IF(C1906&lt;'user input'!$C$12,IF(B1906&gt;'user input'!$C$6,0,F1905+E1906),'user input'!$C$17*((1-C1906)/(1-'user input'!$C$12)))</f>
        <v>0</v>
      </c>
    </row>
    <row r="1907" spans="1:6" x14ac:dyDescent="0.2">
      <c r="A1907" s="1">
        <v>42083</v>
      </c>
      <c r="B1907">
        <v>80</v>
      </c>
      <c r="C1907">
        <f>IF(B1907&gt;'user input'!$C$6,0,IF('heat units'!H1907&gt;1,1,'heat units'!H1907))</f>
        <v>0</v>
      </c>
      <c r="D1907">
        <f>IF(B1907&gt;'user input'!$C$6,0,(C1907/(C1907+EXP('user input'!$C$15-'user input'!$C$14*C1907))))</f>
        <v>0</v>
      </c>
      <c r="E1907">
        <f>IF(C1907&lt;'user input'!$C$12,(D1907-D1906)*'user input'!$C$17*(1-EXP(5*(F1906-'user input'!$C$17))),F1907-F1906)</f>
        <v>0</v>
      </c>
      <c r="F1907">
        <f>IF(C1907&lt;'user input'!$C$12,IF(B1907&gt;'user input'!$C$6,0,F1906+E1907),'user input'!$C$17*((1-C1907)/(1-'user input'!$C$12)))</f>
        <v>0</v>
      </c>
    </row>
    <row r="1908" spans="1:6" x14ac:dyDescent="0.2">
      <c r="A1908" s="1">
        <v>42084</v>
      </c>
      <c r="B1908">
        <v>81</v>
      </c>
      <c r="C1908">
        <f>IF(B1908&gt;'user input'!$C$6,0,IF('heat units'!H1908&gt;1,1,'heat units'!H1908))</f>
        <v>0</v>
      </c>
      <c r="D1908">
        <f>IF(B1908&gt;'user input'!$C$6,0,(C1908/(C1908+EXP('user input'!$C$15-'user input'!$C$14*C1908))))</f>
        <v>0</v>
      </c>
      <c r="E1908">
        <f>IF(C1908&lt;'user input'!$C$12,(D1908-D1907)*'user input'!$C$17*(1-EXP(5*(F1907-'user input'!$C$17))),F1908-F1907)</f>
        <v>0</v>
      </c>
      <c r="F1908">
        <f>IF(C1908&lt;'user input'!$C$12,IF(B1908&gt;'user input'!$C$6,0,F1907+E1908),'user input'!$C$17*((1-C1908)/(1-'user input'!$C$12)))</f>
        <v>0</v>
      </c>
    </row>
    <row r="1909" spans="1:6" x14ac:dyDescent="0.2">
      <c r="A1909" s="1">
        <v>42085</v>
      </c>
      <c r="B1909">
        <v>82</v>
      </c>
      <c r="C1909">
        <f>IF(B1909&gt;'user input'!$C$6,0,IF('heat units'!H1909&gt;1,1,'heat units'!H1909))</f>
        <v>0</v>
      </c>
      <c r="D1909">
        <f>IF(B1909&gt;'user input'!$C$6,0,(C1909/(C1909+EXP('user input'!$C$15-'user input'!$C$14*C1909))))</f>
        <v>0</v>
      </c>
      <c r="E1909">
        <f>IF(C1909&lt;'user input'!$C$12,(D1909-D1908)*'user input'!$C$17*(1-EXP(5*(F1908-'user input'!$C$17))),F1909-F1908)</f>
        <v>0</v>
      </c>
      <c r="F1909">
        <f>IF(C1909&lt;'user input'!$C$12,IF(B1909&gt;'user input'!$C$6,0,F1908+E1909),'user input'!$C$17*((1-C1909)/(1-'user input'!$C$12)))</f>
        <v>0</v>
      </c>
    </row>
    <row r="1910" spans="1:6" x14ac:dyDescent="0.2">
      <c r="A1910" s="1">
        <v>42086</v>
      </c>
      <c r="B1910">
        <v>83</v>
      </c>
      <c r="C1910">
        <f>IF(B1910&gt;'user input'!$C$6,0,IF('heat units'!H1910&gt;1,1,'heat units'!H1910))</f>
        <v>0</v>
      </c>
      <c r="D1910">
        <f>IF(B1910&gt;'user input'!$C$6,0,(C1910/(C1910+EXP('user input'!$C$15-'user input'!$C$14*C1910))))</f>
        <v>0</v>
      </c>
      <c r="E1910">
        <f>IF(C1910&lt;'user input'!$C$12,(D1910-D1909)*'user input'!$C$17*(1-EXP(5*(F1909-'user input'!$C$17))),F1910-F1909)</f>
        <v>0</v>
      </c>
      <c r="F1910">
        <f>IF(C1910&lt;'user input'!$C$12,IF(B1910&gt;'user input'!$C$6,0,F1909+E1910),'user input'!$C$17*((1-C1910)/(1-'user input'!$C$12)))</f>
        <v>0</v>
      </c>
    </row>
    <row r="1911" spans="1:6" x14ac:dyDescent="0.2">
      <c r="A1911" s="1">
        <v>42087</v>
      </c>
      <c r="B1911">
        <v>84</v>
      </c>
      <c r="C1911">
        <f>IF(B1911&gt;'user input'!$C$6,0,IF('heat units'!H1911&gt;1,1,'heat units'!H1911))</f>
        <v>0</v>
      </c>
      <c r="D1911">
        <f>IF(B1911&gt;'user input'!$C$6,0,(C1911/(C1911+EXP('user input'!$C$15-'user input'!$C$14*C1911))))</f>
        <v>0</v>
      </c>
      <c r="E1911">
        <f>IF(C1911&lt;'user input'!$C$12,(D1911-D1910)*'user input'!$C$17*(1-EXP(5*(F1910-'user input'!$C$17))),F1911-F1910)</f>
        <v>0</v>
      </c>
      <c r="F1911">
        <f>IF(C1911&lt;'user input'!$C$12,IF(B1911&gt;'user input'!$C$6,0,F1910+E1911),'user input'!$C$17*((1-C1911)/(1-'user input'!$C$12)))</f>
        <v>0</v>
      </c>
    </row>
    <row r="1912" spans="1:6" x14ac:dyDescent="0.2">
      <c r="A1912" s="1">
        <v>42088</v>
      </c>
      <c r="B1912">
        <v>85</v>
      </c>
      <c r="C1912">
        <f>IF(B1912&gt;'user input'!$C$6,0,IF('heat units'!H1912&gt;1,1,'heat units'!H1912))</f>
        <v>0</v>
      </c>
      <c r="D1912">
        <f>IF(B1912&gt;'user input'!$C$6,0,(C1912/(C1912+EXP('user input'!$C$15-'user input'!$C$14*C1912))))</f>
        <v>0</v>
      </c>
      <c r="E1912">
        <f>IF(C1912&lt;'user input'!$C$12,(D1912-D1911)*'user input'!$C$17*(1-EXP(5*(F1911-'user input'!$C$17))),F1912-F1911)</f>
        <v>0</v>
      </c>
      <c r="F1912">
        <f>IF(C1912&lt;'user input'!$C$12,IF(B1912&gt;'user input'!$C$6,0,F1911+E1912),'user input'!$C$17*((1-C1912)/(1-'user input'!$C$12)))</f>
        <v>0</v>
      </c>
    </row>
    <row r="1913" spans="1:6" x14ac:dyDescent="0.2">
      <c r="A1913" s="1">
        <v>42089</v>
      </c>
      <c r="B1913">
        <v>86</v>
      </c>
      <c r="C1913">
        <f>IF(B1913&gt;'user input'!$C$6,0,IF('heat units'!H1913&gt;1,1,'heat units'!H1913))</f>
        <v>0</v>
      </c>
      <c r="D1913">
        <f>IF(B1913&gt;'user input'!$C$6,0,(C1913/(C1913+EXP('user input'!$C$15-'user input'!$C$14*C1913))))</f>
        <v>0</v>
      </c>
      <c r="E1913">
        <f>IF(C1913&lt;'user input'!$C$12,(D1913-D1912)*'user input'!$C$17*(1-EXP(5*(F1912-'user input'!$C$17))),F1913-F1912)</f>
        <v>0</v>
      </c>
      <c r="F1913">
        <f>IF(C1913&lt;'user input'!$C$12,IF(B1913&gt;'user input'!$C$6,0,F1912+E1913),'user input'!$C$17*((1-C1913)/(1-'user input'!$C$12)))</f>
        <v>0</v>
      </c>
    </row>
    <row r="1914" spans="1:6" x14ac:dyDescent="0.2">
      <c r="A1914" s="1">
        <v>42090</v>
      </c>
      <c r="B1914">
        <v>87</v>
      </c>
      <c r="C1914">
        <f>IF(B1914&gt;'user input'!$C$6,0,IF('heat units'!H1914&gt;1,1,'heat units'!H1914))</f>
        <v>0</v>
      </c>
      <c r="D1914">
        <f>IF(B1914&gt;'user input'!$C$6,0,(C1914/(C1914+EXP('user input'!$C$15-'user input'!$C$14*C1914))))</f>
        <v>0</v>
      </c>
      <c r="E1914">
        <f>IF(C1914&lt;'user input'!$C$12,(D1914-D1913)*'user input'!$C$17*(1-EXP(5*(F1913-'user input'!$C$17))),F1914-F1913)</f>
        <v>0</v>
      </c>
      <c r="F1914">
        <f>IF(C1914&lt;'user input'!$C$12,IF(B1914&gt;'user input'!$C$6,0,F1913+E1914),'user input'!$C$17*((1-C1914)/(1-'user input'!$C$12)))</f>
        <v>0</v>
      </c>
    </row>
    <row r="1915" spans="1:6" x14ac:dyDescent="0.2">
      <c r="A1915" s="1">
        <v>42091</v>
      </c>
      <c r="B1915">
        <v>88</v>
      </c>
      <c r="C1915">
        <f>IF(B1915&gt;'user input'!$C$6,0,IF('heat units'!H1915&gt;1,1,'heat units'!H1915))</f>
        <v>0</v>
      </c>
      <c r="D1915">
        <f>IF(B1915&gt;'user input'!$C$6,0,(C1915/(C1915+EXP('user input'!$C$15-'user input'!$C$14*C1915))))</f>
        <v>0</v>
      </c>
      <c r="E1915">
        <f>IF(C1915&lt;'user input'!$C$12,(D1915-D1914)*'user input'!$C$17*(1-EXP(5*(F1914-'user input'!$C$17))),F1915-F1914)</f>
        <v>0</v>
      </c>
      <c r="F1915">
        <f>IF(C1915&lt;'user input'!$C$12,IF(B1915&gt;'user input'!$C$6,0,F1914+E1915),'user input'!$C$17*((1-C1915)/(1-'user input'!$C$12)))</f>
        <v>0</v>
      </c>
    </row>
    <row r="1916" spans="1:6" x14ac:dyDescent="0.2">
      <c r="A1916" s="1">
        <v>42092</v>
      </c>
      <c r="B1916">
        <v>89</v>
      </c>
      <c r="C1916">
        <f>IF(B1916&gt;'user input'!$C$6,0,IF('heat units'!H1916&gt;1,1,'heat units'!H1916))</f>
        <v>0</v>
      </c>
      <c r="D1916">
        <f>IF(B1916&gt;'user input'!$C$6,0,(C1916/(C1916+EXP('user input'!$C$15-'user input'!$C$14*C1916))))</f>
        <v>0</v>
      </c>
      <c r="E1916">
        <f>IF(C1916&lt;'user input'!$C$12,(D1916-D1915)*'user input'!$C$17*(1-EXP(5*(F1915-'user input'!$C$17))),F1916-F1915)</f>
        <v>0</v>
      </c>
      <c r="F1916">
        <f>IF(C1916&lt;'user input'!$C$12,IF(B1916&gt;'user input'!$C$6,0,F1915+E1916),'user input'!$C$17*((1-C1916)/(1-'user input'!$C$12)))</f>
        <v>0</v>
      </c>
    </row>
    <row r="1917" spans="1:6" x14ac:dyDescent="0.2">
      <c r="A1917" s="1">
        <v>42093</v>
      </c>
      <c r="B1917">
        <v>90</v>
      </c>
      <c r="C1917">
        <f>IF(B1917&gt;'user input'!$C$6,0,IF('heat units'!H1917&gt;1,1,'heat units'!H1917))</f>
        <v>0</v>
      </c>
      <c r="D1917">
        <f>IF(B1917&gt;'user input'!$C$6,0,(C1917/(C1917+EXP('user input'!$C$15-'user input'!$C$14*C1917))))</f>
        <v>0</v>
      </c>
      <c r="E1917">
        <f>IF(C1917&lt;'user input'!$C$12,(D1917-D1916)*'user input'!$C$17*(1-EXP(5*(F1916-'user input'!$C$17))),F1917-F1916)</f>
        <v>0</v>
      </c>
      <c r="F1917">
        <f>IF(C1917&lt;'user input'!$C$12,IF(B1917&gt;'user input'!$C$6,0,F1916+E1917),'user input'!$C$17*((1-C1917)/(1-'user input'!$C$12)))</f>
        <v>0</v>
      </c>
    </row>
    <row r="1918" spans="1:6" x14ac:dyDescent="0.2">
      <c r="A1918" s="1">
        <v>42094</v>
      </c>
      <c r="B1918">
        <v>91</v>
      </c>
      <c r="C1918">
        <f>IF(B1918&gt;'user input'!$C$6,0,IF('heat units'!H1918&gt;1,1,'heat units'!H1918))</f>
        <v>0</v>
      </c>
      <c r="D1918">
        <f>IF(B1918&gt;'user input'!$C$6,0,(C1918/(C1918+EXP('user input'!$C$15-'user input'!$C$14*C1918))))</f>
        <v>0</v>
      </c>
      <c r="E1918">
        <f>IF(C1918&lt;'user input'!$C$12,(D1918-D1917)*'user input'!$C$17*(1-EXP(5*(F1917-'user input'!$C$17))),F1918-F1917)</f>
        <v>0</v>
      </c>
      <c r="F1918">
        <f>IF(C1918&lt;'user input'!$C$12,IF(B1918&gt;'user input'!$C$6,0,F1917+E1918),'user input'!$C$17*((1-C1918)/(1-'user input'!$C$12)))</f>
        <v>0</v>
      </c>
    </row>
    <row r="1919" spans="1:6" x14ac:dyDescent="0.2">
      <c r="A1919" s="1">
        <v>42095</v>
      </c>
      <c r="B1919">
        <v>92</v>
      </c>
      <c r="C1919">
        <f>IF(B1919&gt;'user input'!$C$6,0,IF('heat units'!H1919&gt;1,1,'heat units'!H1919))</f>
        <v>0</v>
      </c>
      <c r="D1919">
        <f>IF(B1919&gt;'user input'!$C$6,0,(C1919/(C1919+EXP('user input'!$C$15-'user input'!$C$14*C1919))))</f>
        <v>0</v>
      </c>
      <c r="E1919">
        <f>IF(C1919&lt;'user input'!$C$12,(D1919-D1918)*'user input'!$C$17*(1-EXP(5*(F1918-'user input'!$C$17))),F1919-F1918)</f>
        <v>0</v>
      </c>
      <c r="F1919">
        <f>IF(C1919&lt;'user input'!$C$12,IF(B1919&gt;'user input'!$C$6,0,F1918+E1919),'user input'!$C$17*((1-C1919)/(1-'user input'!$C$12)))</f>
        <v>0</v>
      </c>
    </row>
    <row r="1920" spans="1:6" x14ac:dyDescent="0.2">
      <c r="A1920" s="1">
        <v>42096</v>
      </c>
      <c r="B1920">
        <v>93</v>
      </c>
      <c r="C1920">
        <f>IF(B1920&gt;'user input'!$C$6,0,IF('heat units'!H1920&gt;1,1,'heat units'!H1920))</f>
        <v>0</v>
      </c>
      <c r="D1920">
        <f>IF(B1920&gt;'user input'!$C$6,0,(C1920/(C1920+EXP('user input'!$C$15-'user input'!$C$14*C1920))))</f>
        <v>0</v>
      </c>
      <c r="E1920">
        <f>IF(C1920&lt;'user input'!$C$12,(D1920-D1919)*'user input'!$C$17*(1-EXP(5*(F1919-'user input'!$C$17))),F1920-F1919)</f>
        <v>0</v>
      </c>
      <c r="F1920">
        <f>IF(C1920&lt;'user input'!$C$12,IF(B1920&gt;'user input'!$C$6,0,F1919+E1920),'user input'!$C$17*((1-C1920)/(1-'user input'!$C$12)))</f>
        <v>0</v>
      </c>
    </row>
    <row r="1921" spans="1:6" x14ac:dyDescent="0.2">
      <c r="A1921" s="1">
        <v>42097</v>
      </c>
      <c r="B1921">
        <v>94</v>
      </c>
      <c r="C1921">
        <f>IF(B1921&gt;'user input'!$C$6,0,IF('heat units'!H1921&gt;1,1,'heat units'!H1921))</f>
        <v>0</v>
      </c>
      <c r="D1921">
        <f>IF(B1921&gt;'user input'!$C$6,0,(C1921/(C1921+EXP('user input'!$C$15-'user input'!$C$14*C1921))))</f>
        <v>0</v>
      </c>
      <c r="E1921">
        <f>IF(C1921&lt;'user input'!$C$12,(D1921-D1920)*'user input'!$C$17*(1-EXP(5*(F1920-'user input'!$C$17))),F1921-F1920)</f>
        <v>0</v>
      </c>
      <c r="F1921">
        <f>IF(C1921&lt;'user input'!$C$12,IF(B1921&gt;'user input'!$C$6,0,F1920+E1921),'user input'!$C$17*((1-C1921)/(1-'user input'!$C$12)))</f>
        <v>0</v>
      </c>
    </row>
    <row r="1922" spans="1:6" x14ac:dyDescent="0.2">
      <c r="A1922" s="1">
        <v>42098</v>
      </c>
      <c r="B1922">
        <v>95</v>
      </c>
      <c r="C1922">
        <f>IF(B1922&gt;'user input'!$C$6,0,IF('heat units'!H1922&gt;1,1,'heat units'!H1922))</f>
        <v>0</v>
      </c>
      <c r="D1922">
        <f>IF(B1922&gt;'user input'!$C$6,0,(C1922/(C1922+EXP('user input'!$C$15-'user input'!$C$14*C1922))))</f>
        <v>0</v>
      </c>
      <c r="E1922">
        <f>IF(C1922&lt;'user input'!$C$12,(D1922-D1921)*'user input'!$C$17*(1-EXP(5*(F1921-'user input'!$C$17))),F1922-F1921)</f>
        <v>0</v>
      </c>
      <c r="F1922">
        <f>IF(C1922&lt;'user input'!$C$12,IF(B1922&gt;'user input'!$C$6,0,F1921+E1922),'user input'!$C$17*((1-C1922)/(1-'user input'!$C$12)))</f>
        <v>0</v>
      </c>
    </row>
    <row r="1923" spans="1:6" x14ac:dyDescent="0.2">
      <c r="A1923" s="1">
        <v>42099</v>
      </c>
      <c r="B1923">
        <v>96</v>
      </c>
      <c r="C1923">
        <f>IF(B1923&gt;'user input'!$C$6,0,IF('heat units'!H1923&gt;1,1,'heat units'!H1923))</f>
        <v>0</v>
      </c>
      <c r="D1923">
        <f>IF(B1923&gt;'user input'!$C$6,0,(C1923/(C1923+EXP('user input'!$C$15-'user input'!$C$14*C1923))))</f>
        <v>0</v>
      </c>
      <c r="E1923">
        <f>IF(C1923&lt;'user input'!$C$12,(D1923-D1922)*'user input'!$C$17*(1-EXP(5*(F1922-'user input'!$C$17))),F1923-F1922)</f>
        <v>0</v>
      </c>
      <c r="F1923">
        <f>IF(C1923&lt;'user input'!$C$12,IF(B1923&gt;'user input'!$C$6,0,F1922+E1923),'user input'!$C$17*((1-C1923)/(1-'user input'!$C$12)))</f>
        <v>0</v>
      </c>
    </row>
    <row r="1924" spans="1:6" x14ac:dyDescent="0.2">
      <c r="A1924" s="1">
        <v>42100</v>
      </c>
      <c r="B1924">
        <v>97</v>
      </c>
      <c r="C1924">
        <f>IF(B1924&gt;'user input'!$C$6,0,IF('heat units'!H1924&gt;1,1,'heat units'!H1924))</f>
        <v>0</v>
      </c>
      <c r="D1924">
        <f>IF(B1924&gt;'user input'!$C$6,0,(C1924/(C1924+EXP('user input'!$C$15-'user input'!$C$14*C1924))))</f>
        <v>0</v>
      </c>
      <c r="E1924">
        <f>IF(C1924&lt;'user input'!$C$12,(D1924-D1923)*'user input'!$C$17*(1-EXP(5*(F1923-'user input'!$C$17))),F1924-F1923)</f>
        <v>0</v>
      </c>
      <c r="F1924">
        <f>IF(C1924&lt;'user input'!$C$12,IF(B1924&gt;'user input'!$C$6,0,F1923+E1924),'user input'!$C$17*((1-C1924)/(1-'user input'!$C$12)))</f>
        <v>0</v>
      </c>
    </row>
    <row r="1925" spans="1:6" x14ac:dyDescent="0.2">
      <c r="A1925" s="1">
        <v>42101</v>
      </c>
      <c r="B1925">
        <v>98</v>
      </c>
      <c r="C1925">
        <f>IF(B1925&gt;'user input'!$C$6,0,IF('heat units'!H1925&gt;1,1,'heat units'!H1925))</f>
        <v>0</v>
      </c>
      <c r="D1925">
        <f>IF(B1925&gt;'user input'!$C$6,0,(C1925/(C1925+EXP('user input'!$C$15-'user input'!$C$14*C1925))))</f>
        <v>0</v>
      </c>
      <c r="E1925">
        <f>IF(C1925&lt;'user input'!$C$12,(D1925-D1924)*'user input'!$C$17*(1-EXP(5*(F1924-'user input'!$C$17))),F1925-F1924)</f>
        <v>0</v>
      </c>
      <c r="F1925">
        <f>IF(C1925&lt;'user input'!$C$12,IF(B1925&gt;'user input'!$C$6,0,F1924+E1925),'user input'!$C$17*((1-C1925)/(1-'user input'!$C$12)))</f>
        <v>0</v>
      </c>
    </row>
    <row r="1926" spans="1:6" x14ac:dyDescent="0.2">
      <c r="A1926" s="1">
        <v>42102</v>
      </c>
      <c r="B1926">
        <v>99</v>
      </c>
      <c r="C1926">
        <f>IF(B1926&gt;'user input'!$C$6,0,IF('heat units'!H1926&gt;1,1,'heat units'!H1926))</f>
        <v>0</v>
      </c>
      <c r="D1926">
        <f>IF(B1926&gt;'user input'!$C$6,0,(C1926/(C1926+EXP('user input'!$C$15-'user input'!$C$14*C1926))))</f>
        <v>0</v>
      </c>
      <c r="E1926">
        <f>IF(C1926&lt;'user input'!$C$12,(D1926-D1925)*'user input'!$C$17*(1-EXP(5*(F1925-'user input'!$C$17))),F1926-F1925)</f>
        <v>0</v>
      </c>
      <c r="F1926">
        <f>IF(C1926&lt;'user input'!$C$12,IF(B1926&gt;'user input'!$C$6,0,F1925+E1926),'user input'!$C$17*((1-C1926)/(1-'user input'!$C$12)))</f>
        <v>0</v>
      </c>
    </row>
    <row r="1927" spans="1:6" x14ac:dyDescent="0.2">
      <c r="A1927" s="1">
        <v>42103</v>
      </c>
      <c r="B1927">
        <v>100</v>
      </c>
      <c r="C1927">
        <f>IF(B1927&gt;'user input'!$C$6,0,IF('heat units'!H1927&gt;1,1,'heat units'!H1927))</f>
        <v>0</v>
      </c>
      <c r="D1927">
        <f>IF(B1927&gt;'user input'!$C$6,0,(C1927/(C1927+EXP('user input'!$C$15-'user input'!$C$14*C1927))))</f>
        <v>0</v>
      </c>
      <c r="E1927">
        <f>IF(C1927&lt;'user input'!$C$12,(D1927-D1926)*'user input'!$C$17*(1-EXP(5*(F1926-'user input'!$C$17))),F1927-F1926)</f>
        <v>0</v>
      </c>
      <c r="F1927">
        <f>IF(C1927&lt;'user input'!$C$12,IF(B1927&gt;'user input'!$C$6,0,F1926+E1927),'user input'!$C$17*((1-C1927)/(1-'user input'!$C$12)))</f>
        <v>0</v>
      </c>
    </row>
    <row r="1928" spans="1:6" x14ac:dyDescent="0.2">
      <c r="A1928" s="1">
        <v>42104</v>
      </c>
      <c r="B1928">
        <v>101</v>
      </c>
      <c r="C1928">
        <f>IF(B1928&gt;'user input'!$C$6,0,IF('heat units'!H1928&gt;1,1,'heat units'!H1928))</f>
        <v>0</v>
      </c>
      <c r="D1928">
        <f>IF(B1928&gt;'user input'!$C$6,0,(C1928/(C1928+EXP('user input'!$C$15-'user input'!$C$14*C1928))))</f>
        <v>0</v>
      </c>
      <c r="E1928">
        <f>IF(C1928&lt;'user input'!$C$12,(D1928-D1927)*'user input'!$C$17*(1-EXP(5*(F1927-'user input'!$C$17))),F1928-F1927)</f>
        <v>0</v>
      </c>
      <c r="F1928">
        <f>IF(C1928&lt;'user input'!$C$12,IF(B1928&gt;'user input'!$C$6,0,F1927+E1928),'user input'!$C$17*((1-C1928)/(1-'user input'!$C$12)))</f>
        <v>0</v>
      </c>
    </row>
    <row r="1929" spans="1:6" x14ac:dyDescent="0.2">
      <c r="A1929" s="1">
        <v>42105</v>
      </c>
      <c r="B1929">
        <v>102</v>
      </c>
      <c r="C1929">
        <f>IF(B1929&gt;'user input'!$C$6,0,IF('heat units'!H1929&gt;1,1,'heat units'!H1929))</f>
        <v>0</v>
      </c>
      <c r="D1929">
        <f>IF(B1929&gt;'user input'!$C$6,0,(C1929/(C1929+EXP('user input'!$C$15-'user input'!$C$14*C1929))))</f>
        <v>0</v>
      </c>
      <c r="E1929">
        <f>IF(C1929&lt;'user input'!$C$12,(D1929-D1928)*'user input'!$C$17*(1-EXP(5*(F1928-'user input'!$C$17))),F1929-F1928)</f>
        <v>0</v>
      </c>
      <c r="F1929">
        <f>IF(C1929&lt;'user input'!$C$12,IF(B1929&gt;'user input'!$C$6,0,F1928+E1929),'user input'!$C$17*((1-C1929)/(1-'user input'!$C$12)))</f>
        <v>0</v>
      </c>
    </row>
    <row r="1930" spans="1:6" x14ac:dyDescent="0.2">
      <c r="A1930" s="1">
        <v>42106</v>
      </c>
      <c r="B1930">
        <v>103</v>
      </c>
      <c r="C1930">
        <f>IF(B1930&gt;'user input'!$C$6,0,IF('heat units'!H1930&gt;1,1,'heat units'!H1930))</f>
        <v>0</v>
      </c>
      <c r="D1930">
        <f>IF(B1930&gt;'user input'!$C$6,0,(C1930/(C1930+EXP('user input'!$C$15-'user input'!$C$14*C1930))))</f>
        <v>0</v>
      </c>
      <c r="E1930">
        <f>IF(C1930&lt;'user input'!$C$12,(D1930-D1929)*'user input'!$C$17*(1-EXP(5*(F1929-'user input'!$C$17))),F1930-F1929)</f>
        <v>0</v>
      </c>
      <c r="F1930">
        <f>IF(C1930&lt;'user input'!$C$12,IF(B1930&gt;'user input'!$C$6,0,F1929+E1930),'user input'!$C$17*((1-C1930)/(1-'user input'!$C$12)))</f>
        <v>0</v>
      </c>
    </row>
    <row r="1931" spans="1:6" x14ac:dyDescent="0.2">
      <c r="A1931" s="1">
        <v>42107</v>
      </c>
      <c r="B1931">
        <v>104</v>
      </c>
      <c r="C1931">
        <f>IF(B1931&gt;'user input'!$C$6,0,IF('heat units'!H1931&gt;1,1,'heat units'!H1931))</f>
        <v>0</v>
      </c>
      <c r="D1931">
        <f>IF(B1931&gt;'user input'!$C$6,0,(C1931/(C1931+EXP('user input'!$C$15-'user input'!$C$14*C1931))))</f>
        <v>0</v>
      </c>
      <c r="E1931">
        <f>IF(C1931&lt;'user input'!$C$12,(D1931-D1930)*'user input'!$C$17*(1-EXP(5*(F1930-'user input'!$C$17))),F1931-F1930)</f>
        <v>0</v>
      </c>
      <c r="F1931">
        <f>IF(C1931&lt;'user input'!$C$12,IF(B1931&gt;'user input'!$C$6,0,F1930+E1931),'user input'!$C$17*((1-C1931)/(1-'user input'!$C$12)))</f>
        <v>0</v>
      </c>
    </row>
    <row r="1932" spans="1:6" x14ac:dyDescent="0.2">
      <c r="A1932" s="1">
        <v>42108</v>
      </c>
      <c r="B1932">
        <v>105</v>
      </c>
      <c r="C1932">
        <f>IF(B1932&gt;'user input'!$C$6,0,IF('heat units'!H1932&gt;1,1,'heat units'!H1932))</f>
        <v>0</v>
      </c>
      <c r="D1932">
        <f>IF(B1932&gt;'user input'!$C$6,0,(C1932/(C1932+EXP('user input'!$C$15-'user input'!$C$14*C1932))))</f>
        <v>0</v>
      </c>
      <c r="E1932">
        <f>IF(C1932&lt;'user input'!$C$12,(D1932-D1931)*'user input'!$C$17*(1-EXP(5*(F1931-'user input'!$C$17))),F1932-F1931)</f>
        <v>0</v>
      </c>
      <c r="F1932">
        <f>IF(C1932&lt;'user input'!$C$12,IF(B1932&gt;'user input'!$C$6,0,F1931+E1932),'user input'!$C$17*((1-C1932)/(1-'user input'!$C$12)))</f>
        <v>0</v>
      </c>
    </row>
    <row r="1933" spans="1:6" x14ac:dyDescent="0.2">
      <c r="A1933" s="1">
        <v>42109</v>
      </c>
      <c r="B1933">
        <v>106</v>
      </c>
      <c r="C1933">
        <f>IF(B1933&gt;'user input'!$C$6,0,IF('heat units'!H1933&gt;1,1,'heat units'!H1933))</f>
        <v>0</v>
      </c>
      <c r="D1933">
        <f>IF(B1933&gt;'user input'!$C$6,0,(C1933/(C1933+EXP('user input'!$C$15-'user input'!$C$14*C1933))))</f>
        <v>0</v>
      </c>
      <c r="E1933">
        <f>IF(C1933&lt;'user input'!$C$12,(D1933-D1932)*'user input'!$C$17*(1-EXP(5*(F1932-'user input'!$C$17))),F1933-F1932)</f>
        <v>0</v>
      </c>
      <c r="F1933">
        <f>IF(C1933&lt;'user input'!$C$12,IF(B1933&gt;'user input'!$C$6,0,F1932+E1933),'user input'!$C$17*((1-C1933)/(1-'user input'!$C$12)))</f>
        <v>0</v>
      </c>
    </row>
    <row r="1934" spans="1:6" x14ac:dyDescent="0.2">
      <c r="A1934" s="1">
        <v>42110</v>
      </c>
      <c r="B1934">
        <v>107</v>
      </c>
      <c r="C1934">
        <f>IF(B1934&gt;'user input'!$C$6,0,IF('heat units'!H1934&gt;1,1,'heat units'!H1934))</f>
        <v>0</v>
      </c>
      <c r="D1934">
        <f>IF(B1934&gt;'user input'!$C$6,0,(C1934/(C1934+EXP('user input'!$C$15-'user input'!$C$14*C1934))))</f>
        <v>0</v>
      </c>
      <c r="E1934">
        <f>IF(C1934&lt;'user input'!$C$12,(D1934-D1933)*'user input'!$C$17*(1-EXP(5*(F1933-'user input'!$C$17))),F1934-F1933)</f>
        <v>0</v>
      </c>
      <c r="F1934">
        <f>IF(C1934&lt;'user input'!$C$12,IF(B1934&gt;'user input'!$C$6,0,F1933+E1934),'user input'!$C$17*((1-C1934)/(1-'user input'!$C$12)))</f>
        <v>0</v>
      </c>
    </row>
    <row r="1935" spans="1:6" x14ac:dyDescent="0.2">
      <c r="A1935" s="1">
        <v>42111</v>
      </c>
      <c r="B1935">
        <v>108</v>
      </c>
      <c r="C1935">
        <f>IF(B1935&gt;'user input'!$C$6,0,IF('heat units'!H1935&gt;1,1,'heat units'!H1935))</f>
        <v>0</v>
      </c>
      <c r="D1935">
        <f>IF(B1935&gt;'user input'!$C$6,0,(C1935/(C1935+EXP('user input'!$C$15-'user input'!$C$14*C1935))))</f>
        <v>0</v>
      </c>
      <c r="E1935">
        <f>IF(C1935&lt;'user input'!$C$12,(D1935-D1934)*'user input'!$C$17*(1-EXP(5*(F1934-'user input'!$C$17))),F1935-F1934)</f>
        <v>0</v>
      </c>
      <c r="F1935">
        <f>IF(C1935&lt;'user input'!$C$12,IF(B1935&gt;'user input'!$C$6,0,F1934+E1935),'user input'!$C$17*((1-C1935)/(1-'user input'!$C$12)))</f>
        <v>0</v>
      </c>
    </row>
    <row r="1936" spans="1:6" x14ac:dyDescent="0.2">
      <c r="A1936" s="1">
        <v>42112</v>
      </c>
      <c r="B1936">
        <v>109</v>
      </c>
      <c r="C1936">
        <f>IF(B1936&gt;'user input'!$C$6,0,IF('heat units'!H1936&gt;1,1,'heat units'!H1936))</f>
        <v>0</v>
      </c>
      <c r="D1936">
        <f>IF(B1936&gt;'user input'!$C$6,0,(C1936/(C1936+EXP('user input'!$C$15-'user input'!$C$14*C1936))))</f>
        <v>0</v>
      </c>
      <c r="E1936">
        <f>IF(C1936&lt;'user input'!$C$12,(D1936-D1935)*'user input'!$C$17*(1-EXP(5*(F1935-'user input'!$C$17))),F1936-F1935)</f>
        <v>0</v>
      </c>
      <c r="F1936">
        <f>IF(C1936&lt;'user input'!$C$12,IF(B1936&gt;'user input'!$C$6,0,F1935+E1936),'user input'!$C$17*((1-C1936)/(1-'user input'!$C$12)))</f>
        <v>0</v>
      </c>
    </row>
    <row r="1937" spans="1:6" x14ac:dyDescent="0.2">
      <c r="A1937" s="1">
        <v>42113</v>
      </c>
      <c r="B1937">
        <v>110</v>
      </c>
      <c r="C1937">
        <f>IF(B1937&gt;'user input'!$C$6,0,IF('heat units'!H1937&gt;1,1,'heat units'!H1937))</f>
        <v>0</v>
      </c>
      <c r="D1937">
        <f>IF(B1937&gt;'user input'!$C$6,0,(C1937/(C1937+EXP('user input'!$C$15-'user input'!$C$14*C1937))))</f>
        <v>0</v>
      </c>
      <c r="E1937">
        <f>IF(C1937&lt;'user input'!$C$12,(D1937-D1936)*'user input'!$C$17*(1-EXP(5*(F1936-'user input'!$C$17))),F1937-F1936)</f>
        <v>0</v>
      </c>
      <c r="F1937">
        <f>IF(C1937&lt;'user input'!$C$12,IF(B1937&gt;'user input'!$C$6,0,F1936+E1937),'user input'!$C$17*((1-C1937)/(1-'user input'!$C$12)))</f>
        <v>0</v>
      </c>
    </row>
    <row r="1938" spans="1:6" x14ac:dyDescent="0.2">
      <c r="A1938" s="1">
        <v>42114</v>
      </c>
      <c r="B1938">
        <v>111</v>
      </c>
      <c r="C1938">
        <f>IF(B1938&gt;'user input'!$C$6,0,IF('heat units'!H1938&gt;1,1,'heat units'!H1938))</f>
        <v>0</v>
      </c>
      <c r="D1938">
        <f>IF(B1938&gt;'user input'!$C$6,0,(C1938/(C1938+EXP('user input'!$C$15-'user input'!$C$14*C1938))))</f>
        <v>0</v>
      </c>
      <c r="E1938">
        <f>IF(C1938&lt;'user input'!$C$12,(D1938-D1937)*'user input'!$C$17*(1-EXP(5*(F1937-'user input'!$C$17))),F1938-F1937)</f>
        <v>0</v>
      </c>
      <c r="F1938">
        <f>IF(C1938&lt;'user input'!$C$12,IF(B1938&gt;'user input'!$C$6,0,F1937+E1938),'user input'!$C$17*((1-C1938)/(1-'user input'!$C$12)))</f>
        <v>0</v>
      </c>
    </row>
    <row r="1939" spans="1:6" x14ac:dyDescent="0.2">
      <c r="A1939" s="1">
        <v>42115</v>
      </c>
      <c r="B1939">
        <v>112</v>
      </c>
      <c r="C1939">
        <f>IF(B1939&gt;'user input'!$C$6,0,IF('heat units'!H1939&gt;1,1,'heat units'!H1939))</f>
        <v>0</v>
      </c>
      <c r="D1939">
        <f>IF(B1939&gt;'user input'!$C$6,0,(C1939/(C1939+EXP('user input'!$C$15-'user input'!$C$14*C1939))))</f>
        <v>0</v>
      </c>
      <c r="E1939">
        <f>IF(C1939&lt;'user input'!$C$12,(D1939-D1938)*'user input'!$C$17*(1-EXP(5*(F1938-'user input'!$C$17))),F1939-F1938)</f>
        <v>0</v>
      </c>
      <c r="F1939">
        <f>IF(C1939&lt;'user input'!$C$12,IF(B1939&gt;'user input'!$C$6,0,F1938+E1939),'user input'!$C$17*((1-C1939)/(1-'user input'!$C$12)))</f>
        <v>0</v>
      </c>
    </row>
    <row r="1940" spans="1:6" x14ac:dyDescent="0.2">
      <c r="A1940" s="1">
        <v>42116</v>
      </c>
      <c r="B1940">
        <v>113</v>
      </c>
      <c r="C1940">
        <f>IF(B1940&gt;'user input'!$C$6,0,IF('heat units'!H1940&gt;1,1,'heat units'!H1940))</f>
        <v>0</v>
      </c>
      <c r="D1940">
        <f>IF(B1940&gt;'user input'!$C$6,0,(C1940/(C1940+EXP('user input'!$C$15-'user input'!$C$14*C1940))))</f>
        <v>0</v>
      </c>
      <c r="E1940">
        <f>IF(C1940&lt;'user input'!$C$12,(D1940-D1939)*'user input'!$C$17*(1-EXP(5*(F1939-'user input'!$C$17))),F1940-F1939)</f>
        <v>0</v>
      </c>
      <c r="F1940">
        <f>IF(C1940&lt;'user input'!$C$12,IF(B1940&gt;'user input'!$C$6,0,F1939+E1940),'user input'!$C$17*((1-C1940)/(1-'user input'!$C$12)))</f>
        <v>0</v>
      </c>
    </row>
    <row r="1941" spans="1:6" x14ac:dyDescent="0.2">
      <c r="A1941" s="1">
        <v>42117</v>
      </c>
      <c r="B1941">
        <v>114</v>
      </c>
      <c r="C1941">
        <f>IF(B1941&gt;'user input'!$C$6,0,IF('heat units'!H1941&gt;1,1,'heat units'!H1941))</f>
        <v>0</v>
      </c>
      <c r="D1941">
        <f>IF(B1941&gt;'user input'!$C$6,0,(C1941/(C1941+EXP('user input'!$C$15-'user input'!$C$14*C1941))))</f>
        <v>0</v>
      </c>
      <c r="E1941">
        <f>IF(C1941&lt;'user input'!$C$12,(D1941-D1940)*'user input'!$C$17*(1-EXP(5*(F1940-'user input'!$C$17))),F1941-F1940)</f>
        <v>0</v>
      </c>
      <c r="F1941">
        <f>IF(C1941&lt;'user input'!$C$12,IF(B1941&gt;'user input'!$C$6,0,F1940+E1941),'user input'!$C$17*((1-C1941)/(1-'user input'!$C$12)))</f>
        <v>0</v>
      </c>
    </row>
    <row r="1942" spans="1:6" x14ac:dyDescent="0.2">
      <c r="A1942" s="1">
        <v>42118</v>
      </c>
      <c r="B1942">
        <v>115</v>
      </c>
      <c r="C1942">
        <f>IF(B1942&gt;'user input'!$C$6,0,IF('heat units'!H1942&gt;1,1,'heat units'!H1942))</f>
        <v>0</v>
      </c>
      <c r="D1942">
        <f>IF(B1942&gt;'user input'!$C$6,0,(C1942/(C1942+EXP('user input'!$C$15-'user input'!$C$14*C1942))))</f>
        <v>0</v>
      </c>
      <c r="E1942">
        <f>IF(C1942&lt;'user input'!$C$12,(D1942-D1941)*'user input'!$C$17*(1-EXP(5*(F1941-'user input'!$C$17))),F1942-F1941)</f>
        <v>0</v>
      </c>
      <c r="F1942">
        <f>IF(C1942&lt;'user input'!$C$12,IF(B1942&gt;'user input'!$C$6,0,F1941+E1942),'user input'!$C$17*((1-C1942)/(1-'user input'!$C$12)))</f>
        <v>0</v>
      </c>
    </row>
    <row r="1943" spans="1:6" x14ac:dyDescent="0.2">
      <c r="A1943" s="1">
        <v>42119</v>
      </c>
      <c r="B1943">
        <v>116</v>
      </c>
      <c r="C1943">
        <f>IF(B1943&gt;'user input'!$C$6,0,IF('heat units'!H1943&gt;1,1,'heat units'!H1943))</f>
        <v>0</v>
      </c>
      <c r="D1943">
        <f>IF(B1943&gt;'user input'!$C$6,0,(C1943/(C1943+EXP('user input'!$C$15-'user input'!$C$14*C1943))))</f>
        <v>0</v>
      </c>
      <c r="E1943">
        <f>IF(C1943&lt;'user input'!$C$12,(D1943-D1942)*'user input'!$C$17*(1-EXP(5*(F1942-'user input'!$C$17))),F1943-F1942)</f>
        <v>0</v>
      </c>
      <c r="F1943">
        <f>IF(C1943&lt;'user input'!$C$12,IF(B1943&gt;'user input'!$C$6,0,F1942+E1943),'user input'!$C$17*((1-C1943)/(1-'user input'!$C$12)))</f>
        <v>0</v>
      </c>
    </row>
    <row r="1944" spans="1:6" x14ac:dyDescent="0.2">
      <c r="A1944" s="1">
        <v>42120</v>
      </c>
      <c r="B1944">
        <v>117</v>
      </c>
      <c r="C1944">
        <f>IF(B1944&gt;'user input'!$C$6,0,IF('heat units'!H1944&gt;1,1,'heat units'!H1944))</f>
        <v>0</v>
      </c>
      <c r="D1944">
        <f>IF(B1944&gt;'user input'!$C$6,0,(C1944/(C1944+EXP('user input'!$C$15-'user input'!$C$14*C1944))))</f>
        <v>0</v>
      </c>
      <c r="E1944">
        <f>IF(C1944&lt;'user input'!$C$12,(D1944-D1943)*'user input'!$C$17*(1-EXP(5*(F1943-'user input'!$C$17))),F1944-F1943)</f>
        <v>0</v>
      </c>
      <c r="F1944">
        <f>IF(C1944&lt;'user input'!$C$12,IF(B1944&gt;'user input'!$C$6,0,F1943+E1944),'user input'!$C$17*((1-C1944)/(1-'user input'!$C$12)))</f>
        <v>0</v>
      </c>
    </row>
    <row r="1945" spans="1:6" x14ac:dyDescent="0.2">
      <c r="A1945" s="1">
        <v>42121</v>
      </c>
      <c r="B1945">
        <v>118</v>
      </c>
      <c r="C1945">
        <f>IF(B1945&gt;'user input'!$C$6,0,IF('heat units'!H1945&gt;1,1,'heat units'!H1945))</f>
        <v>0</v>
      </c>
      <c r="D1945">
        <f>IF(B1945&gt;'user input'!$C$6,0,(C1945/(C1945+EXP('user input'!$C$15-'user input'!$C$14*C1945))))</f>
        <v>0</v>
      </c>
      <c r="E1945">
        <f>IF(C1945&lt;'user input'!$C$12,(D1945-D1944)*'user input'!$C$17*(1-EXP(5*(F1944-'user input'!$C$17))),F1945-F1944)</f>
        <v>0</v>
      </c>
      <c r="F1945">
        <f>IF(C1945&lt;'user input'!$C$12,IF(B1945&gt;'user input'!$C$6,0,F1944+E1945),'user input'!$C$17*((1-C1945)/(1-'user input'!$C$12)))</f>
        <v>0</v>
      </c>
    </row>
    <row r="1946" spans="1:6" x14ac:dyDescent="0.2">
      <c r="A1946" s="1">
        <v>42122</v>
      </c>
      <c r="B1946">
        <v>119</v>
      </c>
      <c r="C1946">
        <f>IF(B1946&gt;'user input'!$C$6,0,IF('heat units'!H1946&gt;1,1,'heat units'!H1946))</f>
        <v>0</v>
      </c>
      <c r="D1946">
        <f>IF(B1946&gt;'user input'!$C$6,0,(C1946/(C1946+EXP('user input'!$C$15-'user input'!$C$14*C1946))))</f>
        <v>0</v>
      </c>
      <c r="E1946">
        <f>IF(C1946&lt;'user input'!$C$12,(D1946-D1945)*'user input'!$C$17*(1-EXP(5*(F1945-'user input'!$C$17))),F1946-F1945)</f>
        <v>0</v>
      </c>
      <c r="F1946">
        <f>IF(C1946&lt;'user input'!$C$12,IF(B1946&gt;'user input'!$C$6,0,F1945+E1946),'user input'!$C$17*((1-C1946)/(1-'user input'!$C$12)))</f>
        <v>0</v>
      </c>
    </row>
    <row r="1947" spans="1:6" x14ac:dyDescent="0.2">
      <c r="A1947" s="1">
        <v>42123</v>
      </c>
      <c r="B1947">
        <v>120</v>
      </c>
      <c r="C1947">
        <f>IF(B1947&gt;'user input'!$C$6,0,IF('heat units'!H1947&gt;1,1,'heat units'!H1947))</f>
        <v>0</v>
      </c>
      <c r="D1947">
        <f>IF(B1947&gt;'user input'!$C$6,0,(C1947/(C1947+EXP('user input'!$C$15-'user input'!$C$14*C1947))))</f>
        <v>0</v>
      </c>
      <c r="E1947">
        <f>IF(C1947&lt;'user input'!$C$12,(D1947-D1946)*'user input'!$C$17*(1-EXP(5*(F1946-'user input'!$C$17))),F1947-F1946)</f>
        <v>0</v>
      </c>
      <c r="F1947">
        <f>IF(C1947&lt;'user input'!$C$12,IF(B1947&gt;'user input'!$C$6,0,F1946+E1947),'user input'!$C$17*((1-C1947)/(1-'user input'!$C$12)))</f>
        <v>0</v>
      </c>
    </row>
    <row r="1948" spans="1:6" x14ac:dyDescent="0.2">
      <c r="A1948" s="1">
        <v>42124</v>
      </c>
      <c r="B1948">
        <v>121</v>
      </c>
      <c r="C1948">
        <f>IF(B1948&gt;'user input'!$C$6,0,IF('heat units'!H1948&gt;1,1,'heat units'!H1948))</f>
        <v>4.1666666666666666E-3</v>
      </c>
      <c r="D1948">
        <f>IF(B1948&gt;'user input'!$C$6,0,(C1948/(C1948+EXP('user input'!$C$15-'user input'!$C$14*C1948))))</f>
        <v>2.0753526340872781E-4</v>
      </c>
      <c r="E1948">
        <f>IF(C1948&lt;'user input'!$C$12,(D1948-D1947)*'user input'!$C$17*(1-EXP(5*(F1947-'user input'!$C$17))),F1948-F1947)</f>
        <v>6.2260559976962744E-4</v>
      </c>
      <c r="F1948">
        <f>IF(C1948&lt;'user input'!$C$12,IF(B1948&gt;'user input'!$C$6,0,F1947+E1948),'user input'!$C$17*((1-C1948)/(1-'user input'!$C$12)))</f>
        <v>6.2260559976962744E-4</v>
      </c>
    </row>
    <row r="1949" spans="1:6" x14ac:dyDescent="0.2">
      <c r="A1949" s="1">
        <v>42125</v>
      </c>
      <c r="B1949">
        <v>122</v>
      </c>
      <c r="C1949">
        <f>IF(B1949&gt;'user input'!$C$6,0,IF('heat units'!H1949&gt;1,1,'heat units'!H1949))</f>
        <v>7.1759259259259259E-3</v>
      </c>
      <c r="D1949">
        <f>IF(B1949&gt;'user input'!$C$6,0,(C1949/(C1949+EXP('user input'!$C$15-'user input'!$C$14*C1949))))</f>
        <v>3.7205155045476535E-4</v>
      </c>
      <c r="E1949">
        <f>IF(C1949&lt;'user input'!$C$12,(D1949-D1948)*'user input'!$C$17*(1-EXP(5*(F1948-'user input'!$C$17))),F1949-F1948)</f>
        <v>4.9354870968964051E-4</v>
      </c>
      <c r="F1949">
        <f>IF(C1949&lt;'user input'!$C$12,IF(B1949&gt;'user input'!$C$6,0,F1948+E1949),'user input'!$C$17*((1-C1949)/(1-'user input'!$C$12)))</f>
        <v>1.116154309459268E-3</v>
      </c>
    </row>
    <row r="1950" spans="1:6" x14ac:dyDescent="0.2">
      <c r="A1950" s="1">
        <v>42126</v>
      </c>
      <c r="B1950">
        <v>123</v>
      </c>
      <c r="C1950">
        <f>IF(B1950&gt;'user input'!$C$6,0,IF('heat units'!H1950&gt;1,1,'heat units'!H1950))</f>
        <v>1.111111111111111E-2</v>
      </c>
      <c r="D1950">
        <f>IF(B1950&gt;'user input'!$C$6,0,(C1950/(C1950+EXP('user input'!$C$15-'user input'!$C$14*C1950))))</f>
        <v>6.0709498843670941E-4</v>
      </c>
      <c r="E1950">
        <f>IF(C1950&lt;'user input'!$C$12,(D1950-D1949)*'user input'!$C$17*(1-EXP(5*(F1949-'user input'!$C$17))),F1950-F1949)</f>
        <v>7.0513009703768962E-4</v>
      </c>
      <c r="F1950">
        <f>IF(C1950&lt;'user input'!$C$12,IF(B1950&gt;'user input'!$C$6,0,F1949+E1950),'user input'!$C$17*((1-C1950)/(1-'user input'!$C$12)))</f>
        <v>1.8212844064969575E-3</v>
      </c>
    </row>
    <row r="1951" spans="1:6" x14ac:dyDescent="0.2">
      <c r="A1951" s="1">
        <v>42127</v>
      </c>
      <c r="B1951">
        <v>124</v>
      </c>
      <c r="C1951">
        <f>IF(B1951&gt;'user input'!$C$6,0,IF('heat units'!H1951&gt;1,1,'heat units'!H1951))</f>
        <v>1.7592592592592594E-2</v>
      </c>
      <c r="D1951">
        <f>IF(B1951&gt;'user input'!$C$6,0,(C1951/(C1951+EXP('user input'!$C$15-'user input'!$C$14*C1951))))</f>
        <v>1.0478900437507618E-3</v>
      </c>
      <c r="E1951">
        <f>IF(C1951&lt;'user input'!$C$12,(D1951-D1950)*'user input'!$C$17*(1-EXP(5*(F1950-'user input'!$C$17))),F1951-F1950)</f>
        <v>1.3223847577209064E-3</v>
      </c>
      <c r="F1951">
        <f>IF(C1951&lt;'user input'!$C$12,IF(B1951&gt;'user input'!$C$6,0,F1950+E1951),'user input'!$C$17*((1-C1951)/(1-'user input'!$C$12)))</f>
        <v>3.1436691642178641E-3</v>
      </c>
    </row>
    <row r="1952" spans="1:6" x14ac:dyDescent="0.2">
      <c r="A1952" s="1">
        <v>42128</v>
      </c>
      <c r="B1952">
        <v>125</v>
      </c>
      <c r="C1952">
        <f>IF(B1952&gt;'user input'!$C$6,0,IF('heat units'!H1952&gt;1,1,'heat units'!H1952))</f>
        <v>2.476851851851852E-2</v>
      </c>
      <c r="D1952">
        <f>IF(B1952&gt;'user input'!$C$6,0,(C1952/(C1952+EXP('user input'!$C$15-'user input'!$C$14*C1952))))</f>
        <v>1.6231214291006729E-3</v>
      </c>
      <c r="E1952">
        <f>IF(C1952&lt;'user input'!$C$12,(D1952-D1951)*'user input'!$C$17*(1-EXP(5*(F1951-'user input'!$C$17))),F1952-F1951)</f>
        <v>1.725693619792713E-3</v>
      </c>
      <c r="F1952">
        <f>IF(C1952&lt;'user input'!$C$12,IF(B1952&gt;'user input'!$C$6,0,F1951+E1952),'user input'!$C$17*((1-C1952)/(1-'user input'!$C$12)))</f>
        <v>4.8693627840105773E-3</v>
      </c>
    </row>
    <row r="1953" spans="1:6" x14ac:dyDescent="0.2">
      <c r="A1953" s="1">
        <v>42129</v>
      </c>
      <c r="B1953">
        <v>126</v>
      </c>
      <c r="C1953">
        <f>IF(B1953&gt;'user input'!$C$6,0,IF('heat units'!H1953&gt;1,1,'heat units'!H1953))</f>
        <v>3.0324074074074073E-2</v>
      </c>
      <c r="D1953">
        <f>IF(B1953&gt;'user input'!$C$6,0,(C1953/(C1953+EXP('user input'!$C$15-'user input'!$C$14*C1953))))</f>
        <v>2.1394864588120291E-3</v>
      </c>
      <c r="E1953">
        <f>IF(C1953&lt;'user input'!$C$12,(D1953-D1952)*'user input'!$C$17*(1-EXP(5*(F1952-'user input'!$C$17))),F1953-F1952)</f>
        <v>1.5490946035834233E-3</v>
      </c>
      <c r="F1953">
        <f>IF(C1953&lt;'user input'!$C$12,IF(B1953&gt;'user input'!$C$6,0,F1952+E1953),'user input'!$C$17*((1-C1953)/(1-'user input'!$C$12)))</f>
        <v>6.418457387594001E-3</v>
      </c>
    </row>
    <row r="1954" spans="1:6" x14ac:dyDescent="0.2">
      <c r="A1954" s="1">
        <v>42130</v>
      </c>
      <c r="B1954">
        <v>127</v>
      </c>
      <c r="C1954">
        <f>IF(B1954&gt;'user input'!$C$6,0,IF('heat units'!H1954&gt;1,1,'heat units'!H1954))</f>
        <v>3.1712962962962957E-2</v>
      </c>
      <c r="D1954">
        <f>IF(B1954&gt;'user input'!$C$6,0,(C1954/(C1954+EXP('user input'!$C$15-'user input'!$C$14*C1954))))</f>
        <v>2.2791449622582699E-3</v>
      </c>
      <c r="E1954">
        <f>IF(C1954&lt;'user input'!$C$12,(D1954-D1953)*'user input'!$C$17*(1-EXP(5*(F1953-'user input'!$C$17))),F1954-F1953)</f>
        <v>4.1897537799330347E-4</v>
      </c>
      <c r="F1954">
        <f>IF(C1954&lt;'user input'!$C$12,IF(B1954&gt;'user input'!$C$6,0,F1953+E1954),'user input'!$C$17*((1-C1954)/(1-'user input'!$C$12)))</f>
        <v>6.8374327655873045E-3</v>
      </c>
    </row>
    <row r="1955" spans="1:6" x14ac:dyDescent="0.2">
      <c r="A1955" s="1">
        <v>42131</v>
      </c>
      <c r="B1955">
        <v>128</v>
      </c>
      <c r="C1955">
        <f>IF(B1955&gt;'user input'!$C$6,0,IF('heat units'!H1955&gt;1,1,'heat units'!H1955))</f>
        <v>3.7962962962962955E-2</v>
      </c>
      <c r="D1955">
        <f>IF(B1955&gt;'user input'!$C$6,0,(C1955/(C1955+EXP('user input'!$C$15-'user input'!$C$14*C1955))))</f>
        <v>2.9643502610508373E-3</v>
      </c>
      <c r="E1955">
        <f>IF(C1955&lt;'user input'!$C$12,(D1955-D1954)*'user input'!$C$17*(1-EXP(5*(F1954-'user input'!$C$17))),F1955-F1954)</f>
        <v>2.0556152456908438E-3</v>
      </c>
      <c r="F1955">
        <f>IF(C1955&lt;'user input'!$C$12,IF(B1955&gt;'user input'!$C$6,0,F1954+E1955),'user input'!$C$17*((1-C1955)/(1-'user input'!$C$12)))</f>
        <v>8.8930480112781492E-3</v>
      </c>
    </row>
    <row r="1956" spans="1:6" x14ac:dyDescent="0.2">
      <c r="A1956" s="1">
        <v>42132</v>
      </c>
      <c r="B1956">
        <v>129</v>
      </c>
      <c r="C1956">
        <f>IF(B1956&gt;'user input'!$C$6,0,IF('heat units'!H1956&gt;1,1,'heat units'!H1956))</f>
        <v>4.7916666666666663E-2</v>
      </c>
      <c r="D1956">
        <f>IF(B1956&gt;'user input'!$C$6,0,(C1956/(C1956+EXP('user input'!$C$15-'user input'!$C$14*C1956))))</f>
        <v>4.2692379685828888E-3</v>
      </c>
      <c r="E1956">
        <f>IF(C1956&lt;'user input'!$C$12,(D1956-D1955)*'user input'!$C$17*(1-EXP(5*(F1955-'user input'!$C$17))),F1956-F1955)</f>
        <v>3.9146618706427235E-3</v>
      </c>
      <c r="F1956">
        <f>IF(C1956&lt;'user input'!$C$12,IF(B1956&gt;'user input'!$C$6,0,F1955+E1956),'user input'!$C$17*((1-C1956)/(1-'user input'!$C$12)))</f>
        <v>1.2807709881920874E-2</v>
      </c>
    </row>
    <row r="1957" spans="1:6" x14ac:dyDescent="0.2">
      <c r="A1957" s="1">
        <v>42133</v>
      </c>
      <c r="B1957">
        <v>130</v>
      </c>
      <c r="C1957">
        <f>IF(B1957&gt;'user input'!$C$6,0,IF('heat units'!H1957&gt;1,1,'heat units'!H1957))</f>
        <v>5.486111111111111E-2</v>
      </c>
      <c r="D1957">
        <f>IF(B1957&gt;'user input'!$C$6,0,(C1957/(C1957+EXP('user input'!$C$15-'user input'!$C$14*C1957))))</f>
        <v>5.3582471000797206E-3</v>
      </c>
      <c r="E1957">
        <f>IF(C1957&lt;'user input'!$C$12,(D1957-D1956)*'user input'!$C$17*(1-EXP(5*(F1956-'user input'!$C$17))),F1957-F1956)</f>
        <v>3.2670263290059958E-3</v>
      </c>
      <c r="F1957">
        <f>IF(C1957&lt;'user input'!$C$12,IF(B1957&gt;'user input'!$C$6,0,F1956+E1957),'user input'!$C$17*((1-C1957)/(1-'user input'!$C$12)))</f>
        <v>1.6074736210926869E-2</v>
      </c>
    </row>
    <row r="1958" spans="1:6" x14ac:dyDescent="0.2">
      <c r="A1958" s="1">
        <v>42134</v>
      </c>
      <c r="B1958">
        <v>131</v>
      </c>
      <c r="C1958">
        <f>IF(B1958&gt;'user input'!$C$6,0,IF('heat units'!H1958&gt;1,1,'heat units'!H1958))</f>
        <v>6.0416666666666667E-2</v>
      </c>
      <c r="D1958">
        <f>IF(B1958&gt;'user input'!$C$6,0,(C1958/(C1958+EXP('user input'!$C$15-'user input'!$C$14*C1958))))</f>
        <v>6.3500525104214483E-3</v>
      </c>
      <c r="E1958">
        <f>IF(C1958&lt;'user input'!$C$12,(D1958-D1957)*'user input'!$C$17*(1-EXP(5*(F1957-'user input'!$C$17))),F1958-F1957)</f>
        <v>2.9754152446631538E-3</v>
      </c>
      <c r="F1958">
        <f>IF(C1958&lt;'user input'!$C$12,IF(B1958&gt;'user input'!$C$6,0,F1957+E1958),'user input'!$C$17*((1-C1958)/(1-'user input'!$C$12)))</f>
        <v>1.9050151455590022E-2</v>
      </c>
    </row>
    <row r="1959" spans="1:6" x14ac:dyDescent="0.2">
      <c r="A1959" s="1">
        <v>42135</v>
      </c>
      <c r="B1959">
        <v>132</v>
      </c>
      <c r="C1959">
        <f>IF(B1959&gt;'user input'!$C$6,0,IF('heat units'!H1959&gt;1,1,'heat units'!H1959))</f>
        <v>6.2731481481481471E-2</v>
      </c>
      <c r="D1959">
        <f>IF(B1959&gt;'user input'!$C$6,0,(C1959/(C1959+EXP('user input'!$C$15-'user input'!$C$14*C1959))))</f>
        <v>6.7977768918757358E-3</v>
      </c>
      <c r="E1959">
        <f>IF(C1959&lt;'user input'!$C$12,(D1959-D1958)*'user input'!$C$17*(1-EXP(5*(F1958-'user input'!$C$17))),F1959-F1958)</f>
        <v>1.3431726924219589E-3</v>
      </c>
      <c r="F1959">
        <f>IF(C1959&lt;'user input'!$C$12,IF(B1959&gt;'user input'!$C$6,0,F1958+E1959),'user input'!$C$17*((1-C1959)/(1-'user input'!$C$12)))</f>
        <v>2.0393324148011982E-2</v>
      </c>
    </row>
    <row r="1960" spans="1:6" x14ac:dyDescent="0.2">
      <c r="A1960" s="1">
        <v>42136</v>
      </c>
      <c r="B1960">
        <v>133</v>
      </c>
      <c r="C1960">
        <f>IF(B1960&gt;'user input'!$C$6,0,IF('heat units'!H1960&gt;1,1,'heat units'!H1960))</f>
        <v>6.597222222222221E-2</v>
      </c>
      <c r="D1960">
        <f>IF(B1960&gt;'user input'!$C$6,0,(C1960/(C1960+EXP('user input'!$C$15-'user input'!$C$14*C1960))))</f>
        <v>7.4609059745443978E-3</v>
      </c>
      <c r="E1960">
        <f>IF(C1960&lt;'user input'!$C$12,(D1960-D1959)*'user input'!$C$17*(1-EXP(5*(F1959-'user input'!$C$17))),F1960-F1959)</f>
        <v>1.9893865741212151E-3</v>
      </c>
      <c r="F1960">
        <f>IF(C1960&lt;'user input'!$C$12,IF(B1960&gt;'user input'!$C$6,0,F1959+E1960),'user input'!$C$17*((1-C1960)/(1-'user input'!$C$12)))</f>
        <v>2.2382710722133197E-2</v>
      </c>
    </row>
    <row r="1961" spans="1:6" x14ac:dyDescent="0.2">
      <c r="A1961" s="1">
        <v>42137</v>
      </c>
      <c r="B1961">
        <v>134</v>
      </c>
      <c r="C1961">
        <f>IF(B1961&gt;'user input'!$C$6,0,IF('heat units'!H1961&gt;1,1,'heat units'!H1961))</f>
        <v>6.6666666666666652E-2</v>
      </c>
      <c r="D1961">
        <f>IF(B1961&gt;'user input'!$C$6,0,(C1961/(C1961+EXP('user input'!$C$15-'user input'!$C$14*C1961))))</f>
        <v>7.6087177614111512E-3</v>
      </c>
      <c r="E1961">
        <f>IF(C1961&lt;'user input'!$C$12,(D1961-D1960)*'user input'!$C$17*(1-EXP(5*(F1960-'user input'!$C$17))),F1961-F1960)</f>
        <v>4.4343520888944865E-4</v>
      </c>
      <c r="F1961">
        <f>IF(C1961&lt;'user input'!$C$12,IF(B1961&gt;'user input'!$C$6,0,F1960+E1961),'user input'!$C$17*((1-C1961)/(1-'user input'!$C$12)))</f>
        <v>2.2826145931022647E-2</v>
      </c>
    </row>
    <row r="1962" spans="1:6" x14ac:dyDescent="0.2">
      <c r="A1962" s="1">
        <v>42138</v>
      </c>
      <c r="B1962">
        <v>135</v>
      </c>
      <c r="C1962">
        <f>IF(B1962&gt;'user input'!$C$6,0,IF('heat units'!H1962&gt;1,1,'heat units'!H1962))</f>
        <v>6.9675925925925919E-2</v>
      </c>
      <c r="D1962">
        <f>IF(B1962&gt;'user input'!$C$6,0,(C1962/(C1962+EXP('user input'!$C$15-'user input'!$C$14*C1962))))</f>
        <v>8.2734752043019145E-3</v>
      </c>
      <c r="E1962">
        <f>IF(C1962&lt;'user input'!$C$12,(D1962-D1961)*'user input'!$C$17*(1-EXP(5*(F1961-'user input'!$C$17))),F1962-F1961)</f>
        <v>1.9942716448652291E-3</v>
      </c>
      <c r="F1962">
        <f>IF(C1962&lt;'user input'!$C$12,IF(B1962&gt;'user input'!$C$6,0,F1961+E1962),'user input'!$C$17*((1-C1962)/(1-'user input'!$C$12)))</f>
        <v>2.4820417575887876E-2</v>
      </c>
    </row>
    <row r="1963" spans="1:6" x14ac:dyDescent="0.2">
      <c r="A1963" s="1">
        <v>42139</v>
      </c>
      <c r="B1963">
        <v>136</v>
      </c>
      <c r="C1963">
        <f>IF(B1963&gt;'user input'!$C$6,0,IF('heat units'!H1963&gt;1,1,'heat units'!H1963))</f>
        <v>7.3148148148148143E-2</v>
      </c>
      <c r="D1963">
        <f>IF(B1963&gt;'user input'!$C$6,0,(C1963/(C1963+EXP('user input'!$C$15-'user input'!$C$14*C1963))))</f>
        <v>9.0914884762029503E-3</v>
      </c>
      <c r="E1963">
        <f>IF(C1963&lt;'user input'!$C$12,(D1963-D1962)*'user input'!$C$17*(1-EXP(5*(F1962-'user input'!$C$17))),F1963-F1962)</f>
        <v>2.4540389658160252E-3</v>
      </c>
      <c r="F1963">
        <f>IF(C1963&lt;'user input'!$C$12,IF(B1963&gt;'user input'!$C$6,0,F1962+E1963),'user input'!$C$17*((1-C1963)/(1-'user input'!$C$12)))</f>
        <v>2.7274456541703903E-2</v>
      </c>
    </row>
    <row r="1964" spans="1:6" x14ac:dyDescent="0.2">
      <c r="A1964" s="1">
        <v>42140</v>
      </c>
      <c r="B1964">
        <v>137</v>
      </c>
      <c r="C1964">
        <f>IF(B1964&gt;'user input'!$C$6,0,IF('heat units'!H1964&gt;1,1,'heat units'!H1964))</f>
        <v>8.0324074074074076E-2</v>
      </c>
      <c r="D1964">
        <f>IF(B1964&gt;'user input'!$C$6,0,(C1964/(C1964+EXP('user input'!$C$15-'user input'!$C$14*C1964))))</f>
        <v>1.0969048952224728E-2</v>
      </c>
      <c r="E1964">
        <f>IF(C1964&lt;'user input'!$C$12,(D1964-D1963)*'user input'!$C$17*(1-EXP(5*(F1963-'user input'!$C$17))),F1964-F1963)</f>
        <v>5.6326794532627327E-3</v>
      </c>
      <c r="F1964">
        <f>IF(C1964&lt;'user input'!$C$12,IF(B1964&gt;'user input'!$C$6,0,F1963+E1964),'user input'!$C$17*((1-C1964)/(1-'user input'!$C$12)))</f>
        <v>3.2907135994966634E-2</v>
      </c>
    </row>
    <row r="1965" spans="1:6" x14ac:dyDescent="0.2">
      <c r="A1965" s="1">
        <v>42141</v>
      </c>
      <c r="B1965">
        <v>138</v>
      </c>
      <c r="C1965">
        <f>IF(B1965&gt;'user input'!$C$6,0,IF('heat units'!H1965&gt;1,1,'heat units'!H1965))</f>
        <v>8.9814814814814806E-2</v>
      </c>
      <c r="D1965">
        <f>IF(B1965&gt;'user input'!$C$6,0,(C1965/(C1965+EXP('user input'!$C$15-'user input'!$C$14*C1965))))</f>
        <v>1.3885467464925806E-2</v>
      </c>
      <c r="E1965">
        <f>IF(C1965&lt;'user input'!$C$12,(D1965-D1964)*'user input'!$C$17*(1-EXP(5*(F1964-'user input'!$C$17))),F1965-F1964)</f>
        <v>8.7492523830200765E-3</v>
      </c>
      <c r="F1965">
        <f>IF(C1965&lt;'user input'!$C$12,IF(B1965&gt;'user input'!$C$6,0,F1964+E1965),'user input'!$C$17*((1-C1965)/(1-'user input'!$C$12)))</f>
        <v>4.1656388377986714E-2</v>
      </c>
    </row>
    <row r="1966" spans="1:6" x14ac:dyDescent="0.2">
      <c r="A1966" s="1">
        <v>42142</v>
      </c>
      <c r="B1966">
        <v>139</v>
      </c>
      <c r="C1966">
        <f>IF(B1966&gt;'user input'!$C$6,0,IF('heat units'!H1966&gt;1,1,'heat units'!H1966))</f>
        <v>9.8842592592592579E-2</v>
      </c>
      <c r="D1966">
        <f>IF(B1966&gt;'user input'!$C$6,0,(C1966/(C1966+EXP('user input'!$C$15-'user input'!$C$14*C1966))))</f>
        <v>1.7186245731793448E-2</v>
      </c>
      <c r="E1966">
        <f>IF(C1966&lt;'user input'!$C$12,(D1966-D1965)*'user input'!$C$17*(1-EXP(5*(F1965-'user input'!$C$17))),F1966-F1965)</f>
        <v>9.9023310700253504E-3</v>
      </c>
      <c r="F1966">
        <f>IF(C1966&lt;'user input'!$C$12,IF(B1966&gt;'user input'!$C$6,0,F1965+E1966),'user input'!$C$17*((1-C1966)/(1-'user input'!$C$12)))</f>
        <v>5.1558719448012061E-2</v>
      </c>
    </row>
    <row r="1967" spans="1:6" x14ac:dyDescent="0.2">
      <c r="A1967" s="1">
        <v>42143</v>
      </c>
      <c r="B1967">
        <v>140</v>
      </c>
      <c r="C1967">
        <f>IF(B1967&gt;'user input'!$C$6,0,IF('heat units'!H1967&gt;1,1,'heat units'!H1967))</f>
        <v>0.10092592592592592</v>
      </c>
      <c r="D1967">
        <f>IF(B1967&gt;'user input'!$C$6,0,(C1967/(C1967+EXP('user input'!$C$15-'user input'!$C$14*C1967))))</f>
        <v>1.8029257341912359E-2</v>
      </c>
      <c r="E1967">
        <f>IF(C1967&lt;'user input'!$C$12,(D1967-D1966)*'user input'!$C$17*(1-EXP(5*(F1966-'user input'!$C$17))),F1967-F1966)</f>
        <v>2.5290338292141869E-3</v>
      </c>
      <c r="F1967">
        <f>IF(C1967&lt;'user input'!$C$12,IF(B1967&gt;'user input'!$C$6,0,F1966+E1967),'user input'!$C$17*((1-C1967)/(1-'user input'!$C$12)))</f>
        <v>5.4087753277226244E-2</v>
      </c>
    </row>
    <row r="1968" spans="1:6" x14ac:dyDescent="0.2">
      <c r="A1968" s="1">
        <v>42144</v>
      </c>
      <c r="B1968">
        <v>141</v>
      </c>
      <c r="C1968">
        <f>IF(B1968&gt;'user input'!$C$6,0,IF('heat units'!H1968&gt;1,1,'heat units'!H1968))</f>
        <v>0.10300925925925924</v>
      </c>
      <c r="D1968">
        <f>IF(B1968&gt;'user input'!$C$6,0,(C1968/(C1968+EXP('user input'!$C$15-'user input'!$C$14*C1968))))</f>
        <v>1.8904917805807723E-2</v>
      </c>
      <c r="E1968">
        <f>IF(C1968&lt;'user input'!$C$12,(D1968-D1967)*'user input'!$C$17*(1-EXP(5*(F1967-'user input'!$C$17))),F1968-F1967)</f>
        <v>2.6269803385370609E-3</v>
      </c>
      <c r="F1968">
        <f>IF(C1968&lt;'user input'!$C$12,IF(B1968&gt;'user input'!$C$6,0,F1967+E1968),'user input'!$C$17*((1-C1968)/(1-'user input'!$C$12)))</f>
        <v>5.6714733615763305E-2</v>
      </c>
    </row>
    <row r="1969" spans="1:6" x14ac:dyDescent="0.2">
      <c r="A1969" s="1">
        <v>42145</v>
      </c>
      <c r="B1969">
        <v>142</v>
      </c>
      <c r="C1969">
        <f>IF(B1969&gt;'user input'!$C$6,0,IF('heat units'!H1969&gt;1,1,'heat units'!H1969))</f>
        <v>0.10347222222222222</v>
      </c>
      <c r="D1969">
        <f>IF(B1969&gt;'user input'!$C$6,0,(C1969/(C1969+EXP('user input'!$C$15-'user input'!$C$14*C1969))))</f>
        <v>1.9104050415037398E-2</v>
      </c>
      <c r="E1969">
        <f>IF(C1969&lt;'user input'!$C$12,(D1969-D1968)*'user input'!$C$17*(1-EXP(5*(F1968-'user input'!$C$17))),F1969-F1968)</f>
        <v>5.973975850275178E-4</v>
      </c>
      <c r="F1969">
        <f>IF(C1969&lt;'user input'!$C$12,IF(B1969&gt;'user input'!$C$6,0,F1968+E1969),'user input'!$C$17*((1-C1969)/(1-'user input'!$C$12)))</f>
        <v>5.7312131200790824E-2</v>
      </c>
    </row>
    <row r="1970" spans="1:6" x14ac:dyDescent="0.2">
      <c r="A1970" s="1">
        <v>42146</v>
      </c>
      <c r="B1970">
        <v>143</v>
      </c>
      <c r="C1970">
        <f>IF(B1970&gt;'user input'!$C$6,0,IF('heat units'!H1970&gt;1,1,'heat units'!H1970))</f>
        <v>0.10925925925925924</v>
      </c>
      <c r="D1970">
        <f>IF(B1970&gt;'user input'!$C$6,0,(C1970/(C1970+EXP('user input'!$C$15-'user input'!$C$14*C1970))))</f>
        <v>2.1738682242013096E-2</v>
      </c>
      <c r="E1970">
        <f>IF(C1970&lt;'user input'!$C$12,(D1970-D1969)*'user input'!$C$17*(1-EXP(5*(F1969-'user input'!$C$17))),F1970-F1969)</f>
        <v>7.9038922607802872E-3</v>
      </c>
      <c r="F1970">
        <f>IF(C1970&lt;'user input'!$C$12,IF(B1970&gt;'user input'!$C$6,0,F1969+E1970),'user input'!$C$17*((1-C1970)/(1-'user input'!$C$12)))</f>
        <v>6.5216023461571113E-2</v>
      </c>
    </row>
    <row r="1971" spans="1:6" x14ac:dyDescent="0.2">
      <c r="A1971" s="1">
        <v>42147</v>
      </c>
      <c r="B1971">
        <v>144</v>
      </c>
      <c r="C1971">
        <f>IF(B1971&gt;'user input'!$C$6,0,IF('heat units'!H1971&gt;1,1,'heat units'!H1971))</f>
        <v>0.11481481481481479</v>
      </c>
      <c r="D1971">
        <f>IF(B1971&gt;'user input'!$C$6,0,(C1971/(C1971+EXP('user input'!$C$15-'user input'!$C$14*C1971))))</f>
        <v>2.4537167489232726E-2</v>
      </c>
      <c r="E1971">
        <f>IF(C1971&lt;'user input'!$C$12,(D1971-D1970)*'user input'!$C$17*(1-EXP(5*(F1970-'user input'!$C$17))),F1971-F1970)</f>
        <v>8.3954521833647655E-3</v>
      </c>
      <c r="F1971">
        <f>IF(C1971&lt;'user input'!$C$12,IF(B1971&gt;'user input'!$C$6,0,F1970+E1971),'user input'!$C$17*((1-C1971)/(1-'user input'!$C$12)))</f>
        <v>7.3611475644935878E-2</v>
      </c>
    </row>
    <row r="1972" spans="1:6" x14ac:dyDescent="0.2">
      <c r="A1972" s="1">
        <v>42148</v>
      </c>
      <c r="B1972">
        <v>145</v>
      </c>
      <c r="C1972">
        <f>IF(B1972&gt;'user input'!$C$6,0,IF('heat units'!H1972&gt;1,1,'heat units'!H1972))</f>
        <v>0.12175925925925923</v>
      </c>
      <c r="D1972">
        <f>IF(B1972&gt;'user input'!$C$6,0,(C1972/(C1972+EXP('user input'!$C$15-'user input'!$C$14*C1972))))</f>
        <v>2.8441744283227533E-2</v>
      </c>
      <c r="E1972">
        <f>IF(C1972&lt;'user input'!$C$12,(D1972-D1971)*'user input'!$C$17*(1-EXP(5*(F1971-'user input'!$C$17))),F1972-F1971)</f>
        <v>1.1713725204446562E-2</v>
      </c>
      <c r="F1972">
        <f>IF(C1972&lt;'user input'!$C$12,IF(B1972&gt;'user input'!$C$6,0,F1971+E1972),'user input'!$C$17*((1-C1972)/(1-'user input'!$C$12)))</f>
        <v>8.5325200849382443E-2</v>
      </c>
    </row>
    <row r="1973" spans="1:6" x14ac:dyDescent="0.2">
      <c r="A1973" s="1">
        <v>42149</v>
      </c>
      <c r="B1973">
        <v>146</v>
      </c>
      <c r="C1973">
        <f>IF(B1973&gt;'user input'!$C$6,0,IF('heat units'!H1973&gt;1,1,'heat units'!H1973))</f>
        <v>0.1273148148148148</v>
      </c>
      <c r="D1973">
        <f>IF(B1973&gt;'user input'!$C$6,0,(C1973/(C1973+EXP('user input'!$C$15-'user input'!$C$14*C1973))))</f>
        <v>3.19205963546704E-2</v>
      </c>
      <c r="E1973">
        <f>IF(C1973&lt;'user input'!$C$12,(D1973-D1972)*'user input'!$C$17*(1-EXP(5*(F1972-'user input'!$C$17))),F1973-F1972)</f>
        <v>1.0436551323062307E-2</v>
      </c>
      <c r="F1973">
        <f>IF(C1973&lt;'user input'!$C$12,IF(B1973&gt;'user input'!$C$6,0,F1972+E1973),'user input'!$C$17*((1-C1973)/(1-'user input'!$C$12)))</f>
        <v>9.5761752172444745E-2</v>
      </c>
    </row>
    <row r="1974" spans="1:6" x14ac:dyDescent="0.2">
      <c r="A1974" s="1">
        <v>42150</v>
      </c>
      <c r="B1974">
        <v>147</v>
      </c>
      <c r="C1974">
        <f>IF(B1974&gt;'user input'!$C$6,0,IF('heat units'!H1974&gt;1,1,'heat units'!H1974))</f>
        <v>0.13657407407407404</v>
      </c>
      <c r="D1974">
        <f>IF(B1974&gt;'user input'!$C$6,0,(C1974/(C1974+EXP('user input'!$C$15-'user input'!$C$14*C1974))))</f>
        <v>3.8496935599785016E-2</v>
      </c>
      <c r="E1974">
        <f>IF(C1974&lt;'user input'!$C$12,(D1974-D1973)*'user input'!$C$17*(1-EXP(5*(F1973-'user input'!$C$17))),F1974-F1973)</f>
        <v>1.9729007993700236E-2</v>
      </c>
      <c r="F1974">
        <f>IF(C1974&lt;'user input'!$C$12,IF(B1974&gt;'user input'!$C$6,0,F1973+E1974),'user input'!$C$17*((1-C1974)/(1-'user input'!$C$12)))</f>
        <v>0.11549076016614498</v>
      </c>
    </row>
    <row r="1975" spans="1:6" x14ac:dyDescent="0.2">
      <c r="A1975" s="1">
        <v>42151</v>
      </c>
      <c r="B1975">
        <v>148</v>
      </c>
      <c r="C1975">
        <f>IF(B1975&gt;'user input'!$C$6,0,IF('heat units'!H1975&gt;1,1,'heat units'!H1975))</f>
        <v>0.14421296296296293</v>
      </c>
      <c r="D1975">
        <f>IF(B1975&gt;'user input'!$C$6,0,(C1975/(C1975+EXP('user input'!$C$15-'user input'!$C$14*C1975))))</f>
        <v>4.4734460833163812E-2</v>
      </c>
      <c r="E1975">
        <f>IF(C1975&lt;'user input'!$C$12,(D1975-D1974)*'user input'!$C$17*(1-EXP(5*(F1974-'user input'!$C$17))),F1975-F1974)</f>
        <v>1.8712565502457302E-2</v>
      </c>
      <c r="F1975">
        <f>IF(C1975&lt;'user input'!$C$12,IF(B1975&gt;'user input'!$C$6,0,F1974+E1975),'user input'!$C$17*((1-C1975)/(1-'user input'!$C$12)))</f>
        <v>0.1342033256686023</v>
      </c>
    </row>
    <row r="1976" spans="1:6" x14ac:dyDescent="0.2">
      <c r="A1976" s="1">
        <v>42152</v>
      </c>
      <c r="B1976">
        <v>149</v>
      </c>
      <c r="C1976">
        <f>IF(B1976&gt;'user input'!$C$6,0,IF('heat units'!H1976&gt;1,1,'heat units'!H1976))</f>
        <v>0.15162037037037032</v>
      </c>
      <c r="D1976">
        <f>IF(B1976&gt;'user input'!$C$6,0,(C1976/(C1976+EXP('user input'!$C$15-'user input'!$C$14*C1976))))</f>
        <v>5.1563290556461042E-2</v>
      </c>
      <c r="E1976">
        <f>IF(C1976&lt;'user input'!$C$12,(D1976-D1975)*'user input'!$C$17*(1-EXP(5*(F1975-'user input'!$C$17))),F1976-F1975)</f>
        <v>2.0486476910494131E-2</v>
      </c>
      <c r="F1976">
        <f>IF(C1976&lt;'user input'!$C$12,IF(B1976&gt;'user input'!$C$6,0,F1975+E1976),'user input'!$C$17*((1-C1976)/(1-'user input'!$C$12)))</f>
        <v>0.15468980257909642</v>
      </c>
    </row>
    <row r="1977" spans="1:6" x14ac:dyDescent="0.2">
      <c r="A1977" s="1">
        <v>42153</v>
      </c>
      <c r="B1977">
        <v>150</v>
      </c>
      <c r="C1977">
        <f>IF(B1977&gt;'user input'!$C$6,0,IF('heat units'!H1977&gt;1,1,'heat units'!H1977))</f>
        <v>0.16018518518518515</v>
      </c>
      <c r="D1977">
        <f>IF(B1977&gt;'user input'!$C$6,0,(C1977/(C1977+EXP('user input'!$C$15-'user input'!$C$14*C1977))))</f>
        <v>6.0516710355745247E-2</v>
      </c>
      <c r="E1977">
        <f>IF(C1977&lt;'user input'!$C$12,(D1977-D1976)*'user input'!$C$17*(1-EXP(5*(F1976-'user input'!$C$17))),F1977-F1976)</f>
        <v>2.6860241590571605E-2</v>
      </c>
      <c r="F1977">
        <f>IF(C1977&lt;'user input'!$C$12,IF(B1977&gt;'user input'!$C$6,0,F1976+E1977),'user input'!$C$17*((1-C1977)/(1-'user input'!$C$12)))</f>
        <v>0.18155004416966802</v>
      </c>
    </row>
    <row r="1978" spans="1:6" x14ac:dyDescent="0.2">
      <c r="A1978" s="1">
        <v>42154</v>
      </c>
      <c r="B1978">
        <v>151</v>
      </c>
      <c r="C1978">
        <f>IF(B1978&gt;'user input'!$C$6,0,IF('heat units'!H1978&gt;1,1,'heat units'!H1978))</f>
        <v>0.1694444444444444</v>
      </c>
      <c r="D1978">
        <f>IF(B1978&gt;'user input'!$C$6,0,(C1978/(C1978+EXP('user input'!$C$15-'user input'!$C$14*C1978))))</f>
        <v>7.1606045824231301E-2</v>
      </c>
      <c r="E1978">
        <f>IF(C1978&lt;'user input'!$C$12,(D1978-D1977)*'user input'!$C$17*(1-EXP(5*(F1977-'user input'!$C$17))),F1978-F1977)</f>
        <v>3.3267981179918867E-2</v>
      </c>
      <c r="F1978">
        <f>IF(C1978&lt;'user input'!$C$12,IF(B1978&gt;'user input'!$C$6,0,F1977+E1978),'user input'!$C$17*((1-C1978)/(1-'user input'!$C$12)))</f>
        <v>0.21481802534958688</v>
      </c>
    </row>
    <row r="1979" spans="1:6" x14ac:dyDescent="0.2">
      <c r="A1979" s="1">
        <v>42155</v>
      </c>
      <c r="B1979">
        <v>152</v>
      </c>
      <c r="C1979">
        <f>IF(B1979&gt;'user input'!$C$6,0,IF('heat units'!H1979&gt;1,1,'heat units'!H1979))</f>
        <v>0.17291666666666661</v>
      </c>
      <c r="D1979">
        <f>IF(B1979&gt;'user input'!$C$6,0,(C1979/(C1979+EXP('user input'!$C$15-'user input'!$C$14*C1979))))</f>
        <v>7.6173211627517959E-2</v>
      </c>
      <c r="E1979">
        <f>IF(C1979&lt;'user input'!$C$12,(D1979-D1978)*'user input'!$C$17*(1-EXP(5*(F1978-'user input'!$C$17))),F1979-F1978)</f>
        <v>1.3701485140491214E-2</v>
      </c>
      <c r="F1979">
        <f>IF(C1979&lt;'user input'!$C$12,IF(B1979&gt;'user input'!$C$6,0,F1978+E1979),'user input'!$C$17*((1-C1979)/(1-'user input'!$C$12)))</f>
        <v>0.2285195104900781</v>
      </c>
    </row>
    <row r="1980" spans="1:6" x14ac:dyDescent="0.2">
      <c r="A1980" s="1">
        <v>42156</v>
      </c>
      <c r="B1980">
        <v>153</v>
      </c>
      <c r="C1980">
        <f>IF(B1980&gt;'user input'!$C$6,0,IF('heat units'!H1980&gt;1,1,'heat units'!H1980))</f>
        <v>0.17592592592592587</v>
      </c>
      <c r="D1980">
        <f>IF(B1980&gt;'user input'!$C$6,0,(C1980/(C1980+EXP('user input'!$C$15-'user input'!$C$14*C1980))))</f>
        <v>8.0321912974575777E-2</v>
      </c>
      <c r="E1980">
        <f>IF(C1980&lt;'user input'!$C$12,(D1980-D1979)*'user input'!$C$17*(1-EXP(5*(F1979-'user input'!$C$17))),F1980-F1979)</f>
        <v>1.2446092105690122E-2</v>
      </c>
      <c r="F1980">
        <f>IF(C1980&lt;'user input'!$C$12,IF(B1980&gt;'user input'!$C$6,0,F1979+E1980),'user input'!$C$17*((1-C1980)/(1-'user input'!$C$12)))</f>
        <v>0.24096560259576821</v>
      </c>
    </row>
    <row r="1981" spans="1:6" x14ac:dyDescent="0.2">
      <c r="A1981" s="1">
        <v>42157</v>
      </c>
      <c r="B1981">
        <v>154</v>
      </c>
      <c r="C1981">
        <f>IF(B1981&gt;'user input'!$C$6,0,IF('heat units'!H1981&gt;1,1,'heat units'!H1981))</f>
        <v>0.18009259259259255</v>
      </c>
      <c r="D1981">
        <f>IF(B1981&gt;'user input'!$C$6,0,(C1981/(C1981+EXP('user input'!$C$15-'user input'!$C$14*C1981))))</f>
        <v>8.6368802361078481E-2</v>
      </c>
      <c r="E1981">
        <f>IF(C1981&lt;'user input'!$C$12,(D1981-D1980)*'user input'!$C$17*(1-EXP(5*(F1980-'user input'!$C$17))),F1981-F1980)</f>
        <v>1.8140649646107111E-2</v>
      </c>
      <c r="F1981">
        <f>IF(C1981&lt;'user input'!$C$12,IF(B1981&gt;'user input'!$C$6,0,F1980+E1981),'user input'!$C$17*((1-C1981)/(1-'user input'!$C$12)))</f>
        <v>0.25910625224187533</v>
      </c>
    </row>
    <row r="1982" spans="1:6" x14ac:dyDescent="0.2">
      <c r="A1982" s="1">
        <v>42158</v>
      </c>
      <c r="B1982">
        <v>155</v>
      </c>
      <c r="C1982">
        <f>IF(B1982&gt;'user input'!$C$6,0,IF('heat units'!H1982&gt;1,1,'heat units'!H1982))</f>
        <v>0.18518518518518515</v>
      </c>
      <c r="D1982">
        <f>IF(B1982&gt;'user input'!$C$6,0,(C1982/(C1982+EXP('user input'!$C$15-'user input'!$C$14*C1982))))</f>
        <v>9.4255451400078419E-2</v>
      </c>
      <c r="E1982">
        <f>IF(C1982&lt;'user input'!$C$12,(D1982-D1981)*'user input'!$C$17*(1-EXP(5*(F1981-'user input'!$C$17))),F1982-F1981)</f>
        <v>2.365992067838979E-2</v>
      </c>
      <c r="F1982">
        <f>IF(C1982&lt;'user input'!$C$12,IF(B1982&gt;'user input'!$C$6,0,F1981+E1982),'user input'!$C$17*((1-C1982)/(1-'user input'!$C$12)))</f>
        <v>0.28276617292026512</v>
      </c>
    </row>
    <row r="1983" spans="1:6" x14ac:dyDescent="0.2">
      <c r="A1983" s="1">
        <v>42159</v>
      </c>
      <c r="B1983">
        <v>156</v>
      </c>
      <c r="C1983">
        <f>IF(B1983&gt;'user input'!$C$6,0,IF('heat units'!H1983&gt;1,1,'heat units'!H1983))</f>
        <v>0.19282407407407404</v>
      </c>
      <c r="D1983">
        <f>IF(B1983&gt;'user input'!$C$6,0,(C1983/(C1983+EXP('user input'!$C$15-'user input'!$C$14*C1983))))</f>
        <v>0.10716072051822041</v>
      </c>
      <c r="E1983">
        <f>IF(C1983&lt;'user input'!$C$12,(D1983-D1982)*'user input'!$C$17*(1-EXP(5*(F1982-'user input'!$C$17))),F1983-F1982)</f>
        <v>3.8715758658790865E-2</v>
      </c>
      <c r="F1983">
        <f>IF(C1983&lt;'user input'!$C$12,IF(B1983&gt;'user input'!$C$6,0,F1982+E1983),'user input'!$C$17*((1-C1983)/(1-'user input'!$C$12)))</f>
        <v>0.32148193157905597</v>
      </c>
    </row>
    <row r="1984" spans="1:6" x14ac:dyDescent="0.2">
      <c r="A1984" s="1">
        <v>42160</v>
      </c>
      <c r="B1984">
        <v>157</v>
      </c>
      <c r="C1984">
        <f>IF(B1984&gt;'user input'!$C$6,0,IF('heat units'!H1984&gt;1,1,'heat units'!H1984))</f>
        <v>0.20162037037037031</v>
      </c>
      <c r="D1984">
        <f>IF(B1984&gt;'user input'!$C$6,0,(C1984/(C1984+EXP('user input'!$C$15-'user input'!$C$14*C1984))))</f>
        <v>0.12371334017536506</v>
      </c>
      <c r="E1984">
        <f>IF(C1984&lt;'user input'!$C$12,(D1984-D1983)*'user input'!$C$17*(1-EXP(5*(F1983-'user input'!$C$17))),F1984-F1983)</f>
        <v>4.9657783173056913E-2</v>
      </c>
      <c r="F1984">
        <f>IF(C1984&lt;'user input'!$C$12,IF(B1984&gt;'user input'!$C$6,0,F1983+E1984),'user input'!$C$17*((1-C1984)/(1-'user input'!$C$12)))</f>
        <v>0.37113971475211288</v>
      </c>
    </row>
    <row r="1985" spans="1:6" x14ac:dyDescent="0.2">
      <c r="A1985" s="1">
        <v>42161</v>
      </c>
      <c r="B1985">
        <v>158</v>
      </c>
      <c r="C1985">
        <f>IF(B1985&gt;'user input'!$C$6,0,IF('heat units'!H1985&gt;1,1,'heat units'!H1985))</f>
        <v>0.2067129629629629</v>
      </c>
      <c r="D1985">
        <f>IF(B1985&gt;'user input'!$C$6,0,(C1985/(C1985+EXP('user input'!$C$15-'user input'!$C$14*C1985))))</f>
        <v>0.13416604883070918</v>
      </c>
      <c r="E1985">
        <f>IF(C1985&lt;'user input'!$C$12,(D1985-D1984)*'user input'!$C$17*(1-EXP(5*(F1984-'user input'!$C$17))),F1985-F1984)</f>
        <v>3.1358064610670401E-2</v>
      </c>
      <c r="F1985">
        <f>IF(C1985&lt;'user input'!$C$12,IF(B1985&gt;'user input'!$C$6,0,F1984+E1985),'user input'!$C$17*((1-C1985)/(1-'user input'!$C$12)))</f>
        <v>0.4024977793627833</v>
      </c>
    </row>
    <row r="1986" spans="1:6" x14ac:dyDescent="0.2">
      <c r="A1986" s="1">
        <v>42162</v>
      </c>
      <c r="B1986">
        <v>159</v>
      </c>
      <c r="C1986">
        <f>IF(B1986&gt;'user input'!$C$6,0,IF('heat units'!H1986&gt;1,1,'heat units'!H1986))</f>
        <v>0.21342592592592585</v>
      </c>
      <c r="D1986">
        <f>IF(B1986&gt;'user input'!$C$6,0,(C1986/(C1986+EXP('user input'!$C$15-'user input'!$C$14*C1986))))</f>
        <v>0.14895759143892823</v>
      </c>
      <c r="E1986">
        <f>IF(C1986&lt;'user input'!$C$12,(D1986-D1985)*'user input'!$C$17*(1-EXP(5*(F1985-'user input'!$C$17))),F1986-F1985)</f>
        <v>4.4374526262873873E-2</v>
      </c>
      <c r="F1986">
        <f>IF(C1986&lt;'user input'!$C$12,IF(B1986&gt;'user input'!$C$6,0,F1985+E1986),'user input'!$C$17*((1-C1986)/(1-'user input'!$C$12)))</f>
        <v>0.44687230562565716</v>
      </c>
    </row>
    <row r="1987" spans="1:6" x14ac:dyDescent="0.2">
      <c r="A1987" s="1">
        <v>42163</v>
      </c>
      <c r="B1987">
        <v>160</v>
      </c>
      <c r="C1987">
        <f>IF(B1987&gt;'user input'!$C$6,0,IF('heat units'!H1987&gt;1,1,'heat units'!H1987))</f>
        <v>0.22361111111111104</v>
      </c>
      <c r="D1987">
        <f>IF(B1987&gt;'user input'!$C$6,0,(C1987/(C1987+EXP('user input'!$C$15-'user input'!$C$14*C1987))))</f>
        <v>0.17366838915311589</v>
      </c>
      <c r="E1987">
        <f>IF(C1987&lt;'user input'!$C$12,(D1987-D1986)*'user input'!$C$17*(1-EXP(5*(F1986-'user input'!$C$17))),F1987-F1986)</f>
        <v>7.413218132514296E-2</v>
      </c>
      <c r="F1987">
        <f>IF(C1987&lt;'user input'!$C$12,IF(B1987&gt;'user input'!$C$6,0,F1986+E1987),'user input'!$C$17*((1-C1987)/(1-'user input'!$C$12)))</f>
        <v>0.52100448695080015</v>
      </c>
    </row>
    <row r="1988" spans="1:6" x14ac:dyDescent="0.2">
      <c r="A1988" s="1">
        <v>42164</v>
      </c>
      <c r="B1988">
        <v>161</v>
      </c>
      <c r="C1988">
        <f>IF(B1988&gt;'user input'!$C$6,0,IF('heat units'!H1988&gt;1,1,'heat units'!H1988))</f>
        <v>0.23101851851851848</v>
      </c>
      <c r="D1988">
        <f>IF(B1988&gt;'user input'!$C$6,0,(C1988/(C1988+EXP('user input'!$C$15-'user input'!$C$14*C1988))))</f>
        <v>0.19339371121581275</v>
      </c>
      <c r="E1988">
        <f>IF(C1988&lt;'user input'!$C$12,(D1988-D1987)*'user input'!$C$17*(1-EXP(5*(F1987-'user input'!$C$17))),F1988-F1987)</f>
        <v>5.9175721239470257E-2</v>
      </c>
      <c r="F1988">
        <f>IF(C1988&lt;'user input'!$C$12,IF(B1988&gt;'user input'!$C$6,0,F1987+E1988),'user input'!$C$17*((1-C1988)/(1-'user input'!$C$12)))</f>
        <v>0.58018020819027039</v>
      </c>
    </row>
    <row r="1989" spans="1:6" x14ac:dyDescent="0.2">
      <c r="A1989" s="1">
        <v>42165</v>
      </c>
      <c r="B1989">
        <v>162</v>
      </c>
      <c r="C1989">
        <f>IF(B1989&gt;'user input'!$C$6,0,IF('heat units'!H1989&gt;1,1,'heat units'!H1989))</f>
        <v>0.2402777777777777</v>
      </c>
      <c r="D1989">
        <f>IF(B1989&gt;'user input'!$C$6,0,(C1989/(C1989+EXP('user input'!$C$15-'user input'!$C$14*C1989))))</f>
        <v>0.22013659605628497</v>
      </c>
      <c r="E1989">
        <f>IF(C1989&lt;'user input'!$C$12,(D1989-D1988)*'user input'!$C$17*(1-EXP(5*(F1988-'user input'!$C$17))),F1989-F1988)</f>
        <v>8.0228208087075023E-2</v>
      </c>
      <c r="F1989">
        <f>IF(C1989&lt;'user input'!$C$12,IF(B1989&gt;'user input'!$C$6,0,F1988+E1989),'user input'!$C$17*((1-C1989)/(1-'user input'!$C$12)))</f>
        <v>0.66040841627734537</v>
      </c>
    </row>
    <row r="1990" spans="1:6" x14ac:dyDescent="0.2">
      <c r="A1990" s="1">
        <v>42166</v>
      </c>
      <c r="B1990">
        <v>163</v>
      </c>
      <c r="C1990">
        <f>IF(B1990&gt;'user input'!$C$6,0,IF('heat units'!H1990&gt;1,1,'heat units'!H1990))</f>
        <v>0.24953703703703695</v>
      </c>
      <c r="D1990">
        <f>IF(B1990&gt;'user input'!$C$6,0,(C1990/(C1990+EXP('user input'!$C$15-'user input'!$C$14*C1990))))</f>
        <v>0.24915583948996617</v>
      </c>
      <c r="E1990">
        <f>IF(C1990&lt;'user input'!$C$12,(D1990-D1989)*'user input'!$C$17*(1-EXP(5*(F1989-'user input'!$C$17))),F1990-F1989)</f>
        <v>8.7057006783998803E-2</v>
      </c>
      <c r="F1990">
        <f>IF(C1990&lt;'user input'!$C$12,IF(B1990&gt;'user input'!$C$6,0,F1989+E1990),'user input'!$C$17*((1-C1990)/(1-'user input'!$C$12)))</f>
        <v>0.74746542306134423</v>
      </c>
    </row>
    <row r="1991" spans="1:6" x14ac:dyDescent="0.2">
      <c r="A1991" s="1">
        <v>42167</v>
      </c>
      <c r="B1991">
        <v>164</v>
      </c>
      <c r="C1991">
        <f>IF(B1991&gt;'user input'!$C$6,0,IF('heat units'!H1991&gt;1,1,'heat units'!H1991))</f>
        <v>0.25462962962962954</v>
      </c>
      <c r="D1991">
        <f>IF(B1991&gt;'user input'!$C$6,0,(C1991/(C1991+EXP('user input'!$C$15-'user input'!$C$14*C1991))))</f>
        <v>0.26605125034571769</v>
      </c>
      <c r="E1991">
        <f>IF(C1991&lt;'user input'!$C$12,(D1991-D1990)*'user input'!$C$17*(1-EXP(5*(F1990-'user input'!$C$17))),F1991-F1990)</f>
        <v>5.0685581578739557E-2</v>
      </c>
      <c r="F1991">
        <f>IF(C1991&lt;'user input'!$C$12,IF(B1991&gt;'user input'!$C$6,0,F1990+E1991),'user input'!$C$17*((1-C1991)/(1-'user input'!$C$12)))</f>
        <v>0.79815100464008382</v>
      </c>
    </row>
    <row r="1992" spans="1:6" x14ac:dyDescent="0.2">
      <c r="A1992" s="1">
        <v>42168</v>
      </c>
      <c r="B1992">
        <v>165</v>
      </c>
      <c r="C1992">
        <f>IF(B1992&gt;'user input'!$C$6,0,IF('heat units'!H1992&gt;1,1,'heat units'!H1992))</f>
        <v>0.26041666666666657</v>
      </c>
      <c r="D1992">
        <f>IF(B1992&gt;'user input'!$C$6,0,(C1992/(C1992+EXP('user input'!$C$15-'user input'!$C$14*C1992))))</f>
        <v>0.28601548327783499</v>
      </c>
      <c r="E1992">
        <f>IF(C1992&lt;'user input'!$C$12,(D1992-D1991)*'user input'!$C$17*(1-EXP(5*(F1991-'user input'!$C$17))),F1992-F1991)</f>
        <v>5.9891707691642607E-2</v>
      </c>
      <c r="F1992">
        <f>IF(C1992&lt;'user input'!$C$12,IF(B1992&gt;'user input'!$C$6,0,F1991+E1992),'user input'!$C$17*((1-C1992)/(1-'user input'!$C$12)))</f>
        <v>0.85804271233172646</v>
      </c>
    </row>
    <row r="1993" spans="1:6" x14ac:dyDescent="0.2">
      <c r="A1993" s="1">
        <v>42169</v>
      </c>
      <c r="B1993">
        <v>166</v>
      </c>
      <c r="C1993">
        <f>IF(B1993&gt;'user input'!$C$6,0,IF('heat units'!H1993&gt;1,1,'heat units'!H1993))</f>
        <v>0.26782407407407399</v>
      </c>
      <c r="D1993">
        <f>IF(B1993&gt;'user input'!$C$6,0,(C1993/(C1993+EXP('user input'!$C$15-'user input'!$C$14*C1993))))</f>
        <v>0.31268068512890151</v>
      </c>
      <c r="E1993">
        <f>IF(C1993&lt;'user input'!$C$12,(D1993-D1992)*'user input'!$C$17*(1-EXP(5*(F1992-'user input'!$C$17))),F1993-F1992)</f>
        <v>7.9993819620957751E-2</v>
      </c>
      <c r="F1993">
        <f>IF(C1993&lt;'user input'!$C$12,IF(B1993&gt;'user input'!$C$6,0,F1992+E1993),'user input'!$C$17*((1-C1993)/(1-'user input'!$C$12)))</f>
        <v>0.93803653195268422</v>
      </c>
    </row>
    <row r="1994" spans="1:6" x14ac:dyDescent="0.2">
      <c r="A1994" s="1">
        <v>42170</v>
      </c>
      <c r="B1994">
        <v>167</v>
      </c>
      <c r="C1994">
        <f>IF(B1994&gt;'user input'!$C$6,0,IF('heat units'!H1994&gt;1,1,'heat units'!H1994))</f>
        <v>0.27870370370370362</v>
      </c>
      <c r="D1994">
        <f>IF(B1994&gt;'user input'!$C$6,0,(C1994/(C1994+EXP('user input'!$C$15-'user input'!$C$14*C1994))))</f>
        <v>0.35384763560353683</v>
      </c>
      <c r="E1994">
        <f>IF(C1994&lt;'user input'!$C$12,(D1994-D1993)*'user input'!$C$17*(1-EXP(5*(F1993-'user input'!$C$17))),F1994-F1993)</f>
        <v>0.12349673828694213</v>
      </c>
      <c r="F1994">
        <f>IF(C1994&lt;'user input'!$C$12,IF(B1994&gt;'user input'!$C$6,0,F1993+E1994),'user input'!$C$17*((1-C1994)/(1-'user input'!$C$12)))</f>
        <v>1.0615332702396263</v>
      </c>
    </row>
    <row r="1995" spans="1:6" x14ac:dyDescent="0.2">
      <c r="A1995" s="1">
        <v>42171</v>
      </c>
      <c r="B1995">
        <v>168</v>
      </c>
      <c r="C1995">
        <f>IF(B1995&gt;'user input'!$C$6,0,IF('heat units'!H1995&gt;1,1,'heat units'!H1995))</f>
        <v>0.28634259259259254</v>
      </c>
      <c r="D1995">
        <f>IF(B1995&gt;'user input'!$C$6,0,(C1995/(C1995+EXP('user input'!$C$15-'user input'!$C$14*C1995))))</f>
        <v>0.38393498794432396</v>
      </c>
      <c r="E1995">
        <f>IF(C1995&lt;'user input'!$C$12,(D1995-D1994)*'user input'!$C$17*(1-EXP(5*(F1994-'user input'!$C$17))),F1995-F1994)</f>
        <v>9.0256482878075278E-2</v>
      </c>
      <c r="F1995">
        <f>IF(C1995&lt;'user input'!$C$12,IF(B1995&gt;'user input'!$C$6,0,F1994+E1995),'user input'!$C$17*((1-C1995)/(1-'user input'!$C$12)))</f>
        <v>1.1517897531177015</v>
      </c>
    </row>
    <row r="1996" spans="1:6" x14ac:dyDescent="0.2">
      <c r="A1996" s="1">
        <v>42172</v>
      </c>
      <c r="B1996">
        <v>169</v>
      </c>
      <c r="C1996">
        <f>IF(B1996&gt;'user input'!$C$6,0,IF('heat units'!H1996&gt;1,1,'heat units'!H1996))</f>
        <v>0.29374999999999996</v>
      </c>
      <c r="D1996">
        <f>IF(B1996&gt;'user input'!$C$6,0,(C1996/(C1996+EXP('user input'!$C$15-'user input'!$C$14*C1996))))</f>
        <v>0.41382195978213554</v>
      </c>
      <c r="E1996">
        <f>IF(C1996&lt;'user input'!$C$12,(D1996-D1995)*'user input'!$C$17*(1-EXP(5*(F1995-'user input'!$C$17))),F1996-F1995)</f>
        <v>8.965222059302505E-2</v>
      </c>
      <c r="F1996">
        <f>IF(C1996&lt;'user input'!$C$12,IF(B1996&gt;'user input'!$C$6,0,F1995+E1996),'user input'!$C$17*((1-C1996)/(1-'user input'!$C$12)))</f>
        <v>1.2414419737107265</v>
      </c>
    </row>
    <row r="1997" spans="1:6" x14ac:dyDescent="0.2">
      <c r="A1997" s="1">
        <v>42173</v>
      </c>
      <c r="B1997">
        <v>170</v>
      </c>
      <c r="C1997">
        <f>IF(B1997&gt;'user input'!$C$6,0,IF('heat units'!H1997&gt;1,1,'heat units'!H1997))</f>
        <v>0.30162037037037032</v>
      </c>
      <c r="D1997">
        <f>IF(B1997&gt;'user input'!$C$6,0,(C1997/(C1997+EXP('user input'!$C$15-'user input'!$C$14*C1997))))</f>
        <v>0.44611032730018935</v>
      </c>
      <c r="E1997">
        <f>IF(C1997&lt;'user input'!$C$12,(D1997-D1996)*'user input'!$C$17*(1-EXP(5*(F1996-'user input'!$C$17))),F1997-F1996)</f>
        <v>9.6850396129313163E-2</v>
      </c>
      <c r="F1997">
        <f>IF(C1997&lt;'user input'!$C$12,IF(B1997&gt;'user input'!$C$6,0,F1996+E1997),'user input'!$C$17*((1-C1997)/(1-'user input'!$C$12)))</f>
        <v>1.3382923698400397</v>
      </c>
    </row>
    <row r="1998" spans="1:6" x14ac:dyDescent="0.2">
      <c r="A1998" s="1">
        <v>42174</v>
      </c>
      <c r="B1998">
        <v>171</v>
      </c>
      <c r="C1998">
        <f>IF(B1998&gt;'user input'!$C$6,0,IF('heat units'!H1998&gt;1,1,'heat units'!H1998))</f>
        <v>0.30879629629629624</v>
      </c>
      <c r="D1998">
        <f>IF(B1998&gt;'user input'!$C$6,0,(C1998/(C1998+EXP('user input'!$C$15-'user input'!$C$14*C1998))))</f>
        <v>0.47581049133911041</v>
      </c>
      <c r="E1998">
        <f>IF(C1998&lt;'user input'!$C$12,(D1998-D1997)*'user input'!$C$17*(1-EXP(5*(F1997-'user input'!$C$17))),F1998-F1997)</f>
        <v>8.9078537400379867E-2</v>
      </c>
      <c r="F1998">
        <f>IF(C1998&lt;'user input'!$C$12,IF(B1998&gt;'user input'!$C$6,0,F1997+E1998),'user input'!$C$17*((1-C1998)/(1-'user input'!$C$12)))</f>
        <v>1.4273709072404197</v>
      </c>
    </row>
    <row r="1999" spans="1:6" x14ac:dyDescent="0.2">
      <c r="A1999" s="1">
        <v>42175</v>
      </c>
      <c r="B1999">
        <v>172</v>
      </c>
      <c r="C1999">
        <f>IF(B1999&gt;'user input'!$C$6,0,IF('heat units'!H1999&gt;1,1,'heat units'!H1999))</f>
        <v>0.31550925925925921</v>
      </c>
      <c r="D1999">
        <f>IF(B1999&gt;'user input'!$C$6,0,(C1999/(C1999+EXP('user input'!$C$15-'user input'!$C$14*C1999))))</f>
        <v>0.50363207639928487</v>
      </c>
      <c r="E1999">
        <f>IF(C1999&lt;'user input'!$C$12,(D1999-D1998)*'user input'!$C$17*(1-EXP(5*(F1998-'user input'!$C$17))),F1999-F1998)</f>
        <v>8.3432649458697189E-2</v>
      </c>
      <c r="F1999">
        <f>IF(C1999&lt;'user input'!$C$12,IF(B1999&gt;'user input'!$C$6,0,F1998+E1999),'user input'!$C$17*((1-C1999)/(1-'user input'!$C$12)))</f>
        <v>1.5108035566991169</v>
      </c>
    </row>
    <row r="2000" spans="1:6" x14ac:dyDescent="0.2">
      <c r="A2000" s="1">
        <v>42176</v>
      </c>
      <c r="B2000">
        <v>173</v>
      </c>
      <c r="C2000">
        <f>IF(B2000&gt;'user input'!$C$6,0,IF('heat units'!H2000&gt;1,1,'heat units'!H2000))</f>
        <v>0.32222222222222213</v>
      </c>
      <c r="D2000">
        <f>IF(B2000&gt;'user input'!$C$6,0,(C2000/(C2000+EXP('user input'!$C$15-'user input'!$C$14*C2000))))</f>
        <v>0.53131843416243163</v>
      </c>
      <c r="E2000">
        <f>IF(C2000&lt;'user input'!$C$12,(D2000-D1999)*'user input'!$C$17*(1-EXP(5*(F1999-'user input'!$C$17))),F2000-F1999)</f>
        <v>8.3010584862799913E-2</v>
      </c>
      <c r="F2000">
        <f>IF(C2000&lt;'user input'!$C$12,IF(B2000&gt;'user input'!$C$6,0,F1999+E2000),'user input'!$C$17*((1-C2000)/(1-'user input'!$C$12)))</f>
        <v>1.5938141415619169</v>
      </c>
    </row>
    <row r="2001" spans="1:6" x14ac:dyDescent="0.2">
      <c r="A2001" s="1">
        <v>42177</v>
      </c>
      <c r="B2001">
        <v>174</v>
      </c>
      <c r="C2001">
        <f>IF(B2001&gt;'user input'!$C$6,0,IF('heat units'!H2001&gt;1,1,'heat units'!H2001))</f>
        <v>0.33240740740740732</v>
      </c>
      <c r="D2001">
        <f>IF(B2001&gt;'user input'!$C$6,0,(C2001/(C2001+EXP('user input'!$C$15-'user input'!$C$14*C2001))))</f>
        <v>0.57270377011316242</v>
      </c>
      <c r="E2001">
        <f>IF(C2001&lt;'user input'!$C$12,(D2001-D2000)*'user input'!$C$17*(1-EXP(5*(F2000-'user input'!$C$17))),F2001-F2000)</f>
        <v>0.1240462403086245</v>
      </c>
      <c r="F2001">
        <f>IF(C2001&lt;'user input'!$C$12,IF(B2001&gt;'user input'!$C$6,0,F2000+E2001),'user input'!$C$17*((1-C2001)/(1-'user input'!$C$12)))</f>
        <v>1.7178603818705414</v>
      </c>
    </row>
    <row r="2002" spans="1:6" x14ac:dyDescent="0.2">
      <c r="A2002" s="1">
        <v>42178</v>
      </c>
      <c r="B2002">
        <v>175</v>
      </c>
      <c r="C2002">
        <f>IF(B2002&gt;'user input'!$C$6,0,IF('heat units'!H2002&gt;1,1,'heat units'!H2002))</f>
        <v>0.34074074074074068</v>
      </c>
      <c r="D2002">
        <f>IF(B2002&gt;'user input'!$C$6,0,(C2002/(C2002+EXP('user input'!$C$15-'user input'!$C$14*C2002))))</f>
        <v>0.60568190158055746</v>
      </c>
      <c r="E2002">
        <f>IF(C2002&lt;'user input'!$C$12,(D2002-D2001)*'user input'!$C$17*(1-EXP(5*(F2001-'user input'!$C$17))),F2002-F2001)</f>
        <v>9.8771758473554627E-2</v>
      </c>
      <c r="F2002">
        <f>IF(C2002&lt;'user input'!$C$12,IF(B2002&gt;'user input'!$C$6,0,F2001+E2002),'user input'!$C$17*((1-C2002)/(1-'user input'!$C$12)))</f>
        <v>1.8166321403440959</v>
      </c>
    </row>
    <row r="2003" spans="1:6" x14ac:dyDescent="0.2">
      <c r="A2003" s="1">
        <v>42179</v>
      </c>
      <c r="B2003">
        <v>176</v>
      </c>
      <c r="C2003">
        <f>IF(B2003&gt;'user input'!$C$6,0,IF('heat units'!H2003&gt;1,1,'heat units'!H2003))</f>
        <v>0.3481481481481481</v>
      </c>
      <c r="D2003">
        <f>IF(B2003&gt;'user input'!$C$6,0,(C2003/(C2003+EXP('user input'!$C$15-'user input'!$C$14*C2003))))</f>
        <v>0.63410186351019704</v>
      </c>
      <c r="E2003">
        <f>IF(C2003&lt;'user input'!$C$12,(D2003-D2002)*'user input'!$C$17*(1-EXP(5*(F2002-'user input'!$C$17))),F2003-F2002)</f>
        <v>8.5030221173136189E-2</v>
      </c>
      <c r="F2003">
        <f>IF(C2003&lt;'user input'!$C$12,IF(B2003&gt;'user input'!$C$6,0,F2002+E2003),'user input'!$C$17*((1-C2003)/(1-'user input'!$C$12)))</f>
        <v>1.9016623615172321</v>
      </c>
    </row>
    <row r="2004" spans="1:6" x14ac:dyDescent="0.2">
      <c r="A2004" s="1">
        <v>42180</v>
      </c>
      <c r="B2004">
        <v>177</v>
      </c>
      <c r="C2004">
        <f>IF(B2004&gt;'user input'!$C$6,0,IF('heat units'!H2004&gt;1,1,'heat units'!H2004))</f>
        <v>0.35648148148148145</v>
      </c>
      <c r="D2004">
        <f>IF(B2004&gt;'user input'!$C$6,0,(C2004/(C2004+EXP('user input'!$C$15-'user input'!$C$14*C2004))))</f>
        <v>0.6648658033459891</v>
      </c>
      <c r="E2004">
        <f>IF(C2004&lt;'user input'!$C$12,(D2004-D2003)*'user input'!$C$17*(1-EXP(5*(F2003-'user input'!$C$17))),F2004-F2003)</f>
        <v>9.1911495859653219E-2</v>
      </c>
      <c r="F2004">
        <f>IF(C2004&lt;'user input'!$C$12,IF(B2004&gt;'user input'!$C$6,0,F2003+E2004),'user input'!$C$17*((1-C2004)/(1-'user input'!$C$12)))</f>
        <v>1.9935738573768853</v>
      </c>
    </row>
    <row r="2005" spans="1:6" x14ac:dyDescent="0.2">
      <c r="A2005" s="1">
        <v>42181</v>
      </c>
      <c r="B2005">
        <v>178</v>
      </c>
      <c r="C2005">
        <f>IF(B2005&gt;'user input'!$C$6,0,IF('heat units'!H2005&gt;1,1,'heat units'!H2005))</f>
        <v>0.3652777777777777</v>
      </c>
      <c r="D2005">
        <f>IF(B2005&gt;'user input'!$C$6,0,(C2005/(C2005+EXP('user input'!$C$15-'user input'!$C$14*C2005))))</f>
        <v>0.69575669861910261</v>
      </c>
      <c r="E2005">
        <f>IF(C2005&lt;'user input'!$C$12,(D2005-D2004)*'user input'!$C$17*(1-EXP(5*(F2004-'user input'!$C$17))),F2005-F2004)</f>
        <v>9.2068006453538201E-2</v>
      </c>
      <c r="F2005">
        <f>IF(C2005&lt;'user input'!$C$12,IF(B2005&gt;'user input'!$C$6,0,F2004+E2005),'user input'!$C$17*((1-C2005)/(1-'user input'!$C$12)))</f>
        <v>2.0856418638304235</v>
      </c>
    </row>
    <row r="2006" spans="1:6" x14ac:dyDescent="0.2">
      <c r="A2006" s="1">
        <v>42182</v>
      </c>
      <c r="B2006">
        <v>179</v>
      </c>
      <c r="C2006">
        <f>IF(B2006&gt;'user input'!$C$6,0,IF('heat units'!H2006&gt;1,1,'heat units'!H2006))</f>
        <v>0.37222222222222212</v>
      </c>
      <c r="D2006">
        <f>IF(B2006&gt;'user input'!$C$6,0,(C2006/(C2006+EXP('user input'!$C$15-'user input'!$C$14*C2006))))</f>
        <v>0.71888947966587269</v>
      </c>
      <c r="E2006">
        <f>IF(C2006&lt;'user input'!$C$12,(D2006-D2005)*'user input'!$C$17*(1-EXP(5*(F2005-'user input'!$C$17))),F2006-F2005)</f>
        <v>6.868080393240629E-2</v>
      </c>
      <c r="F2006">
        <f>IF(C2006&lt;'user input'!$C$12,IF(B2006&gt;'user input'!$C$6,0,F2005+E2006),'user input'!$C$17*((1-C2006)/(1-'user input'!$C$12)))</f>
        <v>2.15432266776283</v>
      </c>
    </row>
    <row r="2007" spans="1:6" x14ac:dyDescent="0.2">
      <c r="A2007" s="1">
        <v>42183</v>
      </c>
      <c r="B2007">
        <v>180</v>
      </c>
      <c r="C2007">
        <f>IF(B2007&gt;'user input'!$C$6,0,IF('heat units'!H2007&gt;1,1,'heat units'!H2007))</f>
        <v>0.37986111111111104</v>
      </c>
      <c r="D2007">
        <f>IF(B2007&gt;'user input'!$C$6,0,(C2007/(C2007+EXP('user input'!$C$15-'user input'!$C$14*C2007))))</f>
        <v>0.7429817302904882</v>
      </c>
      <c r="E2007">
        <f>IF(C2007&lt;'user input'!$C$12,(D2007-D2006)*'user input'!$C$17*(1-EXP(5*(F2006-'user input'!$C$17))),F2007-F2006)</f>
        <v>7.1223254074434666E-2</v>
      </c>
      <c r="F2007">
        <f>IF(C2007&lt;'user input'!$C$12,IF(B2007&gt;'user input'!$C$6,0,F2006+E2007),'user input'!$C$17*((1-C2007)/(1-'user input'!$C$12)))</f>
        <v>2.2255459218372646</v>
      </c>
    </row>
    <row r="2008" spans="1:6" x14ac:dyDescent="0.2">
      <c r="A2008" s="1">
        <v>42184</v>
      </c>
      <c r="B2008">
        <v>181</v>
      </c>
      <c r="C2008">
        <f>IF(B2008&gt;'user input'!$C$6,0,IF('heat units'!H2008&gt;1,1,'heat units'!H2008))</f>
        <v>0.38680555555555546</v>
      </c>
      <c r="D2008">
        <f>IF(B2008&gt;'user input'!$C$6,0,(C2008/(C2008+EXP('user input'!$C$15-'user input'!$C$14*C2008))))</f>
        <v>0.7636137880205538</v>
      </c>
      <c r="E2008">
        <f>IF(C2008&lt;'user input'!$C$12,(D2008-D2007)*'user input'!$C$17*(1-EXP(5*(F2007-'user input'!$C$17))),F2008-F2007)</f>
        <v>6.0608047814256424E-2</v>
      </c>
      <c r="F2008">
        <f>IF(C2008&lt;'user input'!$C$12,IF(B2008&gt;'user input'!$C$6,0,F2007+E2008),'user input'!$C$17*((1-C2008)/(1-'user input'!$C$12)))</f>
        <v>2.286153969651521</v>
      </c>
    </row>
    <row r="2009" spans="1:6" x14ac:dyDescent="0.2">
      <c r="A2009" s="1">
        <v>42185</v>
      </c>
      <c r="B2009">
        <v>182</v>
      </c>
      <c r="C2009">
        <f>IF(B2009&gt;'user input'!$C$6,0,IF('heat units'!H2009&gt;1,1,'heat units'!H2009))</f>
        <v>0.39467592592592587</v>
      </c>
      <c r="D2009">
        <f>IF(B2009&gt;'user input'!$C$6,0,(C2009/(C2009+EXP('user input'!$C$15-'user input'!$C$14*C2009))))</f>
        <v>0.78551275903733864</v>
      </c>
      <c r="E2009">
        <f>IF(C2009&lt;'user input'!$C$12,(D2009-D2008)*'user input'!$C$17*(1-EXP(5*(F2008-'user input'!$C$17))),F2009-F2008)</f>
        <v>6.3845735802106743E-2</v>
      </c>
      <c r="F2009">
        <f>IF(C2009&lt;'user input'!$C$12,IF(B2009&gt;'user input'!$C$6,0,F2008+E2009),'user input'!$C$17*((1-C2009)/(1-'user input'!$C$12)))</f>
        <v>2.3499997054536279</v>
      </c>
    </row>
    <row r="2010" spans="1:6" x14ac:dyDescent="0.2">
      <c r="A2010" s="1">
        <v>42186</v>
      </c>
      <c r="B2010">
        <v>183</v>
      </c>
      <c r="C2010">
        <f>IF(B2010&gt;'user input'!$C$6,0,IF('heat units'!H2010&gt;1,1,'heat units'!H2010))</f>
        <v>0.40185185185185174</v>
      </c>
      <c r="D2010">
        <f>IF(B2010&gt;'user input'!$C$6,0,(C2010/(C2010+EXP('user input'!$C$15-'user input'!$C$14*C2010))))</f>
        <v>0.80410607833056513</v>
      </c>
      <c r="E2010">
        <f>IF(C2010&lt;'user input'!$C$12,(D2010-D2009)*'user input'!$C$17*(1-EXP(5*(F2009-'user input'!$C$17))),F2010-F2009)</f>
        <v>5.3617137385265093E-2</v>
      </c>
      <c r="F2010">
        <f>IF(C2010&lt;'user input'!$C$12,IF(B2010&gt;'user input'!$C$6,0,F2009+E2010),'user input'!$C$17*((1-C2010)/(1-'user input'!$C$12)))</f>
        <v>2.4036168428388929</v>
      </c>
    </row>
    <row r="2011" spans="1:6" x14ac:dyDescent="0.2">
      <c r="A2011" s="1">
        <v>42187</v>
      </c>
      <c r="B2011">
        <v>184</v>
      </c>
      <c r="C2011">
        <f>IF(B2011&gt;'user input'!$C$6,0,IF('heat units'!H2011&gt;1,1,'heat units'!H2011))</f>
        <v>0.40671296296296283</v>
      </c>
      <c r="D2011">
        <f>IF(B2011&gt;'user input'!$C$6,0,(C2011/(C2011+EXP('user input'!$C$15-'user input'!$C$14*C2011))))</f>
        <v>0.81596570834448845</v>
      </c>
      <c r="E2011">
        <f>IF(C2011&lt;'user input'!$C$12,(D2011-D2010)*'user input'!$C$17*(1-EXP(5*(F2010-'user input'!$C$17))),F2011-F2010)</f>
        <v>3.3775196193957142E-2</v>
      </c>
      <c r="F2011">
        <f>IF(C2011&lt;'user input'!$C$12,IF(B2011&gt;'user input'!$C$6,0,F2010+E2011),'user input'!$C$17*((1-C2011)/(1-'user input'!$C$12)))</f>
        <v>2.4373920390328498</v>
      </c>
    </row>
    <row r="2012" spans="1:6" x14ac:dyDescent="0.2">
      <c r="A2012" s="1">
        <v>42188</v>
      </c>
      <c r="B2012">
        <v>185</v>
      </c>
      <c r="C2012">
        <f>IF(B2012&gt;'user input'!$C$6,0,IF('heat units'!H2012&gt;1,1,'heat units'!H2012))</f>
        <v>0.41203703703703698</v>
      </c>
      <c r="D2012">
        <f>IF(B2012&gt;'user input'!$C$6,0,(C2012/(C2012+EXP('user input'!$C$15-'user input'!$C$14*C2012))))</f>
        <v>0.82828495683188252</v>
      </c>
      <c r="E2012">
        <f>IF(C2012&lt;'user input'!$C$12,(D2012-D2011)*'user input'!$C$17*(1-EXP(5*(F2011-'user input'!$C$17))),F2012-F2011)</f>
        <v>3.4739458097788653E-2</v>
      </c>
      <c r="F2012">
        <f>IF(C2012&lt;'user input'!$C$12,IF(B2012&gt;'user input'!$C$6,0,F2011+E2012),'user input'!$C$17*((1-C2012)/(1-'user input'!$C$12)))</f>
        <v>2.4721314971306385</v>
      </c>
    </row>
    <row r="2013" spans="1:6" x14ac:dyDescent="0.2">
      <c r="A2013" s="1">
        <v>42189</v>
      </c>
      <c r="B2013">
        <v>186</v>
      </c>
      <c r="C2013">
        <f>IF(B2013&gt;'user input'!$C$6,0,IF('heat units'!H2013&gt;1,1,'heat units'!H2013))</f>
        <v>0.41805555555555546</v>
      </c>
      <c r="D2013">
        <f>IF(B2013&gt;'user input'!$C$6,0,(C2013/(C2013+EXP('user input'!$C$15-'user input'!$C$14*C2013))))</f>
        <v>0.84138673980197132</v>
      </c>
      <c r="E2013">
        <f>IF(C2013&lt;'user input'!$C$12,(D2013-D2012)*'user input'!$C$17*(1-EXP(5*(F2012-'user input'!$C$17))),F2013-F2012)</f>
        <v>3.6498624537188128E-2</v>
      </c>
      <c r="F2013">
        <f>IF(C2013&lt;'user input'!$C$12,IF(B2013&gt;'user input'!$C$6,0,F2012+E2013),'user input'!$C$17*((1-C2013)/(1-'user input'!$C$12)))</f>
        <v>2.5086301216678266</v>
      </c>
    </row>
    <row r="2014" spans="1:6" x14ac:dyDescent="0.2">
      <c r="A2014" s="1">
        <v>42190</v>
      </c>
      <c r="B2014">
        <v>187</v>
      </c>
      <c r="C2014">
        <f>IF(B2014&gt;'user input'!$C$6,0,IF('heat units'!H2014&gt;1,1,'heat units'!H2014))</f>
        <v>0.42685185185185182</v>
      </c>
      <c r="D2014">
        <f>IF(B2014&gt;'user input'!$C$6,0,(C2014/(C2014+EXP('user input'!$C$15-'user input'!$C$14*C2014))))</f>
        <v>0.85901676950530947</v>
      </c>
      <c r="E2014">
        <f>IF(C2014&lt;'user input'!$C$12,(D2014-D2013)*'user input'!$C$17*(1-EXP(5*(F2013-'user input'!$C$17))),F2014-F2013)</f>
        <v>4.8357167955085503E-2</v>
      </c>
      <c r="F2014">
        <f>IF(C2014&lt;'user input'!$C$12,IF(B2014&gt;'user input'!$C$6,0,F2013+E2014),'user input'!$C$17*((1-C2014)/(1-'user input'!$C$12)))</f>
        <v>2.5569872896229122</v>
      </c>
    </row>
    <row r="2015" spans="1:6" x14ac:dyDescent="0.2">
      <c r="A2015" s="1">
        <v>42191</v>
      </c>
      <c r="B2015">
        <v>188</v>
      </c>
      <c r="C2015">
        <f>IF(B2015&gt;'user input'!$C$6,0,IF('heat units'!H2015&gt;1,1,'heat units'!H2015))</f>
        <v>0.43611111111111106</v>
      </c>
      <c r="D2015">
        <f>IF(B2015&gt;'user input'!$C$6,0,(C2015/(C2015+EXP('user input'!$C$15-'user input'!$C$14*C2015))))</f>
        <v>0.87572408270143998</v>
      </c>
      <c r="E2015">
        <f>IF(C2015&lt;'user input'!$C$12,(D2015-D2014)*'user input'!$C$17*(1-EXP(5*(F2014-'user input'!$C$17))),F2015-F2014)</f>
        <v>4.4651301421787158E-2</v>
      </c>
      <c r="F2015">
        <f>IF(C2015&lt;'user input'!$C$12,IF(B2015&gt;'user input'!$C$6,0,F2014+E2015),'user input'!$C$17*((1-C2015)/(1-'user input'!$C$12)))</f>
        <v>2.6016385910446993</v>
      </c>
    </row>
    <row r="2016" spans="1:6" x14ac:dyDescent="0.2">
      <c r="A2016" s="1">
        <v>42192</v>
      </c>
      <c r="B2016">
        <v>189</v>
      </c>
      <c r="C2016">
        <f>IF(B2016&gt;'user input'!$C$6,0,IF('heat units'!H2016&gt;1,1,'heat units'!H2016))</f>
        <v>0.44513888888888886</v>
      </c>
      <c r="D2016">
        <f>IF(B2016&gt;'user input'!$C$6,0,(C2016/(C2016+EXP('user input'!$C$15-'user input'!$C$14*C2016))))</f>
        <v>0.89030662301704044</v>
      </c>
      <c r="E2016">
        <f>IF(C2016&lt;'user input'!$C$12,(D2016-D2015)*'user input'!$C$17*(1-EXP(5*(F2015-'user input'!$C$17))),F2016-F2015)</f>
        <v>3.7778317839235465E-2</v>
      </c>
      <c r="F2016">
        <f>IF(C2016&lt;'user input'!$C$12,IF(B2016&gt;'user input'!$C$6,0,F2015+E2016),'user input'!$C$17*((1-C2016)/(1-'user input'!$C$12)))</f>
        <v>2.639416908883935</v>
      </c>
    </row>
    <row r="2017" spans="1:6" x14ac:dyDescent="0.2">
      <c r="A2017" s="1">
        <v>42193</v>
      </c>
      <c r="B2017">
        <v>190</v>
      </c>
      <c r="C2017">
        <f>IF(B2017&gt;'user input'!$C$6,0,IF('heat units'!H2017&gt;1,1,'heat units'!H2017))</f>
        <v>0.45</v>
      </c>
      <c r="D2017">
        <f>IF(B2017&gt;'user input'!$C$6,0,(C2017/(C2017+EXP('user input'!$C$15-'user input'!$C$14*C2017))))</f>
        <v>0.89750514940728365</v>
      </c>
      <c r="E2017">
        <f>IF(C2017&lt;'user input'!$C$12,(D2017-D2016)*'user input'!$C$17*(1-EXP(5*(F2016-'user input'!$C$17))),F2017-F2016)</f>
        <v>1.8036246162253876E-2</v>
      </c>
      <c r="F2017">
        <f>IF(C2017&lt;'user input'!$C$12,IF(B2017&gt;'user input'!$C$6,0,F2016+E2017),'user input'!$C$17*((1-C2017)/(1-'user input'!$C$12)))</f>
        <v>2.6574531550461891</v>
      </c>
    </row>
    <row r="2018" spans="1:6" x14ac:dyDescent="0.2">
      <c r="A2018" s="1">
        <v>42194</v>
      </c>
      <c r="B2018">
        <v>191</v>
      </c>
      <c r="C2018">
        <f>IF(B2018&gt;'user input'!$C$6,0,IF('heat units'!H2018&gt;1,1,'heat units'!H2018))</f>
        <v>0.45509259259259255</v>
      </c>
      <c r="D2018">
        <f>IF(B2018&gt;'user input'!$C$6,0,(C2018/(C2018+EXP('user input'!$C$15-'user input'!$C$14*C2018))))</f>
        <v>0.90458376984812827</v>
      </c>
      <c r="E2018">
        <f>IF(C2018&lt;'user input'!$C$12,(D2018-D2017)*'user input'!$C$17*(1-EXP(5*(F2017-'user input'!$C$17))),F2018-F2017)</f>
        <v>1.7405507810863509E-2</v>
      </c>
      <c r="F2018">
        <f>IF(C2018&lt;'user input'!$C$12,IF(B2018&gt;'user input'!$C$6,0,F2017+E2018),'user input'!$C$17*((1-C2018)/(1-'user input'!$C$12)))</f>
        <v>2.6748586628570528</v>
      </c>
    </row>
    <row r="2019" spans="1:6" x14ac:dyDescent="0.2">
      <c r="A2019" s="1">
        <v>42195</v>
      </c>
      <c r="B2019">
        <v>192</v>
      </c>
      <c r="C2019">
        <f>IF(B2019&gt;'user input'!$C$6,0,IF('heat units'!H2019&gt;1,1,'heat units'!H2019))</f>
        <v>0.46226851851851847</v>
      </c>
      <c r="D2019">
        <f>IF(B2019&gt;'user input'!$C$6,0,(C2019/(C2019+EXP('user input'!$C$15-'user input'!$C$14*C2019))))</f>
        <v>0.91379863369721781</v>
      </c>
      <c r="E2019">
        <f>IF(C2019&lt;'user input'!$C$12,(D2019-D2018)*'user input'!$C$17*(1-EXP(5*(F2018-'user input'!$C$17))),F2019-F2018)</f>
        <v>2.2204894230371811E-2</v>
      </c>
      <c r="F2019">
        <f>IF(C2019&lt;'user input'!$C$12,IF(B2019&gt;'user input'!$C$6,0,F2018+E2019),'user input'!$C$17*((1-C2019)/(1-'user input'!$C$12)))</f>
        <v>2.6970635570874246</v>
      </c>
    </row>
    <row r="2020" spans="1:6" x14ac:dyDescent="0.2">
      <c r="A2020" s="1">
        <v>42196</v>
      </c>
      <c r="B2020">
        <v>193</v>
      </c>
      <c r="C2020">
        <f>IF(B2020&gt;'user input'!$C$6,0,IF('heat units'!H2020&gt;1,1,'heat units'!H2020))</f>
        <v>0.47060185185185183</v>
      </c>
      <c r="D2020">
        <f>IF(B2020&gt;'user input'!$C$6,0,(C2020/(C2020+EXP('user input'!$C$15-'user input'!$C$14*C2020))))</f>
        <v>0.92346155793687734</v>
      </c>
      <c r="E2020">
        <f>IF(C2020&lt;'user input'!$C$12,(D2020-D2019)*'user input'!$C$17*(1-EXP(5*(F2019-'user input'!$C$17))),F2020-F2019)</f>
        <v>2.2614777965759798E-2</v>
      </c>
      <c r="F2020">
        <f>IF(C2020&lt;'user input'!$C$12,IF(B2020&gt;'user input'!$C$6,0,F2019+E2020),'user input'!$C$17*((1-C2020)/(1-'user input'!$C$12)))</f>
        <v>2.7196783350531843</v>
      </c>
    </row>
    <row r="2021" spans="1:6" x14ac:dyDescent="0.2">
      <c r="A2021" s="1">
        <v>42197</v>
      </c>
      <c r="B2021">
        <v>194</v>
      </c>
      <c r="C2021">
        <f>IF(B2021&gt;'user input'!$C$6,0,IF('heat units'!H2021&gt;1,1,'heat units'!H2021))</f>
        <v>0.47893518518518513</v>
      </c>
      <c r="D2021">
        <f>IF(B2021&gt;'user input'!$C$6,0,(C2021/(C2021+EXP('user input'!$C$15-'user input'!$C$14*C2021))))</f>
        <v>0.93210191141322696</v>
      </c>
      <c r="E2021">
        <f>IF(C2021&lt;'user input'!$C$12,(D2021-D2020)*'user input'!$C$17*(1-EXP(5*(F2020-'user input'!$C$17))),F2021-F2020)</f>
        <v>1.9539277862180501E-2</v>
      </c>
      <c r="F2021">
        <f>IF(C2021&lt;'user input'!$C$12,IF(B2021&gt;'user input'!$C$6,0,F2020+E2021),'user input'!$C$17*((1-C2021)/(1-'user input'!$C$12)))</f>
        <v>2.7392176129153647</v>
      </c>
    </row>
    <row r="2022" spans="1:6" x14ac:dyDescent="0.2">
      <c r="A2022" s="1">
        <v>42198</v>
      </c>
      <c r="B2022">
        <v>195</v>
      </c>
      <c r="C2022">
        <f>IF(B2022&gt;'user input'!$C$6,0,IF('heat units'!H2022&gt;1,1,'heat units'!H2022))</f>
        <v>0.49004629629629631</v>
      </c>
      <c r="D2022">
        <f>IF(B2022&gt;'user input'!$C$6,0,(C2022/(C2022+EXP('user input'!$C$15-'user input'!$C$14*C2022))))</f>
        <v>0.94219276862500656</v>
      </c>
      <c r="E2022">
        <f>IF(C2022&lt;'user input'!$C$12,(D2022-D2021)*'user input'!$C$17*(1-EXP(5*(F2021-'user input'!$C$17))),F2022-F2021)</f>
        <v>2.2054544761535254E-2</v>
      </c>
      <c r="F2022">
        <f>IF(C2022&lt;'user input'!$C$12,IF(B2022&gt;'user input'!$C$6,0,F2021+E2022),'user input'!$C$17*((1-C2022)/(1-'user input'!$C$12)))</f>
        <v>2.7612721576768999</v>
      </c>
    </row>
    <row r="2023" spans="1:6" x14ac:dyDescent="0.2">
      <c r="A2023" s="1">
        <v>42199</v>
      </c>
      <c r="B2023">
        <v>196</v>
      </c>
      <c r="C2023">
        <f>IF(B2023&gt;'user input'!$C$6,0,IF('heat units'!H2023&gt;1,1,'heat units'!H2023))</f>
        <v>0.50185185185185177</v>
      </c>
      <c r="D2023">
        <f>IF(B2023&gt;'user input'!$C$6,0,(C2023/(C2023+EXP('user input'!$C$15-'user input'!$C$14*C2023))))</f>
        <v>0.95133581127826916</v>
      </c>
      <c r="E2023">
        <f>IF(C2023&lt;'user input'!$C$12,(D2023-D2022)*'user input'!$C$17*(1-EXP(5*(F2022-'user input'!$C$17))),F2023-F2022)</f>
        <v>1.9114916278319165E-2</v>
      </c>
      <c r="F2023">
        <f>IF(C2023&lt;'user input'!$C$12,IF(B2023&gt;'user input'!$C$6,0,F2022+E2023),'user input'!$C$17*((1-C2023)/(1-'user input'!$C$12)))</f>
        <v>2.780387073955219</v>
      </c>
    </row>
    <row r="2024" spans="1:6" x14ac:dyDescent="0.2">
      <c r="A2024" s="1">
        <v>42200</v>
      </c>
      <c r="B2024">
        <v>197</v>
      </c>
      <c r="C2024">
        <f>IF(B2024&gt;'user input'!$C$6,0,IF('heat units'!H2024&gt;1,1,'heat units'!H2024))</f>
        <v>0.50949074074074063</v>
      </c>
      <c r="D2024">
        <f>IF(B2024&gt;'user input'!$C$6,0,(C2024/(C2024+EXP('user input'!$C$15-'user input'!$C$14*C2024))))</f>
        <v>0.95649003307450164</v>
      </c>
      <c r="E2024">
        <f>IF(C2024&lt;'user input'!$C$12,(D2024-D2023)*'user input'!$C$17*(1-EXP(5*(F2023-'user input'!$C$17))),F2024-F2023)</f>
        <v>1.0305620066281549E-2</v>
      </c>
      <c r="F2024">
        <f>IF(C2024&lt;'user input'!$C$12,IF(B2024&gt;'user input'!$C$6,0,F2023+E2024),'user input'!$C$17*((1-C2024)/(1-'user input'!$C$12)))</f>
        <v>2.7906926940215007</v>
      </c>
    </row>
    <row r="2025" spans="1:6" x14ac:dyDescent="0.2">
      <c r="A2025" s="1">
        <v>42201</v>
      </c>
      <c r="B2025">
        <v>198</v>
      </c>
      <c r="C2025">
        <f>IF(B2025&gt;'user input'!$C$6,0,IF('heat units'!H2025&gt;1,1,'heat units'!H2025))</f>
        <v>0.51643518518518516</v>
      </c>
      <c r="D2025">
        <f>IF(B2025&gt;'user input'!$C$6,0,(C2025/(C2025+EXP('user input'!$C$15-'user input'!$C$14*C2025))))</f>
        <v>0.96071265541973427</v>
      </c>
      <c r="E2025">
        <f>IF(C2025&lt;'user input'!$C$12,(D2025-D2024)*'user input'!$C$17*(1-EXP(5*(F2024-'user input'!$C$17))),F2025-F2024)</f>
        <v>8.2195220990341107E-3</v>
      </c>
      <c r="F2025">
        <f>IF(C2025&lt;'user input'!$C$12,IF(B2025&gt;'user input'!$C$6,0,F2024+E2025),'user input'!$C$17*((1-C2025)/(1-'user input'!$C$12)))</f>
        <v>2.7989122161205349</v>
      </c>
    </row>
    <row r="2026" spans="1:6" x14ac:dyDescent="0.2">
      <c r="A2026" s="1">
        <v>42202</v>
      </c>
      <c r="B2026">
        <v>199</v>
      </c>
      <c r="C2026">
        <f>IF(B2026&gt;'user input'!$C$6,0,IF('heat units'!H2026&gt;1,1,'heat units'!H2026))</f>
        <v>0.52361111111111103</v>
      </c>
      <c r="D2026">
        <f>IF(B2026&gt;'user input'!$C$6,0,(C2026/(C2026+EXP('user input'!$C$15-'user input'!$C$14*C2026))))</f>
        <v>0.96465540025733265</v>
      </c>
      <c r="E2026">
        <f>IF(C2026&lt;'user input'!$C$12,(D2026-D2025)*'user input'!$C$17*(1-EXP(5*(F2025-'user input'!$C$17))),F2026-F2025)</f>
        <v>7.5004726857288619E-3</v>
      </c>
      <c r="F2026">
        <f>IF(C2026&lt;'user input'!$C$12,IF(B2026&gt;'user input'!$C$6,0,F2025+E2026),'user input'!$C$17*((1-C2026)/(1-'user input'!$C$12)))</f>
        <v>2.8064126888062639</v>
      </c>
    </row>
    <row r="2027" spans="1:6" x14ac:dyDescent="0.2">
      <c r="A2027" s="1">
        <v>42203</v>
      </c>
      <c r="B2027">
        <v>200</v>
      </c>
      <c r="C2027">
        <f>IF(B2027&gt;'user input'!$C$6,0,IF('heat units'!H2027&gt;1,1,'heat units'!H2027))</f>
        <v>0.53611111111111109</v>
      </c>
      <c r="D2027">
        <f>IF(B2027&gt;'user input'!$C$6,0,(C2027/(C2027+EXP('user input'!$C$15-'user input'!$C$14*C2027))))</f>
        <v>0.97061756672018662</v>
      </c>
      <c r="E2027">
        <f>IF(C2027&lt;'user input'!$C$12,(D2027-D2026)*'user input'!$C$17*(1-EXP(5*(F2026-'user input'!$C$17))),F2027-F2026)</f>
        <v>1.1092025297117591E-2</v>
      </c>
      <c r="F2027">
        <f>IF(C2027&lt;'user input'!$C$12,IF(B2027&gt;'user input'!$C$6,0,F2026+E2027),'user input'!$C$17*((1-C2027)/(1-'user input'!$C$12)))</f>
        <v>2.8175047141033813</v>
      </c>
    </row>
    <row r="2028" spans="1:6" x14ac:dyDescent="0.2">
      <c r="A2028" s="1">
        <v>42204</v>
      </c>
      <c r="B2028">
        <v>201</v>
      </c>
      <c r="C2028">
        <f>IF(B2028&gt;'user input'!$C$6,0,IF('heat units'!H2028&gt;1,1,'heat units'!H2028))</f>
        <v>0.54837962962962949</v>
      </c>
      <c r="D2028">
        <f>IF(B2028&gt;'user input'!$C$6,0,(C2028/(C2028+EXP('user input'!$C$15-'user input'!$C$14*C2028))))</f>
        <v>0.97550249570974734</v>
      </c>
      <c r="E2028">
        <f>IF(C2028&lt;'user input'!$C$12,(D2028-D2027)*'user input'!$C$17*(1-EXP(5*(F2027-'user input'!$C$17))),F2028-F2027)</f>
        <v>8.7704703691367063E-3</v>
      </c>
      <c r="F2028">
        <f>IF(C2028&lt;'user input'!$C$12,IF(B2028&gt;'user input'!$C$6,0,F2027+E2028),'user input'!$C$17*((1-C2028)/(1-'user input'!$C$12)))</f>
        <v>2.826275184472518</v>
      </c>
    </row>
    <row r="2029" spans="1:6" x14ac:dyDescent="0.2">
      <c r="A2029" s="1">
        <v>42205</v>
      </c>
      <c r="B2029">
        <v>202</v>
      </c>
      <c r="C2029">
        <f>IF(B2029&gt;'user input'!$C$6,0,IF('heat units'!H2029&gt;1,1,'heat units'!H2029))</f>
        <v>0.55740740740740735</v>
      </c>
      <c r="D2029">
        <f>IF(B2029&gt;'user input'!$C$6,0,(C2029/(C2029+EXP('user input'!$C$15-'user input'!$C$14*C2029))))</f>
        <v>0.9785752497925948</v>
      </c>
      <c r="E2029">
        <f>IF(C2029&lt;'user input'!$C$12,(D2029-D2028)*'user input'!$C$17*(1-EXP(5*(F2028-'user input'!$C$17))),F2029-F2028)</f>
        <v>5.3509395213773717E-3</v>
      </c>
      <c r="F2029">
        <f>IF(C2029&lt;'user input'!$C$12,IF(B2029&gt;'user input'!$C$6,0,F2028+E2029),'user input'!$C$17*((1-C2029)/(1-'user input'!$C$12)))</f>
        <v>2.8316261239938956</v>
      </c>
    </row>
    <row r="2030" spans="1:6" x14ac:dyDescent="0.2">
      <c r="A2030" s="1">
        <v>42206</v>
      </c>
      <c r="B2030">
        <v>203</v>
      </c>
      <c r="C2030">
        <f>IF(B2030&gt;'user input'!$C$6,0,IF('heat units'!H2030&gt;1,1,'heat units'!H2030))</f>
        <v>0.5655092592592591</v>
      </c>
      <c r="D2030">
        <f>IF(B2030&gt;'user input'!$C$6,0,(C2030/(C2030+EXP('user input'!$C$15-'user input'!$C$14*C2030))))</f>
        <v>0.98100548923908504</v>
      </c>
      <c r="E2030">
        <f>IF(C2030&lt;'user input'!$C$12,(D2030-D2029)*'user input'!$C$17*(1-EXP(5*(F2029-'user input'!$C$17))),F2030-F2029)</f>
        <v>4.1491168487680537E-3</v>
      </c>
      <c r="F2030">
        <f>IF(C2030&lt;'user input'!$C$12,IF(B2030&gt;'user input'!$C$6,0,F2029+E2030),'user input'!$C$17*((1-C2030)/(1-'user input'!$C$12)))</f>
        <v>2.8357752408426635</v>
      </c>
    </row>
    <row r="2031" spans="1:6" x14ac:dyDescent="0.2">
      <c r="A2031" s="1">
        <v>42207</v>
      </c>
      <c r="B2031">
        <v>204</v>
      </c>
      <c r="C2031">
        <f>IF(B2031&gt;'user input'!$C$6,0,IF('heat units'!H2031&gt;1,1,'heat units'!H2031))</f>
        <v>0.57337962962962952</v>
      </c>
      <c r="D2031">
        <f>IF(B2031&gt;'user input'!$C$6,0,(C2031/(C2031+EXP('user input'!$C$15-'user input'!$C$14*C2031))))</f>
        <v>0.98310333181118115</v>
      </c>
      <c r="E2031">
        <f>IF(C2031&lt;'user input'!$C$12,(D2031-D2030)*'user input'!$C$17*(1-EXP(5*(F2030-'user input'!$C$17))),F2031-F2030)</f>
        <v>3.5247721563659968E-3</v>
      </c>
      <c r="F2031">
        <f>IF(C2031&lt;'user input'!$C$12,IF(B2031&gt;'user input'!$C$6,0,F2030+E2031),'user input'!$C$17*((1-C2031)/(1-'user input'!$C$12)))</f>
        <v>2.8393000129990296</v>
      </c>
    </row>
    <row r="2032" spans="1:6" x14ac:dyDescent="0.2">
      <c r="A2032" s="1">
        <v>42208</v>
      </c>
      <c r="B2032">
        <v>205</v>
      </c>
      <c r="C2032">
        <f>IF(B2032&gt;'user input'!$C$6,0,IF('heat units'!H2032&gt;1,1,'heat units'!H2032))</f>
        <v>0.58194444444444438</v>
      </c>
      <c r="D2032">
        <f>IF(B2032&gt;'user input'!$C$6,0,(C2032/(C2032+EXP('user input'!$C$15-'user input'!$C$14*C2032))))</f>
        <v>0.98512473618688101</v>
      </c>
      <c r="E2032">
        <f>IF(C2032&lt;'user input'!$C$12,(D2032-D2031)*'user input'!$C$17*(1-EXP(5*(F2031-'user input'!$C$17))),F2032-F2031)</f>
        <v>3.3489065710323716E-3</v>
      </c>
      <c r="F2032">
        <f>IF(C2032&lt;'user input'!$C$12,IF(B2032&gt;'user input'!$C$6,0,F2031+E2032),'user input'!$C$17*((1-C2032)/(1-'user input'!$C$12)))</f>
        <v>2.8426489195700619</v>
      </c>
    </row>
    <row r="2033" spans="1:6" x14ac:dyDescent="0.2">
      <c r="A2033" s="1">
        <v>42209</v>
      </c>
      <c r="B2033">
        <v>206</v>
      </c>
      <c r="C2033">
        <f>IF(B2033&gt;'user input'!$C$6,0,IF('heat units'!H2033&gt;1,1,'heat units'!H2033))</f>
        <v>0.59143518518518512</v>
      </c>
      <c r="D2033">
        <f>IF(B2033&gt;'user input'!$C$6,0,(C2033/(C2033+EXP('user input'!$C$15-'user input'!$C$14*C2033))))</f>
        <v>0.98708393852955634</v>
      </c>
      <c r="E2033">
        <f>IF(C2033&lt;'user input'!$C$12,(D2033-D2032)*'user input'!$C$17*(1-EXP(5*(F2032-'user input'!$C$17))),F2033-F2032)</f>
        <v>3.2014165793256789E-3</v>
      </c>
      <c r="F2033">
        <f>IF(C2033&lt;'user input'!$C$12,IF(B2033&gt;'user input'!$C$6,0,F2032+E2033),'user input'!$C$17*((1-C2033)/(1-'user input'!$C$12)))</f>
        <v>2.8458503361493874</v>
      </c>
    </row>
    <row r="2034" spans="1:6" x14ac:dyDescent="0.2">
      <c r="A2034" s="1">
        <v>42210</v>
      </c>
      <c r="B2034">
        <v>207</v>
      </c>
      <c r="C2034">
        <f>IF(B2034&gt;'user input'!$C$6,0,IF('heat units'!H2034&gt;1,1,'heat units'!H2034))</f>
        <v>0.6</v>
      </c>
      <c r="D2034">
        <f>IF(B2034&gt;'user input'!$C$6,0,(C2034/(C2034+EXP('user input'!$C$15-'user input'!$C$14*C2034))))</f>
        <v>0.98862958439016857</v>
      </c>
      <c r="E2034">
        <f>IF(C2034&lt;'user input'!$C$12,(D2034-D2033)*'user input'!$C$17*(1-EXP(5*(F2033-'user input'!$C$17))),F2034-F2033)</f>
        <v>2.4915808970448674E-3</v>
      </c>
      <c r="F2034">
        <f>IF(C2034&lt;'user input'!$C$12,IF(B2034&gt;'user input'!$C$6,0,F2033+E2034),'user input'!$C$17*((1-C2034)/(1-'user input'!$C$12)))</f>
        <v>2.8483419170464321</v>
      </c>
    </row>
    <row r="2035" spans="1:6" x14ac:dyDescent="0.2">
      <c r="A2035" s="1">
        <v>42211</v>
      </c>
      <c r="B2035">
        <v>208</v>
      </c>
      <c r="C2035">
        <f>IF(B2035&gt;'user input'!$C$6,0,IF('heat units'!H2035&gt;1,1,'heat units'!H2035))</f>
        <v>0.61064814814814816</v>
      </c>
      <c r="D2035">
        <f>IF(B2035&gt;'user input'!$C$6,0,(C2035/(C2035+EXP('user input'!$C$15-'user input'!$C$14*C2035))))</f>
        <v>0.99029562144256822</v>
      </c>
      <c r="E2035">
        <f>IF(C2035&lt;'user input'!$C$12,(D2035-D2034)*'user input'!$C$17*(1-EXP(5*(F2034-'user input'!$C$17))),F2035-F2034)</f>
        <v>2.6566628848299751E-3</v>
      </c>
      <c r="F2035">
        <f>IF(C2035&lt;'user input'!$C$12,IF(B2035&gt;'user input'!$C$6,0,F2034+E2035),'user input'!$C$17*((1-C2035)/(1-'user input'!$C$12)))</f>
        <v>2.8509985799312623</v>
      </c>
    </row>
    <row r="2036" spans="1:6" x14ac:dyDescent="0.2">
      <c r="A2036" s="1">
        <v>42212</v>
      </c>
      <c r="B2036">
        <v>209</v>
      </c>
      <c r="C2036">
        <f>IF(B2036&gt;'user input'!$C$6,0,IF('heat units'!H2036&gt;1,1,'heat units'!H2036))</f>
        <v>0.61967592592592602</v>
      </c>
      <c r="D2036">
        <f>IF(B2036&gt;'user input'!$C$6,0,(C2036/(C2036+EXP('user input'!$C$15-'user input'!$C$14*C2036))))</f>
        <v>0.99151507289646823</v>
      </c>
      <c r="E2036">
        <f>IF(C2036&lt;'user input'!$C$12,(D2036-D2035)*'user input'!$C$17*(1-EXP(5*(F2035-'user input'!$C$17))),F2036-F2035)</f>
        <v>1.9216203963180716E-3</v>
      </c>
      <c r="F2036">
        <f>IF(C2036&lt;'user input'!$C$12,IF(B2036&gt;'user input'!$C$6,0,F2035+E2036),'user input'!$C$17*((1-C2036)/(1-'user input'!$C$12)))</f>
        <v>2.8529202003275804</v>
      </c>
    </row>
    <row r="2037" spans="1:6" x14ac:dyDescent="0.2">
      <c r="A2037" s="1">
        <v>42213</v>
      </c>
      <c r="B2037">
        <v>210</v>
      </c>
      <c r="C2037">
        <f>IF(B2037&gt;'user input'!$C$6,0,IF('heat units'!H2037&gt;1,1,'heat units'!H2037))</f>
        <v>0.63009259259259265</v>
      </c>
      <c r="D2037">
        <f>IF(B2037&gt;'user input'!$C$6,0,(C2037/(C2037+EXP('user input'!$C$15-'user input'!$C$14*C2037))))</f>
        <v>0.9927324696594888</v>
      </c>
      <c r="E2037">
        <f>IF(C2037&lt;'user input'!$C$12,(D2037-D2036)*'user input'!$C$17*(1-EXP(5*(F2036-'user input'!$C$17))),F2037-F2036)</f>
        <v>1.9016437128199979E-3</v>
      </c>
      <c r="F2037">
        <f>IF(C2037&lt;'user input'!$C$12,IF(B2037&gt;'user input'!$C$6,0,F2036+E2037),'user input'!$C$17*((1-C2037)/(1-'user input'!$C$12)))</f>
        <v>2.8548218440404005</v>
      </c>
    </row>
    <row r="2038" spans="1:6" x14ac:dyDescent="0.2">
      <c r="A2038" s="1">
        <v>42214</v>
      </c>
      <c r="B2038">
        <v>211</v>
      </c>
      <c r="C2038">
        <f>IF(B2038&gt;'user input'!$C$6,0,IF('heat units'!H2038&gt;1,1,'heat units'!H2038))</f>
        <v>0.64166666666666672</v>
      </c>
      <c r="D2038">
        <f>IF(B2038&gt;'user input'!$C$6,0,(C2038/(C2038+EXP('user input'!$C$15-'user input'!$C$14*C2038))))</f>
        <v>0.99388070914787641</v>
      </c>
      <c r="E2038">
        <f>IF(C2038&lt;'user input'!$C$12,(D2038-D2037)*'user input'!$C$17*(1-EXP(5*(F2037-'user input'!$C$17))),F2038-F2037)</f>
        <v>1.7778421606082339E-3</v>
      </c>
      <c r="F2038">
        <f>IF(C2038&lt;'user input'!$C$12,IF(B2038&gt;'user input'!$C$6,0,F2037+E2038),'user input'!$C$17*((1-C2038)/(1-'user input'!$C$12)))</f>
        <v>2.8565996862010086</v>
      </c>
    </row>
    <row r="2039" spans="1:6" x14ac:dyDescent="0.2">
      <c r="A2039" s="1">
        <v>42215</v>
      </c>
      <c r="B2039">
        <v>212</v>
      </c>
      <c r="C2039">
        <f>IF(B2039&gt;'user input'!$C$6,0,IF('heat units'!H2039&gt;1,1,'heat units'!H2039))</f>
        <v>0.65115740740740757</v>
      </c>
      <c r="D2039">
        <f>IF(B2039&gt;'user input'!$C$6,0,(C2039/(C2039+EXP('user input'!$C$15-'user input'!$C$14*C2039))))</f>
        <v>0.99468498995753729</v>
      </c>
      <c r="E2039">
        <f>IF(C2039&lt;'user input'!$C$12,(D2039-D2038)*'user input'!$C$17*(1-EXP(5*(F2038-'user input'!$C$17))),F2039-F2038)</f>
        <v>1.2348591218207274E-3</v>
      </c>
      <c r="F2039">
        <f>IF(C2039&lt;'user input'!$C$12,IF(B2039&gt;'user input'!$C$6,0,F2038+E2039),'user input'!$C$17*((1-C2039)/(1-'user input'!$C$12)))</f>
        <v>2.8578345453228291</v>
      </c>
    </row>
    <row r="2040" spans="1:6" x14ac:dyDescent="0.2">
      <c r="A2040" s="1">
        <v>42216</v>
      </c>
      <c r="B2040">
        <v>213</v>
      </c>
      <c r="C2040">
        <f>IF(B2040&gt;'user input'!$C$6,0,IF('heat units'!H2040&gt;1,1,'heat units'!H2040))</f>
        <v>0.66134259259259265</v>
      </c>
      <c r="D2040">
        <f>IF(B2040&gt;'user input'!$C$6,0,(C2040/(C2040+EXP('user input'!$C$15-'user input'!$C$14*C2040))))</f>
        <v>0.99543037940591672</v>
      </c>
      <c r="E2040">
        <f>IF(C2040&lt;'user input'!$C$12,(D2040-D2039)*'user input'!$C$17*(1-EXP(5*(F2039-'user input'!$C$17))),F2040-F2039)</f>
        <v>1.137678281296284E-3</v>
      </c>
      <c r="F2040">
        <f>IF(C2040&lt;'user input'!$C$12,IF(B2040&gt;'user input'!$C$6,0,F2039+E2040),'user input'!$C$17*((1-C2040)/(1-'user input'!$C$12)))</f>
        <v>2.8589722236041255</v>
      </c>
    </row>
    <row r="2041" spans="1:6" x14ac:dyDescent="0.2">
      <c r="A2041" s="1">
        <v>42217</v>
      </c>
      <c r="B2041">
        <v>214</v>
      </c>
      <c r="C2041">
        <f>IF(B2041&gt;'user input'!$C$6,0,IF('heat units'!H2041&gt;1,1,'heat units'!H2041))</f>
        <v>0.66990740740740751</v>
      </c>
      <c r="D2041">
        <f>IF(B2041&gt;'user input'!$C$6,0,(C2041/(C2041+EXP('user input'!$C$15-'user input'!$C$14*C2041))))</f>
        <v>0.99597523694236911</v>
      </c>
      <c r="E2041">
        <f>IF(C2041&lt;'user input'!$C$12,(D2041-D2040)*'user input'!$C$17*(1-EXP(5*(F2040-'user input'!$C$17))),F2041-F2040)</f>
        <v>8.2702842895216529E-4</v>
      </c>
      <c r="F2041">
        <f>IF(C2041&lt;'user input'!$C$12,IF(B2041&gt;'user input'!$C$6,0,F2040+E2041),'user input'!$C$17*((1-C2041)/(1-'user input'!$C$12)))</f>
        <v>2.8597992520330777</v>
      </c>
    </row>
    <row r="2042" spans="1:6" x14ac:dyDescent="0.2">
      <c r="A2042" s="1">
        <v>42218</v>
      </c>
      <c r="B2042">
        <v>215</v>
      </c>
      <c r="C2042">
        <f>IF(B2042&gt;'user input'!$C$6,0,IF('heat units'!H2042&gt;1,1,'heat units'!H2042))</f>
        <v>0.68148148148148158</v>
      </c>
      <c r="D2042">
        <f>IF(B2042&gt;'user input'!$C$6,0,(C2042/(C2042+EXP('user input'!$C$15-'user input'!$C$14*C2042))))</f>
        <v>0.99660925813280965</v>
      </c>
      <c r="E2042">
        <f>IF(C2042&lt;'user input'!$C$12,(D2042-D2041)*'user input'!$C$17*(1-EXP(5*(F2041-'user input'!$C$17))),F2042-F2041)</f>
        <v>9.5847434850589901E-4</v>
      </c>
      <c r="F2042">
        <f>IF(C2042&lt;'user input'!$C$12,IF(B2042&gt;'user input'!$C$6,0,F2041+E2042),'user input'!$C$17*((1-C2042)/(1-'user input'!$C$12)))</f>
        <v>2.8607577263815838</v>
      </c>
    </row>
    <row r="2043" spans="1:6" x14ac:dyDescent="0.2">
      <c r="A2043" s="1">
        <v>42219</v>
      </c>
      <c r="B2043">
        <v>216</v>
      </c>
      <c r="C2043">
        <f>IF(B2043&gt;'user input'!$C$6,0,IF('heat units'!H2043&gt;1,1,'heat units'!H2043))</f>
        <v>0.69143518518518532</v>
      </c>
      <c r="D2043">
        <f>IF(B2043&gt;'user input'!$C$6,0,(C2043/(C2043+EXP('user input'!$C$15-'user input'!$C$14*C2043))))</f>
        <v>0.99707358110121735</v>
      </c>
      <c r="E2043">
        <f>IF(C2043&lt;'user input'!$C$12,(D2043-D2042)*'user input'!$C$17*(1-EXP(5*(F2042-'user input'!$C$17))),F2043-F2042)</f>
        <v>6.9861534519304589E-4</v>
      </c>
      <c r="F2043">
        <f>IF(C2043&lt;'user input'!$C$12,IF(B2043&gt;'user input'!$C$6,0,F2042+E2043),'user input'!$C$17*((1-C2043)/(1-'user input'!$C$12)))</f>
        <v>2.8614563417267767</v>
      </c>
    </row>
    <row r="2044" spans="1:6" x14ac:dyDescent="0.2">
      <c r="A2044" s="1">
        <v>42220</v>
      </c>
      <c r="B2044">
        <v>217</v>
      </c>
      <c r="C2044">
        <f>IF(B2044&gt;'user input'!$C$6,0,IF('heat units'!H2044&gt;1,1,'heat units'!H2044))</f>
        <v>0.69861111111111118</v>
      </c>
      <c r="D2044">
        <f>IF(B2044&gt;'user input'!$C$6,0,(C2044/(C2044+EXP('user input'!$C$15-'user input'!$C$14*C2044))))</f>
        <v>0.9973681236066877</v>
      </c>
      <c r="E2044">
        <f>IF(C2044&lt;'user input'!$C$12,(D2044-D2043)*'user input'!$C$17*(1-EXP(5*(F2043-'user input'!$C$17))),F2044-F2043)</f>
        <v>4.416242284181988E-4</v>
      </c>
      <c r="F2044">
        <f>IF(C2044&lt;'user input'!$C$12,IF(B2044&gt;'user input'!$C$6,0,F2043+E2044),'user input'!$C$17*((1-C2044)/(1-'user input'!$C$12)))</f>
        <v>2.8618979659551949</v>
      </c>
    </row>
    <row r="2045" spans="1:6" x14ac:dyDescent="0.2">
      <c r="A2045" s="1">
        <v>42221</v>
      </c>
      <c r="B2045">
        <v>218</v>
      </c>
      <c r="C2045">
        <f>IF(B2045&gt;'user input'!$C$6,0,IF('heat units'!H2045&gt;1,1,'heat units'!H2045))</f>
        <v>0.70555555555555571</v>
      </c>
      <c r="D2045">
        <f>IF(B2045&gt;'user input'!$C$6,0,(C2045/(C2045+EXP('user input'!$C$15-'user input'!$C$14*C2045))))</f>
        <v>0.99762473606690993</v>
      </c>
      <c r="E2045">
        <f>IF(C2045&lt;'user input'!$C$12,(D2045-D2044)*'user input'!$C$17*(1-EXP(5*(F2044-'user input'!$C$17))),F2045-F2044)</f>
        <v>3.8390231626296957E-4</v>
      </c>
      <c r="F2045">
        <f>IF(C2045&lt;'user input'!$C$12,IF(B2045&gt;'user input'!$C$6,0,F2044+E2045),'user input'!$C$17*((1-C2045)/(1-'user input'!$C$12)))</f>
        <v>2.8622818682714577</v>
      </c>
    </row>
    <row r="2046" spans="1:6" x14ac:dyDescent="0.2">
      <c r="A2046" s="1">
        <v>42222</v>
      </c>
      <c r="B2046">
        <v>219</v>
      </c>
      <c r="C2046">
        <f>IF(B2046&gt;'user input'!$C$6,0,IF('heat units'!H2046&gt;1,1,'heat units'!H2046))</f>
        <v>0.71365740740740757</v>
      </c>
      <c r="D2046">
        <f>IF(B2046&gt;'user input'!$C$6,0,(C2046/(C2046+EXP('user input'!$C$15-'user input'!$C$14*C2046))))</f>
        <v>0.99789247870444908</v>
      </c>
      <c r="E2046">
        <f>IF(C2046&lt;'user input'!$C$12,(D2046-D2045)*'user input'!$C$17*(1-EXP(5*(F2045-'user input'!$C$17))),F2046-F2045)</f>
        <v>3.9977981804227618E-4</v>
      </c>
      <c r="F2046">
        <f>IF(C2046&lt;'user input'!$C$12,IF(B2046&gt;'user input'!$C$6,0,F2045+E2046),'user input'!$C$17*((1-C2046)/(1-'user input'!$C$12)))</f>
        <v>2.8626816480895001</v>
      </c>
    </row>
    <row r="2047" spans="1:6" x14ac:dyDescent="0.2">
      <c r="A2047" s="1">
        <v>42223</v>
      </c>
      <c r="B2047">
        <v>220</v>
      </c>
      <c r="C2047">
        <f>IF(B2047&gt;'user input'!$C$6,0,IF('heat units'!H2047&gt;1,1,'heat units'!H2047))</f>
        <v>0.72268518518518532</v>
      </c>
      <c r="D2047">
        <f>IF(B2047&gt;'user input'!$C$6,0,(C2047/(C2047+EXP('user input'!$C$15-'user input'!$C$14*C2047))))</f>
        <v>0.99815521214262326</v>
      </c>
      <c r="E2047">
        <f>IF(C2047&lt;'user input'!$C$12,(D2047-D2046)*'user input'!$C$17*(1-EXP(5*(F2046-'user input'!$C$17))),F2047-F2046)</f>
        <v>3.9150817833697761E-4</v>
      </c>
      <c r="F2047">
        <f>IF(C2047&lt;'user input'!$C$12,IF(B2047&gt;'user input'!$C$6,0,F2046+E2047),'user input'!$C$17*((1-C2047)/(1-'user input'!$C$12)))</f>
        <v>2.8630731562678369</v>
      </c>
    </row>
    <row r="2048" spans="1:6" x14ac:dyDescent="0.2">
      <c r="A2048" s="1">
        <v>42224</v>
      </c>
      <c r="B2048">
        <v>221</v>
      </c>
      <c r="C2048">
        <f>IF(B2048&gt;'user input'!$C$6,0,IF('heat units'!H2048&gt;1,1,'heat units'!H2048))</f>
        <v>0.73194444444444462</v>
      </c>
      <c r="D2048">
        <f>IF(B2048&gt;'user input'!$C$6,0,(C2048/(C2048+EXP('user input'!$C$15-'user input'!$C$14*C2048))))</f>
        <v>0.99839049002888969</v>
      </c>
      <c r="E2048">
        <f>IF(C2048&lt;'user input'!$C$12,(D2048-D2047)*'user input'!$C$17*(1-EXP(5*(F2047-'user input'!$C$17))),F2048-F2047)</f>
        <v>3.4989963747890206E-4</v>
      </c>
      <c r="F2048">
        <f>IF(C2048&lt;'user input'!$C$12,IF(B2048&gt;'user input'!$C$6,0,F2047+E2048),'user input'!$C$17*((1-C2048)/(1-'user input'!$C$12)))</f>
        <v>2.863423055905316</v>
      </c>
    </row>
    <row r="2049" spans="1:6" x14ac:dyDescent="0.2">
      <c r="A2049" s="1">
        <v>42225</v>
      </c>
      <c r="B2049">
        <v>222</v>
      </c>
      <c r="C2049">
        <f>IF(B2049&gt;'user input'!$C$6,0,IF('heat units'!H2049&gt;1,1,'heat units'!H2049))</f>
        <v>0.74004629629629637</v>
      </c>
      <c r="D2049">
        <f>IF(B2049&gt;'user input'!$C$6,0,(C2049/(C2049+EXP('user input'!$C$15-'user input'!$C$14*C2049))))</f>
        <v>0.99857145563685523</v>
      </c>
      <c r="E2049">
        <f>IF(C2049&lt;'user input'!$C$12,(D2049-D2048)*'user input'!$C$17*(1-EXP(5*(F2048-'user input'!$C$17))),F2049-F2048)</f>
        <v>2.686483402177656E-4</v>
      </c>
      <c r="F2049">
        <f>IF(C2049&lt;'user input'!$C$12,IF(B2049&gt;'user input'!$C$6,0,F2048+E2049),'user input'!$C$17*((1-C2049)/(1-'user input'!$C$12)))</f>
        <v>2.8636917042455337</v>
      </c>
    </row>
    <row r="2050" spans="1:6" x14ac:dyDescent="0.2">
      <c r="A2050" s="1">
        <v>42226</v>
      </c>
      <c r="B2050">
        <v>223</v>
      </c>
      <c r="C2050">
        <f>IF(B2050&gt;'user input'!$C$6,0,IF('heat units'!H2050&gt;1,1,'heat units'!H2050))</f>
        <v>0.750925925925926</v>
      </c>
      <c r="D2050">
        <f>IF(B2050&gt;'user input'!$C$6,0,(C2050/(C2050+EXP('user input'!$C$15-'user input'!$C$14*C2050))))</f>
        <v>0.99878268869400055</v>
      </c>
      <c r="E2050">
        <f>IF(C2050&lt;'user input'!$C$12,(D2050-D2049)*'user input'!$C$17*(1-EXP(5*(F2049-'user input'!$C$17))),F2050-F2049)</f>
        <v>3.1315090252278177E-4</v>
      </c>
      <c r="F2050">
        <f>IF(C2050&lt;'user input'!$C$12,IF(B2050&gt;'user input'!$C$6,0,F2049+E2050),'user input'!$C$17*((1-C2050)/(1-'user input'!$C$12)))</f>
        <v>2.8640048551480564</v>
      </c>
    </row>
    <row r="2051" spans="1:6" x14ac:dyDescent="0.2">
      <c r="A2051" s="1">
        <v>42227</v>
      </c>
      <c r="B2051">
        <v>224</v>
      </c>
      <c r="C2051">
        <f>IF(B2051&gt;'user input'!$C$6,0,IF('heat units'!H2051&gt;1,1,'heat units'!H2051))</f>
        <v>0.7597222222222223</v>
      </c>
      <c r="D2051">
        <f>IF(B2051&gt;'user input'!$C$6,0,(C2051/(C2051+EXP('user input'!$C$15-'user input'!$C$14*C2051))))</f>
        <v>0.99893027227873232</v>
      </c>
      <c r="E2051">
        <f>IF(C2051&lt;'user input'!$C$12,(D2051-D2050)*'user input'!$C$17*(1-EXP(5*(F2050-'user input'!$C$17))),F2051-F2050)</f>
        <v>2.184402534999216E-4</v>
      </c>
      <c r="F2051">
        <f>IF(C2051&lt;'user input'!$C$12,IF(B2051&gt;'user input'!$C$6,0,F2050+E2051),'user input'!$C$17*((1-C2051)/(1-'user input'!$C$12)))</f>
        <v>2.8642232954015561</v>
      </c>
    </row>
    <row r="2052" spans="1:6" x14ac:dyDescent="0.2">
      <c r="A2052" s="1">
        <v>42228</v>
      </c>
      <c r="B2052">
        <v>225</v>
      </c>
      <c r="C2052">
        <f>IF(B2052&gt;'user input'!$C$6,0,IF('heat units'!H2052&gt;1,1,'heat units'!H2052))</f>
        <v>0.76782407407407405</v>
      </c>
      <c r="D2052">
        <f>IF(B2052&gt;'user input'!$C$6,0,(C2052/(C2052+EXP('user input'!$C$15-'user input'!$C$14*C2052))))</f>
        <v>0.99905022524420617</v>
      </c>
      <c r="E2052">
        <f>IF(C2052&lt;'user input'!$C$12,(D2052-D2051)*'user input'!$C$17*(1-EXP(5*(F2051-'user input'!$C$17))),F2052-F2051)</f>
        <v>1.7734460534249476E-4</v>
      </c>
      <c r="F2052">
        <f>IF(C2052&lt;'user input'!$C$12,IF(B2052&gt;'user input'!$C$6,0,F2051+E2052),'user input'!$C$17*((1-C2052)/(1-'user input'!$C$12)))</f>
        <v>2.8644006400068984</v>
      </c>
    </row>
    <row r="2053" spans="1:6" x14ac:dyDescent="0.2">
      <c r="A2053" s="1">
        <v>42229</v>
      </c>
      <c r="B2053">
        <v>226</v>
      </c>
      <c r="C2053">
        <f>IF(B2053&gt;'user input'!$C$6,0,IF('heat units'!H2053&gt;1,1,'heat units'!H2053))</f>
        <v>0.77662037037037035</v>
      </c>
      <c r="D2053">
        <f>IF(B2053&gt;'user input'!$C$6,0,(C2053/(C2053+EXP('user input'!$C$15-'user input'!$C$14*C2053))))</f>
        <v>0.99916518796898124</v>
      </c>
      <c r="E2053">
        <f>IF(C2053&lt;'user input'!$C$12,(D2053-D2052)*'user input'!$C$17*(1-EXP(5*(F2052-'user input'!$C$17))),F2053-F2052)</f>
        <v>1.6981160239127753E-4</v>
      </c>
      <c r="F2053">
        <f>IF(C2053&lt;'user input'!$C$12,IF(B2053&gt;'user input'!$C$6,0,F2052+E2053),'user input'!$C$17*((1-C2053)/(1-'user input'!$C$12)))</f>
        <v>2.8645704516092896</v>
      </c>
    </row>
    <row r="2054" spans="1:6" x14ac:dyDescent="0.2">
      <c r="A2054" s="1">
        <v>42230</v>
      </c>
      <c r="B2054">
        <v>227</v>
      </c>
      <c r="C2054">
        <f>IF(B2054&gt;'user input'!$C$6,0,IF('heat units'!H2054&gt;1,1,'heat units'!H2054))</f>
        <v>0.78819444444444453</v>
      </c>
      <c r="D2054">
        <f>IF(B2054&gt;'user input'!$C$6,0,(C2054/(C2054+EXP('user input'!$C$15-'user input'!$C$14*C2054))))</f>
        <v>0.99929540749727597</v>
      </c>
      <c r="E2054">
        <f>IF(C2054&lt;'user input'!$C$12,(D2054-D2053)*'user input'!$C$17*(1-EXP(5*(F2053-'user input'!$C$17))),F2054-F2053)</f>
        <v>1.921789991589006E-4</v>
      </c>
      <c r="F2054">
        <f>IF(C2054&lt;'user input'!$C$12,IF(B2054&gt;'user input'!$C$6,0,F2053+E2054),'user input'!$C$17*((1-C2054)/(1-'user input'!$C$12)))</f>
        <v>2.8647626306084484</v>
      </c>
    </row>
    <row r="2055" spans="1:6" x14ac:dyDescent="0.2">
      <c r="A2055" s="1">
        <v>42231</v>
      </c>
      <c r="B2055">
        <v>228</v>
      </c>
      <c r="C2055">
        <f>IF(B2055&gt;'user input'!$C$6,0,IF('heat units'!H2055&gt;1,1,'heat units'!H2055))</f>
        <v>0.80046296296296293</v>
      </c>
      <c r="D2055">
        <f>IF(B2055&gt;'user input'!$C$6,0,(C2055/(C2055+EXP('user input'!$C$15-'user input'!$C$14*C2055))))</f>
        <v>0.99941120946297768</v>
      </c>
      <c r="E2055">
        <f>IF(C2055&lt;'user input'!$C$12,(D2055-D2054)*'user input'!$C$17*(1-EXP(5*(F2054-'user input'!$C$17))),F2055-F2054)</f>
        <v>1.7073176367624239E-4</v>
      </c>
      <c r="F2055">
        <f>IF(C2055&lt;'user input'!$C$12,IF(B2055&gt;'user input'!$C$6,0,F2054+E2055),'user input'!$C$17*((1-C2055)/(1-'user input'!$C$12)))</f>
        <v>2.8649333623721245</v>
      </c>
    </row>
    <row r="2056" spans="1:6" x14ac:dyDescent="0.2">
      <c r="A2056" s="1">
        <v>42232</v>
      </c>
      <c r="B2056">
        <v>229</v>
      </c>
      <c r="C2056">
        <f>IF(B2056&gt;'user input'!$C$6,0,IF('heat units'!H2056&gt;1,1,'heat units'!H2056))</f>
        <v>0.8125</v>
      </c>
      <c r="D2056">
        <f>IF(B2056&gt;'user input'!$C$6,0,(C2056/(C2056+EXP('user input'!$C$15-'user input'!$C$14*C2056))))</f>
        <v>0.99950620580725513</v>
      </c>
      <c r="E2056">
        <f>IF(C2056&lt;'user input'!$C$12,(D2056-D2055)*'user input'!$C$17*(1-EXP(5*(F2055-'user input'!$C$17))),F2056-F2055)</f>
        <v>1.3993337584001139E-4</v>
      </c>
      <c r="F2056">
        <f>IF(C2056&lt;'user input'!$C$12,IF(B2056&gt;'user input'!$C$6,0,F2055+E2056),'user input'!$C$17*((1-C2056)/(1-'user input'!$C$12)))</f>
        <v>2.8650732957479645</v>
      </c>
    </row>
    <row r="2057" spans="1:6" x14ac:dyDescent="0.2">
      <c r="A2057" s="1">
        <v>42233</v>
      </c>
      <c r="B2057">
        <v>230</v>
      </c>
      <c r="C2057">
        <f>IF(B2057&gt;'user input'!$C$6,0,IF('heat units'!H2057&gt;1,1,'heat units'!H2057))</f>
        <v>0.82546296296296295</v>
      </c>
      <c r="D2057">
        <f>IF(B2057&gt;'user input'!$C$6,0,(C2057/(C2057+EXP('user input'!$C$15-'user input'!$C$14*C2057))))</f>
        <v>0.99959134940054939</v>
      </c>
      <c r="E2057">
        <f>IF(C2057&lt;'user input'!$C$12,(D2057-D2056)*'user input'!$C$17*(1-EXP(5*(F2056-'user input'!$C$17))),F2057-F2056)</f>
        <v>1.2532888744278288E-4</v>
      </c>
      <c r="F2057">
        <f>IF(C2057&lt;'user input'!$C$12,IF(B2057&gt;'user input'!$C$6,0,F2056+E2057),'user input'!$C$17*((1-C2057)/(1-'user input'!$C$12)))</f>
        <v>2.8651986246354073</v>
      </c>
    </row>
    <row r="2058" spans="1:6" x14ac:dyDescent="0.2">
      <c r="A2058" s="1">
        <v>42234</v>
      </c>
      <c r="B2058">
        <v>231</v>
      </c>
      <c r="C2058">
        <f>IF(B2058&gt;'user input'!$C$6,0,IF('heat units'!H2058&gt;1,1,'heat units'!H2058))</f>
        <v>0.83726851851851847</v>
      </c>
      <c r="D2058">
        <f>IF(B2058&gt;'user input'!$C$6,0,(C2058/(C2058+EXP('user input'!$C$15-'user input'!$C$14*C2058))))</f>
        <v>0.99965597919438554</v>
      </c>
      <c r="E2058">
        <f>IF(C2058&lt;'user input'!$C$12,(D2058-D2057)*'user input'!$C$17*(1-EXP(5*(F2057-'user input'!$C$17))),F2058-F2057)</f>
        <v>9.5071268182846154E-5</v>
      </c>
      <c r="F2058">
        <f>IF(C2058&lt;'user input'!$C$12,IF(B2058&gt;'user input'!$C$6,0,F2057+E2058),'user input'!$C$17*((1-C2058)/(1-'user input'!$C$12)))</f>
        <v>2.8652936959035902</v>
      </c>
    </row>
    <row r="2059" spans="1:6" x14ac:dyDescent="0.2">
      <c r="A2059" s="1">
        <v>42235</v>
      </c>
      <c r="B2059">
        <v>232</v>
      </c>
      <c r="C2059">
        <f>IF(B2059&gt;'user input'!$C$6,0,IF('heat units'!H2059&gt;1,1,'heat units'!H2059))</f>
        <v>0.84745370370370365</v>
      </c>
      <c r="D2059">
        <f>IF(B2059&gt;'user input'!$C$6,0,(C2059/(C2059+EXP('user input'!$C$15-'user input'!$C$14*C2059))))</f>
        <v>0.99970341762909043</v>
      </c>
      <c r="E2059">
        <f>IF(C2059&lt;'user input'!$C$12,(D2059-D2058)*'user input'!$C$17*(1-EXP(5*(F2058-'user input'!$C$17))),F2059-F2058)</f>
        <v>6.9748067978909011E-5</v>
      </c>
      <c r="F2059">
        <f>IF(C2059&lt;'user input'!$C$12,IF(B2059&gt;'user input'!$C$6,0,F2058+E2059),'user input'!$C$17*((1-C2059)/(1-'user input'!$C$12)))</f>
        <v>2.8653634439715692</v>
      </c>
    </row>
    <row r="2060" spans="1:6" x14ac:dyDescent="0.2">
      <c r="A2060" s="1">
        <v>42236</v>
      </c>
      <c r="B2060">
        <v>233</v>
      </c>
      <c r="C2060">
        <f>IF(B2060&gt;'user input'!$C$6,0,IF('heat units'!H2060&gt;1,1,'heat units'!H2060))</f>
        <v>0.85300925925925919</v>
      </c>
      <c r="D2060">
        <f>IF(B2060&gt;'user input'!$C$6,0,(C2060/(C2060+EXP('user input'!$C$15-'user input'!$C$14*C2060))))</f>
        <v>0.99972645934073145</v>
      </c>
      <c r="E2060">
        <f>IF(C2060&lt;'user input'!$C$12,(D2060-D2059)*'user input'!$C$17*(1-EXP(5*(F2059-'user input'!$C$17))),F2060-F2059)</f>
        <v>3.3865612530658799E-5</v>
      </c>
      <c r="F2060">
        <f>IF(C2060&lt;'user input'!$C$12,IF(B2060&gt;'user input'!$C$6,0,F2059+E2060),'user input'!$C$17*((1-C2060)/(1-'user input'!$C$12)))</f>
        <v>2.8653973095840999</v>
      </c>
    </row>
    <row r="2061" spans="1:6" x14ac:dyDescent="0.2">
      <c r="A2061" s="1">
        <v>42237</v>
      </c>
      <c r="B2061">
        <v>234</v>
      </c>
      <c r="C2061">
        <f>IF(B2061&gt;'user input'!$C$6,0,IF('heat units'!H2061&gt;1,1,'heat units'!H2061))</f>
        <v>0.85810185185185184</v>
      </c>
      <c r="D2061">
        <f>IF(B2061&gt;'user input'!$C$6,0,(C2061/(C2061+EXP('user input'!$C$15-'user input'!$C$14*C2061))))</f>
        <v>0.99974599579873691</v>
      </c>
      <c r="E2061">
        <f>IF(C2061&lt;'user input'!$C$12,(D2061-D2060)*'user input'!$C$17*(1-EXP(5*(F2060-'user input'!$C$17))),F2061-F2060)</f>
        <v>2.8708694756498338E-5</v>
      </c>
      <c r="F2061">
        <f>IF(C2061&lt;'user input'!$C$12,IF(B2061&gt;'user input'!$C$6,0,F2060+E2061),'user input'!$C$17*((1-C2061)/(1-'user input'!$C$12)))</f>
        <v>2.8654260182788565</v>
      </c>
    </row>
    <row r="2062" spans="1:6" x14ac:dyDescent="0.2">
      <c r="A2062" s="1">
        <v>42238</v>
      </c>
      <c r="B2062">
        <v>235</v>
      </c>
      <c r="C2062">
        <f>IF(B2062&gt;'user input'!$C$6,0,IF('heat units'!H2062&gt;1,1,'heat units'!H2062))</f>
        <v>0.86574074074074081</v>
      </c>
      <c r="D2062">
        <f>IF(B2062&gt;'user input'!$C$6,0,(C2062/(C2062+EXP('user input'!$C$15-'user input'!$C$14*C2062))))</f>
        <v>0.99977270132128049</v>
      </c>
      <c r="E2062">
        <f>IF(C2062&lt;'user input'!$C$12,(D2062-D2061)*'user input'!$C$17*(1-EXP(5*(F2061-'user input'!$C$17))),F2062-F2061)</f>
        <v>3.9237719816339235E-5</v>
      </c>
      <c r="F2062">
        <f>IF(C2062&lt;'user input'!$C$12,IF(B2062&gt;'user input'!$C$6,0,F2061+E2062),'user input'!$C$17*((1-C2062)/(1-'user input'!$C$12)))</f>
        <v>2.8654652559986729</v>
      </c>
    </row>
    <row r="2063" spans="1:6" x14ac:dyDescent="0.2">
      <c r="A2063" s="1">
        <v>42239</v>
      </c>
      <c r="B2063">
        <v>236</v>
      </c>
      <c r="C2063">
        <f>IF(B2063&gt;'user input'!$C$6,0,IF('heat units'!H2063&gt;1,1,'heat units'!H2063))</f>
        <v>0.87592592592592589</v>
      </c>
      <c r="D2063">
        <f>IF(B2063&gt;'user input'!$C$6,0,(C2063/(C2063+EXP('user input'!$C$15-'user input'!$C$14*C2063))))</f>
        <v>0.99980397015171107</v>
      </c>
      <c r="E2063">
        <f>IF(C2063&lt;'user input'!$C$12,(D2063-D2062)*'user input'!$C$17*(1-EXP(5*(F2062-'user input'!$C$17))),F2063-F2062)</f>
        <v>4.5933076423659219E-5</v>
      </c>
      <c r="F2063">
        <f>IF(C2063&lt;'user input'!$C$12,IF(B2063&gt;'user input'!$C$6,0,F2062+E2063),'user input'!$C$17*((1-C2063)/(1-'user input'!$C$12)))</f>
        <v>2.8655111890750966</v>
      </c>
    </row>
    <row r="2064" spans="1:6" x14ac:dyDescent="0.2">
      <c r="A2064" s="1">
        <v>42240</v>
      </c>
      <c r="B2064">
        <v>237</v>
      </c>
      <c r="C2064">
        <f>IF(B2064&gt;'user input'!$C$6,0,IF('heat units'!H2064&gt;1,1,'heat units'!H2064))</f>
        <v>0.88101851851851842</v>
      </c>
      <c r="D2064">
        <f>IF(B2064&gt;'user input'!$C$6,0,(C2064/(C2064+EXP('user input'!$C$15-'user input'!$C$14*C2064))))</f>
        <v>0.99981794348083541</v>
      </c>
      <c r="E2064">
        <f>IF(C2064&lt;'user input'!$C$12,(D2064-D2063)*'user input'!$C$17*(1-EXP(5*(F2063-'user input'!$C$17))),F2064-F2063)</f>
        <v>2.0521533207296633E-5</v>
      </c>
      <c r="F2064">
        <f>IF(C2064&lt;'user input'!$C$12,IF(B2064&gt;'user input'!$C$6,0,F2063+E2064),'user input'!$C$17*((1-C2064)/(1-'user input'!$C$12)))</f>
        <v>2.865531710608304</v>
      </c>
    </row>
    <row r="2065" spans="1:6" x14ac:dyDescent="0.2">
      <c r="A2065" s="1">
        <v>42241</v>
      </c>
      <c r="B2065">
        <v>238</v>
      </c>
      <c r="C2065">
        <f>IF(B2065&gt;'user input'!$C$6,0,IF('heat units'!H2065&gt;1,1,'heat units'!H2065))</f>
        <v>0.88495370370370363</v>
      </c>
      <c r="D2065">
        <f>IF(B2065&gt;'user input'!$C$6,0,(C2065/(C2065+EXP('user input'!$C$15-'user input'!$C$14*C2065))))</f>
        <v>0.99982805125997309</v>
      </c>
      <c r="E2065">
        <f>IF(C2065&lt;'user input'!$C$12,(D2065-D2064)*'user input'!$C$17*(1-EXP(5*(F2064-'user input'!$C$17))),F2065-F2064)</f>
        <v>1.4842914608435636E-5</v>
      </c>
      <c r="F2065">
        <f>IF(C2065&lt;'user input'!$C$12,IF(B2065&gt;'user input'!$C$6,0,F2064+E2065),'user input'!$C$17*((1-C2065)/(1-'user input'!$C$12)))</f>
        <v>2.8655465535229125</v>
      </c>
    </row>
    <row r="2066" spans="1:6" x14ac:dyDescent="0.2">
      <c r="A2066" s="1">
        <v>42242</v>
      </c>
      <c r="B2066">
        <v>239</v>
      </c>
      <c r="C2066">
        <f>IF(B2066&gt;'user input'!$C$6,0,IF('heat units'!H2066&gt;1,1,'heat units'!H2066))</f>
        <v>0.89004629629629617</v>
      </c>
      <c r="D2066">
        <f>IF(B2066&gt;'user input'!$C$6,0,(C2066/(C2066+EXP('user input'!$C$15-'user input'!$C$14*C2066))))</f>
        <v>0.99984029890666992</v>
      </c>
      <c r="E2066">
        <f>IF(C2066&lt;'user input'!$C$12,(D2066-D2065)*'user input'!$C$17*(1-EXP(5*(F2065-'user input'!$C$17))),F2066-F2065)</f>
        <v>1.7983841958447481E-5</v>
      </c>
      <c r="F2066">
        <f>IF(C2066&lt;'user input'!$C$12,IF(B2066&gt;'user input'!$C$6,0,F2065+E2066),'user input'!$C$17*((1-C2066)/(1-'user input'!$C$12)))</f>
        <v>2.8655645373648708</v>
      </c>
    </row>
    <row r="2067" spans="1:6" x14ac:dyDescent="0.2">
      <c r="A2067" s="1">
        <v>42243</v>
      </c>
      <c r="B2067">
        <v>240</v>
      </c>
      <c r="C2067">
        <f>IF(B2067&gt;'user input'!$C$6,0,IF('heat units'!H2067&gt;1,1,'heat units'!H2067))</f>
        <v>0.89560185185185182</v>
      </c>
      <c r="D2067">
        <f>IF(B2067&gt;'user input'!$C$6,0,(C2067/(C2067+EXP('user input'!$C$15-'user input'!$C$14*C2067))))</f>
        <v>0.99985266185966815</v>
      </c>
      <c r="E2067">
        <f>IF(C2067&lt;'user input'!$C$12,(D2067-D2066)*'user input'!$C$17*(1-EXP(5*(F2066-'user input'!$C$17))),F2067-F2066)</f>
        <v>1.8151449299240987E-5</v>
      </c>
      <c r="F2067">
        <f>IF(C2067&lt;'user input'!$C$12,IF(B2067&gt;'user input'!$C$6,0,F2066+E2067),'user input'!$C$17*((1-C2067)/(1-'user input'!$C$12)))</f>
        <v>2.86558268881417</v>
      </c>
    </row>
    <row r="2068" spans="1:6" x14ac:dyDescent="0.2">
      <c r="A2068" s="1">
        <v>42244</v>
      </c>
      <c r="B2068">
        <v>241</v>
      </c>
      <c r="C2068">
        <f>IF(B2068&gt;'user input'!$C$6,0,IF('heat units'!H2068&gt;1,1,'heat units'!H2068))</f>
        <v>0.90185185185185179</v>
      </c>
      <c r="D2068">
        <f>IF(B2068&gt;'user input'!$C$6,0,(C2068/(C2068+EXP('user input'!$C$15-'user input'!$C$14*C2068))))</f>
        <v>0.99986542392496858</v>
      </c>
      <c r="E2068">
        <f>IF(C2068&lt;'user input'!$C$12,(D2068-D2067)*'user input'!$C$17*(1-EXP(5*(F2067-'user input'!$C$17))),F2068-F2067)</f>
        <v>7.8861755630276864E-2</v>
      </c>
      <c r="F2068">
        <f>IF(C2068&lt;'user input'!$C$12,IF(B2068&gt;'user input'!$C$6,0,F2067+E2068),'user input'!$C$17*((1-C2068)/(1-'user input'!$C$12)))</f>
        <v>2.9444444444444469</v>
      </c>
    </row>
    <row r="2069" spans="1:6" x14ac:dyDescent="0.2">
      <c r="A2069" s="1">
        <v>42245</v>
      </c>
      <c r="B2069">
        <v>242</v>
      </c>
      <c r="C2069">
        <f>IF(B2069&gt;'user input'!$C$6,0,IF('heat units'!H2069&gt;1,1,'heat units'!H2069))</f>
        <v>0.90694444444444433</v>
      </c>
      <c r="D2069">
        <f>IF(B2069&gt;'user input'!$C$6,0,(C2069/(C2069+EXP('user input'!$C$15-'user input'!$C$14*C2069))))</f>
        <v>0.99987499650668166</v>
      </c>
      <c r="E2069">
        <f>IF(C2069&lt;'user input'!$C$12,(D2069-D2068)*'user input'!$C$17*(1-EXP(5*(F2068-'user input'!$C$17))),F2069-F2068)</f>
        <v>-0.15277777777777635</v>
      </c>
      <c r="F2069">
        <f>IF(C2069&lt;'user input'!$C$12,IF(B2069&gt;'user input'!$C$6,0,F2068+E2069),'user input'!$C$17*((1-C2069)/(1-'user input'!$C$12)))</f>
        <v>2.7916666666666705</v>
      </c>
    </row>
    <row r="2070" spans="1:6" x14ac:dyDescent="0.2">
      <c r="A2070" s="1">
        <v>42246</v>
      </c>
      <c r="B2070">
        <v>243</v>
      </c>
      <c r="C2070">
        <f>IF(B2070&gt;'user input'!$C$6,0,IF('heat units'!H2070&gt;1,1,'heat units'!H2070))</f>
        <v>0.91435185185185186</v>
      </c>
      <c r="D2070">
        <f>IF(B2070&gt;'user input'!$C$6,0,(C2070/(C2070+EXP('user input'!$C$15-'user input'!$C$14*C2070))))</f>
        <v>0.99988771180802716</v>
      </c>
      <c r="E2070">
        <f>IF(C2070&lt;'user input'!$C$12,(D2070-D2069)*'user input'!$C$17*(1-EXP(5*(F2069-'user input'!$C$17))),F2070-F2069)</f>
        <v>-0.22222222222222587</v>
      </c>
      <c r="F2070">
        <f>IF(C2070&lt;'user input'!$C$12,IF(B2070&gt;'user input'!$C$6,0,F2069+E2070),'user input'!$C$17*((1-C2070)/(1-'user input'!$C$12)))</f>
        <v>2.5694444444444446</v>
      </c>
    </row>
    <row r="2071" spans="1:6" x14ac:dyDescent="0.2">
      <c r="A2071" s="1">
        <v>42247</v>
      </c>
      <c r="B2071">
        <v>244</v>
      </c>
      <c r="C2071">
        <f>IF(B2071&gt;'user input'!$C$6,0,IF('heat units'!H2071&gt;1,1,'heat units'!H2071))</f>
        <v>0.92222222222222205</v>
      </c>
      <c r="D2071">
        <f>IF(B2071&gt;'user input'!$C$6,0,(C2071/(C2071+EXP('user input'!$C$15-'user input'!$C$14*C2071))))</f>
        <v>0.99989980065596729</v>
      </c>
      <c r="E2071">
        <f>IF(C2071&lt;'user input'!$C$12,(D2071-D2070)*'user input'!$C$17*(1-EXP(5*(F2070-'user input'!$C$17))),F2071-F2070)</f>
        <v>-0.23611111111110539</v>
      </c>
      <c r="F2071">
        <f>IF(C2071&lt;'user input'!$C$12,IF(B2071&gt;'user input'!$C$6,0,F2070+E2071),'user input'!$C$17*((1-C2071)/(1-'user input'!$C$12)))</f>
        <v>2.3333333333333393</v>
      </c>
    </row>
    <row r="2072" spans="1:6" x14ac:dyDescent="0.2">
      <c r="A2072" s="1">
        <v>42248</v>
      </c>
      <c r="B2072">
        <v>245</v>
      </c>
      <c r="C2072">
        <f>IF(B2072&gt;'user input'!$C$6,0,IF('heat units'!H2072&gt;1,1,'heat units'!H2072))</f>
        <v>0.93194444444444435</v>
      </c>
      <c r="D2072">
        <f>IF(B2072&gt;'user input'!$C$6,0,(C2072/(C2072+EXP('user input'!$C$15-'user input'!$C$14*C2072))))</f>
        <v>0.99991294400390784</v>
      </c>
      <c r="E2072">
        <f>IF(C2072&lt;'user input'!$C$12,(D2072-D2071)*'user input'!$C$17*(1-EXP(5*(F2071-'user input'!$C$17))),F2072-F2071)</f>
        <v>-0.29166666666666963</v>
      </c>
      <c r="F2072">
        <f>IF(C2072&lt;'user input'!$C$12,IF(B2072&gt;'user input'!$C$6,0,F2071+E2072),'user input'!$C$17*((1-C2072)/(1-'user input'!$C$12)))</f>
        <v>2.0416666666666696</v>
      </c>
    </row>
    <row r="2073" spans="1:6" x14ac:dyDescent="0.2">
      <c r="A2073" s="1">
        <v>42249</v>
      </c>
      <c r="B2073">
        <v>246</v>
      </c>
      <c r="C2073">
        <f>IF(B2073&gt;'user input'!$C$6,0,IF('heat units'!H2073&gt;1,1,'heat units'!H2073))</f>
        <v>0.94351851851851842</v>
      </c>
      <c r="D2073">
        <f>IF(B2073&gt;'user input'!$C$6,0,(C2073/(C2073+EXP('user input'!$C$15-'user input'!$C$14*C2073))))</f>
        <v>0.99992635192146195</v>
      </c>
      <c r="E2073">
        <f>IF(C2073&lt;'user input'!$C$12,(D2073-D2072)*'user input'!$C$17*(1-EXP(5*(F2072-'user input'!$C$17))),F2073-F2072)</f>
        <v>-0.34722222222222188</v>
      </c>
      <c r="F2073">
        <f>IF(C2073&lt;'user input'!$C$12,IF(B2073&gt;'user input'!$C$6,0,F2072+E2073),'user input'!$C$17*((1-C2073)/(1-'user input'!$C$12)))</f>
        <v>1.6944444444444478</v>
      </c>
    </row>
    <row r="2074" spans="1:6" x14ac:dyDescent="0.2">
      <c r="A2074" s="1">
        <v>42250</v>
      </c>
      <c r="B2074">
        <v>247</v>
      </c>
      <c r="C2074">
        <f>IF(B2074&gt;'user input'!$C$6,0,IF('heat units'!H2074&gt;1,1,'heat units'!H2074))</f>
        <v>0.95555555555555538</v>
      </c>
      <c r="D2074">
        <f>IF(B2074&gt;'user input'!$C$6,0,(C2074/(C2074+EXP('user input'!$C$15-'user input'!$C$14*C2074))))</f>
        <v>0.99993810051787613</v>
      </c>
      <c r="E2074">
        <f>IF(C2074&lt;'user input'!$C$12,(D2074-D2073)*'user input'!$C$17*(1-EXP(5*(F2073-'user input'!$C$17))),F2074-F2073)</f>
        <v>-0.36111111111110894</v>
      </c>
      <c r="F2074">
        <f>IF(C2074&lt;'user input'!$C$12,IF(B2074&gt;'user input'!$C$6,0,F2073+E2074),'user input'!$C$17*((1-C2074)/(1-'user input'!$C$12)))</f>
        <v>1.3333333333333388</v>
      </c>
    </row>
    <row r="2075" spans="1:6" x14ac:dyDescent="0.2">
      <c r="A2075" s="1">
        <v>42251</v>
      </c>
      <c r="B2075">
        <v>248</v>
      </c>
      <c r="C2075">
        <f>IF(B2075&gt;'user input'!$C$6,0,IF('heat units'!H2075&gt;1,1,'heat units'!H2075))</f>
        <v>0.96759259259259234</v>
      </c>
      <c r="D2075">
        <f>IF(B2075&gt;'user input'!$C$6,0,(C2075/(C2075+EXP('user input'!$C$15-'user input'!$C$14*C2075))))</f>
        <v>0.99994796677873554</v>
      </c>
      <c r="E2075">
        <f>IF(C2075&lt;'user input'!$C$12,(D2075-D2074)*'user input'!$C$17*(1-EXP(5*(F2074-'user input'!$C$17))),F2075-F2074)</f>
        <v>-0.36111111111110872</v>
      </c>
      <c r="F2075">
        <f>IF(C2075&lt;'user input'!$C$12,IF(B2075&gt;'user input'!$C$6,0,F2074+E2075),'user input'!$C$17*((1-C2075)/(1-'user input'!$C$12)))</f>
        <v>0.97222222222223009</v>
      </c>
    </row>
    <row r="2076" spans="1:6" x14ac:dyDescent="0.2">
      <c r="A2076" s="1">
        <v>42252</v>
      </c>
      <c r="B2076">
        <v>249</v>
      </c>
      <c r="C2076">
        <f>IF(B2076&gt;'user input'!$C$6,0,IF('heat units'!H2076&gt;1,1,'heat units'!H2076))</f>
        <v>0.97962962962962929</v>
      </c>
      <c r="D2076">
        <f>IF(B2076&gt;'user input'!$C$6,0,(C2076/(C2076+EXP('user input'!$C$15-'user input'!$C$14*C2076))))</f>
        <v>0.9999562537389397</v>
      </c>
      <c r="E2076">
        <f>IF(C2076&lt;'user input'!$C$12,(D2076-D2075)*'user input'!$C$17*(1-EXP(5*(F2075-'user input'!$C$17))),F2076-F2075)</f>
        <v>-0.36111111111110872</v>
      </c>
      <c r="F2076">
        <f>IF(C2076&lt;'user input'!$C$12,IF(B2076&gt;'user input'!$C$6,0,F2075+E2076),'user input'!$C$17*((1-C2076)/(1-'user input'!$C$12)))</f>
        <v>0.61111111111112137</v>
      </c>
    </row>
    <row r="2077" spans="1:6" x14ac:dyDescent="0.2">
      <c r="A2077" s="1">
        <v>42253</v>
      </c>
      <c r="B2077">
        <v>250</v>
      </c>
      <c r="C2077">
        <f>IF(B2077&gt;'user input'!$C$6,0,IF('heat units'!H2077&gt;1,1,'heat units'!H2077))</f>
        <v>0.99143518518518492</v>
      </c>
      <c r="D2077">
        <f>IF(B2077&gt;'user input'!$C$6,0,(C2077/(C2077+EXP('user input'!$C$15-'user input'!$C$14*C2077))))</f>
        <v>0.99996309262526928</v>
      </c>
      <c r="E2077">
        <f>IF(C2077&lt;'user input'!$C$12,(D2077-D2076)*'user input'!$C$17*(1-EXP(5*(F2076-'user input'!$C$17))),F2077-F2076)</f>
        <v>-0.35416666666666891</v>
      </c>
      <c r="F2077">
        <f>IF(C2077&lt;'user input'!$C$12,IF(B2077&gt;'user input'!$C$6,0,F2076+E2077),'user input'!$C$17*((1-C2077)/(1-'user input'!$C$12)))</f>
        <v>0.25694444444445247</v>
      </c>
    </row>
    <row r="2078" spans="1:6" x14ac:dyDescent="0.2">
      <c r="A2078" s="1">
        <v>42254</v>
      </c>
      <c r="B2078">
        <v>251</v>
      </c>
      <c r="C2078">
        <f>IF(B2078&gt;'user input'!$C$6,0,IF('heat units'!H2078&gt;1,1,'heat units'!H2078))</f>
        <v>1</v>
      </c>
      <c r="D2078">
        <f>IF(B2078&gt;'user input'!$C$6,0,(C2078/(C2078+EXP('user input'!$C$15-'user input'!$C$14*C2078))))</f>
        <v>0.99996737202265329</v>
      </c>
      <c r="E2078">
        <f>IF(C2078&lt;'user input'!$C$12,(D2078-D2077)*'user input'!$C$17*(1-EXP(5*(F2077-'user input'!$C$17))),F2078-F2077)</f>
        <v>-0.25694444444445247</v>
      </c>
      <c r="F2078">
        <f>IF(C2078&lt;'user input'!$C$12,IF(B2078&gt;'user input'!$C$6,0,F2077+E2078),'user input'!$C$17*((1-C2078)/(1-'user input'!$C$12)))</f>
        <v>0</v>
      </c>
    </row>
    <row r="2079" spans="1:6" x14ac:dyDescent="0.2">
      <c r="A2079" s="1">
        <v>42255</v>
      </c>
      <c r="B2079">
        <v>252</v>
      </c>
      <c r="C2079">
        <f>IF(B2079&gt;'user input'!$C$6,0,IF('heat units'!H2079&gt;1,1,'heat units'!H2079))</f>
        <v>1</v>
      </c>
      <c r="D2079">
        <f>IF(B2079&gt;'user input'!$C$6,0,(C2079/(C2079+EXP('user input'!$C$15-'user input'!$C$14*C2079))))</f>
        <v>0.99996737202265329</v>
      </c>
      <c r="E2079">
        <f>IF(C2079&lt;'user input'!$C$12,(D2079-D2078)*'user input'!$C$17*(1-EXP(5*(F2078-'user input'!$C$17))),F2079-F2078)</f>
        <v>0</v>
      </c>
      <c r="F2079">
        <f>IF(C2079&lt;'user input'!$C$12,IF(B2079&gt;'user input'!$C$6,0,F2078+E2079),'user input'!$C$17*((1-C2079)/(1-'user input'!$C$12)))</f>
        <v>0</v>
      </c>
    </row>
    <row r="2080" spans="1:6" x14ac:dyDescent="0.2">
      <c r="A2080" s="1">
        <v>42256</v>
      </c>
      <c r="B2080">
        <v>253</v>
      </c>
      <c r="C2080">
        <f>IF(B2080&gt;'user input'!$C$6,0,IF('heat units'!H2080&gt;1,1,'heat units'!H2080))</f>
        <v>1</v>
      </c>
      <c r="D2080">
        <f>IF(B2080&gt;'user input'!$C$6,0,(C2080/(C2080+EXP('user input'!$C$15-'user input'!$C$14*C2080))))</f>
        <v>0.99996737202265329</v>
      </c>
      <c r="E2080">
        <f>IF(C2080&lt;'user input'!$C$12,(D2080-D2079)*'user input'!$C$17*(1-EXP(5*(F2079-'user input'!$C$17))),F2080-F2079)</f>
        <v>0</v>
      </c>
      <c r="F2080">
        <f>IF(C2080&lt;'user input'!$C$12,IF(B2080&gt;'user input'!$C$6,0,F2079+E2080),'user input'!$C$17*((1-C2080)/(1-'user input'!$C$12)))</f>
        <v>0</v>
      </c>
    </row>
    <row r="2081" spans="1:6" x14ac:dyDescent="0.2">
      <c r="A2081" s="1">
        <v>42257</v>
      </c>
      <c r="B2081">
        <v>254</v>
      </c>
      <c r="C2081">
        <f>IF(B2081&gt;'user input'!$C$6,0,IF('heat units'!H2081&gt;1,1,'heat units'!H2081))</f>
        <v>1</v>
      </c>
      <c r="D2081">
        <f>IF(B2081&gt;'user input'!$C$6,0,(C2081/(C2081+EXP('user input'!$C$15-'user input'!$C$14*C2081))))</f>
        <v>0.99996737202265329</v>
      </c>
      <c r="E2081">
        <f>IF(C2081&lt;'user input'!$C$12,(D2081-D2080)*'user input'!$C$17*(1-EXP(5*(F2080-'user input'!$C$17))),F2081-F2080)</f>
        <v>0</v>
      </c>
      <c r="F2081">
        <f>IF(C2081&lt;'user input'!$C$12,IF(B2081&gt;'user input'!$C$6,0,F2080+E2081),'user input'!$C$17*((1-C2081)/(1-'user input'!$C$12)))</f>
        <v>0</v>
      </c>
    </row>
    <row r="2082" spans="1:6" x14ac:dyDescent="0.2">
      <c r="A2082" s="1">
        <v>42258</v>
      </c>
      <c r="B2082">
        <v>255</v>
      </c>
      <c r="C2082">
        <f>IF(B2082&gt;'user input'!$C$6,0,IF('heat units'!H2082&gt;1,1,'heat units'!H2082))</f>
        <v>1</v>
      </c>
      <c r="D2082">
        <f>IF(B2082&gt;'user input'!$C$6,0,(C2082/(C2082+EXP('user input'!$C$15-'user input'!$C$14*C2082))))</f>
        <v>0.99996737202265329</v>
      </c>
      <c r="E2082">
        <f>IF(C2082&lt;'user input'!$C$12,(D2082-D2081)*'user input'!$C$17*(1-EXP(5*(F2081-'user input'!$C$17))),F2082-F2081)</f>
        <v>0</v>
      </c>
      <c r="F2082">
        <f>IF(C2082&lt;'user input'!$C$12,IF(B2082&gt;'user input'!$C$6,0,F2081+E2082),'user input'!$C$17*((1-C2082)/(1-'user input'!$C$12)))</f>
        <v>0</v>
      </c>
    </row>
    <row r="2083" spans="1:6" x14ac:dyDescent="0.2">
      <c r="A2083" s="1">
        <v>42259</v>
      </c>
      <c r="B2083">
        <v>256</v>
      </c>
      <c r="C2083">
        <f>IF(B2083&gt;'user input'!$C$6,0,IF('heat units'!H2083&gt;1,1,'heat units'!H2083))</f>
        <v>1</v>
      </c>
      <c r="D2083">
        <f>IF(B2083&gt;'user input'!$C$6,0,(C2083/(C2083+EXP('user input'!$C$15-'user input'!$C$14*C2083))))</f>
        <v>0.99996737202265329</v>
      </c>
      <c r="E2083">
        <f>IF(C2083&lt;'user input'!$C$12,(D2083-D2082)*'user input'!$C$17*(1-EXP(5*(F2082-'user input'!$C$17))),F2083-F2082)</f>
        <v>0</v>
      </c>
      <c r="F2083">
        <f>IF(C2083&lt;'user input'!$C$12,IF(B2083&gt;'user input'!$C$6,0,F2082+E2083),'user input'!$C$17*((1-C2083)/(1-'user input'!$C$12)))</f>
        <v>0</v>
      </c>
    </row>
    <row r="2084" spans="1:6" x14ac:dyDescent="0.2">
      <c r="A2084" s="1">
        <v>42260</v>
      </c>
      <c r="B2084">
        <v>257</v>
      </c>
      <c r="C2084">
        <f>IF(B2084&gt;'user input'!$C$6,0,IF('heat units'!H2084&gt;1,1,'heat units'!H2084))</f>
        <v>1</v>
      </c>
      <c r="D2084">
        <f>IF(B2084&gt;'user input'!$C$6,0,(C2084/(C2084+EXP('user input'!$C$15-'user input'!$C$14*C2084))))</f>
        <v>0.99996737202265329</v>
      </c>
      <c r="E2084">
        <f>IF(C2084&lt;'user input'!$C$12,(D2084-D2083)*'user input'!$C$17*(1-EXP(5*(F2083-'user input'!$C$17))),F2084-F2083)</f>
        <v>0</v>
      </c>
      <c r="F2084">
        <f>IF(C2084&lt;'user input'!$C$12,IF(B2084&gt;'user input'!$C$6,0,F2083+E2084),'user input'!$C$17*((1-C2084)/(1-'user input'!$C$12)))</f>
        <v>0</v>
      </c>
    </row>
    <row r="2085" spans="1:6" x14ac:dyDescent="0.2">
      <c r="A2085" s="1">
        <v>42261</v>
      </c>
      <c r="B2085">
        <v>258</v>
      </c>
      <c r="C2085">
        <f>IF(B2085&gt;'user input'!$C$6,0,IF('heat units'!H2085&gt;1,1,'heat units'!H2085))</f>
        <v>1</v>
      </c>
      <c r="D2085">
        <f>IF(B2085&gt;'user input'!$C$6,0,(C2085/(C2085+EXP('user input'!$C$15-'user input'!$C$14*C2085))))</f>
        <v>0.99996737202265329</v>
      </c>
      <c r="E2085">
        <f>IF(C2085&lt;'user input'!$C$12,(D2085-D2084)*'user input'!$C$17*(1-EXP(5*(F2084-'user input'!$C$17))),F2085-F2084)</f>
        <v>0</v>
      </c>
      <c r="F2085">
        <f>IF(C2085&lt;'user input'!$C$12,IF(B2085&gt;'user input'!$C$6,0,F2084+E2085),'user input'!$C$17*((1-C2085)/(1-'user input'!$C$12)))</f>
        <v>0</v>
      </c>
    </row>
    <row r="2086" spans="1:6" x14ac:dyDescent="0.2">
      <c r="A2086" s="1">
        <v>42262</v>
      </c>
      <c r="B2086">
        <v>259</v>
      </c>
      <c r="C2086">
        <f>IF(B2086&gt;'user input'!$C$6,0,IF('heat units'!H2086&gt;1,1,'heat units'!H2086))</f>
        <v>1</v>
      </c>
      <c r="D2086">
        <f>IF(B2086&gt;'user input'!$C$6,0,(C2086/(C2086+EXP('user input'!$C$15-'user input'!$C$14*C2086))))</f>
        <v>0.99996737202265329</v>
      </c>
      <c r="E2086">
        <f>IF(C2086&lt;'user input'!$C$12,(D2086-D2085)*'user input'!$C$17*(1-EXP(5*(F2085-'user input'!$C$17))),F2086-F2085)</f>
        <v>0</v>
      </c>
      <c r="F2086">
        <f>IF(C2086&lt;'user input'!$C$12,IF(B2086&gt;'user input'!$C$6,0,F2085+E2086),'user input'!$C$17*((1-C2086)/(1-'user input'!$C$12)))</f>
        <v>0</v>
      </c>
    </row>
    <row r="2087" spans="1:6" x14ac:dyDescent="0.2">
      <c r="A2087" s="1">
        <v>42263</v>
      </c>
      <c r="B2087">
        <v>260</v>
      </c>
      <c r="C2087">
        <f>IF(B2087&gt;'user input'!$C$6,0,IF('heat units'!H2087&gt;1,1,'heat units'!H2087))</f>
        <v>1</v>
      </c>
      <c r="D2087">
        <f>IF(B2087&gt;'user input'!$C$6,0,(C2087/(C2087+EXP('user input'!$C$15-'user input'!$C$14*C2087))))</f>
        <v>0.99996737202265329</v>
      </c>
      <c r="E2087">
        <f>IF(C2087&lt;'user input'!$C$12,(D2087-D2086)*'user input'!$C$17*(1-EXP(5*(F2086-'user input'!$C$17))),F2087-F2086)</f>
        <v>0</v>
      </c>
      <c r="F2087">
        <f>IF(C2087&lt;'user input'!$C$12,IF(B2087&gt;'user input'!$C$6,0,F2086+E2087),'user input'!$C$17*((1-C2087)/(1-'user input'!$C$12)))</f>
        <v>0</v>
      </c>
    </row>
    <row r="2088" spans="1:6" x14ac:dyDescent="0.2">
      <c r="A2088" s="1">
        <v>42264</v>
      </c>
      <c r="B2088">
        <v>261</v>
      </c>
      <c r="C2088">
        <f>IF(B2088&gt;'user input'!$C$6,0,IF('heat units'!H2088&gt;1,1,'heat units'!H2088))</f>
        <v>1</v>
      </c>
      <c r="D2088">
        <f>IF(B2088&gt;'user input'!$C$6,0,(C2088/(C2088+EXP('user input'!$C$15-'user input'!$C$14*C2088))))</f>
        <v>0.99996737202265329</v>
      </c>
      <c r="E2088">
        <f>IF(C2088&lt;'user input'!$C$12,(D2088-D2087)*'user input'!$C$17*(1-EXP(5*(F2087-'user input'!$C$17))),F2088-F2087)</f>
        <v>0</v>
      </c>
      <c r="F2088">
        <f>IF(C2088&lt;'user input'!$C$12,IF(B2088&gt;'user input'!$C$6,0,F2087+E2088),'user input'!$C$17*((1-C2088)/(1-'user input'!$C$12)))</f>
        <v>0</v>
      </c>
    </row>
    <row r="2089" spans="1:6" x14ac:dyDescent="0.2">
      <c r="A2089" s="1">
        <v>42265</v>
      </c>
      <c r="B2089">
        <v>262</v>
      </c>
      <c r="C2089">
        <f>IF(B2089&gt;'user input'!$C$6,0,IF('heat units'!H2089&gt;1,1,'heat units'!H2089))</f>
        <v>1</v>
      </c>
      <c r="D2089">
        <f>IF(B2089&gt;'user input'!$C$6,0,(C2089/(C2089+EXP('user input'!$C$15-'user input'!$C$14*C2089))))</f>
        <v>0.99996737202265329</v>
      </c>
      <c r="E2089">
        <f>IF(C2089&lt;'user input'!$C$12,(D2089-D2088)*'user input'!$C$17*(1-EXP(5*(F2088-'user input'!$C$17))),F2089-F2088)</f>
        <v>0</v>
      </c>
      <c r="F2089">
        <f>IF(C2089&lt;'user input'!$C$12,IF(B2089&gt;'user input'!$C$6,0,F2088+E2089),'user input'!$C$17*((1-C2089)/(1-'user input'!$C$12)))</f>
        <v>0</v>
      </c>
    </row>
    <row r="2090" spans="1:6" x14ac:dyDescent="0.2">
      <c r="A2090" s="1">
        <v>42266</v>
      </c>
      <c r="B2090">
        <v>263</v>
      </c>
      <c r="C2090">
        <f>IF(B2090&gt;'user input'!$C$6,0,IF('heat units'!H2090&gt;1,1,'heat units'!H2090))</f>
        <v>1</v>
      </c>
      <c r="D2090">
        <f>IF(B2090&gt;'user input'!$C$6,0,(C2090/(C2090+EXP('user input'!$C$15-'user input'!$C$14*C2090))))</f>
        <v>0.99996737202265329</v>
      </c>
      <c r="E2090">
        <f>IF(C2090&lt;'user input'!$C$12,(D2090-D2089)*'user input'!$C$17*(1-EXP(5*(F2089-'user input'!$C$17))),F2090-F2089)</f>
        <v>0</v>
      </c>
      <c r="F2090">
        <f>IF(C2090&lt;'user input'!$C$12,IF(B2090&gt;'user input'!$C$6,0,F2089+E2090),'user input'!$C$17*((1-C2090)/(1-'user input'!$C$12)))</f>
        <v>0</v>
      </c>
    </row>
    <row r="2091" spans="1:6" x14ac:dyDescent="0.2">
      <c r="A2091" s="1">
        <v>42267</v>
      </c>
      <c r="B2091">
        <v>264</v>
      </c>
      <c r="C2091">
        <f>IF(B2091&gt;'user input'!$C$6,0,IF('heat units'!H2091&gt;1,1,'heat units'!H2091))</f>
        <v>1</v>
      </c>
      <c r="D2091">
        <f>IF(B2091&gt;'user input'!$C$6,0,(C2091/(C2091+EXP('user input'!$C$15-'user input'!$C$14*C2091))))</f>
        <v>0.99996737202265329</v>
      </c>
      <c r="E2091">
        <f>IF(C2091&lt;'user input'!$C$12,(D2091-D2090)*'user input'!$C$17*(1-EXP(5*(F2090-'user input'!$C$17))),F2091-F2090)</f>
        <v>0</v>
      </c>
      <c r="F2091">
        <f>IF(C2091&lt;'user input'!$C$12,IF(B2091&gt;'user input'!$C$6,0,F2090+E2091),'user input'!$C$17*((1-C2091)/(1-'user input'!$C$12)))</f>
        <v>0</v>
      </c>
    </row>
    <row r="2092" spans="1:6" x14ac:dyDescent="0.2">
      <c r="A2092" s="1">
        <v>42268</v>
      </c>
      <c r="B2092">
        <v>265</v>
      </c>
      <c r="C2092">
        <f>IF(B2092&gt;'user input'!$C$6,0,IF('heat units'!H2092&gt;1,1,'heat units'!H2092))</f>
        <v>1</v>
      </c>
      <c r="D2092">
        <f>IF(B2092&gt;'user input'!$C$6,0,(C2092/(C2092+EXP('user input'!$C$15-'user input'!$C$14*C2092))))</f>
        <v>0.99996737202265329</v>
      </c>
      <c r="E2092">
        <f>IF(C2092&lt;'user input'!$C$12,(D2092-D2091)*'user input'!$C$17*(1-EXP(5*(F2091-'user input'!$C$17))),F2092-F2091)</f>
        <v>0</v>
      </c>
      <c r="F2092">
        <f>IF(C2092&lt;'user input'!$C$12,IF(B2092&gt;'user input'!$C$6,0,F2091+E2092),'user input'!$C$17*((1-C2092)/(1-'user input'!$C$12)))</f>
        <v>0</v>
      </c>
    </row>
    <row r="2093" spans="1:6" x14ac:dyDescent="0.2">
      <c r="A2093" s="1">
        <v>42269</v>
      </c>
      <c r="B2093">
        <v>266</v>
      </c>
      <c r="C2093">
        <f>IF(B2093&gt;'user input'!$C$6,0,IF('heat units'!H2093&gt;1,1,'heat units'!H2093))</f>
        <v>1</v>
      </c>
      <c r="D2093">
        <f>IF(B2093&gt;'user input'!$C$6,0,(C2093/(C2093+EXP('user input'!$C$15-'user input'!$C$14*C2093))))</f>
        <v>0.99996737202265329</v>
      </c>
      <c r="E2093">
        <f>IF(C2093&lt;'user input'!$C$12,(D2093-D2092)*'user input'!$C$17*(1-EXP(5*(F2092-'user input'!$C$17))),F2093-F2092)</f>
        <v>0</v>
      </c>
      <c r="F2093">
        <f>IF(C2093&lt;'user input'!$C$12,IF(B2093&gt;'user input'!$C$6,0,F2092+E2093),'user input'!$C$17*((1-C2093)/(1-'user input'!$C$12)))</f>
        <v>0</v>
      </c>
    </row>
    <row r="2094" spans="1:6" x14ac:dyDescent="0.2">
      <c r="A2094" s="1">
        <v>42270</v>
      </c>
      <c r="B2094">
        <v>267</v>
      </c>
      <c r="C2094">
        <f>IF(B2094&gt;'user input'!$C$6,0,IF('heat units'!H2094&gt;1,1,'heat units'!H2094))</f>
        <v>1</v>
      </c>
      <c r="D2094">
        <f>IF(B2094&gt;'user input'!$C$6,0,(C2094/(C2094+EXP('user input'!$C$15-'user input'!$C$14*C2094))))</f>
        <v>0.99996737202265329</v>
      </c>
      <c r="E2094">
        <f>IF(C2094&lt;'user input'!$C$12,(D2094-D2093)*'user input'!$C$17*(1-EXP(5*(F2093-'user input'!$C$17))),F2094-F2093)</f>
        <v>0</v>
      </c>
      <c r="F2094">
        <f>IF(C2094&lt;'user input'!$C$12,IF(B2094&gt;'user input'!$C$6,0,F2093+E2094),'user input'!$C$17*((1-C2094)/(1-'user input'!$C$12)))</f>
        <v>0</v>
      </c>
    </row>
    <row r="2095" spans="1:6" x14ac:dyDescent="0.2">
      <c r="A2095" s="1">
        <v>42271</v>
      </c>
      <c r="B2095">
        <v>268</v>
      </c>
      <c r="C2095">
        <f>IF(B2095&gt;'user input'!$C$6,0,IF('heat units'!H2095&gt;1,1,'heat units'!H2095))</f>
        <v>1</v>
      </c>
      <c r="D2095">
        <f>IF(B2095&gt;'user input'!$C$6,0,(C2095/(C2095+EXP('user input'!$C$15-'user input'!$C$14*C2095))))</f>
        <v>0.99996737202265329</v>
      </c>
      <c r="E2095">
        <f>IF(C2095&lt;'user input'!$C$12,(D2095-D2094)*'user input'!$C$17*(1-EXP(5*(F2094-'user input'!$C$17))),F2095-F2094)</f>
        <v>0</v>
      </c>
      <c r="F2095">
        <f>IF(C2095&lt;'user input'!$C$12,IF(B2095&gt;'user input'!$C$6,0,F2094+E2095),'user input'!$C$17*((1-C2095)/(1-'user input'!$C$12)))</f>
        <v>0</v>
      </c>
    </row>
    <row r="2096" spans="1:6" x14ac:dyDescent="0.2">
      <c r="A2096" s="1">
        <v>42272</v>
      </c>
      <c r="B2096">
        <v>269</v>
      </c>
      <c r="C2096">
        <f>IF(B2096&gt;'user input'!$C$6,0,IF('heat units'!H2096&gt;1,1,'heat units'!H2096))</f>
        <v>1</v>
      </c>
      <c r="D2096">
        <f>IF(B2096&gt;'user input'!$C$6,0,(C2096/(C2096+EXP('user input'!$C$15-'user input'!$C$14*C2096))))</f>
        <v>0.99996737202265329</v>
      </c>
      <c r="E2096">
        <f>IF(C2096&lt;'user input'!$C$12,(D2096-D2095)*'user input'!$C$17*(1-EXP(5*(F2095-'user input'!$C$17))),F2096-F2095)</f>
        <v>0</v>
      </c>
      <c r="F2096">
        <f>IF(C2096&lt;'user input'!$C$12,IF(B2096&gt;'user input'!$C$6,0,F2095+E2096),'user input'!$C$17*((1-C2096)/(1-'user input'!$C$12)))</f>
        <v>0</v>
      </c>
    </row>
    <row r="2097" spans="1:6" x14ac:dyDescent="0.2">
      <c r="A2097" s="1">
        <v>42273</v>
      </c>
      <c r="B2097">
        <v>270</v>
      </c>
      <c r="C2097">
        <f>IF(B2097&gt;'user input'!$C$6,0,IF('heat units'!H2097&gt;1,1,'heat units'!H2097))</f>
        <v>1</v>
      </c>
      <c r="D2097">
        <f>IF(B2097&gt;'user input'!$C$6,0,(C2097/(C2097+EXP('user input'!$C$15-'user input'!$C$14*C2097))))</f>
        <v>0.99996737202265329</v>
      </c>
      <c r="E2097">
        <f>IF(C2097&lt;'user input'!$C$12,(D2097-D2096)*'user input'!$C$17*(1-EXP(5*(F2096-'user input'!$C$17))),F2097-F2096)</f>
        <v>0</v>
      </c>
      <c r="F2097">
        <f>IF(C2097&lt;'user input'!$C$12,IF(B2097&gt;'user input'!$C$6,0,F2096+E2097),'user input'!$C$17*((1-C2097)/(1-'user input'!$C$12)))</f>
        <v>0</v>
      </c>
    </row>
    <row r="2098" spans="1:6" x14ac:dyDescent="0.2">
      <c r="A2098" s="1">
        <v>42274</v>
      </c>
      <c r="B2098">
        <v>271</v>
      </c>
      <c r="C2098">
        <f>IF(B2098&gt;'user input'!$C$6,0,IF('heat units'!H2098&gt;1,1,'heat units'!H2098))</f>
        <v>1</v>
      </c>
      <c r="D2098">
        <f>IF(B2098&gt;'user input'!$C$6,0,(C2098/(C2098+EXP('user input'!$C$15-'user input'!$C$14*C2098))))</f>
        <v>0.99996737202265329</v>
      </c>
      <c r="E2098">
        <f>IF(C2098&lt;'user input'!$C$12,(D2098-D2097)*'user input'!$C$17*(1-EXP(5*(F2097-'user input'!$C$17))),F2098-F2097)</f>
        <v>0</v>
      </c>
      <c r="F2098">
        <f>IF(C2098&lt;'user input'!$C$12,IF(B2098&gt;'user input'!$C$6,0,F2097+E2098),'user input'!$C$17*((1-C2098)/(1-'user input'!$C$12)))</f>
        <v>0</v>
      </c>
    </row>
    <row r="2099" spans="1:6" x14ac:dyDescent="0.2">
      <c r="A2099" s="1">
        <v>42275</v>
      </c>
      <c r="B2099">
        <v>272</v>
      </c>
      <c r="C2099">
        <f>IF(B2099&gt;'user input'!$C$6,0,IF('heat units'!H2099&gt;1,1,'heat units'!H2099))</f>
        <v>1</v>
      </c>
      <c r="D2099">
        <f>IF(B2099&gt;'user input'!$C$6,0,(C2099/(C2099+EXP('user input'!$C$15-'user input'!$C$14*C2099))))</f>
        <v>0.99996737202265329</v>
      </c>
      <c r="E2099">
        <f>IF(C2099&lt;'user input'!$C$12,(D2099-D2098)*'user input'!$C$17*(1-EXP(5*(F2098-'user input'!$C$17))),F2099-F2098)</f>
        <v>0</v>
      </c>
      <c r="F2099">
        <f>IF(C2099&lt;'user input'!$C$12,IF(B2099&gt;'user input'!$C$6,0,F2098+E2099),'user input'!$C$17*((1-C2099)/(1-'user input'!$C$12)))</f>
        <v>0</v>
      </c>
    </row>
    <row r="2100" spans="1:6" x14ac:dyDescent="0.2">
      <c r="A2100" s="1">
        <v>42276</v>
      </c>
      <c r="B2100">
        <v>273</v>
      </c>
      <c r="C2100">
        <f>IF(B2100&gt;'user input'!$C$6,0,IF('heat units'!H2100&gt;1,1,'heat units'!H2100))</f>
        <v>1</v>
      </c>
      <c r="D2100">
        <f>IF(B2100&gt;'user input'!$C$6,0,(C2100/(C2100+EXP('user input'!$C$15-'user input'!$C$14*C2100))))</f>
        <v>0.99996737202265329</v>
      </c>
      <c r="E2100">
        <f>IF(C2100&lt;'user input'!$C$12,(D2100-D2099)*'user input'!$C$17*(1-EXP(5*(F2099-'user input'!$C$17))),F2100-F2099)</f>
        <v>0</v>
      </c>
      <c r="F2100">
        <f>IF(C2100&lt;'user input'!$C$12,IF(B2100&gt;'user input'!$C$6,0,F2099+E2100),'user input'!$C$17*((1-C2100)/(1-'user input'!$C$12)))</f>
        <v>0</v>
      </c>
    </row>
    <row r="2101" spans="1:6" x14ac:dyDescent="0.2">
      <c r="A2101" s="1">
        <v>42277</v>
      </c>
      <c r="B2101">
        <v>274</v>
      </c>
      <c r="C2101">
        <f>IF(B2101&gt;'user input'!$C$6,0,IF('heat units'!H2101&gt;1,1,'heat units'!H2101))</f>
        <v>1</v>
      </c>
      <c r="D2101">
        <f>IF(B2101&gt;'user input'!$C$6,0,(C2101/(C2101+EXP('user input'!$C$15-'user input'!$C$14*C2101))))</f>
        <v>0.99996737202265329</v>
      </c>
      <c r="E2101">
        <f>IF(C2101&lt;'user input'!$C$12,(D2101-D2100)*'user input'!$C$17*(1-EXP(5*(F2100-'user input'!$C$17))),F2101-F2100)</f>
        <v>0</v>
      </c>
      <c r="F2101">
        <f>IF(C2101&lt;'user input'!$C$12,IF(B2101&gt;'user input'!$C$6,0,F2100+E2101),'user input'!$C$17*((1-C2101)/(1-'user input'!$C$12)))</f>
        <v>0</v>
      </c>
    </row>
    <row r="2102" spans="1:6" x14ac:dyDescent="0.2">
      <c r="A2102" s="1">
        <v>42278</v>
      </c>
      <c r="B2102">
        <v>275</v>
      </c>
      <c r="C2102">
        <f>IF(B2102&gt;'user input'!$C$6,0,IF('heat units'!H2102&gt;1,1,'heat units'!H2102))</f>
        <v>1</v>
      </c>
      <c r="D2102">
        <f>IF(B2102&gt;'user input'!$C$6,0,(C2102/(C2102+EXP('user input'!$C$15-'user input'!$C$14*C2102))))</f>
        <v>0.99996737202265329</v>
      </c>
      <c r="E2102">
        <f>IF(C2102&lt;'user input'!$C$12,(D2102-D2101)*'user input'!$C$17*(1-EXP(5*(F2101-'user input'!$C$17))),F2102-F2101)</f>
        <v>0</v>
      </c>
      <c r="F2102">
        <f>IF(C2102&lt;'user input'!$C$12,IF(B2102&gt;'user input'!$C$6,0,F2101+E2102),'user input'!$C$17*((1-C2102)/(1-'user input'!$C$12)))</f>
        <v>0</v>
      </c>
    </row>
    <row r="2103" spans="1:6" x14ac:dyDescent="0.2">
      <c r="A2103" s="1">
        <v>42279</v>
      </c>
      <c r="B2103">
        <v>276</v>
      </c>
      <c r="C2103">
        <f>IF(B2103&gt;'user input'!$C$6,0,IF('heat units'!H2103&gt;1,1,'heat units'!H2103))</f>
        <v>1</v>
      </c>
      <c r="D2103">
        <f>IF(B2103&gt;'user input'!$C$6,0,(C2103/(C2103+EXP('user input'!$C$15-'user input'!$C$14*C2103))))</f>
        <v>0.99996737202265329</v>
      </c>
      <c r="E2103">
        <f>IF(C2103&lt;'user input'!$C$12,(D2103-D2102)*'user input'!$C$17*(1-EXP(5*(F2102-'user input'!$C$17))),F2103-F2102)</f>
        <v>0</v>
      </c>
      <c r="F2103">
        <f>IF(C2103&lt;'user input'!$C$12,IF(B2103&gt;'user input'!$C$6,0,F2102+E2103),'user input'!$C$17*((1-C2103)/(1-'user input'!$C$12)))</f>
        <v>0</v>
      </c>
    </row>
    <row r="2104" spans="1:6" x14ac:dyDescent="0.2">
      <c r="A2104" s="1">
        <v>42280</v>
      </c>
      <c r="B2104">
        <v>277</v>
      </c>
      <c r="C2104">
        <f>IF(B2104&gt;'user input'!$C$6,0,IF('heat units'!H2104&gt;1,1,'heat units'!H2104))</f>
        <v>1</v>
      </c>
      <c r="D2104">
        <f>IF(B2104&gt;'user input'!$C$6,0,(C2104/(C2104+EXP('user input'!$C$15-'user input'!$C$14*C2104))))</f>
        <v>0.99996737202265329</v>
      </c>
      <c r="E2104">
        <f>IF(C2104&lt;'user input'!$C$12,(D2104-D2103)*'user input'!$C$17*(1-EXP(5*(F2103-'user input'!$C$17))),F2104-F2103)</f>
        <v>0</v>
      </c>
      <c r="F2104">
        <f>IF(C2104&lt;'user input'!$C$12,IF(B2104&gt;'user input'!$C$6,0,F2103+E2104),'user input'!$C$17*((1-C2104)/(1-'user input'!$C$12)))</f>
        <v>0</v>
      </c>
    </row>
    <row r="2105" spans="1:6" x14ac:dyDescent="0.2">
      <c r="A2105" s="1">
        <v>42281</v>
      </c>
      <c r="B2105">
        <v>278</v>
      </c>
      <c r="C2105">
        <f>IF(B2105&gt;'user input'!$C$6,0,IF('heat units'!H2105&gt;1,1,'heat units'!H2105))</f>
        <v>1</v>
      </c>
      <c r="D2105">
        <f>IF(B2105&gt;'user input'!$C$6,0,(C2105/(C2105+EXP('user input'!$C$15-'user input'!$C$14*C2105))))</f>
        <v>0.99996737202265329</v>
      </c>
      <c r="E2105">
        <f>IF(C2105&lt;'user input'!$C$12,(D2105-D2104)*'user input'!$C$17*(1-EXP(5*(F2104-'user input'!$C$17))),F2105-F2104)</f>
        <v>0</v>
      </c>
      <c r="F2105">
        <f>IF(C2105&lt;'user input'!$C$12,IF(B2105&gt;'user input'!$C$6,0,F2104+E2105),'user input'!$C$17*((1-C2105)/(1-'user input'!$C$12)))</f>
        <v>0</v>
      </c>
    </row>
    <row r="2106" spans="1:6" x14ac:dyDescent="0.2">
      <c r="A2106" s="1">
        <v>42282</v>
      </c>
      <c r="B2106">
        <v>279</v>
      </c>
      <c r="C2106">
        <f>IF(B2106&gt;'user input'!$C$6,0,IF('heat units'!H2106&gt;1,1,'heat units'!H2106))</f>
        <v>1</v>
      </c>
      <c r="D2106">
        <f>IF(B2106&gt;'user input'!$C$6,0,(C2106/(C2106+EXP('user input'!$C$15-'user input'!$C$14*C2106))))</f>
        <v>0.99996737202265329</v>
      </c>
      <c r="E2106">
        <f>IF(C2106&lt;'user input'!$C$12,(D2106-D2105)*'user input'!$C$17*(1-EXP(5*(F2105-'user input'!$C$17))),F2106-F2105)</f>
        <v>0</v>
      </c>
      <c r="F2106">
        <f>IF(C2106&lt;'user input'!$C$12,IF(B2106&gt;'user input'!$C$6,0,F2105+E2106),'user input'!$C$17*((1-C2106)/(1-'user input'!$C$12)))</f>
        <v>0</v>
      </c>
    </row>
    <row r="2107" spans="1:6" x14ac:dyDescent="0.2">
      <c r="A2107" s="1">
        <v>42283</v>
      </c>
      <c r="B2107">
        <v>280</v>
      </c>
      <c r="C2107">
        <f>IF(B2107&gt;'user input'!$C$6,0,IF('heat units'!H2107&gt;1,1,'heat units'!H2107))</f>
        <v>1</v>
      </c>
      <c r="D2107">
        <f>IF(B2107&gt;'user input'!$C$6,0,(C2107/(C2107+EXP('user input'!$C$15-'user input'!$C$14*C2107))))</f>
        <v>0.99996737202265329</v>
      </c>
      <c r="E2107">
        <f>IF(C2107&lt;'user input'!$C$12,(D2107-D2106)*'user input'!$C$17*(1-EXP(5*(F2106-'user input'!$C$17))),F2107-F2106)</f>
        <v>0</v>
      </c>
      <c r="F2107">
        <f>IF(C2107&lt;'user input'!$C$12,IF(B2107&gt;'user input'!$C$6,0,F2106+E2107),'user input'!$C$17*((1-C2107)/(1-'user input'!$C$12)))</f>
        <v>0</v>
      </c>
    </row>
    <row r="2108" spans="1:6" x14ac:dyDescent="0.2">
      <c r="A2108" s="1">
        <v>42284</v>
      </c>
      <c r="B2108">
        <v>281</v>
      </c>
      <c r="C2108">
        <f>IF(B2108&gt;'user input'!$C$6,0,IF('heat units'!H2108&gt;1,1,'heat units'!H2108))</f>
        <v>1</v>
      </c>
      <c r="D2108">
        <f>IF(B2108&gt;'user input'!$C$6,0,(C2108/(C2108+EXP('user input'!$C$15-'user input'!$C$14*C2108))))</f>
        <v>0.99996737202265329</v>
      </c>
      <c r="E2108">
        <f>IF(C2108&lt;'user input'!$C$12,(D2108-D2107)*'user input'!$C$17*(1-EXP(5*(F2107-'user input'!$C$17))),F2108-F2107)</f>
        <v>0</v>
      </c>
      <c r="F2108">
        <f>IF(C2108&lt;'user input'!$C$12,IF(B2108&gt;'user input'!$C$6,0,F2107+E2108),'user input'!$C$17*((1-C2108)/(1-'user input'!$C$12)))</f>
        <v>0</v>
      </c>
    </row>
    <row r="2109" spans="1:6" x14ac:dyDescent="0.2">
      <c r="A2109" s="1">
        <v>42285</v>
      </c>
      <c r="B2109">
        <v>282</v>
      </c>
      <c r="C2109">
        <f>IF(B2109&gt;'user input'!$C$6,0,IF('heat units'!H2109&gt;1,1,'heat units'!H2109))</f>
        <v>1</v>
      </c>
      <c r="D2109">
        <f>IF(B2109&gt;'user input'!$C$6,0,(C2109/(C2109+EXP('user input'!$C$15-'user input'!$C$14*C2109))))</f>
        <v>0.99996737202265329</v>
      </c>
      <c r="E2109">
        <f>IF(C2109&lt;'user input'!$C$12,(D2109-D2108)*'user input'!$C$17*(1-EXP(5*(F2108-'user input'!$C$17))),F2109-F2108)</f>
        <v>0</v>
      </c>
      <c r="F2109">
        <f>IF(C2109&lt;'user input'!$C$12,IF(B2109&gt;'user input'!$C$6,0,F2108+E2109),'user input'!$C$17*((1-C2109)/(1-'user input'!$C$12)))</f>
        <v>0</v>
      </c>
    </row>
    <row r="2110" spans="1:6" x14ac:dyDescent="0.2">
      <c r="A2110" s="1">
        <v>42286</v>
      </c>
      <c r="B2110">
        <v>283</v>
      </c>
      <c r="C2110">
        <f>IF(B2110&gt;'user input'!$C$6,0,IF('heat units'!H2110&gt;1,1,'heat units'!H2110))</f>
        <v>1</v>
      </c>
      <c r="D2110">
        <f>IF(B2110&gt;'user input'!$C$6,0,(C2110/(C2110+EXP('user input'!$C$15-'user input'!$C$14*C2110))))</f>
        <v>0.99996737202265329</v>
      </c>
      <c r="E2110">
        <f>IF(C2110&lt;'user input'!$C$12,(D2110-D2109)*'user input'!$C$17*(1-EXP(5*(F2109-'user input'!$C$17))),F2110-F2109)</f>
        <v>0</v>
      </c>
      <c r="F2110">
        <f>IF(C2110&lt;'user input'!$C$12,IF(B2110&gt;'user input'!$C$6,0,F2109+E2110),'user input'!$C$17*((1-C2110)/(1-'user input'!$C$12)))</f>
        <v>0</v>
      </c>
    </row>
    <row r="2111" spans="1:6" x14ac:dyDescent="0.2">
      <c r="A2111" s="1">
        <v>42287</v>
      </c>
      <c r="B2111">
        <v>284</v>
      </c>
      <c r="C2111">
        <f>IF(B2111&gt;'user input'!$C$6,0,IF('heat units'!H2111&gt;1,1,'heat units'!H2111))</f>
        <v>1</v>
      </c>
      <c r="D2111">
        <f>IF(B2111&gt;'user input'!$C$6,0,(C2111/(C2111+EXP('user input'!$C$15-'user input'!$C$14*C2111))))</f>
        <v>0.99996737202265329</v>
      </c>
      <c r="E2111">
        <f>IF(C2111&lt;'user input'!$C$12,(D2111-D2110)*'user input'!$C$17*(1-EXP(5*(F2110-'user input'!$C$17))),F2111-F2110)</f>
        <v>0</v>
      </c>
      <c r="F2111">
        <f>IF(C2111&lt;'user input'!$C$12,IF(B2111&gt;'user input'!$C$6,0,F2110+E2111),'user input'!$C$17*((1-C2111)/(1-'user input'!$C$12)))</f>
        <v>0</v>
      </c>
    </row>
    <row r="2112" spans="1:6" x14ac:dyDescent="0.2">
      <c r="A2112" s="1">
        <v>42288</v>
      </c>
      <c r="B2112">
        <v>285</v>
      </c>
      <c r="C2112">
        <f>IF(B2112&gt;'user input'!$C$6,0,IF('heat units'!H2112&gt;1,1,'heat units'!H2112))</f>
        <v>1</v>
      </c>
      <c r="D2112">
        <f>IF(B2112&gt;'user input'!$C$6,0,(C2112/(C2112+EXP('user input'!$C$15-'user input'!$C$14*C2112))))</f>
        <v>0.99996737202265329</v>
      </c>
      <c r="E2112">
        <f>IF(C2112&lt;'user input'!$C$12,(D2112-D2111)*'user input'!$C$17*(1-EXP(5*(F2111-'user input'!$C$17))),F2112-F2111)</f>
        <v>0</v>
      </c>
      <c r="F2112">
        <f>IF(C2112&lt;'user input'!$C$12,IF(B2112&gt;'user input'!$C$6,0,F2111+E2112),'user input'!$C$17*((1-C2112)/(1-'user input'!$C$12)))</f>
        <v>0</v>
      </c>
    </row>
    <row r="2113" spans="1:6" x14ac:dyDescent="0.2">
      <c r="A2113" s="1">
        <v>42289</v>
      </c>
      <c r="B2113">
        <v>286</v>
      </c>
      <c r="C2113">
        <f>IF(B2113&gt;'user input'!$C$6,0,IF('heat units'!H2113&gt;1,1,'heat units'!H2113))</f>
        <v>1</v>
      </c>
      <c r="D2113">
        <f>IF(B2113&gt;'user input'!$C$6,0,(C2113/(C2113+EXP('user input'!$C$15-'user input'!$C$14*C2113))))</f>
        <v>0.99996737202265329</v>
      </c>
      <c r="E2113">
        <f>IF(C2113&lt;'user input'!$C$12,(D2113-D2112)*'user input'!$C$17*(1-EXP(5*(F2112-'user input'!$C$17))),F2113-F2112)</f>
        <v>0</v>
      </c>
      <c r="F2113">
        <f>IF(C2113&lt;'user input'!$C$12,IF(B2113&gt;'user input'!$C$6,0,F2112+E2113),'user input'!$C$17*((1-C2113)/(1-'user input'!$C$12)))</f>
        <v>0</v>
      </c>
    </row>
    <row r="2114" spans="1:6" x14ac:dyDescent="0.2">
      <c r="A2114" s="1">
        <v>42290</v>
      </c>
      <c r="B2114">
        <v>287</v>
      </c>
      <c r="C2114">
        <f>IF(B2114&gt;'user input'!$C$6,0,IF('heat units'!H2114&gt;1,1,'heat units'!H2114))</f>
        <v>1</v>
      </c>
      <c r="D2114">
        <f>IF(B2114&gt;'user input'!$C$6,0,(C2114/(C2114+EXP('user input'!$C$15-'user input'!$C$14*C2114))))</f>
        <v>0.99996737202265329</v>
      </c>
      <c r="E2114">
        <f>IF(C2114&lt;'user input'!$C$12,(D2114-D2113)*'user input'!$C$17*(1-EXP(5*(F2113-'user input'!$C$17))),F2114-F2113)</f>
        <v>0</v>
      </c>
      <c r="F2114">
        <f>IF(C2114&lt;'user input'!$C$12,IF(B2114&gt;'user input'!$C$6,0,F2113+E2114),'user input'!$C$17*((1-C2114)/(1-'user input'!$C$12)))</f>
        <v>0</v>
      </c>
    </row>
    <row r="2115" spans="1:6" x14ac:dyDescent="0.2">
      <c r="A2115" s="1">
        <v>42291</v>
      </c>
      <c r="B2115">
        <v>288</v>
      </c>
      <c r="C2115">
        <f>IF(B2115&gt;'user input'!$C$6,0,IF('heat units'!H2115&gt;1,1,'heat units'!H2115))</f>
        <v>1</v>
      </c>
      <c r="D2115">
        <f>IF(B2115&gt;'user input'!$C$6,0,(C2115/(C2115+EXP('user input'!$C$15-'user input'!$C$14*C2115))))</f>
        <v>0.99996737202265329</v>
      </c>
      <c r="E2115">
        <f>IF(C2115&lt;'user input'!$C$12,(D2115-D2114)*'user input'!$C$17*(1-EXP(5*(F2114-'user input'!$C$17))),F2115-F2114)</f>
        <v>0</v>
      </c>
      <c r="F2115">
        <f>IF(C2115&lt;'user input'!$C$12,IF(B2115&gt;'user input'!$C$6,0,F2114+E2115),'user input'!$C$17*((1-C2115)/(1-'user input'!$C$12)))</f>
        <v>0</v>
      </c>
    </row>
    <row r="2116" spans="1:6" x14ac:dyDescent="0.2">
      <c r="A2116" s="1">
        <v>42292</v>
      </c>
      <c r="B2116">
        <v>289</v>
      </c>
      <c r="C2116">
        <f>IF(B2116&gt;'user input'!$C$6,0,IF('heat units'!H2116&gt;1,1,'heat units'!H2116))</f>
        <v>1</v>
      </c>
      <c r="D2116">
        <f>IF(B2116&gt;'user input'!$C$6,0,(C2116/(C2116+EXP('user input'!$C$15-'user input'!$C$14*C2116))))</f>
        <v>0.99996737202265329</v>
      </c>
      <c r="E2116">
        <f>IF(C2116&lt;'user input'!$C$12,(D2116-D2115)*'user input'!$C$17*(1-EXP(5*(F2115-'user input'!$C$17))),F2116-F2115)</f>
        <v>0</v>
      </c>
      <c r="F2116">
        <f>IF(C2116&lt;'user input'!$C$12,IF(B2116&gt;'user input'!$C$6,0,F2115+E2116),'user input'!$C$17*((1-C2116)/(1-'user input'!$C$12)))</f>
        <v>0</v>
      </c>
    </row>
    <row r="2117" spans="1:6" x14ac:dyDescent="0.2">
      <c r="A2117" s="1">
        <v>42293</v>
      </c>
      <c r="B2117">
        <v>290</v>
      </c>
      <c r="C2117">
        <f>IF(B2117&gt;'user input'!$C$6,0,IF('heat units'!H2117&gt;1,1,'heat units'!H2117))</f>
        <v>1</v>
      </c>
      <c r="D2117">
        <f>IF(B2117&gt;'user input'!$C$6,0,(C2117/(C2117+EXP('user input'!$C$15-'user input'!$C$14*C2117))))</f>
        <v>0.99996737202265329</v>
      </c>
      <c r="E2117">
        <f>IF(C2117&lt;'user input'!$C$12,(D2117-D2116)*'user input'!$C$17*(1-EXP(5*(F2116-'user input'!$C$17))),F2117-F2116)</f>
        <v>0</v>
      </c>
      <c r="F2117">
        <f>IF(C2117&lt;'user input'!$C$12,IF(B2117&gt;'user input'!$C$6,0,F2116+E2117),'user input'!$C$17*((1-C2117)/(1-'user input'!$C$12)))</f>
        <v>0</v>
      </c>
    </row>
    <row r="2118" spans="1:6" x14ac:dyDescent="0.2">
      <c r="A2118" s="1">
        <v>42294</v>
      </c>
      <c r="B2118">
        <v>291</v>
      </c>
      <c r="C2118">
        <f>IF(B2118&gt;'user input'!$C$6,0,IF('heat units'!H2118&gt;1,1,'heat units'!H2118))</f>
        <v>1</v>
      </c>
      <c r="D2118">
        <f>IF(B2118&gt;'user input'!$C$6,0,(C2118/(C2118+EXP('user input'!$C$15-'user input'!$C$14*C2118))))</f>
        <v>0.99996737202265329</v>
      </c>
      <c r="E2118">
        <f>IF(C2118&lt;'user input'!$C$12,(D2118-D2117)*'user input'!$C$17*(1-EXP(5*(F2117-'user input'!$C$17))),F2118-F2117)</f>
        <v>0</v>
      </c>
      <c r="F2118">
        <f>IF(C2118&lt;'user input'!$C$12,IF(B2118&gt;'user input'!$C$6,0,F2117+E2118),'user input'!$C$17*((1-C2118)/(1-'user input'!$C$12)))</f>
        <v>0</v>
      </c>
    </row>
    <row r="2119" spans="1:6" x14ac:dyDescent="0.2">
      <c r="A2119" s="1">
        <v>42295</v>
      </c>
      <c r="B2119">
        <v>292</v>
      </c>
      <c r="C2119">
        <f>IF(B2119&gt;'user input'!$C$6,0,IF('heat units'!H2119&gt;1,1,'heat units'!H2119))</f>
        <v>1</v>
      </c>
      <c r="D2119">
        <f>IF(B2119&gt;'user input'!$C$6,0,(C2119/(C2119+EXP('user input'!$C$15-'user input'!$C$14*C2119))))</f>
        <v>0.99996737202265329</v>
      </c>
      <c r="E2119">
        <f>IF(C2119&lt;'user input'!$C$12,(D2119-D2118)*'user input'!$C$17*(1-EXP(5*(F2118-'user input'!$C$17))),F2119-F2118)</f>
        <v>0</v>
      </c>
      <c r="F2119">
        <f>IF(C2119&lt;'user input'!$C$12,IF(B2119&gt;'user input'!$C$6,0,F2118+E2119),'user input'!$C$17*((1-C2119)/(1-'user input'!$C$12)))</f>
        <v>0</v>
      </c>
    </row>
    <row r="2120" spans="1:6" x14ac:dyDescent="0.2">
      <c r="A2120" s="1">
        <v>42296</v>
      </c>
      <c r="B2120">
        <v>293</v>
      </c>
      <c r="C2120">
        <f>IF(B2120&gt;'user input'!$C$6,0,IF('heat units'!H2120&gt;1,1,'heat units'!H2120))</f>
        <v>1</v>
      </c>
      <c r="D2120">
        <f>IF(B2120&gt;'user input'!$C$6,0,(C2120/(C2120+EXP('user input'!$C$15-'user input'!$C$14*C2120))))</f>
        <v>0.99996737202265329</v>
      </c>
      <c r="E2120">
        <f>IF(C2120&lt;'user input'!$C$12,(D2120-D2119)*'user input'!$C$17*(1-EXP(5*(F2119-'user input'!$C$17))),F2120-F2119)</f>
        <v>0</v>
      </c>
      <c r="F2120">
        <f>IF(C2120&lt;'user input'!$C$12,IF(B2120&gt;'user input'!$C$6,0,F2119+E2120),'user input'!$C$17*((1-C2120)/(1-'user input'!$C$12)))</f>
        <v>0</v>
      </c>
    </row>
    <row r="2121" spans="1:6" x14ac:dyDescent="0.2">
      <c r="A2121" s="1">
        <v>42297</v>
      </c>
      <c r="B2121">
        <v>294</v>
      </c>
      <c r="C2121">
        <f>IF(B2121&gt;'user input'!$C$6,0,IF('heat units'!H2121&gt;1,1,'heat units'!H2121))</f>
        <v>1</v>
      </c>
      <c r="D2121">
        <f>IF(B2121&gt;'user input'!$C$6,0,(C2121/(C2121+EXP('user input'!$C$15-'user input'!$C$14*C2121))))</f>
        <v>0.99996737202265329</v>
      </c>
      <c r="E2121">
        <f>IF(C2121&lt;'user input'!$C$12,(D2121-D2120)*'user input'!$C$17*(1-EXP(5*(F2120-'user input'!$C$17))),F2121-F2120)</f>
        <v>0</v>
      </c>
      <c r="F2121">
        <f>IF(C2121&lt;'user input'!$C$12,IF(B2121&gt;'user input'!$C$6,0,F2120+E2121),'user input'!$C$17*((1-C2121)/(1-'user input'!$C$12)))</f>
        <v>0</v>
      </c>
    </row>
    <row r="2122" spans="1:6" x14ac:dyDescent="0.2">
      <c r="A2122" s="1">
        <v>42298</v>
      </c>
      <c r="B2122">
        <v>295</v>
      </c>
      <c r="C2122">
        <f>IF(B2122&gt;'user input'!$C$6,0,IF('heat units'!H2122&gt;1,1,'heat units'!H2122))</f>
        <v>1</v>
      </c>
      <c r="D2122">
        <f>IF(B2122&gt;'user input'!$C$6,0,(C2122/(C2122+EXP('user input'!$C$15-'user input'!$C$14*C2122))))</f>
        <v>0.99996737202265329</v>
      </c>
      <c r="E2122">
        <f>IF(C2122&lt;'user input'!$C$12,(D2122-D2121)*'user input'!$C$17*(1-EXP(5*(F2121-'user input'!$C$17))),F2122-F2121)</f>
        <v>0</v>
      </c>
      <c r="F2122">
        <f>IF(C2122&lt;'user input'!$C$12,IF(B2122&gt;'user input'!$C$6,0,F2121+E2122),'user input'!$C$17*((1-C2122)/(1-'user input'!$C$12)))</f>
        <v>0</v>
      </c>
    </row>
    <row r="2123" spans="1:6" x14ac:dyDescent="0.2">
      <c r="A2123" s="1">
        <v>42299</v>
      </c>
      <c r="B2123">
        <v>296</v>
      </c>
      <c r="C2123">
        <f>IF(B2123&gt;'user input'!$C$6,0,IF('heat units'!H2123&gt;1,1,'heat units'!H2123))</f>
        <v>1</v>
      </c>
      <c r="D2123">
        <f>IF(B2123&gt;'user input'!$C$6,0,(C2123/(C2123+EXP('user input'!$C$15-'user input'!$C$14*C2123))))</f>
        <v>0.99996737202265329</v>
      </c>
      <c r="E2123">
        <f>IF(C2123&lt;'user input'!$C$12,(D2123-D2122)*'user input'!$C$17*(1-EXP(5*(F2122-'user input'!$C$17))),F2123-F2122)</f>
        <v>0</v>
      </c>
      <c r="F2123">
        <f>IF(C2123&lt;'user input'!$C$12,IF(B2123&gt;'user input'!$C$6,0,F2122+E2123),'user input'!$C$17*((1-C2123)/(1-'user input'!$C$12)))</f>
        <v>0</v>
      </c>
    </row>
    <row r="2124" spans="1:6" x14ac:dyDescent="0.2">
      <c r="A2124" s="1">
        <v>42300</v>
      </c>
      <c r="B2124">
        <v>297</v>
      </c>
      <c r="C2124">
        <f>IF(B2124&gt;'user input'!$C$6,0,IF('heat units'!H2124&gt;1,1,'heat units'!H2124))</f>
        <v>1</v>
      </c>
      <c r="D2124">
        <f>IF(B2124&gt;'user input'!$C$6,0,(C2124/(C2124+EXP('user input'!$C$15-'user input'!$C$14*C2124))))</f>
        <v>0.99996737202265329</v>
      </c>
      <c r="E2124">
        <f>IF(C2124&lt;'user input'!$C$12,(D2124-D2123)*'user input'!$C$17*(1-EXP(5*(F2123-'user input'!$C$17))),F2124-F2123)</f>
        <v>0</v>
      </c>
      <c r="F2124">
        <f>IF(C2124&lt;'user input'!$C$12,IF(B2124&gt;'user input'!$C$6,0,F2123+E2124),'user input'!$C$17*((1-C2124)/(1-'user input'!$C$12)))</f>
        <v>0</v>
      </c>
    </row>
    <row r="2125" spans="1:6" x14ac:dyDescent="0.2">
      <c r="A2125" s="1">
        <v>42301</v>
      </c>
      <c r="B2125">
        <v>298</v>
      </c>
      <c r="C2125">
        <f>IF(B2125&gt;'user input'!$C$6,0,IF('heat units'!H2125&gt;1,1,'heat units'!H2125))</f>
        <v>1</v>
      </c>
      <c r="D2125">
        <f>IF(B2125&gt;'user input'!$C$6,0,(C2125/(C2125+EXP('user input'!$C$15-'user input'!$C$14*C2125))))</f>
        <v>0.99996737202265329</v>
      </c>
      <c r="E2125">
        <f>IF(C2125&lt;'user input'!$C$12,(D2125-D2124)*'user input'!$C$17*(1-EXP(5*(F2124-'user input'!$C$17))),F2125-F2124)</f>
        <v>0</v>
      </c>
      <c r="F2125">
        <f>IF(C2125&lt;'user input'!$C$12,IF(B2125&gt;'user input'!$C$6,0,F2124+E2125),'user input'!$C$17*((1-C2125)/(1-'user input'!$C$12)))</f>
        <v>0</v>
      </c>
    </row>
    <row r="2126" spans="1:6" x14ac:dyDescent="0.2">
      <c r="A2126" s="1">
        <v>42302</v>
      </c>
      <c r="B2126">
        <v>299</v>
      </c>
      <c r="C2126">
        <f>IF(B2126&gt;'user input'!$C$6,0,IF('heat units'!H2126&gt;1,1,'heat units'!H2126))</f>
        <v>1</v>
      </c>
      <c r="D2126">
        <f>IF(B2126&gt;'user input'!$C$6,0,(C2126/(C2126+EXP('user input'!$C$15-'user input'!$C$14*C2126))))</f>
        <v>0.99996737202265329</v>
      </c>
      <c r="E2126">
        <f>IF(C2126&lt;'user input'!$C$12,(D2126-D2125)*'user input'!$C$17*(1-EXP(5*(F2125-'user input'!$C$17))),F2126-F2125)</f>
        <v>0</v>
      </c>
      <c r="F2126">
        <f>IF(C2126&lt;'user input'!$C$12,IF(B2126&gt;'user input'!$C$6,0,F2125+E2126),'user input'!$C$17*((1-C2126)/(1-'user input'!$C$12)))</f>
        <v>0</v>
      </c>
    </row>
    <row r="2127" spans="1:6" x14ac:dyDescent="0.2">
      <c r="A2127" s="1">
        <v>42303</v>
      </c>
      <c r="B2127">
        <v>300</v>
      </c>
      <c r="C2127">
        <f>IF(B2127&gt;'user input'!$C$6,0,IF('heat units'!H2127&gt;1,1,'heat units'!H2127))</f>
        <v>1</v>
      </c>
      <c r="D2127">
        <f>IF(B2127&gt;'user input'!$C$6,0,(C2127/(C2127+EXP('user input'!$C$15-'user input'!$C$14*C2127))))</f>
        <v>0.99996737202265329</v>
      </c>
      <c r="E2127">
        <f>IF(C2127&lt;'user input'!$C$12,(D2127-D2126)*'user input'!$C$17*(1-EXP(5*(F2126-'user input'!$C$17))),F2127-F2126)</f>
        <v>0</v>
      </c>
      <c r="F2127">
        <f>IF(C2127&lt;'user input'!$C$12,IF(B2127&gt;'user input'!$C$6,0,F2126+E2127),'user input'!$C$17*((1-C2127)/(1-'user input'!$C$12)))</f>
        <v>0</v>
      </c>
    </row>
    <row r="2128" spans="1:6" x14ac:dyDescent="0.2">
      <c r="A2128" s="1">
        <v>42304</v>
      </c>
      <c r="B2128">
        <v>301</v>
      </c>
      <c r="C2128">
        <f>IF(B2128&gt;'user input'!$C$6,0,IF('heat units'!H2128&gt;1,1,'heat units'!H2128))</f>
        <v>1</v>
      </c>
      <c r="D2128">
        <f>IF(B2128&gt;'user input'!$C$6,0,(C2128/(C2128+EXP('user input'!$C$15-'user input'!$C$14*C2128))))</f>
        <v>0.99996737202265329</v>
      </c>
      <c r="E2128">
        <f>IF(C2128&lt;'user input'!$C$12,(D2128-D2127)*'user input'!$C$17*(1-EXP(5*(F2127-'user input'!$C$17))),F2128-F2127)</f>
        <v>0</v>
      </c>
      <c r="F2128">
        <f>IF(C2128&lt;'user input'!$C$12,IF(B2128&gt;'user input'!$C$6,0,F2127+E2128),'user input'!$C$17*((1-C2128)/(1-'user input'!$C$12)))</f>
        <v>0</v>
      </c>
    </row>
    <row r="2129" spans="1:6" x14ac:dyDescent="0.2">
      <c r="A2129" s="1">
        <v>42305</v>
      </c>
      <c r="B2129">
        <v>302</v>
      </c>
      <c r="C2129">
        <f>IF(B2129&gt;'user input'!$C$6,0,IF('heat units'!H2129&gt;1,1,'heat units'!H2129))</f>
        <v>1</v>
      </c>
      <c r="D2129">
        <f>IF(B2129&gt;'user input'!$C$6,0,(C2129/(C2129+EXP('user input'!$C$15-'user input'!$C$14*C2129))))</f>
        <v>0.99996737202265329</v>
      </c>
      <c r="E2129">
        <f>IF(C2129&lt;'user input'!$C$12,(D2129-D2128)*'user input'!$C$17*(1-EXP(5*(F2128-'user input'!$C$17))),F2129-F2128)</f>
        <v>0</v>
      </c>
      <c r="F2129">
        <f>IF(C2129&lt;'user input'!$C$12,IF(B2129&gt;'user input'!$C$6,0,F2128+E2129),'user input'!$C$17*((1-C2129)/(1-'user input'!$C$12)))</f>
        <v>0</v>
      </c>
    </row>
    <row r="2130" spans="1:6" x14ac:dyDescent="0.2">
      <c r="A2130" s="1">
        <v>42306</v>
      </c>
      <c r="B2130">
        <v>303</v>
      </c>
      <c r="C2130">
        <f>IF(B2130&gt;'user input'!$C$6,0,IF('heat units'!H2130&gt;1,1,'heat units'!H2130))</f>
        <v>1</v>
      </c>
      <c r="D2130">
        <f>IF(B2130&gt;'user input'!$C$6,0,(C2130/(C2130+EXP('user input'!$C$15-'user input'!$C$14*C2130))))</f>
        <v>0.99996737202265329</v>
      </c>
      <c r="E2130">
        <f>IF(C2130&lt;'user input'!$C$12,(D2130-D2129)*'user input'!$C$17*(1-EXP(5*(F2129-'user input'!$C$17))),F2130-F2129)</f>
        <v>0</v>
      </c>
      <c r="F2130">
        <f>IF(C2130&lt;'user input'!$C$12,IF(B2130&gt;'user input'!$C$6,0,F2129+E2130),'user input'!$C$17*((1-C2130)/(1-'user input'!$C$12)))</f>
        <v>0</v>
      </c>
    </row>
    <row r="2131" spans="1:6" x14ac:dyDescent="0.2">
      <c r="A2131" s="1">
        <v>42307</v>
      </c>
      <c r="B2131">
        <v>304</v>
      </c>
      <c r="C2131">
        <f>IF(B2131&gt;'user input'!$C$6,0,IF('heat units'!H2131&gt;1,1,'heat units'!H2131))</f>
        <v>1</v>
      </c>
      <c r="D2131">
        <f>IF(B2131&gt;'user input'!$C$6,0,(C2131/(C2131+EXP('user input'!$C$15-'user input'!$C$14*C2131))))</f>
        <v>0.99996737202265329</v>
      </c>
      <c r="E2131">
        <f>IF(C2131&lt;'user input'!$C$12,(D2131-D2130)*'user input'!$C$17*(1-EXP(5*(F2130-'user input'!$C$17))),F2131-F2130)</f>
        <v>0</v>
      </c>
      <c r="F2131">
        <f>IF(C2131&lt;'user input'!$C$12,IF(B2131&gt;'user input'!$C$6,0,F2130+E2131),'user input'!$C$17*((1-C2131)/(1-'user input'!$C$12)))</f>
        <v>0</v>
      </c>
    </row>
    <row r="2132" spans="1:6" x14ac:dyDescent="0.2">
      <c r="A2132" s="1">
        <v>42308</v>
      </c>
      <c r="B2132">
        <v>305</v>
      </c>
      <c r="C2132">
        <f>IF(B2132&gt;'user input'!$C$6,0,IF('heat units'!H2132&gt;1,1,'heat units'!H2132))</f>
        <v>1</v>
      </c>
      <c r="D2132">
        <f>IF(B2132&gt;'user input'!$C$6,0,(C2132/(C2132+EXP('user input'!$C$15-'user input'!$C$14*C2132))))</f>
        <v>0.99996737202265329</v>
      </c>
      <c r="E2132">
        <f>IF(C2132&lt;'user input'!$C$12,(D2132-D2131)*'user input'!$C$17*(1-EXP(5*(F2131-'user input'!$C$17))),F2132-F2131)</f>
        <v>0</v>
      </c>
      <c r="F2132">
        <f>IF(C2132&lt;'user input'!$C$12,IF(B2132&gt;'user input'!$C$6,0,F2131+E2132),'user input'!$C$17*((1-C2132)/(1-'user input'!$C$12)))</f>
        <v>0</v>
      </c>
    </row>
    <row r="2133" spans="1:6" x14ac:dyDescent="0.2">
      <c r="A2133" s="1">
        <v>42309</v>
      </c>
      <c r="B2133">
        <v>306</v>
      </c>
      <c r="C2133">
        <f>IF(B2133&gt;'user input'!$C$6,0,IF('heat units'!H2133&gt;1,1,'heat units'!H2133))</f>
        <v>1</v>
      </c>
      <c r="D2133">
        <f>IF(B2133&gt;'user input'!$C$6,0,(C2133/(C2133+EXP('user input'!$C$15-'user input'!$C$14*C2133))))</f>
        <v>0.99996737202265329</v>
      </c>
      <c r="E2133">
        <f>IF(C2133&lt;'user input'!$C$12,(D2133-D2132)*'user input'!$C$17*(1-EXP(5*(F2132-'user input'!$C$17))),F2133-F2132)</f>
        <v>0</v>
      </c>
      <c r="F2133">
        <f>IF(C2133&lt;'user input'!$C$12,IF(B2133&gt;'user input'!$C$6,0,F2132+E2133),'user input'!$C$17*((1-C2133)/(1-'user input'!$C$12)))</f>
        <v>0</v>
      </c>
    </row>
    <row r="2134" spans="1:6" x14ac:dyDescent="0.2">
      <c r="A2134" s="1">
        <v>42310</v>
      </c>
      <c r="B2134">
        <v>307</v>
      </c>
      <c r="C2134">
        <f>IF(B2134&gt;'user input'!$C$6,0,IF('heat units'!H2134&gt;1,1,'heat units'!H2134))</f>
        <v>1</v>
      </c>
      <c r="D2134">
        <f>IF(B2134&gt;'user input'!$C$6,0,(C2134/(C2134+EXP('user input'!$C$15-'user input'!$C$14*C2134))))</f>
        <v>0.99996737202265329</v>
      </c>
      <c r="E2134">
        <f>IF(C2134&lt;'user input'!$C$12,(D2134-D2133)*'user input'!$C$17*(1-EXP(5*(F2133-'user input'!$C$17))),F2134-F2133)</f>
        <v>0</v>
      </c>
      <c r="F2134">
        <f>IF(C2134&lt;'user input'!$C$12,IF(B2134&gt;'user input'!$C$6,0,F2133+E2134),'user input'!$C$17*((1-C2134)/(1-'user input'!$C$12)))</f>
        <v>0</v>
      </c>
    </row>
    <row r="2135" spans="1:6" x14ac:dyDescent="0.2">
      <c r="A2135" s="1">
        <v>42311</v>
      </c>
      <c r="B2135">
        <v>308</v>
      </c>
      <c r="C2135">
        <f>IF(B2135&gt;'user input'!$C$6,0,IF('heat units'!H2135&gt;1,1,'heat units'!H2135))</f>
        <v>1</v>
      </c>
      <c r="D2135">
        <f>IF(B2135&gt;'user input'!$C$6,0,(C2135/(C2135+EXP('user input'!$C$15-'user input'!$C$14*C2135))))</f>
        <v>0.99996737202265329</v>
      </c>
      <c r="E2135">
        <f>IF(C2135&lt;'user input'!$C$12,(D2135-D2134)*'user input'!$C$17*(1-EXP(5*(F2134-'user input'!$C$17))),F2135-F2134)</f>
        <v>0</v>
      </c>
      <c r="F2135">
        <f>IF(C2135&lt;'user input'!$C$12,IF(B2135&gt;'user input'!$C$6,0,F2134+E2135),'user input'!$C$17*((1-C2135)/(1-'user input'!$C$12)))</f>
        <v>0</v>
      </c>
    </row>
    <row r="2136" spans="1:6" x14ac:dyDescent="0.2">
      <c r="A2136" s="1">
        <v>42312</v>
      </c>
      <c r="B2136">
        <v>309</v>
      </c>
      <c r="C2136">
        <f>IF(B2136&gt;'user input'!$C$6,0,IF('heat units'!H2136&gt;1,1,'heat units'!H2136))</f>
        <v>1</v>
      </c>
      <c r="D2136">
        <f>IF(B2136&gt;'user input'!$C$6,0,(C2136/(C2136+EXP('user input'!$C$15-'user input'!$C$14*C2136))))</f>
        <v>0.99996737202265329</v>
      </c>
      <c r="E2136">
        <f>IF(C2136&lt;'user input'!$C$12,(D2136-D2135)*'user input'!$C$17*(1-EXP(5*(F2135-'user input'!$C$17))),F2136-F2135)</f>
        <v>0</v>
      </c>
      <c r="F2136">
        <f>IF(C2136&lt;'user input'!$C$12,IF(B2136&gt;'user input'!$C$6,0,F2135+E2136),'user input'!$C$17*((1-C2136)/(1-'user input'!$C$12)))</f>
        <v>0</v>
      </c>
    </row>
    <row r="2137" spans="1:6" x14ac:dyDescent="0.2">
      <c r="A2137" s="1">
        <v>42313</v>
      </c>
      <c r="B2137">
        <v>310</v>
      </c>
      <c r="C2137">
        <f>IF(B2137&gt;'user input'!$C$6,0,IF('heat units'!H2137&gt;1,1,'heat units'!H2137))</f>
        <v>1</v>
      </c>
      <c r="D2137">
        <f>IF(B2137&gt;'user input'!$C$6,0,(C2137/(C2137+EXP('user input'!$C$15-'user input'!$C$14*C2137))))</f>
        <v>0.99996737202265329</v>
      </c>
      <c r="E2137">
        <f>IF(C2137&lt;'user input'!$C$12,(D2137-D2136)*'user input'!$C$17*(1-EXP(5*(F2136-'user input'!$C$17))),F2137-F2136)</f>
        <v>0</v>
      </c>
      <c r="F2137">
        <f>IF(C2137&lt;'user input'!$C$12,IF(B2137&gt;'user input'!$C$6,0,F2136+E2137),'user input'!$C$17*((1-C2137)/(1-'user input'!$C$12)))</f>
        <v>0</v>
      </c>
    </row>
    <row r="2138" spans="1:6" x14ac:dyDescent="0.2">
      <c r="A2138" s="1">
        <v>42314</v>
      </c>
      <c r="B2138">
        <v>311</v>
      </c>
      <c r="C2138">
        <f>IF(B2138&gt;'user input'!$C$6,0,IF('heat units'!H2138&gt;1,1,'heat units'!H2138))</f>
        <v>1</v>
      </c>
      <c r="D2138">
        <f>IF(B2138&gt;'user input'!$C$6,0,(C2138/(C2138+EXP('user input'!$C$15-'user input'!$C$14*C2138))))</f>
        <v>0.99996737202265329</v>
      </c>
      <c r="E2138">
        <f>IF(C2138&lt;'user input'!$C$12,(D2138-D2137)*'user input'!$C$17*(1-EXP(5*(F2137-'user input'!$C$17))),F2138-F2137)</f>
        <v>0</v>
      </c>
      <c r="F2138">
        <f>IF(C2138&lt;'user input'!$C$12,IF(B2138&gt;'user input'!$C$6,0,F2137+E2138),'user input'!$C$17*((1-C2138)/(1-'user input'!$C$12)))</f>
        <v>0</v>
      </c>
    </row>
    <row r="2139" spans="1:6" x14ac:dyDescent="0.2">
      <c r="A2139" s="1">
        <v>42315</v>
      </c>
      <c r="B2139">
        <v>312</v>
      </c>
      <c r="C2139">
        <f>IF(B2139&gt;'user input'!$C$6,0,IF('heat units'!H2139&gt;1,1,'heat units'!H2139))</f>
        <v>1</v>
      </c>
      <c r="D2139">
        <f>IF(B2139&gt;'user input'!$C$6,0,(C2139/(C2139+EXP('user input'!$C$15-'user input'!$C$14*C2139))))</f>
        <v>0.99996737202265329</v>
      </c>
      <c r="E2139">
        <f>IF(C2139&lt;'user input'!$C$12,(D2139-D2138)*'user input'!$C$17*(1-EXP(5*(F2138-'user input'!$C$17))),F2139-F2138)</f>
        <v>0</v>
      </c>
      <c r="F2139">
        <f>IF(C2139&lt;'user input'!$C$12,IF(B2139&gt;'user input'!$C$6,0,F2138+E2139),'user input'!$C$17*((1-C2139)/(1-'user input'!$C$12)))</f>
        <v>0</v>
      </c>
    </row>
    <row r="2140" spans="1:6" x14ac:dyDescent="0.2">
      <c r="A2140" s="1">
        <v>42316</v>
      </c>
      <c r="B2140">
        <v>313</v>
      </c>
      <c r="C2140">
        <f>IF(B2140&gt;'user input'!$C$6,0,IF('heat units'!H2140&gt;1,1,'heat units'!H2140))</f>
        <v>1</v>
      </c>
      <c r="D2140">
        <f>IF(B2140&gt;'user input'!$C$6,0,(C2140/(C2140+EXP('user input'!$C$15-'user input'!$C$14*C2140))))</f>
        <v>0.99996737202265329</v>
      </c>
      <c r="E2140">
        <f>IF(C2140&lt;'user input'!$C$12,(D2140-D2139)*'user input'!$C$17*(1-EXP(5*(F2139-'user input'!$C$17))),F2140-F2139)</f>
        <v>0</v>
      </c>
      <c r="F2140">
        <f>IF(C2140&lt;'user input'!$C$12,IF(B2140&gt;'user input'!$C$6,0,F2139+E2140),'user input'!$C$17*((1-C2140)/(1-'user input'!$C$12)))</f>
        <v>0</v>
      </c>
    </row>
    <row r="2141" spans="1:6" x14ac:dyDescent="0.2">
      <c r="A2141" s="1">
        <v>42317</v>
      </c>
      <c r="B2141">
        <v>314</v>
      </c>
      <c r="C2141">
        <f>IF(B2141&gt;'user input'!$C$6,0,IF('heat units'!H2141&gt;1,1,'heat units'!H2141))</f>
        <v>1</v>
      </c>
      <c r="D2141">
        <f>IF(B2141&gt;'user input'!$C$6,0,(C2141/(C2141+EXP('user input'!$C$15-'user input'!$C$14*C2141))))</f>
        <v>0.99996737202265329</v>
      </c>
      <c r="E2141">
        <f>IF(C2141&lt;'user input'!$C$12,(D2141-D2140)*'user input'!$C$17*(1-EXP(5*(F2140-'user input'!$C$17))),F2141-F2140)</f>
        <v>0</v>
      </c>
      <c r="F2141">
        <f>IF(C2141&lt;'user input'!$C$12,IF(B2141&gt;'user input'!$C$6,0,F2140+E2141),'user input'!$C$17*((1-C2141)/(1-'user input'!$C$12)))</f>
        <v>0</v>
      </c>
    </row>
    <row r="2142" spans="1:6" x14ac:dyDescent="0.2">
      <c r="A2142" s="1">
        <v>42318</v>
      </c>
      <c r="B2142">
        <v>315</v>
      </c>
      <c r="C2142">
        <f>IF(B2142&gt;'user input'!$C$6,0,IF('heat units'!H2142&gt;1,1,'heat units'!H2142))</f>
        <v>1</v>
      </c>
      <c r="D2142">
        <f>IF(B2142&gt;'user input'!$C$6,0,(C2142/(C2142+EXP('user input'!$C$15-'user input'!$C$14*C2142))))</f>
        <v>0.99996737202265329</v>
      </c>
      <c r="E2142">
        <f>IF(C2142&lt;'user input'!$C$12,(D2142-D2141)*'user input'!$C$17*(1-EXP(5*(F2141-'user input'!$C$17))),F2142-F2141)</f>
        <v>0</v>
      </c>
      <c r="F2142">
        <f>IF(C2142&lt;'user input'!$C$12,IF(B2142&gt;'user input'!$C$6,0,F2141+E2142),'user input'!$C$17*((1-C2142)/(1-'user input'!$C$12)))</f>
        <v>0</v>
      </c>
    </row>
    <row r="2143" spans="1:6" x14ac:dyDescent="0.2">
      <c r="A2143" s="1">
        <v>42319</v>
      </c>
      <c r="B2143">
        <v>316</v>
      </c>
      <c r="C2143">
        <f>IF(B2143&gt;'user input'!$C$6,0,IF('heat units'!H2143&gt;1,1,'heat units'!H2143))</f>
        <v>1</v>
      </c>
      <c r="D2143">
        <f>IF(B2143&gt;'user input'!$C$6,0,(C2143/(C2143+EXP('user input'!$C$15-'user input'!$C$14*C2143))))</f>
        <v>0.99996737202265329</v>
      </c>
      <c r="E2143">
        <f>IF(C2143&lt;'user input'!$C$12,(D2143-D2142)*'user input'!$C$17*(1-EXP(5*(F2142-'user input'!$C$17))),F2143-F2142)</f>
        <v>0</v>
      </c>
      <c r="F2143">
        <f>IF(C2143&lt;'user input'!$C$12,IF(B2143&gt;'user input'!$C$6,0,F2142+E2143),'user input'!$C$17*((1-C2143)/(1-'user input'!$C$12)))</f>
        <v>0</v>
      </c>
    </row>
    <row r="2144" spans="1:6" x14ac:dyDescent="0.2">
      <c r="A2144" s="1">
        <v>42320</v>
      </c>
      <c r="B2144">
        <v>317</v>
      </c>
      <c r="C2144">
        <f>IF(B2144&gt;'user input'!$C$6,0,IF('heat units'!H2144&gt;1,1,'heat units'!H2144))</f>
        <v>1</v>
      </c>
      <c r="D2144">
        <f>IF(B2144&gt;'user input'!$C$6,0,(C2144/(C2144+EXP('user input'!$C$15-'user input'!$C$14*C2144))))</f>
        <v>0.99996737202265329</v>
      </c>
      <c r="E2144">
        <f>IF(C2144&lt;'user input'!$C$12,(D2144-D2143)*'user input'!$C$17*(1-EXP(5*(F2143-'user input'!$C$17))),F2144-F2143)</f>
        <v>0</v>
      </c>
      <c r="F2144">
        <f>IF(C2144&lt;'user input'!$C$12,IF(B2144&gt;'user input'!$C$6,0,F2143+E2144),'user input'!$C$17*((1-C2144)/(1-'user input'!$C$12)))</f>
        <v>0</v>
      </c>
    </row>
    <row r="2145" spans="1:6" x14ac:dyDescent="0.2">
      <c r="A2145" s="1">
        <v>42321</v>
      </c>
      <c r="B2145">
        <v>318</v>
      </c>
      <c r="C2145">
        <f>IF(B2145&gt;'user input'!$C$6,0,IF('heat units'!H2145&gt;1,1,'heat units'!H2145))</f>
        <v>1</v>
      </c>
      <c r="D2145">
        <f>IF(B2145&gt;'user input'!$C$6,0,(C2145/(C2145+EXP('user input'!$C$15-'user input'!$C$14*C2145))))</f>
        <v>0.99996737202265329</v>
      </c>
      <c r="E2145">
        <f>IF(C2145&lt;'user input'!$C$12,(D2145-D2144)*'user input'!$C$17*(1-EXP(5*(F2144-'user input'!$C$17))),F2145-F2144)</f>
        <v>0</v>
      </c>
      <c r="F2145">
        <f>IF(C2145&lt;'user input'!$C$12,IF(B2145&gt;'user input'!$C$6,0,F2144+E2145),'user input'!$C$17*((1-C2145)/(1-'user input'!$C$12)))</f>
        <v>0</v>
      </c>
    </row>
    <row r="2146" spans="1:6" x14ac:dyDescent="0.2">
      <c r="A2146" s="1">
        <v>42322</v>
      </c>
      <c r="B2146">
        <v>319</v>
      </c>
      <c r="C2146">
        <f>IF(B2146&gt;'user input'!$C$6,0,IF('heat units'!H2146&gt;1,1,'heat units'!H2146))</f>
        <v>1</v>
      </c>
      <c r="D2146">
        <f>IF(B2146&gt;'user input'!$C$6,0,(C2146/(C2146+EXP('user input'!$C$15-'user input'!$C$14*C2146))))</f>
        <v>0.99996737202265329</v>
      </c>
      <c r="E2146">
        <f>IF(C2146&lt;'user input'!$C$12,(D2146-D2145)*'user input'!$C$17*(1-EXP(5*(F2145-'user input'!$C$17))),F2146-F2145)</f>
        <v>0</v>
      </c>
      <c r="F2146">
        <f>IF(C2146&lt;'user input'!$C$12,IF(B2146&gt;'user input'!$C$6,0,F2145+E2146),'user input'!$C$17*((1-C2146)/(1-'user input'!$C$12)))</f>
        <v>0</v>
      </c>
    </row>
    <row r="2147" spans="1:6" x14ac:dyDescent="0.2">
      <c r="A2147" s="1">
        <v>42323</v>
      </c>
      <c r="B2147">
        <v>320</v>
      </c>
      <c r="C2147">
        <f>IF(B2147&gt;'user input'!$C$6,0,IF('heat units'!H2147&gt;1,1,'heat units'!H2147))</f>
        <v>0</v>
      </c>
      <c r="D2147">
        <f>IF(B2147&gt;'user input'!$C$6,0,(C2147/(C2147+EXP('user input'!$C$15-'user input'!$C$14*C2147))))</f>
        <v>0</v>
      </c>
      <c r="E2147">
        <f>IF(C2147&lt;'user input'!$C$12,(D2147-D2146)*'user input'!$C$17*(1-EXP(5*(F2146-'user input'!$C$17))),F2147-F2146)</f>
        <v>-2.9999011983909414</v>
      </c>
      <c r="F2147">
        <f>IF(C2147&lt;'user input'!$C$12,IF(B2147&gt;'user input'!$C$6,0,F2146+E2147),'user input'!$C$17*((1-C2147)/(1-'user input'!$C$12)))</f>
        <v>0</v>
      </c>
    </row>
    <row r="2148" spans="1:6" x14ac:dyDescent="0.2">
      <c r="A2148" s="1">
        <v>42324</v>
      </c>
      <c r="B2148">
        <v>321</v>
      </c>
      <c r="C2148">
        <f>IF(B2148&gt;'user input'!$C$6,0,IF('heat units'!H2148&gt;1,1,'heat units'!H2148))</f>
        <v>0</v>
      </c>
      <c r="D2148">
        <f>IF(B2148&gt;'user input'!$C$6,0,(C2148/(C2148+EXP('user input'!$C$15-'user input'!$C$14*C2148))))</f>
        <v>0</v>
      </c>
      <c r="E2148">
        <f>IF(C2148&lt;'user input'!$C$12,(D2148-D2147)*'user input'!$C$17*(1-EXP(5*(F2147-'user input'!$C$17))),F2148-F2147)</f>
        <v>0</v>
      </c>
      <c r="F2148">
        <f>IF(C2148&lt;'user input'!$C$12,IF(B2148&gt;'user input'!$C$6,0,F2147+E2148),'user input'!$C$17*((1-C2148)/(1-'user input'!$C$12)))</f>
        <v>0</v>
      </c>
    </row>
    <row r="2149" spans="1:6" x14ac:dyDescent="0.2">
      <c r="A2149" s="1">
        <v>42325</v>
      </c>
      <c r="B2149">
        <v>322</v>
      </c>
      <c r="C2149">
        <f>IF(B2149&gt;'user input'!$C$6,0,IF('heat units'!H2149&gt;1,1,'heat units'!H2149))</f>
        <v>0</v>
      </c>
      <c r="D2149">
        <f>IF(B2149&gt;'user input'!$C$6,0,(C2149/(C2149+EXP('user input'!$C$15-'user input'!$C$14*C2149))))</f>
        <v>0</v>
      </c>
      <c r="E2149">
        <f>IF(C2149&lt;'user input'!$C$12,(D2149-D2148)*'user input'!$C$17*(1-EXP(5*(F2148-'user input'!$C$17))),F2149-F2148)</f>
        <v>0</v>
      </c>
      <c r="F2149">
        <f>IF(C2149&lt;'user input'!$C$12,IF(B2149&gt;'user input'!$C$6,0,F2148+E2149),'user input'!$C$17*((1-C2149)/(1-'user input'!$C$12)))</f>
        <v>0</v>
      </c>
    </row>
    <row r="2150" spans="1:6" x14ac:dyDescent="0.2">
      <c r="A2150" s="1">
        <v>42326</v>
      </c>
      <c r="B2150">
        <v>323</v>
      </c>
      <c r="C2150">
        <f>IF(B2150&gt;'user input'!$C$6,0,IF('heat units'!H2150&gt;1,1,'heat units'!H2150))</f>
        <v>0</v>
      </c>
      <c r="D2150">
        <f>IF(B2150&gt;'user input'!$C$6,0,(C2150/(C2150+EXP('user input'!$C$15-'user input'!$C$14*C2150))))</f>
        <v>0</v>
      </c>
      <c r="E2150">
        <f>IF(C2150&lt;'user input'!$C$12,(D2150-D2149)*'user input'!$C$17*(1-EXP(5*(F2149-'user input'!$C$17))),F2150-F2149)</f>
        <v>0</v>
      </c>
      <c r="F2150">
        <f>IF(C2150&lt;'user input'!$C$12,IF(B2150&gt;'user input'!$C$6,0,F2149+E2150),'user input'!$C$17*((1-C2150)/(1-'user input'!$C$12)))</f>
        <v>0</v>
      </c>
    </row>
    <row r="2151" spans="1:6" x14ac:dyDescent="0.2">
      <c r="A2151" s="1">
        <v>42327</v>
      </c>
      <c r="B2151">
        <v>324</v>
      </c>
      <c r="C2151">
        <f>IF(B2151&gt;'user input'!$C$6,0,IF('heat units'!H2151&gt;1,1,'heat units'!H2151))</f>
        <v>0</v>
      </c>
      <c r="D2151">
        <f>IF(B2151&gt;'user input'!$C$6,0,(C2151/(C2151+EXP('user input'!$C$15-'user input'!$C$14*C2151))))</f>
        <v>0</v>
      </c>
      <c r="E2151">
        <f>IF(C2151&lt;'user input'!$C$12,(D2151-D2150)*'user input'!$C$17*(1-EXP(5*(F2150-'user input'!$C$17))),F2151-F2150)</f>
        <v>0</v>
      </c>
      <c r="F2151">
        <f>IF(C2151&lt;'user input'!$C$12,IF(B2151&gt;'user input'!$C$6,0,F2150+E2151),'user input'!$C$17*((1-C2151)/(1-'user input'!$C$12)))</f>
        <v>0</v>
      </c>
    </row>
    <row r="2152" spans="1:6" x14ac:dyDescent="0.2">
      <c r="A2152" s="1">
        <v>42328</v>
      </c>
      <c r="B2152">
        <v>325</v>
      </c>
      <c r="C2152">
        <f>IF(B2152&gt;'user input'!$C$6,0,IF('heat units'!H2152&gt;1,1,'heat units'!H2152))</f>
        <v>0</v>
      </c>
      <c r="D2152">
        <f>IF(B2152&gt;'user input'!$C$6,0,(C2152/(C2152+EXP('user input'!$C$15-'user input'!$C$14*C2152))))</f>
        <v>0</v>
      </c>
      <c r="E2152">
        <f>IF(C2152&lt;'user input'!$C$12,(D2152-D2151)*'user input'!$C$17*(1-EXP(5*(F2151-'user input'!$C$17))),F2152-F2151)</f>
        <v>0</v>
      </c>
      <c r="F2152">
        <f>IF(C2152&lt;'user input'!$C$12,IF(B2152&gt;'user input'!$C$6,0,F2151+E2152),'user input'!$C$17*((1-C2152)/(1-'user input'!$C$12)))</f>
        <v>0</v>
      </c>
    </row>
    <row r="2153" spans="1:6" x14ac:dyDescent="0.2">
      <c r="A2153" s="1">
        <v>42329</v>
      </c>
      <c r="B2153">
        <v>326</v>
      </c>
      <c r="C2153">
        <f>IF(B2153&gt;'user input'!$C$6,0,IF('heat units'!H2153&gt;1,1,'heat units'!H2153))</f>
        <v>0</v>
      </c>
      <c r="D2153">
        <f>IF(B2153&gt;'user input'!$C$6,0,(C2153/(C2153+EXP('user input'!$C$15-'user input'!$C$14*C2153))))</f>
        <v>0</v>
      </c>
      <c r="E2153">
        <f>IF(C2153&lt;'user input'!$C$12,(D2153-D2152)*'user input'!$C$17*(1-EXP(5*(F2152-'user input'!$C$17))),F2153-F2152)</f>
        <v>0</v>
      </c>
      <c r="F2153">
        <f>IF(C2153&lt;'user input'!$C$12,IF(B2153&gt;'user input'!$C$6,0,F2152+E2153),'user input'!$C$17*((1-C2153)/(1-'user input'!$C$12)))</f>
        <v>0</v>
      </c>
    </row>
    <row r="2154" spans="1:6" x14ac:dyDescent="0.2">
      <c r="A2154" s="1">
        <v>42330</v>
      </c>
      <c r="B2154">
        <v>327</v>
      </c>
      <c r="C2154">
        <f>IF(B2154&gt;'user input'!$C$6,0,IF('heat units'!H2154&gt;1,1,'heat units'!H2154))</f>
        <v>0</v>
      </c>
      <c r="D2154">
        <f>IF(B2154&gt;'user input'!$C$6,0,(C2154/(C2154+EXP('user input'!$C$15-'user input'!$C$14*C2154))))</f>
        <v>0</v>
      </c>
      <c r="E2154">
        <f>IF(C2154&lt;'user input'!$C$12,(D2154-D2153)*'user input'!$C$17*(1-EXP(5*(F2153-'user input'!$C$17))),F2154-F2153)</f>
        <v>0</v>
      </c>
      <c r="F2154">
        <f>IF(C2154&lt;'user input'!$C$12,IF(B2154&gt;'user input'!$C$6,0,F2153+E2154),'user input'!$C$17*((1-C2154)/(1-'user input'!$C$12)))</f>
        <v>0</v>
      </c>
    </row>
    <row r="2155" spans="1:6" x14ac:dyDescent="0.2">
      <c r="A2155" s="1">
        <v>42331</v>
      </c>
      <c r="B2155">
        <v>328</v>
      </c>
      <c r="C2155">
        <f>IF(B2155&gt;'user input'!$C$6,0,IF('heat units'!H2155&gt;1,1,'heat units'!H2155))</f>
        <v>0</v>
      </c>
      <c r="D2155">
        <f>IF(B2155&gt;'user input'!$C$6,0,(C2155/(C2155+EXP('user input'!$C$15-'user input'!$C$14*C2155))))</f>
        <v>0</v>
      </c>
      <c r="E2155">
        <f>IF(C2155&lt;'user input'!$C$12,(D2155-D2154)*'user input'!$C$17*(1-EXP(5*(F2154-'user input'!$C$17))),F2155-F2154)</f>
        <v>0</v>
      </c>
      <c r="F2155">
        <f>IF(C2155&lt;'user input'!$C$12,IF(B2155&gt;'user input'!$C$6,0,F2154+E2155),'user input'!$C$17*((1-C2155)/(1-'user input'!$C$12)))</f>
        <v>0</v>
      </c>
    </row>
    <row r="2156" spans="1:6" x14ac:dyDescent="0.2">
      <c r="A2156" s="1">
        <v>42332</v>
      </c>
      <c r="B2156">
        <v>329</v>
      </c>
      <c r="C2156">
        <f>IF(B2156&gt;'user input'!$C$6,0,IF('heat units'!H2156&gt;1,1,'heat units'!H2156))</f>
        <v>0</v>
      </c>
      <c r="D2156">
        <f>IF(B2156&gt;'user input'!$C$6,0,(C2156/(C2156+EXP('user input'!$C$15-'user input'!$C$14*C2156))))</f>
        <v>0</v>
      </c>
      <c r="E2156">
        <f>IF(C2156&lt;'user input'!$C$12,(D2156-D2155)*'user input'!$C$17*(1-EXP(5*(F2155-'user input'!$C$17))),F2156-F2155)</f>
        <v>0</v>
      </c>
      <c r="F2156">
        <f>IF(C2156&lt;'user input'!$C$12,IF(B2156&gt;'user input'!$C$6,0,F2155+E2156),'user input'!$C$17*((1-C2156)/(1-'user input'!$C$12)))</f>
        <v>0</v>
      </c>
    </row>
    <row r="2157" spans="1:6" x14ac:dyDescent="0.2">
      <c r="A2157" s="1">
        <v>42333</v>
      </c>
      <c r="B2157">
        <v>330</v>
      </c>
      <c r="C2157">
        <f>IF(B2157&gt;'user input'!$C$6,0,IF('heat units'!H2157&gt;1,1,'heat units'!H2157))</f>
        <v>0</v>
      </c>
      <c r="D2157">
        <f>IF(B2157&gt;'user input'!$C$6,0,(C2157/(C2157+EXP('user input'!$C$15-'user input'!$C$14*C2157))))</f>
        <v>0</v>
      </c>
      <c r="E2157">
        <f>IF(C2157&lt;'user input'!$C$12,(D2157-D2156)*'user input'!$C$17*(1-EXP(5*(F2156-'user input'!$C$17))),F2157-F2156)</f>
        <v>0</v>
      </c>
      <c r="F2157">
        <f>IF(C2157&lt;'user input'!$C$12,IF(B2157&gt;'user input'!$C$6,0,F2156+E2157),'user input'!$C$17*((1-C2157)/(1-'user input'!$C$12)))</f>
        <v>0</v>
      </c>
    </row>
    <row r="2158" spans="1:6" x14ac:dyDescent="0.2">
      <c r="A2158" s="1">
        <v>42334</v>
      </c>
      <c r="B2158">
        <v>331</v>
      </c>
      <c r="C2158">
        <f>IF(B2158&gt;'user input'!$C$6,0,IF('heat units'!H2158&gt;1,1,'heat units'!H2158))</f>
        <v>0</v>
      </c>
      <c r="D2158">
        <f>IF(B2158&gt;'user input'!$C$6,0,(C2158/(C2158+EXP('user input'!$C$15-'user input'!$C$14*C2158))))</f>
        <v>0</v>
      </c>
      <c r="E2158">
        <f>IF(C2158&lt;'user input'!$C$12,(D2158-D2157)*'user input'!$C$17*(1-EXP(5*(F2157-'user input'!$C$17))),F2158-F2157)</f>
        <v>0</v>
      </c>
      <c r="F2158">
        <f>IF(C2158&lt;'user input'!$C$12,IF(B2158&gt;'user input'!$C$6,0,F2157+E2158),'user input'!$C$17*((1-C2158)/(1-'user input'!$C$12)))</f>
        <v>0</v>
      </c>
    </row>
    <row r="2159" spans="1:6" x14ac:dyDescent="0.2">
      <c r="A2159" s="1">
        <v>42335</v>
      </c>
      <c r="B2159">
        <v>332</v>
      </c>
      <c r="C2159">
        <f>IF(B2159&gt;'user input'!$C$6,0,IF('heat units'!H2159&gt;1,1,'heat units'!H2159))</f>
        <v>0</v>
      </c>
      <c r="D2159">
        <f>IF(B2159&gt;'user input'!$C$6,0,(C2159/(C2159+EXP('user input'!$C$15-'user input'!$C$14*C2159))))</f>
        <v>0</v>
      </c>
      <c r="E2159">
        <f>IF(C2159&lt;'user input'!$C$12,(D2159-D2158)*'user input'!$C$17*(1-EXP(5*(F2158-'user input'!$C$17))),F2159-F2158)</f>
        <v>0</v>
      </c>
      <c r="F2159">
        <f>IF(C2159&lt;'user input'!$C$12,IF(B2159&gt;'user input'!$C$6,0,F2158+E2159),'user input'!$C$17*((1-C2159)/(1-'user input'!$C$12)))</f>
        <v>0</v>
      </c>
    </row>
    <row r="2160" spans="1:6" x14ac:dyDescent="0.2">
      <c r="A2160" s="1">
        <v>42336</v>
      </c>
      <c r="B2160">
        <v>333</v>
      </c>
      <c r="C2160">
        <f>IF(B2160&gt;'user input'!$C$6,0,IF('heat units'!H2160&gt;1,1,'heat units'!H2160))</f>
        <v>0</v>
      </c>
      <c r="D2160">
        <f>IF(B2160&gt;'user input'!$C$6,0,(C2160/(C2160+EXP('user input'!$C$15-'user input'!$C$14*C2160))))</f>
        <v>0</v>
      </c>
      <c r="E2160">
        <f>IF(C2160&lt;'user input'!$C$12,(D2160-D2159)*'user input'!$C$17*(1-EXP(5*(F2159-'user input'!$C$17))),F2160-F2159)</f>
        <v>0</v>
      </c>
      <c r="F2160">
        <f>IF(C2160&lt;'user input'!$C$12,IF(B2160&gt;'user input'!$C$6,0,F2159+E2160),'user input'!$C$17*((1-C2160)/(1-'user input'!$C$12)))</f>
        <v>0</v>
      </c>
    </row>
    <row r="2161" spans="1:6" x14ac:dyDescent="0.2">
      <c r="A2161" s="1">
        <v>42337</v>
      </c>
      <c r="B2161">
        <v>334</v>
      </c>
      <c r="C2161">
        <f>IF(B2161&gt;'user input'!$C$6,0,IF('heat units'!H2161&gt;1,1,'heat units'!H2161))</f>
        <v>0</v>
      </c>
      <c r="D2161">
        <f>IF(B2161&gt;'user input'!$C$6,0,(C2161/(C2161+EXP('user input'!$C$15-'user input'!$C$14*C2161))))</f>
        <v>0</v>
      </c>
      <c r="E2161">
        <f>IF(C2161&lt;'user input'!$C$12,(D2161-D2160)*'user input'!$C$17*(1-EXP(5*(F2160-'user input'!$C$17))),F2161-F2160)</f>
        <v>0</v>
      </c>
      <c r="F2161">
        <f>IF(C2161&lt;'user input'!$C$12,IF(B2161&gt;'user input'!$C$6,0,F2160+E2161),'user input'!$C$17*((1-C2161)/(1-'user input'!$C$12)))</f>
        <v>0</v>
      </c>
    </row>
    <row r="2162" spans="1:6" x14ac:dyDescent="0.2">
      <c r="A2162" s="1">
        <v>42338</v>
      </c>
      <c r="B2162">
        <v>335</v>
      </c>
      <c r="C2162">
        <f>IF(B2162&gt;'user input'!$C$6,0,IF('heat units'!H2162&gt;1,1,'heat units'!H2162))</f>
        <v>0</v>
      </c>
      <c r="D2162">
        <f>IF(B2162&gt;'user input'!$C$6,0,(C2162/(C2162+EXP('user input'!$C$15-'user input'!$C$14*C2162))))</f>
        <v>0</v>
      </c>
      <c r="E2162">
        <f>IF(C2162&lt;'user input'!$C$12,(D2162-D2161)*'user input'!$C$17*(1-EXP(5*(F2161-'user input'!$C$17))),F2162-F2161)</f>
        <v>0</v>
      </c>
      <c r="F2162">
        <f>IF(C2162&lt;'user input'!$C$12,IF(B2162&gt;'user input'!$C$6,0,F2161+E2162),'user input'!$C$17*((1-C2162)/(1-'user input'!$C$12)))</f>
        <v>0</v>
      </c>
    </row>
    <row r="2163" spans="1:6" x14ac:dyDescent="0.2">
      <c r="A2163" s="1">
        <v>42339</v>
      </c>
      <c r="B2163">
        <v>336</v>
      </c>
      <c r="C2163">
        <f>IF(B2163&gt;'user input'!$C$6,0,IF('heat units'!H2163&gt;1,1,'heat units'!H2163))</f>
        <v>0</v>
      </c>
      <c r="D2163">
        <f>IF(B2163&gt;'user input'!$C$6,0,(C2163/(C2163+EXP('user input'!$C$15-'user input'!$C$14*C2163))))</f>
        <v>0</v>
      </c>
      <c r="E2163">
        <f>IF(C2163&lt;'user input'!$C$12,(D2163-D2162)*'user input'!$C$17*(1-EXP(5*(F2162-'user input'!$C$17))),F2163-F2162)</f>
        <v>0</v>
      </c>
      <c r="F2163">
        <f>IF(C2163&lt;'user input'!$C$12,IF(B2163&gt;'user input'!$C$6,0,F2162+E2163),'user input'!$C$17*((1-C2163)/(1-'user input'!$C$12)))</f>
        <v>0</v>
      </c>
    </row>
    <row r="2164" spans="1:6" x14ac:dyDescent="0.2">
      <c r="A2164" s="1">
        <v>42340</v>
      </c>
      <c r="B2164">
        <v>337</v>
      </c>
      <c r="C2164">
        <f>IF(B2164&gt;'user input'!$C$6,0,IF('heat units'!H2164&gt;1,1,'heat units'!H2164))</f>
        <v>0</v>
      </c>
      <c r="D2164">
        <f>IF(B2164&gt;'user input'!$C$6,0,(C2164/(C2164+EXP('user input'!$C$15-'user input'!$C$14*C2164))))</f>
        <v>0</v>
      </c>
      <c r="E2164">
        <f>IF(C2164&lt;'user input'!$C$12,(D2164-D2163)*'user input'!$C$17*(1-EXP(5*(F2163-'user input'!$C$17))),F2164-F2163)</f>
        <v>0</v>
      </c>
      <c r="F2164">
        <f>IF(C2164&lt;'user input'!$C$12,IF(B2164&gt;'user input'!$C$6,0,F2163+E2164),'user input'!$C$17*((1-C2164)/(1-'user input'!$C$12)))</f>
        <v>0</v>
      </c>
    </row>
    <row r="2165" spans="1:6" x14ac:dyDescent="0.2">
      <c r="A2165" s="1">
        <v>42341</v>
      </c>
      <c r="B2165">
        <v>338</v>
      </c>
      <c r="C2165">
        <f>IF(B2165&gt;'user input'!$C$6,0,IF('heat units'!H2165&gt;1,1,'heat units'!H2165))</f>
        <v>0</v>
      </c>
      <c r="D2165">
        <f>IF(B2165&gt;'user input'!$C$6,0,(C2165/(C2165+EXP('user input'!$C$15-'user input'!$C$14*C2165))))</f>
        <v>0</v>
      </c>
      <c r="E2165">
        <f>IF(C2165&lt;'user input'!$C$12,(D2165-D2164)*'user input'!$C$17*(1-EXP(5*(F2164-'user input'!$C$17))),F2165-F2164)</f>
        <v>0</v>
      </c>
      <c r="F2165">
        <f>IF(C2165&lt;'user input'!$C$12,IF(B2165&gt;'user input'!$C$6,0,F2164+E2165),'user input'!$C$17*((1-C2165)/(1-'user input'!$C$12)))</f>
        <v>0</v>
      </c>
    </row>
    <row r="2166" spans="1:6" x14ac:dyDescent="0.2">
      <c r="A2166" s="1">
        <v>42342</v>
      </c>
      <c r="B2166">
        <v>339</v>
      </c>
      <c r="C2166">
        <f>IF(B2166&gt;'user input'!$C$6,0,IF('heat units'!H2166&gt;1,1,'heat units'!H2166))</f>
        <v>0</v>
      </c>
      <c r="D2166">
        <f>IF(B2166&gt;'user input'!$C$6,0,(C2166/(C2166+EXP('user input'!$C$15-'user input'!$C$14*C2166))))</f>
        <v>0</v>
      </c>
      <c r="E2166">
        <f>IF(C2166&lt;'user input'!$C$12,(D2166-D2165)*'user input'!$C$17*(1-EXP(5*(F2165-'user input'!$C$17))),F2166-F2165)</f>
        <v>0</v>
      </c>
      <c r="F2166">
        <f>IF(C2166&lt;'user input'!$C$12,IF(B2166&gt;'user input'!$C$6,0,F2165+E2166),'user input'!$C$17*((1-C2166)/(1-'user input'!$C$12)))</f>
        <v>0</v>
      </c>
    </row>
    <row r="2167" spans="1:6" x14ac:dyDescent="0.2">
      <c r="A2167" s="1">
        <v>42343</v>
      </c>
      <c r="B2167">
        <v>340</v>
      </c>
      <c r="C2167">
        <f>IF(B2167&gt;'user input'!$C$6,0,IF('heat units'!H2167&gt;1,1,'heat units'!H2167))</f>
        <v>0</v>
      </c>
      <c r="D2167">
        <f>IF(B2167&gt;'user input'!$C$6,0,(C2167/(C2167+EXP('user input'!$C$15-'user input'!$C$14*C2167))))</f>
        <v>0</v>
      </c>
      <c r="E2167">
        <f>IF(C2167&lt;'user input'!$C$12,(D2167-D2166)*'user input'!$C$17*(1-EXP(5*(F2166-'user input'!$C$17))),F2167-F2166)</f>
        <v>0</v>
      </c>
      <c r="F2167">
        <f>IF(C2167&lt;'user input'!$C$12,IF(B2167&gt;'user input'!$C$6,0,F2166+E2167),'user input'!$C$17*((1-C2167)/(1-'user input'!$C$12)))</f>
        <v>0</v>
      </c>
    </row>
    <row r="2168" spans="1:6" x14ac:dyDescent="0.2">
      <c r="A2168" s="1">
        <v>42344</v>
      </c>
      <c r="B2168">
        <v>341</v>
      </c>
      <c r="C2168">
        <f>IF(B2168&gt;'user input'!$C$6,0,IF('heat units'!H2168&gt;1,1,'heat units'!H2168))</f>
        <v>0</v>
      </c>
      <c r="D2168">
        <f>IF(B2168&gt;'user input'!$C$6,0,(C2168/(C2168+EXP('user input'!$C$15-'user input'!$C$14*C2168))))</f>
        <v>0</v>
      </c>
      <c r="E2168">
        <f>IF(C2168&lt;'user input'!$C$12,(D2168-D2167)*'user input'!$C$17*(1-EXP(5*(F2167-'user input'!$C$17))),F2168-F2167)</f>
        <v>0</v>
      </c>
      <c r="F2168">
        <f>IF(C2168&lt;'user input'!$C$12,IF(B2168&gt;'user input'!$C$6,0,F2167+E2168),'user input'!$C$17*((1-C2168)/(1-'user input'!$C$12)))</f>
        <v>0</v>
      </c>
    </row>
    <row r="2169" spans="1:6" x14ac:dyDescent="0.2">
      <c r="A2169" s="1">
        <v>42345</v>
      </c>
      <c r="B2169">
        <v>342</v>
      </c>
      <c r="C2169">
        <f>IF(B2169&gt;'user input'!$C$6,0,IF('heat units'!H2169&gt;1,1,'heat units'!H2169))</f>
        <v>0</v>
      </c>
      <c r="D2169">
        <f>IF(B2169&gt;'user input'!$C$6,0,(C2169/(C2169+EXP('user input'!$C$15-'user input'!$C$14*C2169))))</f>
        <v>0</v>
      </c>
      <c r="E2169">
        <f>IF(C2169&lt;'user input'!$C$12,(D2169-D2168)*'user input'!$C$17*(1-EXP(5*(F2168-'user input'!$C$17))),F2169-F2168)</f>
        <v>0</v>
      </c>
      <c r="F2169">
        <f>IF(C2169&lt;'user input'!$C$12,IF(B2169&gt;'user input'!$C$6,0,F2168+E2169),'user input'!$C$17*((1-C2169)/(1-'user input'!$C$12)))</f>
        <v>0</v>
      </c>
    </row>
    <row r="2170" spans="1:6" x14ac:dyDescent="0.2">
      <c r="A2170" s="1">
        <v>42346</v>
      </c>
      <c r="B2170">
        <v>343</v>
      </c>
      <c r="C2170">
        <f>IF(B2170&gt;'user input'!$C$6,0,IF('heat units'!H2170&gt;1,1,'heat units'!H2170))</f>
        <v>0</v>
      </c>
      <c r="D2170">
        <f>IF(B2170&gt;'user input'!$C$6,0,(C2170/(C2170+EXP('user input'!$C$15-'user input'!$C$14*C2170))))</f>
        <v>0</v>
      </c>
      <c r="E2170">
        <f>IF(C2170&lt;'user input'!$C$12,(D2170-D2169)*'user input'!$C$17*(1-EXP(5*(F2169-'user input'!$C$17))),F2170-F2169)</f>
        <v>0</v>
      </c>
      <c r="F2170">
        <f>IF(C2170&lt;'user input'!$C$12,IF(B2170&gt;'user input'!$C$6,0,F2169+E2170),'user input'!$C$17*((1-C2170)/(1-'user input'!$C$12)))</f>
        <v>0</v>
      </c>
    </row>
    <row r="2171" spans="1:6" x14ac:dyDescent="0.2">
      <c r="A2171" s="1">
        <v>42347</v>
      </c>
      <c r="B2171">
        <v>344</v>
      </c>
      <c r="C2171">
        <f>IF(B2171&gt;'user input'!$C$6,0,IF('heat units'!H2171&gt;1,1,'heat units'!H2171))</f>
        <v>0</v>
      </c>
      <c r="D2171">
        <f>IF(B2171&gt;'user input'!$C$6,0,(C2171/(C2171+EXP('user input'!$C$15-'user input'!$C$14*C2171))))</f>
        <v>0</v>
      </c>
      <c r="E2171">
        <f>IF(C2171&lt;'user input'!$C$12,(D2171-D2170)*'user input'!$C$17*(1-EXP(5*(F2170-'user input'!$C$17))),F2171-F2170)</f>
        <v>0</v>
      </c>
      <c r="F2171">
        <f>IF(C2171&lt;'user input'!$C$12,IF(B2171&gt;'user input'!$C$6,0,F2170+E2171),'user input'!$C$17*((1-C2171)/(1-'user input'!$C$12)))</f>
        <v>0</v>
      </c>
    </row>
    <row r="2172" spans="1:6" x14ac:dyDescent="0.2">
      <c r="A2172" s="1">
        <v>42348</v>
      </c>
      <c r="B2172">
        <v>345</v>
      </c>
      <c r="C2172">
        <f>IF(B2172&gt;'user input'!$C$6,0,IF('heat units'!H2172&gt;1,1,'heat units'!H2172))</f>
        <v>0</v>
      </c>
      <c r="D2172">
        <f>IF(B2172&gt;'user input'!$C$6,0,(C2172/(C2172+EXP('user input'!$C$15-'user input'!$C$14*C2172))))</f>
        <v>0</v>
      </c>
      <c r="E2172">
        <f>IF(C2172&lt;'user input'!$C$12,(D2172-D2171)*'user input'!$C$17*(1-EXP(5*(F2171-'user input'!$C$17))),F2172-F2171)</f>
        <v>0</v>
      </c>
      <c r="F2172">
        <f>IF(C2172&lt;'user input'!$C$12,IF(B2172&gt;'user input'!$C$6,0,F2171+E2172),'user input'!$C$17*((1-C2172)/(1-'user input'!$C$12)))</f>
        <v>0</v>
      </c>
    </row>
    <row r="2173" spans="1:6" x14ac:dyDescent="0.2">
      <c r="A2173" s="1">
        <v>42349</v>
      </c>
      <c r="B2173">
        <v>346</v>
      </c>
      <c r="C2173">
        <f>IF(B2173&gt;'user input'!$C$6,0,IF('heat units'!H2173&gt;1,1,'heat units'!H2173))</f>
        <v>0</v>
      </c>
      <c r="D2173">
        <f>IF(B2173&gt;'user input'!$C$6,0,(C2173/(C2173+EXP('user input'!$C$15-'user input'!$C$14*C2173))))</f>
        <v>0</v>
      </c>
      <c r="E2173">
        <f>IF(C2173&lt;'user input'!$C$12,(D2173-D2172)*'user input'!$C$17*(1-EXP(5*(F2172-'user input'!$C$17))),F2173-F2172)</f>
        <v>0</v>
      </c>
      <c r="F2173">
        <f>IF(C2173&lt;'user input'!$C$12,IF(B2173&gt;'user input'!$C$6,0,F2172+E2173),'user input'!$C$17*((1-C2173)/(1-'user input'!$C$12)))</f>
        <v>0</v>
      </c>
    </row>
    <row r="2174" spans="1:6" x14ac:dyDescent="0.2">
      <c r="A2174" s="1">
        <v>42350</v>
      </c>
      <c r="B2174">
        <v>347</v>
      </c>
      <c r="C2174">
        <f>IF(B2174&gt;'user input'!$C$6,0,IF('heat units'!H2174&gt;1,1,'heat units'!H2174))</f>
        <v>0</v>
      </c>
      <c r="D2174">
        <f>IF(B2174&gt;'user input'!$C$6,0,(C2174/(C2174+EXP('user input'!$C$15-'user input'!$C$14*C2174))))</f>
        <v>0</v>
      </c>
      <c r="E2174">
        <f>IF(C2174&lt;'user input'!$C$12,(D2174-D2173)*'user input'!$C$17*(1-EXP(5*(F2173-'user input'!$C$17))),F2174-F2173)</f>
        <v>0</v>
      </c>
      <c r="F2174">
        <f>IF(C2174&lt;'user input'!$C$12,IF(B2174&gt;'user input'!$C$6,0,F2173+E2174),'user input'!$C$17*((1-C2174)/(1-'user input'!$C$12)))</f>
        <v>0</v>
      </c>
    </row>
    <row r="2175" spans="1:6" x14ac:dyDescent="0.2">
      <c r="A2175" s="1">
        <v>42351</v>
      </c>
      <c r="B2175">
        <v>348</v>
      </c>
      <c r="C2175">
        <f>IF(B2175&gt;'user input'!$C$6,0,IF('heat units'!H2175&gt;1,1,'heat units'!H2175))</f>
        <v>0</v>
      </c>
      <c r="D2175">
        <f>IF(B2175&gt;'user input'!$C$6,0,(C2175/(C2175+EXP('user input'!$C$15-'user input'!$C$14*C2175))))</f>
        <v>0</v>
      </c>
      <c r="E2175">
        <f>IF(C2175&lt;'user input'!$C$12,(D2175-D2174)*'user input'!$C$17*(1-EXP(5*(F2174-'user input'!$C$17))),F2175-F2174)</f>
        <v>0</v>
      </c>
      <c r="F2175">
        <f>IF(C2175&lt;'user input'!$C$12,IF(B2175&gt;'user input'!$C$6,0,F2174+E2175),'user input'!$C$17*((1-C2175)/(1-'user input'!$C$12)))</f>
        <v>0</v>
      </c>
    </row>
    <row r="2176" spans="1:6" x14ac:dyDescent="0.2">
      <c r="A2176" s="1">
        <v>42352</v>
      </c>
      <c r="B2176">
        <v>349</v>
      </c>
      <c r="C2176">
        <f>IF(B2176&gt;'user input'!$C$6,0,IF('heat units'!H2176&gt;1,1,'heat units'!H2176))</f>
        <v>0</v>
      </c>
      <c r="D2176">
        <f>IF(B2176&gt;'user input'!$C$6,0,(C2176/(C2176+EXP('user input'!$C$15-'user input'!$C$14*C2176))))</f>
        <v>0</v>
      </c>
      <c r="E2176">
        <f>IF(C2176&lt;'user input'!$C$12,(D2176-D2175)*'user input'!$C$17*(1-EXP(5*(F2175-'user input'!$C$17))),F2176-F2175)</f>
        <v>0</v>
      </c>
      <c r="F2176">
        <f>IF(C2176&lt;'user input'!$C$12,IF(B2176&gt;'user input'!$C$6,0,F2175+E2176),'user input'!$C$17*((1-C2176)/(1-'user input'!$C$12)))</f>
        <v>0</v>
      </c>
    </row>
    <row r="2177" spans="1:6" x14ac:dyDescent="0.2">
      <c r="A2177" s="1">
        <v>42353</v>
      </c>
      <c r="B2177">
        <v>350</v>
      </c>
      <c r="C2177">
        <f>IF(B2177&gt;'user input'!$C$6,0,IF('heat units'!H2177&gt;1,1,'heat units'!H2177))</f>
        <v>0</v>
      </c>
      <c r="D2177">
        <f>IF(B2177&gt;'user input'!$C$6,0,(C2177/(C2177+EXP('user input'!$C$15-'user input'!$C$14*C2177))))</f>
        <v>0</v>
      </c>
      <c r="E2177">
        <f>IF(C2177&lt;'user input'!$C$12,(D2177-D2176)*'user input'!$C$17*(1-EXP(5*(F2176-'user input'!$C$17))),F2177-F2176)</f>
        <v>0</v>
      </c>
      <c r="F2177">
        <f>IF(C2177&lt;'user input'!$C$12,IF(B2177&gt;'user input'!$C$6,0,F2176+E2177),'user input'!$C$17*((1-C2177)/(1-'user input'!$C$12)))</f>
        <v>0</v>
      </c>
    </row>
    <row r="2178" spans="1:6" x14ac:dyDescent="0.2">
      <c r="A2178" s="1">
        <v>42354</v>
      </c>
      <c r="B2178">
        <v>351</v>
      </c>
      <c r="C2178">
        <f>IF(B2178&gt;'user input'!$C$6,0,IF('heat units'!H2178&gt;1,1,'heat units'!H2178))</f>
        <v>0</v>
      </c>
      <c r="D2178">
        <f>IF(B2178&gt;'user input'!$C$6,0,(C2178/(C2178+EXP('user input'!$C$15-'user input'!$C$14*C2178))))</f>
        <v>0</v>
      </c>
      <c r="E2178">
        <f>IF(C2178&lt;'user input'!$C$12,(D2178-D2177)*'user input'!$C$17*(1-EXP(5*(F2177-'user input'!$C$17))),F2178-F2177)</f>
        <v>0</v>
      </c>
      <c r="F2178">
        <f>IF(C2178&lt;'user input'!$C$12,IF(B2178&gt;'user input'!$C$6,0,F2177+E2178),'user input'!$C$17*((1-C2178)/(1-'user input'!$C$12)))</f>
        <v>0</v>
      </c>
    </row>
    <row r="2179" spans="1:6" x14ac:dyDescent="0.2">
      <c r="A2179" s="1">
        <v>42355</v>
      </c>
      <c r="B2179">
        <v>352</v>
      </c>
      <c r="C2179">
        <f>IF(B2179&gt;'user input'!$C$6,0,IF('heat units'!H2179&gt;1,1,'heat units'!H2179))</f>
        <v>0</v>
      </c>
      <c r="D2179">
        <f>IF(B2179&gt;'user input'!$C$6,0,(C2179/(C2179+EXP('user input'!$C$15-'user input'!$C$14*C2179))))</f>
        <v>0</v>
      </c>
      <c r="E2179">
        <f>IF(C2179&lt;'user input'!$C$12,(D2179-D2178)*'user input'!$C$17*(1-EXP(5*(F2178-'user input'!$C$17))),F2179-F2178)</f>
        <v>0</v>
      </c>
      <c r="F2179">
        <f>IF(C2179&lt;'user input'!$C$12,IF(B2179&gt;'user input'!$C$6,0,F2178+E2179),'user input'!$C$17*((1-C2179)/(1-'user input'!$C$12)))</f>
        <v>0</v>
      </c>
    </row>
    <row r="2180" spans="1:6" x14ac:dyDescent="0.2">
      <c r="A2180" s="1">
        <v>42356</v>
      </c>
      <c r="B2180">
        <v>353</v>
      </c>
      <c r="C2180">
        <f>IF(B2180&gt;'user input'!$C$6,0,IF('heat units'!H2180&gt;1,1,'heat units'!H2180))</f>
        <v>0</v>
      </c>
      <c r="D2180">
        <f>IF(B2180&gt;'user input'!$C$6,0,(C2180/(C2180+EXP('user input'!$C$15-'user input'!$C$14*C2180))))</f>
        <v>0</v>
      </c>
      <c r="E2180">
        <f>IF(C2180&lt;'user input'!$C$12,(D2180-D2179)*'user input'!$C$17*(1-EXP(5*(F2179-'user input'!$C$17))),F2180-F2179)</f>
        <v>0</v>
      </c>
      <c r="F2180">
        <f>IF(C2180&lt;'user input'!$C$12,IF(B2180&gt;'user input'!$C$6,0,F2179+E2180),'user input'!$C$17*((1-C2180)/(1-'user input'!$C$12)))</f>
        <v>0</v>
      </c>
    </row>
    <row r="2181" spans="1:6" x14ac:dyDescent="0.2">
      <c r="A2181" s="1">
        <v>42357</v>
      </c>
      <c r="B2181">
        <v>354</v>
      </c>
      <c r="C2181">
        <f>IF(B2181&gt;'user input'!$C$6,0,IF('heat units'!H2181&gt;1,1,'heat units'!H2181))</f>
        <v>0</v>
      </c>
      <c r="D2181">
        <f>IF(B2181&gt;'user input'!$C$6,0,(C2181/(C2181+EXP('user input'!$C$15-'user input'!$C$14*C2181))))</f>
        <v>0</v>
      </c>
      <c r="E2181">
        <f>IF(C2181&lt;'user input'!$C$12,(D2181-D2180)*'user input'!$C$17*(1-EXP(5*(F2180-'user input'!$C$17))),F2181-F2180)</f>
        <v>0</v>
      </c>
      <c r="F2181">
        <f>IF(C2181&lt;'user input'!$C$12,IF(B2181&gt;'user input'!$C$6,0,F2180+E2181),'user input'!$C$17*((1-C2181)/(1-'user input'!$C$12)))</f>
        <v>0</v>
      </c>
    </row>
    <row r="2182" spans="1:6" x14ac:dyDescent="0.2">
      <c r="A2182" s="1">
        <v>42358</v>
      </c>
      <c r="B2182">
        <v>355</v>
      </c>
      <c r="C2182">
        <f>IF(B2182&gt;'user input'!$C$6,0,IF('heat units'!H2182&gt;1,1,'heat units'!H2182))</f>
        <v>0</v>
      </c>
      <c r="D2182">
        <f>IF(B2182&gt;'user input'!$C$6,0,(C2182/(C2182+EXP('user input'!$C$15-'user input'!$C$14*C2182))))</f>
        <v>0</v>
      </c>
      <c r="E2182">
        <f>IF(C2182&lt;'user input'!$C$12,(D2182-D2181)*'user input'!$C$17*(1-EXP(5*(F2181-'user input'!$C$17))),F2182-F2181)</f>
        <v>0</v>
      </c>
      <c r="F2182">
        <f>IF(C2182&lt;'user input'!$C$12,IF(B2182&gt;'user input'!$C$6,0,F2181+E2182),'user input'!$C$17*((1-C2182)/(1-'user input'!$C$12)))</f>
        <v>0</v>
      </c>
    </row>
    <row r="2183" spans="1:6" x14ac:dyDescent="0.2">
      <c r="A2183" s="1">
        <v>42359</v>
      </c>
      <c r="B2183">
        <v>356</v>
      </c>
      <c r="C2183">
        <f>IF(B2183&gt;'user input'!$C$6,0,IF('heat units'!H2183&gt;1,1,'heat units'!H2183))</f>
        <v>0</v>
      </c>
      <c r="D2183">
        <f>IF(B2183&gt;'user input'!$C$6,0,(C2183/(C2183+EXP('user input'!$C$15-'user input'!$C$14*C2183))))</f>
        <v>0</v>
      </c>
      <c r="E2183">
        <f>IF(C2183&lt;'user input'!$C$12,(D2183-D2182)*'user input'!$C$17*(1-EXP(5*(F2182-'user input'!$C$17))),F2183-F2182)</f>
        <v>0</v>
      </c>
      <c r="F2183">
        <f>IF(C2183&lt;'user input'!$C$12,IF(B2183&gt;'user input'!$C$6,0,F2182+E2183),'user input'!$C$17*((1-C2183)/(1-'user input'!$C$12)))</f>
        <v>0</v>
      </c>
    </row>
    <row r="2184" spans="1:6" x14ac:dyDescent="0.2">
      <c r="A2184" s="1">
        <v>42360</v>
      </c>
      <c r="B2184">
        <v>357</v>
      </c>
      <c r="C2184">
        <f>IF(B2184&gt;'user input'!$C$6,0,IF('heat units'!H2184&gt;1,1,'heat units'!H2184))</f>
        <v>0</v>
      </c>
      <c r="D2184">
        <f>IF(B2184&gt;'user input'!$C$6,0,(C2184/(C2184+EXP('user input'!$C$15-'user input'!$C$14*C2184))))</f>
        <v>0</v>
      </c>
      <c r="E2184">
        <f>IF(C2184&lt;'user input'!$C$12,(D2184-D2183)*'user input'!$C$17*(1-EXP(5*(F2183-'user input'!$C$17))),F2184-F2183)</f>
        <v>0</v>
      </c>
      <c r="F2184">
        <f>IF(C2184&lt;'user input'!$C$12,IF(B2184&gt;'user input'!$C$6,0,F2183+E2184),'user input'!$C$17*((1-C2184)/(1-'user input'!$C$12)))</f>
        <v>0</v>
      </c>
    </row>
    <row r="2185" spans="1:6" x14ac:dyDescent="0.2">
      <c r="A2185" s="1">
        <v>42361</v>
      </c>
      <c r="B2185">
        <v>358</v>
      </c>
      <c r="C2185">
        <f>IF(B2185&gt;'user input'!$C$6,0,IF('heat units'!H2185&gt;1,1,'heat units'!H2185))</f>
        <v>0</v>
      </c>
      <c r="D2185">
        <f>IF(B2185&gt;'user input'!$C$6,0,(C2185/(C2185+EXP('user input'!$C$15-'user input'!$C$14*C2185))))</f>
        <v>0</v>
      </c>
      <c r="E2185">
        <f>IF(C2185&lt;'user input'!$C$12,(D2185-D2184)*'user input'!$C$17*(1-EXP(5*(F2184-'user input'!$C$17))),F2185-F2184)</f>
        <v>0</v>
      </c>
      <c r="F2185">
        <f>IF(C2185&lt;'user input'!$C$12,IF(B2185&gt;'user input'!$C$6,0,F2184+E2185),'user input'!$C$17*((1-C2185)/(1-'user input'!$C$12)))</f>
        <v>0</v>
      </c>
    </row>
    <row r="2186" spans="1:6" x14ac:dyDescent="0.2">
      <c r="A2186" s="1">
        <v>42362</v>
      </c>
      <c r="B2186">
        <v>359</v>
      </c>
      <c r="C2186">
        <f>IF(B2186&gt;'user input'!$C$6,0,IF('heat units'!H2186&gt;1,1,'heat units'!H2186))</f>
        <v>0</v>
      </c>
      <c r="D2186">
        <f>IF(B2186&gt;'user input'!$C$6,0,(C2186/(C2186+EXP('user input'!$C$15-'user input'!$C$14*C2186))))</f>
        <v>0</v>
      </c>
      <c r="E2186">
        <f>IF(C2186&lt;'user input'!$C$12,(D2186-D2185)*'user input'!$C$17*(1-EXP(5*(F2185-'user input'!$C$17))),F2186-F2185)</f>
        <v>0</v>
      </c>
      <c r="F2186">
        <f>IF(C2186&lt;'user input'!$C$12,IF(B2186&gt;'user input'!$C$6,0,F2185+E2186),'user input'!$C$17*((1-C2186)/(1-'user input'!$C$12)))</f>
        <v>0</v>
      </c>
    </row>
    <row r="2187" spans="1:6" x14ac:dyDescent="0.2">
      <c r="A2187" s="1">
        <v>42363</v>
      </c>
      <c r="B2187">
        <v>360</v>
      </c>
      <c r="C2187">
        <f>IF(B2187&gt;'user input'!$C$6,0,IF('heat units'!H2187&gt;1,1,'heat units'!H2187))</f>
        <v>0</v>
      </c>
      <c r="D2187">
        <f>IF(B2187&gt;'user input'!$C$6,0,(C2187/(C2187+EXP('user input'!$C$15-'user input'!$C$14*C2187))))</f>
        <v>0</v>
      </c>
      <c r="E2187">
        <f>IF(C2187&lt;'user input'!$C$12,(D2187-D2186)*'user input'!$C$17*(1-EXP(5*(F2186-'user input'!$C$17))),F2187-F2186)</f>
        <v>0</v>
      </c>
      <c r="F2187">
        <f>IF(C2187&lt;'user input'!$C$12,IF(B2187&gt;'user input'!$C$6,0,F2186+E2187),'user input'!$C$17*((1-C2187)/(1-'user input'!$C$12)))</f>
        <v>0</v>
      </c>
    </row>
    <row r="2188" spans="1:6" x14ac:dyDescent="0.2">
      <c r="A2188" s="1">
        <v>42364</v>
      </c>
      <c r="B2188">
        <v>361</v>
      </c>
      <c r="C2188">
        <f>IF(B2188&gt;'user input'!$C$6,0,IF('heat units'!H2188&gt;1,1,'heat units'!H2188))</f>
        <v>0</v>
      </c>
      <c r="D2188">
        <f>IF(B2188&gt;'user input'!$C$6,0,(C2188/(C2188+EXP('user input'!$C$15-'user input'!$C$14*C2188))))</f>
        <v>0</v>
      </c>
      <c r="E2188">
        <f>IF(C2188&lt;'user input'!$C$12,(D2188-D2187)*'user input'!$C$17*(1-EXP(5*(F2187-'user input'!$C$17))),F2188-F2187)</f>
        <v>0</v>
      </c>
      <c r="F2188">
        <f>IF(C2188&lt;'user input'!$C$12,IF(B2188&gt;'user input'!$C$6,0,F2187+E2188),'user input'!$C$17*((1-C2188)/(1-'user input'!$C$12)))</f>
        <v>0</v>
      </c>
    </row>
    <row r="2189" spans="1:6" x14ac:dyDescent="0.2">
      <c r="A2189" s="1">
        <v>42365</v>
      </c>
      <c r="B2189">
        <v>362</v>
      </c>
      <c r="C2189">
        <f>IF(B2189&gt;'user input'!$C$6,0,IF('heat units'!H2189&gt;1,1,'heat units'!H2189))</f>
        <v>0</v>
      </c>
      <c r="D2189">
        <f>IF(B2189&gt;'user input'!$C$6,0,(C2189/(C2189+EXP('user input'!$C$15-'user input'!$C$14*C2189))))</f>
        <v>0</v>
      </c>
      <c r="E2189">
        <f>IF(C2189&lt;'user input'!$C$12,(D2189-D2188)*'user input'!$C$17*(1-EXP(5*(F2188-'user input'!$C$17))),F2189-F2188)</f>
        <v>0</v>
      </c>
      <c r="F2189">
        <f>IF(C2189&lt;'user input'!$C$12,IF(B2189&gt;'user input'!$C$6,0,F2188+E2189),'user input'!$C$17*((1-C2189)/(1-'user input'!$C$12)))</f>
        <v>0</v>
      </c>
    </row>
    <row r="2190" spans="1:6" x14ac:dyDescent="0.2">
      <c r="A2190" s="1">
        <v>42366</v>
      </c>
      <c r="B2190">
        <v>363</v>
      </c>
      <c r="C2190">
        <f>IF(B2190&gt;'user input'!$C$6,0,IF('heat units'!H2190&gt;1,1,'heat units'!H2190))</f>
        <v>0</v>
      </c>
      <c r="D2190">
        <f>IF(B2190&gt;'user input'!$C$6,0,(C2190/(C2190+EXP('user input'!$C$15-'user input'!$C$14*C2190))))</f>
        <v>0</v>
      </c>
      <c r="E2190">
        <f>IF(C2190&lt;'user input'!$C$12,(D2190-D2189)*'user input'!$C$17*(1-EXP(5*(F2189-'user input'!$C$17))),F2190-F2189)</f>
        <v>0</v>
      </c>
      <c r="F2190">
        <f>IF(C2190&lt;'user input'!$C$12,IF(B2190&gt;'user input'!$C$6,0,F2189+E2190),'user input'!$C$17*((1-C2190)/(1-'user input'!$C$12)))</f>
        <v>0</v>
      </c>
    </row>
    <row r="2191" spans="1:6" x14ac:dyDescent="0.2">
      <c r="A2191" s="1">
        <v>42367</v>
      </c>
      <c r="B2191">
        <v>364</v>
      </c>
      <c r="C2191">
        <f>IF(B2191&gt;'user input'!$C$6,0,IF('heat units'!H2191&gt;1,1,'heat units'!H2191))</f>
        <v>0</v>
      </c>
      <c r="D2191">
        <f>IF(B2191&gt;'user input'!$C$6,0,(C2191/(C2191+EXP('user input'!$C$15-'user input'!$C$14*C2191))))</f>
        <v>0</v>
      </c>
      <c r="E2191">
        <f>IF(C2191&lt;'user input'!$C$12,(D2191-D2190)*'user input'!$C$17*(1-EXP(5*(F2190-'user input'!$C$17))),F2191-F2190)</f>
        <v>0</v>
      </c>
      <c r="F2191">
        <f>IF(C2191&lt;'user input'!$C$12,IF(B2191&gt;'user input'!$C$6,0,F2190+E2191),'user input'!$C$17*((1-C2191)/(1-'user input'!$C$12)))</f>
        <v>0</v>
      </c>
    </row>
    <row r="2192" spans="1:6" x14ac:dyDescent="0.2">
      <c r="A2192" s="1">
        <v>42368</v>
      </c>
      <c r="B2192">
        <v>365</v>
      </c>
      <c r="C2192">
        <f>IF(B2192&gt;'user input'!$C$6,0,IF('heat units'!H2192&gt;1,1,'heat units'!H2192))</f>
        <v>0</v>
      </c>
      <c r="D2192">
        <f>IF(B2192&gt;'user input'!$C$6,0,(C2192/(C2192+EXP('user input'!$C$15-'user input'!$C$14*C2192))))</f>
        <v>0</v>
      </c>
      <c r="E2192">
        <f>IF(C2192&lt;'user input'!$C$12,(D2192-D2191)*'user input'!$C$17*(1-EXP(5*(F2191-'user input'!$C$17))),F2192-F2191)</f>
        <v>0</v>
      </c>
      <c r="F2192">
        <f>IF(C2192&lt;'user input'!$C$12,IF(B2192&gt;'user input'!$C$6,0,F2191+E2192),'user input'!$C$17*((1-C2192)/(1-'user input'!$C$12)))</f>
        <v>0</v>
      </c>
    </row>
    <row r="2193" spans="1:6" x14ac:dyDescent="0.2">
      <c r="A2193" s="1">
        <v>42369</v>
      </c>
      <c r="B2193">
        <v>1</v>
      </c>
      <c r="C2193">
        <f>IF(B2193&gt;'user input'!$C$6,0,IF('heat units'!H2193&gt;1,1,'heat units'!H2193))</f>
        <v>0</v>
      </c>
      <c r="D2193">
        <f>IF(B2193&gt;'user input'!$C$6,0,(C2193/(C2193+EXP('user input'!$C$15-'user input'!$C$14*C2193))))</f>
        <v>0</v>
      </c>
      <c r="E2193">
        <f>IF(C2193&lt;'user input'!$C$12,(D2193-D2192)*'user input'!$C$17*(1-EXP(5*(F2192-'user input'!$C$17))),F2193-F2192)</f>
        <v>0</v>
      </c>
      <c r="F2193">
        <f>IF(C2193&lt;'user input'!$C$12,IF(B2193&gt;'user input'!$C$6,0,F2192+E2193),'user input'!$C$17*((1-C2193)/(1-'user input'!$C$12)))</f>
        <v>0</v>
      </c>
    </row>
    <row r="2194" spans="1:6" x14ac:dyDescent="0.2">
      <c r="A2194" s="1">
        <v>42370</v>
      </c>
      <c r="B2194">
        <v>2</v>
      </c>
      <c r="C2194">
        <f>IF(B2194&gt;'user input'!$C$6,0,IF('heat units'!H2194&gt;1,1,'heat units'!H2194))</f>
        <v>0</v>
      </c>
      <c r="D2194">
        <f>IF(B2194&gt;'user input'!$C$6,0,(C2194/(C2194+EXP('user input'!$C$15-'user input'!$C$14*C2194))))</f>
        <v>0</v>
      </c>
      <c r="E2194">
        <f>IF(C2194&lt;'user input'!$C$12,(D2194-D2193)*'user input'!$C$17*(1-EXP(5*(F2193-'user input'!$C$17))),F2194-F2193)</f>
        <v>0</v>
      </c>
      <c r="F2194">
        <f>IF(C2194&lt;'user input'!$C$12,IF(B2194&gt;'user input'!$C$6,0,F2193+E2194),'user input'!$C$17*((1-C2194)/(1-'user input'!$C$12)))</f>
        <v>0</v>
      </c>
    </row>
    <row r="2195" spans="1:6" x14ac:dyDescent="0.2">
      <c r="A2195" s="1">
        <v>42371</v>
      </c>
      <c r="B2195">
        <v>3</v>
      </c>
      <c r="C2195">
        <f>IF(B2195&gt;'user input'!$C$6,0,IF('heat units'!H2195&gt;1,1,'heat units'!H2195))</f>
        <v>0</v>
      </c>
      <c r="D2195">
        <f>IF(B2195&gt;'user input'!$C$6,0,(C2195/(C2195+EXP('user input'!$C$15-'user input'!$C$14*C2195))))</f>
        <v>0</v>
      </c>
      <c r="E2195">
        <f>IF(C2195&lt;'user input'!$C$12,(D2195-D2194)*'user input'!$C$17*(1-EXP(5*(F2194-'user input'!$C$17))),F2195-F2194)</f>
        <v>0</v>
      </c>
      <c r="F2195">
        <f>IF(C2195&lt;'user input'!$C$12,IF(B2195&gt;'user input'!$C$6,0,F2194+E2195),'user input'!$C$17*((1-C2195)/(1-'user input'!$C$12)))</f>
        <v>0</v>
      </c>
    </row>
    <row r="2196" spans="1:6" x14ac:dyDescent="0.2">
      <c r="A2196" s="1">
        <v>42372</v>
      </c>
      <c r="B2196">
        <v>4</v>
      </c>
      <c r="C2196">
        <f>IF(B2196&gt;'user input'!$C$6,0,IF('heat units'!H2196&gt;1,1,'heat units'!H2196))</f>
        <v>0</v>
      </c>
      <c r="D2196">
        <f>IF(B2196&gt;'user input'!$C$6,0,(C2196/(C2196+EXP('user input'!$C$15-'user input'!$C$14*C2196))))</f>
        <v>0</v>
      </c>
      <c r="E2196">
        <f>IF(C2196&lt;'user input'!$C$12,(D2196-D2195)*'user input'!$C$17*(1-EXP(5*(F2195-'user input'!$C$17))),F2196-F2195)</f>
        <v>0</v>
      </c>
      <c r="F2196">
        <f>IF(C2196&lt;'user input'!$C$12,IF(B2196&gt;'user input'!$C$6,0,F2195+E2196),'user input'!$C$17*((1-C2196)/(1-'user input'!$C$12)))</f>
        <v>0</v>
      </c>
    </row>
    <row r="2197" spans="1:6" x14ac:dyDescent="0.2">
      <c r="A2197" s="1">
        <v>42373</v>
      </c>
      <c r="B2197">
        <v>5</v>
      </c>
      <c r="C2197">
        <f>IF(B2197&gt;'user input'!$C$6,0,IF('heat units'!H2197&gt;1,1,'heat units'!H2197))</f>
        <v>0</v>
      </c>
      <c r="D2197">
        <f>IF(B2197&gt;'user input'!$C$6,0,(C2197/(C2197+EXP('user input'!$C$15-'user input'!$C$14*C2197))))</f>
        <v>0</v>
      </c>
      <c r="E2197">
        <f>IF(C2197&lt;'user input'!$C$12,(D2197-D2196)*'user input'!$C$17*(1-EXP(5*(F2196-'user input'!$C$17))),F2197-F2196)</f>
        <v>0</v>
      </c>
      <c r="F2197">
        <f>IF(C2197&lt;'user input'!$C$12,IF(B2197&gt;'user input'!$C$6,0,F2196+E2197),'user input'!$C$17*((1-C2197)/(1-'user input'!$C$12)))</f>
        <v>0</v>
      </c>
    </row>
    <row r="2198" spans="1:6" x14ac:dyDescent="0.2">
      <c r="A2198" s="1">
        <v>42374</v>
      </c>
      <c r="B2198">
        <v>6</v>
      </c>
      <c r="C2198">
        <f>IF(B2198&gt;'user input'!$C$6,0,IF('heat units'!H2198&gt;1,1,'heat units'!H2198))</f>
        <v>0</v>
      </c>
      <c r="D2198">
        <f>IF(B2198&gt;'user input'!$C$6,0,(C2198/(C2198+EXP('user input'!$C$15-'user input'!$C$14*C2198))))</f>
        <v>0</v>
      </c>
      <c r="E2198">
        <f>IF(C2198&lt;'user input'!$C$12,(D2198-D2197)*'user input'!$C$17*(1-EXP(5*(F2197-'user input'!$C$17))),F2198-F2197)</f>
        <v>0</v>
      </c>
      <c r="F2198">
        <f>IF(C2198&lt;'user input'!$C$12,IF(B2198&gt;'user input'!$C$6,0,F2197+E2198),'user input'!$C$17*((1-C2198)/(1-'user input'!$C$12)))</f>
        <v>0</v>
      </c>
    </row>
    <row r="2199" spans="1:6" x14ac:dyDescent="0.2">
      <c r="A2199" s="1">
        <v>42375</v>
      </c>
      <c r="B2199">
        <v>7</v>
      </c>
      <c r="C2199">
        <f>IF(B2199&gt;'user input'!$C$6,0,IF('heat units'!H2199&gt;1,1,'heat units'!H2199))</f>
        <v>0</v>
      </c>
      <c r="D2199">
        <f>IF(B2199&gt;'user input'!$C$6,0,(C2199/(C2199+EXP('user input'!$C$15-'user input'!$C$14*C2199))))</f>
        <v>0</v>
      </c>
      <c r="E2199">
        <f>IF(C2199&lt;'user input'!$C$12,(D2199-D2198)*'user input'!$C$17*(1-EXP(5*(F2198-'user input'!$C$17))),F2199-F2198)</f>
        <v>0</v>
      </c>
      <c r="F2199">
        <f>IF(C2199&lt;'user input'!$C$12,IF(B2199&gt;'user input'!$C$6,0,F2198+E2199),'user input'!$C$17*((1-C2199)/(1-'user input'!$C$12)))</f>
        <v>0</v>
      </c>
    </row>
    <row r="2200" spans="1:6" x14ac:dyDescent="0.2">
      <c r="A2200" s="1">
        <v>42376</v>
      </c>
      <c r="B2200">
        <v>8</v>
      </c>
      <c r="C2200">
        <f>IF(B2200&gt;'user input'!$C$6,0,IF('heat units'!H2200&gt;1,1,'heat units'!H2200))</f>
        <v>0</v>
      </c>
      <c r="D2200">
        <f>IF(B2200&gt;'user input'!$C$6,0,(C2200/(C2200+EXP('user input'!$C$15-'user input'!$C$14*C2200))))</f>
        <v>0</v>
      </c>
      <c r="E2200">
        <f>IF(C2200&lt;'user input'!$C$12,(D2200-D2199)*'user input'!$C$17*(1-EXP(5*(F2199-'user input'!$C$17))),F2200-F2199)</f>
        <v>0</v>
      </c>
      <c r="F2200">
        <f>IF(C2200&lt;'user input'!$C$12,IF(B2200&gt;'user input'!$C$6,0,F2199+E2200),'user input'!$C$17*((1-C2200)/(1-'user input'!$C$12)))</f>
        <v>0</v>
      </c>
    </row>
    <row r="2201" spans="1:6" x14ac:dyDescent="0.2">
      <c r="A2201" s="1">
        <v>42377</v>
      </c>
      <c r="B2201">
        <v>9</v>
      </c>
      <c r="C2201">
        <f>IF(B2201&gt;'user input'!$C$6,0,IF('heat units'!H2201&gt;1,1,'heat units'!H2201))</f>
        <v>0</v>
      </c>
      <c r="D2201">
        <f>IF(B2201&gt;'user input'!$C$6,0,(C2201/(C2201+EXP('user input'!$C$15-'user input'!$C$14*C2201))))</f>
        <v>0</v>
      </c>
      <c r="E2201">
        <f>IF(C2201&lt;'user input'!$C$12,(D2201-D2200)*'user input'!$C$17*(1-EXP(5*(F2200-'user input'!$C$17))),F2201-F2200)</f>
        <v>0</v>
      </c>
      <c r="F2201">
        <f>IF(C2201&lt;'user input'!$C$12,IF(B2201&gt;'user input'!$C$6,0,F2200+E2201),'user input'!$C$17*((1-C2201)/(1-'user input'!$C$12)))</f>
        <v>0</v>
      </c>
    </row>
    <row r="2202" spans="1:6" x14ac:dyDescent="0.2">
      <c r="A2202" s="1">
        <v>42378</v>
      </c>
      <c r="B2202">
        <v>10</v>
      </c>
      <c r="C2202">
        <f>IF(B2202&gt;'user input'!$C$6,0,IF('heat units'!H2202&gt;1,1,'heat units'!H2202))</f>
        <v>0</v>
      </c>
      <c r="D2202">
        <f>IF(B2202&gt;'user input'!$C$6,0,(C2202/(C2202+EXP('user input'!$C$15-'user input'!$C$14*C2202))))</f>
        <v>0</v>
      </c>
      <c r="E2202">
        <f>IF(C2202&lt;'user input'!$C$12,(D2202-D2201)*'user input'!$C$17*(1-EXP(5*(F2201-'user input'!$C$17))),F2202-F2201)</f>
        <v>0</v>
      </c>
      <c r="F2202">
        <f>IF(C2202&lt;'user input'!$C$12,IF(B2202&gt;'user input'!$C$6,0,F2201+E2202),'user input'!$C$17*((1-C2202)/(1-'user input'!$C$12)))</f>
        <v>0</v>
      </c>
    </row>
    <row r="2203" spans="1:6" x14ac:dyDescent="0.2">
      <c r="A2203" s="1">
        <v>42379</v>
      </c>
      <c r="B2203">
        <v>11</v>
      </c>
      <c r="C2203">
        <f>IF(B2203&gt;'user input'!$C$6,0,IF('heat units'!H2203&gt;1,1,'heat units'!H2203))</f>
        <v>0</v>
      </c>
      <c r="D2203">
        <f>IF(B2203&gt;'user input'!$C$6,0,(C2203/(C2203+EXP('user input'!$C$15-'user input'!$C$14*C2203))))</f>
        <v>0</v>
      </c>
      <c r="E2203">
        <f>IF(C2203&lt;'user input'!$C$12,(D2203-D2202)*'user input'!$C$17*(1-EXP(5*(F2202-'user input'!$C$17))),F2203-F2202)</f>
        <v>0</v>
      </c>
      <c r="F2203">
        <f>IF(C2203&lt;'user input'!$C$12,IF(B2203&gt;'user input'!$C$6,0,F2202+E2203),'user input'!$C$17*((1-C2203)/(1-'user input'!$C$12)))</f>
        <v>0</v>
      </c>
    </row>
    <row r="2204" spans="1:6" x14ac:dyDescent="0.2">
      <c r="A2204" s="1">
        <v>42380</v>
      </c>
      <c r="B2204">
        <v>12</v>
      </c>
      <c r="C2204">
        <f>IF(B2204&gt;'user input'!$C$6,0,IF('heat units'!H2204&gt;1,1,'heat units'!H2204))</f>
        <v>0</v>
      </c>
      <c r="D2204">
        <f>IF(B2204&gt;'user input'!$C$6,0,(C2204/(C2204+EXP('user input'!$C$15-'user input'!$C$14*C2204))))</f>
        <v>0</v>
      </c>
      <c r="E2204">
        <f>IF(C2204&lt;'user input'!$C$12,(D2204-D2203)*'user input'!$C$17*(1-EXP(5*(F2203-'user input'!$C$17))),F2204-F2203)</f>
        <v>0</v>
      </c>
      <c r="F2204">
        <f>IF(C2204&lt;'user input'!$C$12,IF(B2204&gt;'user input'!$C$6,0,F2203+E2204),'user input'!$C$17*((1-C2204)/(1-'user input'!$C$12)))</f>
        <v>0</v>
      </c>
    </row>
    <row r="2205" spans="1:6" x14ac:dyDescent="0.2">
      <c r="A2205" s="1">
        <v>42381</v>
      </c>
      <c r="B2205">
        <v>13</v>
      </c>
      <c r="C2205">
        <f>IF(B2205&gt;'user input'!$C$6,0,IF('heat units'!H2205&gt;1,1,'heat units'!H2205))</f>
        <v>0</v>
      </c>
      <c r="D2205">
        <f>IF(B2205&gt;'user input'!$C$6,0,(C2205/(C2205+EXP('user input'!$C$15-'user input'!$C$14*C2205))))</f>
        <v>0</v>
      </c>
      <c r="E2205">
        <f>IF(C2205&lt;'user input'!$C$12,(D2205-D2204)*'user input'!$C$17*(1-EXP(5*(F2204-'user input'!$C$17))),F2205-F2204)</f>
        <v>0</v>
      </c>
      <c r="F2205">
        <f>IF(C2205&lt;'user input'!$C$12,IF(B2205&gt;'user input'!$C$6,0,F2204+E2205),'user input'!$C$17*((1-C2205)/(1-'user input'!$C$12)))</f>
        <v>0</v>
      </c>
    </row>
    <row r="2206" spans="1:6" x14ac:dyDescent="0.2">
      <c r="A2206" s="1">
        <v>42382</v>
      </c>
      <c r="B2206">
        <v>14</v>
      </c>
      <c r="C2206">
        <f>IF(B2206&gt;'user input'!$C$6,0,IF('heat units'!H2206&gt;1,1,'heat units'!H2206))</f>
        <v>0</v>
      </c>
      <c r="D2206">
        <f>IF(B2206&gt;'user input'!$C$6,0,(C2206/(C2206+EXP('user input'!$C$15-'user input'!$C$14*C2206))))</f>
        <v>0</v>
      </c>
      <c r="E2206">
        <f>IF(C2206&lt;'user input'!$C$12,(D2206-D2205)*'user input'!$C$17*(1-EXP(5*(F2205-'user input'!$C$17))),F2206-F2205)</f>
        <v>0</v>
      </c>
      <c r="F2206">
        <f>IF(C2206&lt;'user input'!$C$12,IF(B2206&gt;'user input'!$C$6,0,F2205+E2206),'user input'!$C$17*((1-C2206)/(1-'user input'!$C$12)))</f>
        <v>0</v>
      </c>
    </row>
    <row r="2207" spans="1:6" x14ac:dyDescent="0.2">
      <c r="A2207" s="1">
        <v>42383</v>
      </c>
      <c r="B2207">
        <v>15</v>
      </c>
      <c r="C2207">
        <f>IF(B2207&gt;'user input'!$C$6,0,IF('heat units'!H2207&gt;1,1,'heat units'!H2207))</f>
        <v>0</v>
      </c>
      <c r="D2207">
        <f>IF(B2207&gt;'user input'!$C$6,0,(C2207/(C2207+EXP('user input'!$C$15-'user input'!$C$14*C2207))))</f>
        <v>0</v>
      </c>
      <c r="E2207">
        <f>IF(C2207&lt;'user input'!$C$12,(D2207-D2206)*'user input'!$C$17*(1-EXP(5*(F2206-'user input'!$C$17))),F2207-F2206)</f>
        <v>0</v>
      </c>
      <c r="F2207">
        <f>IF(C2207&lt;'user input'!$C$12,IF(B2207&gt;'user input'!$C$6,0,F2206+E2207),'user input'!$C$17*((1-C2207)/(1-'user input'!$C$12)))</f>
        <v>0</v>
      </c>
    </row>
    <row r="2208" spans="1:6" x14ac:dyDescent="0.2">
      <c r="A2208" s="1">
        <v>42384</v>
      </c>
      <c r="B2208">
        <v>16</v>
      </c>
      <c r="C2208">
        <f>IF(B2208&gt;'user input'!$C$6,0,IF('heat units'!H2208&gt;1,1,'heat units'!H2208))</f>
        <v>0</v>
      </c>
      <c r="D2208">
        <f>IF(B2208&gt;'user input'!$C$6,0,(C2208/(C2208+EXP('user input'!$C$15-'user input'!$C$14*C2208))))</f>
        <v>0</v>
      </c>
      <c r="E2208">
        <f>IF(C2208&lt;'user input'!$C$12,(D2208-D2207)*'user input'!$C$17*(1-EXP(5*(F2207-'user input'!$C$17))),F2208-F2207)</f>
        <v>0</v>
      </c>
      <c r="F2208">
        <f>IF(C2208&lt;'user input'!$C$12,IF(B2208&gt;'user input'!$C$6,0,F2207+E2208),'user input'!$C$17*((1-C2208)/(1-'user input'!$C$12)))</f>
        <v>0</v>
      </c>
    </row>
    <row r="2209" spans="1:6" x14ac:dyDescent="0.2">
      <c r="A2209" s="1">
        <v>42385</v>
      </c>
      <c r="B2209">
        <v>17</v>
      </c>
      <c r="C2209">
        <f>IF(B2209&gt;'user input'!$C$6,0,IF('heat units'!H2209&gt;1,1,'heat units'!H2209))</f>
        <v>0</v>
      </c>
      <c r="D2209">
        <f>IF(B2209&gt;'user input'!$C$6,0,(C2209/(C2209+EXP('user input'!$C$15-'user input'!$C$14*C2209))))</f>
        <v>0</v>
      </c>
      <c r="E2209">
        <f>IF(C2209&lt;'user input'!$C$12,(D2209-D2208)*'user input'!$C$17*(1-EXP(5*(F2208-'user input'!$C$17))),F2209-F2208)</f>
        <v>0</v>
      </c>
      <c r="F2209">
        <f>IF(C2209&lt;'user input'!$C$12,IF(B2209&gt;'user input'!$C$6,0,F2208+E2209),'user input'!$C$17*((1-C2209)/(1-'user input'!$C$12)))</f>
        <v>0</v>
      </c>
    </row>
    <row r="2210" spans="1:6" x14ac:dyDescent="0.2">
      <c r="A2210" s="1">
        <v>42386</v>
      </c>
      <c r="B2210">
        <v>18</v>
      </c>
      <c r="C2210">
        <f>IF(B2210&gt;'user input'!$C$6,0,IF('heat units'!H2210&gt;1,1,'heat units'!H2210))</f>
        <v>0</v>
      </c>
      <c r="D2210">
        <f>IF(B2210&gt;'user input'!$C$6,0,(C2210/(C2210+EXP('user input'!$C$15-'user input'!$C$14*C2210))))</f>
        <v>0</v>
      </c>
      <c r="E2210">
        <f>IF(C2210&lt;'user input'!$C$12,(D2210-D2209)*'user input'!$C$17*(1-EXP(5*(F2209-'user input'!$C$17))),F2210-F2209)</f>
        <v>0</v>
      </c>
      <c r="F2210">
        <f>IF(C2210&lt;'user input'!$C$12,IF(B2210&gt;'user input'!$C$6,0,F2209+E2210),'user input'!$C$17*((1-C2210)/(1-'user input'!$C$12)))</f>
        <v>0</v>
      </c>
    </row>
    <row r="2211" spans="1:6" x14ac:dyDescent="0.2">
      <c r="A2211" s="1">
        <v>42387</v>
      </c>
      <c r="B2211">
        <v>19</v>
      </c>
      <c r="C2211">
        <f>IF(B2211&gt;'user input'!$C$6,0,IF('heat units'!H2211&gt;1,1,'heat units'!H2211))</f>
        <v>0</v>
      </c>
      <c r="D2211">
        <f>IF(B2211&gt;'user input'!$C$6,0,(C2211/(C2211+EXP('user input'!$C$15-'user input'!$C$14*C2211))))</f>
        <v>0</v>
      </c>
      <c r="E2211">
        <f>IF(C2211&lt;'user input'!$C$12,(D2211-D2210)*'user input'!$C$17*(1-EXP(5*(F2210-'user input'!$C$17))),F2211-F2210)</f>
        <v>0</v>
      </c>
      <c r="F2211">
        <f>IF(C2211&lt;'user input'!$C$12,IF(B2211&gt;'user input'!$C$6,0,F2210+E2211),'user input'!$C$17*((1-C2211)/(1-'user input'!$C$12)))</f>
        <v>0</v>
      </c>
    </row>
    <row r="2212" spans="1:6" x14ac:dyDescent="0.2">
      <c r="A2212" s="1">
        <v>42388</v>
      </c>
      <c r="B2212">
        <v>20</v>
      </c>
      <c r="C2212">
        <f>IF(B2212&gt;'user input'!$C$6,0,IF('heat units'!H2212&gt;1,1,'heat units'!H2212))</f>
        <v>0</v>
      </c>
      <c r="D2212">
        <f>IF(B2212&gt;'user input'!$C$6,0,(C2212/(C2212+EXP('user input'!$C$15-'user input'!$C$14*C2212))))</f>
        <v>0</v>
      </c>
      <c r="E2212">
        <f>IF(C2212&lt;'user input'!$C$12,(D2212-D2211)*'user input'!$C$17*(1-EXP(5*(F2211-'user input'!$C$17))),F2212-F2211)</f>
        <v>0</v>
      </c>
      <c r="F2212">
        <f>IF(C2212&lt;'user input'!$C$12,IF(B2212&gt;'user input'!$C$6,0,F2211+E2212),'user input'!$C$17*((1-C2212)/(1-'user input'!$C$12)))</f>
        <v>0</v>
      </c>
    </row>
    <row r="2213" spans="1:6" x14ac:dyDescent="0.2">
      <c r="A2213" s="1">
        <v>42389</v>
      </c>
      <c r="B2213">
        <v>21</v>
      </c>
      <c r="C2213">
        <f>IF(B2213&gt;'user input'!$C$6,0,IF('heat units'!H2213&gt;1,1,'heat units'!H2213))</f>
        <v>0</v>
      </c>
      <c r="D2213">
        <f>IF(B2213&gt;'user input'!$C$6,0,(C2213/(C2213+EXP('user input'!$C$15-'user input'!$C$14*C2213))))</f>
        <v>0</v>
      </c>
      <c r="E2213">
        <f>IF(C2213&lt;'user input'!$C$12,(D2213-D2212)*'user input'!$C$17*(1-EXP(5*(F2212-'user input'!$C$17))),F2213-F2212)</f>
        <v>0</v>
      </c>
      <c r="F2213">
        <f>IF(C2213&lt;'user input'!$C$12,IF(B2213&gt;'user input'!$C$6,0,F2212+E2213),'user input'!$C$17*((1-C2213)/(1-'user input'!$C$12)))</f>
        <v>0</v>
      </c>
    </row>
    <row r="2214" spans="1:6" x14ac:dyDescent="0.2">
      <c r="A2214" s="1">
        <v>42390</v>
      </c>
      <c r="B2214">
        <v>22</v>
      </c>
      <c r="C2214">
        <f>IF(B2214&gt;'user input'!$C$6,0,IF('heat units'!H2214&gt;1,1,'heat units'!H2214))</f>
        <v>0</v>
      </c>
      <c r="D2214">
        <f>IF(B2214&gt;'user input'!$C$6,0,(C2214/(C2214+EXP('user input'!$C$15-'user input'!$C$14*C2214))))</f>
        <v>0</v>
      </c>
      <c r="E2214">
        <f>IF(C2214&lt;'user input'!$C$12,(D2214-D2213)*'user input'!$C$17*(1-EXP(5*(F2213-'user input'!$C$17))),F2214-F2213)</f>
        <v>0</v>
      </c>
      <c r="F2214">
        <f>IF(C2214&lt;'user input'!$C$12,IF(B2214&gt;'user input'!$C$6,0,F2213+E2214),'user input'!$C$17*((1-C2214)/(1-'user input'!$C$12)))</f>
        <v>0</v>
      </c>
    </row>
    <row r="2215" spans="1:6" x14ac:dyDescent="0.2">
      <c r="A2215" s="1">
        <v>42391</v>
      </c>
      <c r="B2215">
        <v>23</v>
      </c>
      <c r="C2215">
        <f>IF(B2215&gt;'user input'!$C$6,0,IF('heat units'!H2215&gt;1,1,'heat units'!H2215))</f>
        <v>0</v>
      </c>
      <c r="D2215">
        <f>IF(B2215&gt;'user input'!$C$6,0,(C2215/(C2215+EXP('user input'!$C$15-'user input'!$C$14*C2215))))</f>
        <v>0</v>
      </c>
      <c r="E2215">
        <f>IF(C2215&lt;'user input'!$C$12,(D2215-D2214)*'user input'!$C$17*(1-EXP(5*(F2214-'user input'!$C$17))),F2215-F2214)</f>
        <v>0</v>
      </c>
      <c r="F2215">
        <f>IF(C2215&lt;'user input'!$C$12,IF(B2215&gt;'user input'!$C$6,0,F2214+E2215),'user input'!$C$17*((1-C2215)/(1-'user input'!$C$12)))</f>
        <v>0</v>
      </c>
    </row>
    <row r="2216" spans="1:6" x14ac:dyDescent="0.2">
      <c r="A2216" s="1">
        <v>42392</v>
      </c>
      <c r="B2216">
        <v>24</v>
      </c>
      <c r="C2216">
        <f>IF(B2216&gt;'user input'!$C$6,0,IF('heat units'!H2216&gt;1,1,'heat units'!H2216))</f>
        <v>0</v>
      </c>
      <c r="D2216">
        <f>IF(B2216&gt;'user input'!$C$6,0,(C2216/(C2216+EXP('user input'!$C$15-'user input'!$C$14*C2216))))</f>
        <v>0</v>
      </c>
      <c r="E2216">
        <f>IF(C2216&lt;'user input'!$C$12,(D2216-D2215)*'user input'!$C$17*(1-EXP(5*(F2215-'user input'!$C$17))),F2216-F2215)</f>
        <v>0</v>
      </c>
      <c r="F2216">
        <f>IF(C2216&lt;'user input'!$C$12,IF(B2216&gt;'user input'!$C$6,0,F2215+E2216),'user input'!$C$17*((1-C2216)/(1-'user input'!$C$12)))</f>
        <v>0</v>
      </c>
    </row>
    <row r="2217" spans="1:6" x14ac:dyDescent="0.2">
      <c r="A2217" s="1">
        <v>42393</v>
      </c>
      <c r="B2217">
        <v>25</v>
      </c>
      <c r="C2217">
        <f>IF(B2217&gt;'user input'!$C$6,0,IF('heat units'!H2217&gt;1,1,'heat units'!H2217))</f>
        <v>0</v>
      </c>
      <c r="D2217">
        <f>IF(B2217&gt;'user input'!$C$6,0,(C2217/(C2217+EXP('user input'!$C$15-'user input'!$C$14*C2217))))</f>
        <v>0</v>
      </c>
      <c r="E2217">
        <f>IF(C2217&lt;'user input'!$C$12,(D2217-D2216)*'user input'!$C$17*(1-EXP(5*(F2216-'user input'!$C$17))),F2217-F2216)</f>
        <v>0</v>
      </c>
      <c r="F2217">
        <f>IF(C2217&lt;'user input'!$C$12,IF(B2217&gt;'user input'!$C$6,0,F2216+E2217),'user input'!$C$17*((1-C2217)/(1-'user input'!$C$12)))</f>
        <v>0</v>
      </c>
    </row>
    <row r="2218" spans="1:6" x14ac:dyDescent="0.2">
      <c r="A2218" s="1">
        <v>42394</v>
      </c>
      <c r="B2218">
        <v>26</v>
      </c>
      <c r="C2218">
        <f>IF(B2218&gt;'user input'!$C$6,0,IF('heat units'!H2218&gt;1,1,'heat units'!H2218))</f>
        <v>0</v>
      </c>
      <c r="D2218">
        <f>IF(B2218&gt;'user input'!$C$6,0,(C2218/(C2218+EXP('user input'!$C$15-'user input'!$C$14*C2218))))</f>
        <v>0</v>
      </c>
      <c r="E2218">
        <f>IF(C2218&lt;'user input'!$C$12,(D2218-D2217)*'user input'!$C$17*(1-EXP(5*(F2217-'user input'!$C$17))),F2218-F2217)</f>
        <v>0</v>
      </c>
      <c r="F2218">
        <f>IF(C2218&lt;'user input'!$C$12,IF(B2218&gt;'user input'!$C$6,0,F2217+E2218),'user input'!$C$17*((1-C2218)/(1-'user input'!$C$12)))</f>
        <v>0</v>
      </c>
    </row>
    <row r="2219" spans="1:6" x14ac:dyDescent="0.2">
      <c r="A2219" s="1">
        <v>42395</v>
      </c>
      <c r="B2219">
        <v>27</v>
      </c>
      <c r="C2219">
        <f>IF(B2219&gt;'user input'!$C$6,0,IF('heat units'!H2219&gt;1,1,'heat units'!H2219))</f>
        <v>0</v>
      </c>
      <c r="D2219">
        <f>IF(B2219&gt;'user input'!$C$6,0,(C2219/(C2219+EXP('user input'!$C$15-'user input'!$C$14*C2219))))</f>
        <v>0</v>
      </c>
      <c r="E2219">
        <f>IF(C2219&lt;'user input'!$C$12,(D2219-D2218)*'user input'!$C$17*(1-EXP(5*(F2218-'user input'!$C$17))),F2219-F2218)</f>
        <v>0</v>
      </c>
      <c r="F2219">
        <f>IF(C2219&lt;'user input'!$C$12,IF(B2219&gt;'user input'!$C$6,0,F2218+E2219),'user input'!$C$17*((1-C2219)/(1-'user input'!$C$12)))</f>
        <v>0</v>
      </c>
    </row>
    <row r="2220" spans="1:6" x14ac:dyDescent="0.2">
      <c r="A2220" s="1">
        <v>42396</v>
      </c>
      <c r="B2220">
        <v>28</v>
      </c>
      <c r="C2220">
        <f>IF(B2220&gt;'user input'!$C$6,0,IF('heat units'!H2220&gt;1,1,'heat units'!H2220))</f>
        <v>0</v>
      </c>
      <c r="D2220">
        <f>IF(B2220&gt;'user input'!$C$6,0,(C2220/(C2220+EXP('user input'!$C$15-'user input'!$C$14*C2220))))</f>
        <v>0</v>
      </c>
      <c r="E2220">
        <f>IF(C2220&lt;'user input'!$C$12,(D2220-D2219)*'user input'!$C$17*(1-EXP(5*(F2219-'user input'!$C$17))),F2220-F2219)</f>
        <v>0</v>
      </c>
      <c r="F2220">
        <f>IF(C2220&lt;'user input'!$C$12,IF(B2220&gt;'user input'!$C$6,0,F2219+E2220),'user input'!$C$17*((1-C2220)/(1-'user input'!$C$12)))</f>
        <v>0</v>
      </c>
    </row>
    <row r="2221" spans="1:6" x14ac:dyDescent="0.2">
      <c r="A2221" s="1">
        <v>42397</v>
      </c>
      <c r="B2221">
        <v>29</v>
      </c>
      <c r="C2221">
        <f>IF(B2221&gt;'user input'!$C$6,0,IF('heat units'!H2221&gt;1,1,'heat units'!H2221))</f>
        <v>0</v>
      </c>
      <c r="D2221">
        <f>IF(B2221&gt;'user input'!$C$6,0,(C2221/(C2221+EXP('user input'!$C$15-'user input'!$C$14*C2221))))</f>
        <v>0</v>
      </c>
      <c r="E2221">
        <f>IF(C2221&lt;'user input'!$C$12,(D2221-D2220)*'user input'!$C$17*(1-EXP(5*(F2220-'user input'!$C$17))),F2221-F2220)</f>
        <v>0</v>
      </c>
      <c r="F2221">
        <f>IF(C2221&lt;'user input'!$C$12,IF(B2221&gt;'user input'!$C$6,0,F2220+E2221),'user input'!$C$17*((1-C2221)/(1-'user input'!$C$12)))</f>
        <v>0</v>
      </c>
    </row>
    <row r="2222" spans="1:6" x14ac:dyDescent="0.2">
      <c r="A2222" s="1">
        <v>42398</v>
      </c>
      <c r="B2222">
        <v>30</v>
      </c>
      <c r="C2222">
        <f>IF(B2222&gt;'user input'!$C$6,0,IF('heat units'!H2222&gt;1,1,'heat units'!H2222))</f>
        <v>0</v>
      </c>
      <c r="D2222">
        <f>IF(B2222&gt;'user input'!$C$6,0,(C2222/(C2222+EXP('user input'!$C$15-'user input'!$C$14*C2222))))</f>
        <v>0</v>
      </c>
      <c r="E2222">
        <f>IF(C2222&lt;'user input'!$C$12,(D2222-D2221)*'user input'!$C$17*(1-EXP(5*(F2221-'user input'!$C$17))),F2222-F2221)</f>
        <v>0</v>
      </c>
      <c r="F2222">
        <f>IF(C2222&lt;'user input'!$C$12,IF(B2222&gt;'user input'!$C$6,0,F2221+E2222),'user input'!$C$17*((1-C2222)/(1-'user input'!$C$12)))</f>
        <v>0</v>
      </c>
    </row>
    <row r="2223" spans="1:6" x14ac:dyDescent="0.2">
      <c r="A2223" s="1">
        <v>42399</v>
      </c>
      <c r="B2223">
        <v>31</v>
      </c>
      <c r="C2223">
        <f>IF(B2223&gt;'user input'!$C$6,0,IF('heat units'!H2223&gt;1,1,'heat units'!H2223))</f>
        <v>0</v>
      </c>
      <c r="D2223">
        <f>IF(B2223&gt;'user input'!$C$6,0,(C2223/(C2223+EXP('user input'!$C$15-'user input'!$C$14*C2223))))</f>
        <v>0</v>
      </c>
      <c r="E2223">
        <f>IF(C2223&lt;'user input'!$C$12,(D2223-D2222)*'user input'!$C$17*(1-EXP(5*(F2222-'user input'!$C$17))),F2223-F2222)</f>
        <v>0</v>
      </c>
      <c r="F2223">
        <f>IF(C2223&lt;'user input'!$C$12,IF(B2223&gt;'user input'!$C$6,0,F2222+E2223),'user input'!$C$17*((1-C2223)/(1-'user input'!$C$12)))</f>
        <v>0</v>
      </c>
    </row>
    <row r="2224" spans="1:6" x14ac:dyDescent="0.2">
      <c r="A2224" s="1">
        <v>42400</v>
      </c>
      <c r="B2224">
        <v>32</v>
      </c>
      <c r="C2224">
        <f>IF(B2224&gt;'user input'!$C$6,0,IF('heat units'!H2224&gt;1,1,'heat units'!H2224))</f>
        <v>0</v>
      </c>
      <c r="D2224">
        <f>IF(B2224&gt;'user input'!$C$6,0,(C2224/(C2224+EXP('user input'!$C$15-'user input'!$C$14*C2224))))</f>
        <v>0</v>
      </c>
      <c r="E2224">
        <f>IF(C2224&lt;'user input'!$C$12,(D2224-D2223)*'user input'!$C$17*(1-EXP(5*(F2223-'user input'!$C$17))),F2224-F2223)</f>
        <v>0</v>
      </c>
      <c r="F2224">
        <f>IF(C2224&lt;'user input'!$C$12,IF(B2224&gt;'user input'!$C$6,0,F2223+E2224),'user input'!$C$17*((1-C2224)/(1-'user input'!$C$12)))</f>
        <v>0</v>
      </c>
    </row>
    <row r="2225" spans="1:6" x14ac:dyDescent="0.2">
      <c r="A2225" s="1">
        <v>42401</v>
      </c>
      <c r="B2225">
        <v>33</v>
      </c>
      <c r="C2225">
        <f>IF(B2225&gt;'user input'!$C$6,0,IF('heat units'!H2225&gt;1,1,'heat units'!H2225))</f>
        <v>0</v>
      </c>
      <c r="D2225">
        <f>IF(B2225&gt;'user input'!$C$6,0,(C2225/(C2225+EXP('user input'!$C$15-'user input'!$C$14*C2225))))</f>
        <v>0</v>
      </c>
      <c r="E2225">
        <f>IF(C2225&lt;'user input'!$C$12,(D2225-D2224)*'user input'!$C$17*(1-EXP(5*(F2224-'user input'!$C$17))),F2225-F2224)</f>
        <v>0</v>
      </c>
      <c r="F2225">
        <f>IF(C2225&lt;'user input'!$C$12,IF(B2225&gt;'user input'!$C$6,0,F2224+E2225),'user input'!$C$17*((1-C2225)/(1-'user input'!$C$12)))</f>
        <v>0</v>
      </c>
    </row>
    <row r="2226" spans="1:6" x14ac:dyDescent="0.2">
      <c r="A2226" s="1">
        <v>42402</v>
      </c>
      <c r="B2226">
        <v>34</v>
      </c>
      <c r="C2226">
        <f>IF(B2226&gt;'user input'!$C$6,0,IF('heat units'!H2226&gt;1,1,'heat units'!H2226))</f>
        <v>0</v>
      </c>
      <c r="D2226">
        <f>IF(B2226&gt;'user input'!$C$6,0,(C2226/(C2226+EXP('user input'!$C$15-'user input'!$C$14*C2226))))</f>
        <v>0</v>
      </c>
      <c r="E2226">
        <f>IF(C2226&lt;'user input'!$C$12,(D2226-D2225)*'user input'!$C$17*(1-EXP(5*(F2225-'user input'!$C$17))),F2226-F2225)</f>
        <v>0</v>
      </c>
      <c r="F2226">
        <f>IF(C2226&lt;'user input'!$C$12,IF(B2226&gt;'user input'!$C$6,0,F2225+E2226),'user input'!$C$17*((1-C2226)/(1-'user input'!$C$12)))</f>
        <v>0</v>
      </c>
    </row>
    <row r="2227" spans="1:6" x14ac:dyDescent="0.2">
      <c r="A2227" s="1">
        <v>42403</v>
      </c>
      <c r="B2227">
        <v>35</v>
      </c>
      <c r="C2227">
        <f>IF(B2227&gt;'user input'!$C$6,0,IF('heat units'!H2227&gt;1,1,'heat units'!H2227))</f>
        <v>0</v>
      </c>
      <c r="D2227">
        <f>IF(B2227&gt;'user input'!$C$6,0,(C2227/(C2227+EXP('user input'!$C$15-'user input'!$C$14*C2227))))</f>
        <v>0</v>
      </c>
      <c r="E2227">
        <f>IF(C2227&lt;'user input'!$C$12,(D2227-D2226)*'user input'!$C$17*(1-EXP(5*(F2226-'user input'!$C$17))),F2227-F2226)</f>
        <v>0</v>
      </c>
      <c r="F2227">
        <f>IF(C2227&lt;'user input'!$C$12,IF(B2227&gt;'user input'!$C$6,0,F2226+E2227),'user input'!$C$17*((1-C2227)/(1-'user input'!$C$12)))</f>
        <v>0</v>
      </c>
    </row>
    <row r="2228" spans="1:6" x14ac:dyDescent="0.2">
      <c r="A2228" s="1">
        <v>42404</v>
      </c>
      <c r="B2228">
        <v>36</v>
      </c>
      <c r="C2228">
        <f>IF(B2228&gt;'user input'!$C$6,0,IF('heat units'!H2228&gt;1,1,'heat units'!H2228))</f>
        <v>0</v>
      </c>
      <c r="D2228">
        <f>IF(B2228&gt;'user input'!$C$6,0,(C2228/(C2228+EXP('user input'!$C$15-'user input'!$C$14*C2228))))</f>
        <v>0</v>
      </c>
      <c r="E2228">
        <f>IF(C2228&lt;'user input'!$C$12,(D2228-D2227)*'user input'!$C$17*(1-EXP(5*(F2227-'user input'!$C$17))),F2228-F2227)</f>
        <v>0</v>
      </c>
      <c r="F2228">
        <f>IF(C2228&lt;'user input'!$C$12,IF(B2228&gt;'user input'!$C$6,0,F2227+E2228),'user input'!$C$17*((1-C2228)/(1-'user input'!$C$12)))</f>
        <v>0</v>
      </c>
    </row>
    <row r="2229" spans="1:6" x14ac:dyDescent="0.2">
      <c r="A2229" s="1">
        <v>42405</v>
      </c>
      <c r="B2229">
        <v>37</v>
      </c>
      <c r="C2229">
        <f>IF(B2229&gt;'user input'!$C$6,0,IF('heat units'!H2229&gt;1,1,'heat units'!H2229))</f>
        <v>0</v>
      </c>
      <c r="D2229">
        <f>IF(B2229&gt;'user input'!$C$6,0,(C2229/(C2229+EXP('user input'!$C$15-'user input'!$C$14*C2229))))</f>
        <v>0</v>
      </c>
      <c r="E2229">
        <f>IF(C2229&lt;'user input'!$C$12,(D2229-D2228)*'user input'!$C$17*(1-EXP(5*(F2228-'user input'!$C$17))),F2229-F2228)</f>
        <v>0</v>
      </c>
      <c r="F2229">
        <f>IF(C2229&lt;'user input'!$C$12,IF(B2229&gt;'user input'!$C$6,0,F2228+E2229),'user input'!$C$17*((1-C2229)/(1-'user input'!$C$12)))</f>
        <v>0</v>
      </c>
    </row>
    <row r="2230" spans="1:6" x14ac:dyDescent="0.2">
      <c r="A2230" s="1">
        <v>42406</v>
      </c>
      <c r="B2230">
        <v>38</v>
      </c>
      <c r="C2230">
        <f>IF(B2230&gt;'user input'!$C$6,0,IF('heat units'!H2230&gt;1,1,'heat units'!H2230))</f>
        <v>0</v>
      </c>
      <c r="D2230">
        <f>IF(B2230&gt;'user input'!$C$6,0,(C2230/(C2230+EXP('user input'!$C$15-'user input'!$C$14*C2230))))</f>
        <v>0</v>
      </c>
      <c r="E2230">
        <f>IF(C2230&lt;'user input'!$C$12,(D2230-D2229)*'user input'!$C$17*(1-EXP(5*(F2229-'user input'!$C$17))),F2230-F2229)</f>
        <v>0</v>
      </c>
      <c r="F2230">
        <f>IF(C2230&lt;'user input'!$C$12,IF(B2230&gt;'user input'!$C$6,0,F2229+E2230),'user input'!$C$17*((1-C2230)/(1-'user input'!$C$12)))</f>
        <v>0</v>
      </c>
    </row>
    <row r="2231" spans="1:6" x14ac:dyDescent="0.2">
      <c r="A2231" s="1">
        <v>42407</v>
      </c>
      <c r="B2231">
        <v>39</v>
      </c>
      <c r="C2231">
        <f>IF(B2231&gt;'user input'!$C$6,0,IF('heat units'!H2231&gt;1,1,'heat units'!H2231))</f>
        <v>0</v>
      </c>
      <c r="D2231">
        <f>IF(B2231&gt;'user input'!$C$6,0,(C2231/(C2231+EXP('user input'!$C$15-'user input'!$C$14*C2231))))</f>
        <v>0</v>
      </c>
      <c r="E2231">
        <f>IF(C2231&lt;'user input'!$C$12,(D2231-D2230)*'user input'!$C$17*(1-EXP(5*(F2230-'user input'!$C$17))),F2231-F2230)</f>
        <v>0</v>
      </c>
      <c r="F2231">
        <f>IF(C2231&lt;'user input'!$C$12,IF(B2231&gt;'user input'!$C$6,0,F2230+E2231),'user input'!$C$17*((1-C2231)/(1-'user input'!$C$12)))</f>
        <v>0</v>
      </c>
    </row>
    <row r="2232" spans="1:6" x14ac:dyDescent="0.2">
      <c r="A2232" s="1">
        <v>42408</v>
      </c>
      <c r="B2232">
        <v>40</v>
      </c>
      <c r="C2232">
        <f>IF(B2232&gt;'user input'!$C$6,0,IF('heat units'!H2232&gt;1,1,'heat units'!H2232))</f>
        <v>0</v>
      </c>
      <c r="D2232">
        <f>IF(B2232&gt;'user input'!$C$6,0,(C2232/(C2232+EXP('user input'!$C$15-'user input'!$C$14*C2232))))</f>
        <v>0</v>
      </c>
      <c r="E2232">
        <f>IF(C2232&lt;'user input'!$C$12,(D2232-D2231)*'user input'!$C$17*(1-EXP(5*(F2231-'user input'!$C$17))),F2232-F2231)</f>
        <v>0</v>
      </c>
      <c r="F2232">
        <f>IF(C2232&lt;'user input'!$C$12,IF(B2232&gt;'user input'!$C$6,0,F2231+E2232),'user input'!$C$17*((1-C2232)/(1-'user input'!$C$12)))</f>
        <v>0</v>
      </c>
    </row>
    <row r="2233" spans="1:6" x14ac:dyDescent="0.2">
      <c r="A2233" s="1">
        <v>42409</v>
      </c>
      <c r="B2233">
        <v>41</v>
      </c>
      <c r="C2233">
        <f>IF(B2233&gt;'user input'!$C$6,0,IF('heat units'!H2233&gt;1,1,'heat units'!H2233))</f>
        <v>0</v>
      </c>
      <c r="D2233">
        <f>IF(B2233&gt;'user input'!$C$6,0,(C2233/(C2233+EXP('user input'!$C$15-'user input'!$C$14*C2233))))</f>
        <v>0</v>
      </c>
      <c r="E2233">
        <f>IF(C2233&lt;'user input'!$C$12,(D2233-D2232)*'user input'!$C$17*(1-EXP(5*(F2232-'user input'!$C$17))),F2233-F2232)</f>
        <v>0</v>
      </c>
      <c r="F2233">
        <f>IF(C2233&lt;'user input'!$C$12,IF(B2233&gt;'user input'!$C$6,0,F2232+E2233),'user input'!$C$17*((1-C2233)/(1-'user input'!$C$12)))</f>
        <v>0</v>
      </c>
    </row>
    <row r="2234" spans="1:6" x14ac:dyDescent="0.2">
      <c r="A2234" s="1">
        <v>42410</v>
      </c>
      <c r="B2234">
        <v>42</v>
      </c>
      <c r="C2234">
        <f>IF(B2234&gt;'user input'!$C$6,0,IF('heat units'!H2234&gt;1,1,'heat units'!H2234))</f>
        <v>0</v>
      </c>
      <c r="D2234">
        <f>IF(B2234&gt;'user input'!$C$6,0,(C2234/(C2234+EXP('user input'!$C$15-'user input'!$C$14*C2234))))</f>
        <v>0</v>
      </c>
      <c r="E2234">
        <f>IF(C2234&lt;'user input'!$C$12,(D2234-D2233)*'user input'!$C$17*(1-EXP(5*(F2233-'user input'!$C$17))),F2234-F2233)</f>
        <v>0</v>
      </c>
      <c r="F2234">
        <f>IF(C2234&lt;'user input'!$C$12,IF(B2234&gt;'user input'!$C$6,0,F2233+E2234),'user input'!$C$17*((1-C2234)/(1-'user input'!$C$12)))</f>
        <v>0</v>
      </c>
    </row>
    <row r="2235" spans="1:6" x14ac:dyDescent="0.2">
      <c r="A2235" s="1">
        <v>42411</v>
      </c>
      <c r="B2235">
        <v>43</v>
      </c>
      <c r="C2235">
        <f>IF(B2235&gt;'user input'!$C$6,0,IF('heat units'!H2235&gt;1,1,'heat units'!H2235))</f>
        <v>0</v>
      </c>
      <c r="D2235">
        <f>IF(B2235&gt;'user input'!$C$6,0,(C2235/(C2235+EXP('user input'!$C$15-'user input'!$C$14*C2235))))</f>
        <v>0</v>
      </c>
      <c r="E2235">
        <f>IF(C2235&lt;'user input'!$C$12,(D2235-D2234)*'user input'!$C$17*(1-EXP(5*(F2234-'user input'!$C$17))),F2235-F2234)</f>
        <v>0</v>
      </c>
      <c r="F2235">
        <f>IF(C2235&lt;'user input'!$C$12,IF(B2235&gt;'user input'!$C$6,0,F2234+E2235),'user input'!$C$17*((1-C2235)/(1-'user input'!$C$12)))</f>
        <v>0</v>
      </c>
    </row>
    <row r="2236" spans="1:6" x14ac:dyDescent="0.2">
      <c r="A2236" s="1">
        <v>42412</v>
      </c>
      <c r="B2236">
        <v>44</v>
      </c>
      <c r="C2236">
        <f>IF(B2236&gt;'user input'!$C$6,0,IF('heat units'!H2236&gt;1,1,'heat units'!H2236))</f>
        <v>0</v>
      </c>
      <c r="D2236">
        <f>IF(B2236&gt;'user input'!$C$6,0,(C2236/(C2236+EXP('user input'!$C$15-'user input'!$C$14*C2236))))</f>
        <v>0</v>
      </c>
      <c r="E2236">
        <f>IF(C2236&lt;'user input'!$C$12,(D2236-D2235)*'user input'!$C$17*(1-EXP(5*(F2235-'user input'!$C$17))),F2236-F2235)</f>
        <v>0</v>
      </c>
      <c r="F2236">
        <f>IF(C2236&lt;'user input'!$C$12,IF(B2236&gt;'user input'!$C$6,0,F2235+E2236),'user input'!$C$17*((1-C2236)/(1-'user input'!$C$12)))</f>
        <v>0</v>
      </c>
    </row>
    <row r="2237" spans="1:6" x14ac:dyDescent="0.2">
      <c r="A2237" s="1">
        <v>42413</v>
      </c>
      <c r="B2237">
        <v>45</v>
      </c>
      <c r="C2237">
        <f>IF(B2237&gt;'user input'!$C$6,0,IF('heat units'!H2237&gt;1,1,'heat units'!H2237))</f>
        <v>0</v>
      </c>
      <c r="D2237">
        <f>IF(B2237&gt;'user input'!$C$6,0,(C2237/(C2237+EXP('user input'!$C$15-'user input'!$C$14*C2237))))</f>
        <v>0</v>
      </c>
      <c r="E2237">
        <f>IF(C2237&lt;'user input'!$C$12,(D2237-D2236)*'user input'!$C$17*(1-EXP(5*(F2236-'user input'!$C$17))),F2237-F2236)</f>
        <v>0</v>
      </c>
      <c r="F2237">
        <f>IF(C2237&lt;'user input'!$C$12,IF(B2237&gt;'user input'!$C$6,0,F2236+E2237),'user input'!$C$17*((1-C2237)/(1-'user input'!$C$12)))</f>
        <v>0</v>
      </c>
    </row>
    <row r="2238" spans="1:6" x14ac:dyDescent="0.2">
      <c r="A2238" s="1">
        <v>42414</v>
      </c>
      <c r="B2238">
        <v>46</v>
      </c>
      <c r="C2238">
        <f>IF(B2238&gt;'user input'!$C$6,0,IF('heat units'!H2238&gt;1,1,'heat units'!H2238))</f>
        <v>0</v>
      </c>
      <c r="D2238">
        <f>IF(B2238&gt;'user input'!$C$6,0,(C2238/(C2238+EXP('user input'!$C$15-'user input'!$C$14*C2238))))</f>
        <v>0</v>
      </c>
      <c r="E2238">
        <f>IF(C2238&lt;'user input'!$C$12,(D2238-D2237)*'user input'!$C$17*(1-EXP(5*(F2237-'user input'!$C$17))),F2238-F2237)</f>
        <v>0</v>
      </c>
      <c r="F2238">
        <f>IF(C2238&lt;'user input'!$C$12,IF(B2238&gt;'user input'!$C$6,0,F2237+E2238),'user input'!$C$17*((1-C2238)/(1-'user input'!$C$12)))</f>
        <v>0</v>
      </c>
    </row>
    <row r="2239" spans="1:6" x14ac:dyDescent="0.2">
      <c r="A2239" s="1">
        <v>42415</v>
      </c>
      <c r="B2239">
        <v>47</v>
      </c>
      <c r="C2239">
        <f>IF(B2239&gt;'user input'!$C$6,0,IF('heat units'!H2239&gt;1,1,'heat units'!H2239))</f>
        <v>0</v>
      </c>
      <c r="D2239">
        <f>IF(B2239&gt;'user input'!$C$6,0,(C2239/(C2239+EXP('user input'!$C$15-'user input'!$C$14*C2239))))</f>
        <v>0</v>
      </c>
      <c r="E2239">
        <f>IF(C2239&lt;'user input'!$C$12,(D2239-D2238)*'user input'!$C$17*(1-EXP(5*(F2238-'user input'!$C$17))),F2239-F2238)</f>
        <v>0</v>
      </c>
      <c r="F2239">
        <f>IF(C2239&lt;'user input'!$C$12,IF(B2239&gt;'user input'!$C$6,0,F2238+E2239),'user input'!$C$17*((1-C2239)/(1-'user input'!$C$12)))</f>
        <v>0</v>
      </c>
    </row>
    <row r="2240" spans="1:6" x14ac:dyDescent="0.2">
      <c r="A2240" s="1">
        <v>42416</v>
      </c>
      <c r="B2240">
        <v>48</v>
      </c>
      <c r="C2240">
        <f>IF(B2240&gt;'user input'!$C$6,0,IF('heat units'!H2240&gt;1,1,'heat units'!H2240))</f>
        <v>0</v>
      </c>
      <c r="D2240">
        <f>IF(B2240&gt;'user input'!$C$6,0,(C2240/(C2240+EXP('user input'!$C$15-'user input'!$C$14*C2240))))</f>
        <v>0</v>
      </c>
      <c r="E2240">
        <f>IF(C2240&lt;'user input'!$C$12,(D2240-D2239)*'user input'!$C$17*(1-EXP(5*(F2239-'user input'!$C$17))),F2240-F2239)</f>
        <v>0</v>
      </c>
      <c r="F2240">
        <f>IF(C2240&lt;'user input'!$C$12,IF(B2240&gt;'user input'!$C$6,0,F2239+E2240),'user input'!$C$17*((1-C2240)/(1-'user input'!$C$12)))</f>
        <v>0</v>
      </c>
    </row>
    <row r="2241" spans="1:6" x14ac:dyDescent="0.2">
      <c r="A2241" s="1">
        <v>42417</v>
      </c>
      <c r="B2241">
        <v>49</v>
      </c>
      <c r="C2241">
        <f>IF(B2241&gt;'user input'!$C$6,0,IF('heat units'!H2241&gt;1,1,'heat units'!H2241))</f>
        <v>0</v>
      </c>
      <c r="D2241">
        <f>IF(B2241&gt;'user input'!$C$6,0,(C2241/(C2241+EXP('user input'!$C$15-'user input'!$C$14*C2241))))</f>
        <v>0</v>
      </c>
      <c r="E2241">
        <f>IF(C2241&lt;'user input'!$C$12,(D2241-D2240)*'user input'!$C$17*(1-EXP(5*(F2240-'user input'!$C$17))),F2241-F2240)</f>
        <v>0</v>
      </c>
      <c r="F2241">
        <f>IF(C2241&lt;'user input'!$C$12,IF(B2241&gt;'user input'!$C$6,0,F2240+E2241),'user input'!$C$17*((1-C2241)/(1-'user input'!$C$12)))</f>
        <v>0</v>
      </c>
    </row>
    <row r="2242" spans="1:6" x14ac:dyDescent="0.2">
      <c r="A2242" s="1">
        <v>42418</v>
      </c>
      <c r="B2242">
        <v>50</v>
      </c>
      <c r="C2242">
        <f>IF(B2242&gt;'user input'!$C$6,0,IF('heat units'!H2242&gt;1,1,'heat units'!H2242))</f>
        <v>0</v>
      </c>
      <c r="D2242">
        <f>IF(B2242&gt;'user input'!$C$6,0,(C2242/(C2242+EXP('user input'!$C$15-'user input'!$C$14*C2242))))</f>
        <v>0</v>
      </c>
      <c r="E2242">
        <f>IF(C2242&lt;'user input'!$C$12,(D2242-D2241)*'user input'!$C$17*(1-EXP(5*(F2241-'user input'!$C$17))),F2242-F2241)</f>
        <v>0</v>
      </c>
      <c r="F2242">
        <f>IF(C2242&lt;'user input'!$C$12,IF(B2242&gt;'user input'!$C$6,0,F2241+E2242),'user input'!$C$17*((1-C2242)/(1-'user input'!$C$12)))</f>
        <v>0</v>
      </c>
    </row>
    <row r="2243" spans="1:6" x14ac:dyDescent="0.2">
      <c r="A2243" s="1">
        <v>42419</v>
      </c>
      <c r="B2243">
        <v>51</v>
      </c>
      <c r="C2243">
        <f>IF(B2243&gt;'user input'!$C$6,0,IF('heat units'!H2243&gt;1,1,'heat units'!H2243))</f>
        <v>0</v>
      </c>
      <c r="D2243">
        <f>IF(B2243&gt;'user input'!$C$6,0,(C2243/(C2243+EXP('user input'!$C$15-'user input'!$C$14*C2243))))</f>
        <v>0</v>
      </c>
      <c r="E2243">
        <f>IF(C2243&lt;'user input'!$C$12,(D2243-D2242)*'user input'!$C$17*(1-EXP(5*(F2242-'user input'!$C$17))),F2243-F2242)</f>
        <v>0</v>
      </c>
      <c r="F2243">
        <f>IF(C2243&lt;'user input'!$C$12,IF(B2243&gt;'user input'!$C$6,0,F2242+E2243),'user input'!$C$17*((1-C2243)/(1-'user input'!$C$12)))</f>
        <v>0</v>
      </c>
    </row>
    <row r="2244" spans="1:6" x14ac:dyDescent="0.2">
      <c r="A2244" s="1">
        <v>42420</v>
      </c>
      <c r="B2244">
        <v>52</v>
      </c>
      <c r="C2244">
        <f>IF(B2244&gt;'user input'!$C$6,0,IF('heat units'!H2244&gt;1,1,'heat units'!H2244))</f>
        <v>0</v>
      </c>
      <c r="D2244">
        <f>IF(B2244&gt;'user input'!$C$6,0,(C2244/(C2244+EXP('user input'!$C$15-'user input'!$C$14*C2244))))</f>
        <v>0</v>
      </c>
      <c r="E2244">
        <f>IF(C2244&lt;'user input'!$C$12,(D2244-D2243)*'user input'!$C$17*(1-EXP(5*(F2243-'user input'!$C$17))),F2244-F2243)</f>
        <v>0</v>
      </c>
      <c r="F2244">
        <f>IF(C2244&lt;'user input'!$C$12,IF(B2244&gt;'user input'!$C$6,0,F2243+E2244),'user input'!$C$17*((1-C2244)/(1-'user input'!$C$12)))</f>
        <v>0</v>
      </c>
    </row>
    <row r="2245" spans="1:6" x14ac:dyDescent="0.2">
      <c r="A2245" s="1">
        <v>42421</v>
      </c>
      <c r="B2245">
        <v>53</v>
      </c>
      <c r="C2245">
        <f>IF(B2245&gt;'user input'!$C$6,0,IF('heat units'!H2245&gt;1,1,'heat units'!H2245))</f>
        <v>0</v>
      </c>
      <c r="D2245">
        <f>IF(B2245&gt;'user input'!$C$6,0,(C2245/(C2245+EXP('user input'!$C$15-'user input'!$C$14*C2245))))</f>
        <v>0</v>
      </c>
      <c r="E2245">
        <f>IF(C2245&lt;'user input'!$C$12,(D2245-D2244)*'user input'!$C$17*(1-EXP(5*(F2244-'user input'!$C$17))),F2245-F2244)</f>
        <v>0</v>
      </c>
      <c r="F2245">
        <f>IF(C2245&lt;'user input'!$C$12,IF(B2245&gt;'user input'!$C$6,0,F2244+E2245),'user input'!$C$17*((1-C2245)/(1-'user input'!$C$12)))</f>
        <v>0</v>
      </c>
    </row>
    <row r="2246" spans="1:6" x14ac:dyDescent="0.2">
      <c r="A2246" s="1">
        <v>42422</v>
      </c>
      <c r="B2246">
        <v>54</v>
      </c>
      <c r="C2246">
        <f>IF(B2246&gt;'user input'!$C$6,0,IF('heat units'!H2246&gt;1,1,'heat units'!H2246))</f>
        <v>0</v>
      </c>
      <c r="D2246">
        <f>IF(B2246&gt;'user input'!$C$6,0,(C2246/(C2246+EXP('user input'!$C$15-'user input'!$C$14*C2246))))</f>
        <v>0</v>
      </c>
      <c r="E2246">
        <f>IF(C2246&lt;'user input'!$C$12,(D2246-D2245)*'user input'!$C$17*(1-EXP(5*(F2245-'user input'!$C$17))),F2246-F2245)</f>
        <v>0</v>
      </c>
      <c r="F2246">
        <f>IF(C2246&lt;'user input'!$C$12,IF(B2246&gt;'user input'!$C$6,0,F2245+E2246),'user input'!$C$17*((1-C2246)/(1-'user input'!$C$12)))</f>
        <v>0</v>
      </c>
    </row>
    <row r="2247" spans="1:6" x14ac:dyDescent="0.2">
      <c r="A2247" s="1">
        <v>42423</v>
      </c>
      <c r="B2247">
        <v>55</v>
      </c>
      <c r="C2247">
        <f>IF(B2247&gt;'user input'!$C$6,0,IF('heat units'!H2247&gt;1,1,'heat units'!H2247))</f>
        <v>0</v>
      </c>
      <c r="D2247">
        <f>IF(B2247&gt;'user input'!$C$6,0,(C2247/(C2247+EXP('user input'!$C$15-'user input'!$C$14*C2247))))</f>
        <v>0</v>
      </c>
      <c r="E2247">
        <f>IF(C2247&lt;'user input'!$C$12,(D2247-D2246)*'user input'!$C$17*(1-EXP(5*(F2246-'user input'!$C$17))),F2247-F2246)</f>
        <v>0</v>
      </c>
      <c r="F2247">
        <f>IF(C2247&lt;'user input'!$C$12,IF(B2247&gt;'user input'!$C$6,0,F2246+E2247),'user input'!$C$17*((1-C2247)/(1-'user input'!$C$12)))</f>
        <v>0</v>
      </c>
    </row>
    <row r="2248" spans="1:6" x14ac:dyDescent="0.2">
      <c r="A2248" s="1">
        <v>42424</v>
      </c>
      <c r="B2248">
        <v>56</v>
      </c>
      <c r="C2248">
        <f>IF(B2248&gt;'user input'!$C$6,0,IF('heat units'!H2248&gt;1,1,'heat units'!H2248))</f>
        <v>0</v>
      </c>
      <c r="D2248">
        <f>IF(B2248&gt;'user input'!$C$6,0,(C2248/(C2248+EXP('user input'!$C$15-'user input'!$C$14*C2248))))</f>
        <v>0</v>
      </c>
      <c r="E2248">
        <f>IF(C2248&lt;'user input'!$C$12,(D2248-D2247)*'user input'!$C$17*(1-EXP(5*(F2247-'user input'!$C$17))),F2248-F2247)</f>
        <v>0</v>
      </c>
      <c r="F2248">
        <f>IF(C2248&lt;'user input'!$C$12,IF(B2248&gt;'user input'!$C$6,0,F2247+E2248),'user input'!$C$17*((1-C2248)/(1-'user input'!$C$12)))</f>
        <v>0</v>
      </c>
    </row>
    <row r="2249" spans="1:6" x14ac:dyDescent="0.2">
      <c r="A2249" s="1">
        <v>42425</v>
      </c>
      <c r="B2249">
        <v>57</v>
      </c>
      <c r="C2249">
        <f>IF(B2249&gt;'user input'!$C$6,0,IF('heat units'!H2249&gt;1,1,'heat units'!H2249))</f>
        <v>0</v>
      </c>
      <c r="D2249">
        <f>IF(B2249&gt;'user input'!$C$6,0,(C2249/(C2249+EXP('user input'!$C$15-'user input'!$C$14*C2249))))</f>
        <v>0</v>
      </c>
      <c r="E2249">
        <f>IF(C2249&lt;'user input'!$C$12,(D2249-D2248)*'user input'!$C$17*(1-EXP(5*(F2248-'user input'!$C$17))),F2249-F2248)</f>
        <v>0</v>
      </c>
      <c r="F2249">
        <f>IF(C2249&lt;'user input'!$C$12,IF(B2249&gt;'user input'!$C$6,0,F2248+E2249),'user input'!$C$17*((1-C2249)/(1-'user input'!$C$12)))</f>
        <v>0</v>
      </c>
    </row>
    <row r="2250" spans="1:6" x14ac:dyDescent="0.2">
      <c r="A2250" s="1">
        <v>42426</v>
      </c>
      <c r="B2250">
        <v>58</v>
      </c>
      <c r="C2250">
        <f>IF(B2250&gt;'user input'!$C$6,0,IF('heat units'!H2250&gt;1,1,'heat units'!H2250))</f>
        <v>0</v>
      </c>
      <c r="D2250">
        <f>IF(B2250&gt;'user input'!$C$6,0,(C2250/(C2250+EXP('user input'!$C$15-'user input'!$C$14*C2250))))</f>
        <v>0</v>
      </c>
      <c r="E2250">
        <f>IF(C2250&lt;'user input'!$C$12,(D2250-D2249)*'user input'!$C$17*(1-EXP(5*(F2249-'user input'!$C$17))),F2250-F2249)</f>
        <v>0</v>
      </c>
      <c r="F2250">
        <f>IF(C2250&lt;'user input'!$C$12,IF(B2250&gt;'user input'!$C$6,0,F2249+E2250),'user input'!$C$17*((1-C2250)/(1-'user input'!$C$12)))</f>
        <v>0</v>
      </c>
    </row>
    <row r="2251" spans="1:6" x14ac:dyDescent="0.2">
      <c r="A2251" s="1">
        <v>42427</v>
      </c>
      <c r="B2251">
        <v>59</v>
      </c>
      <c r="C2251">
        <f>IF(B2251&gt;'user input'!$C$6,0,IF('heat units'!H2251&gt;1,1,'heat units'!H2251))</f>
        <v>0</v>
      </c>
      <c r="D2251">
        <f>IF(B2251&gt;'user input'!$C$6,0,(C2251/(C2251+EXP('user input'!$C$15-'user input'!$C$14*C2251))))</f>
        <v>0</v>
      </c>
      <c r="E2251">
        <f>IF(C2251&lt;'user input'!$C$12,(D2251-D2250)*'user input'!$C$17*(1-EXP(5*(F2250-'user input'!$C$17))),F2251-F2250)</f>
        <v>0</v>
      </c>
      <c r="F2251">
        <f>IF(C2251&lt;'user input'!$C$12,IF(B2251&gt;'user input'!$C$6,0,F2250+E2251),'user input'!$C$17*((1-C2251)/(1-'user input'!$C$12)))</f>
        <v>0</v>
      </c>
    </row>
    <row r="2252" spans="1:6" x14ac:dyDescent="0.2">
      <c r="A2252" s="1">
        <v>42428</v>
      </c>
      <c r="B2252">
        <v>60</v>
      </c>
      <c r="C2252">
        <f>IF(B2252&gt;'user input'!$C$6,0,IF('heat units'!H2252&gt;1,1,'heat units'!H2252))</f>
        <v>0</v>
      </c>
      <c r="D2252">
        <f>IF(B2252&gt;'user input'!$C$6,0,(C2252/(C2252+EXP('user input'!$C$15-'user input'!$C$14*C2252))))</f>
        <v>0</v>
      </c>
      <c r="E2252">
        <f>IF(C2252&lt;'user input'!$C$12,(D2252-D2251)*'user input'!$C$17*(1-EXP(5*(F2251-'user input'!$C$17))),F2252-F2251)</f>
        <v>0</v>
      </c>
      <c r="F2252">
        <f>IF(C2252&lt;'user input'!$C$12,IF(B2252&gt;'user input'!$C$6,0,F2251+E2252),'user input'!$C$17*((1-C2252)/(1-'user input'!$C$12)))</f>
        <v>0</v>
      </c>
    </row>
    <row r="2253" spans="1:6" x14ac:dyDescent="0.2">
      <c r="A2253" s="1">
        <v>42429</v>
      </c>
      <c r="B2253">
        <v>61</v>
      </c>
      <c r="C2253">
        <f>IF(B2253&gt;'user input'!$C$6,0,IF('heat units'!H2253&gt;1,1,'heat units'!H2253))</f>
        <v>0</v>
      </c>
      <c r="D2253">
        <f>IF(B2253&gt;'user input'!$C$6,0,(C2253/(C2253+EXP('user input'!$C$15-'user input'!$C$14*C2253))))</f>
        <v>0</v>
      </c>
      <c r="E2253">
        <f>IF(C2253&lt;'user input'!$C$12,(D2253-D2252)*'user input'!$C$17*(1-EXP(5*(F2252-'user input'!$C$17))),F2253-F2252)</f>
        <v>0</v>
      </c>
      <c r="F2253">
        <f>IF(C2253&lt;'user input'!$C$12,IF(B2253&gt;'user input'!$C$6,0,F2252+E2253),'user input'!$C$17*((1-C2253)/(1-'user input'!$C$12)))</f>
        <v>0</v>
      </c>
    </row>
    <row r="2254" spans="1:6" x14ac:dyDescent="0.2">
      <c r="A2254" s="1">
        <v>42430</v>
      </c>
      <c r="B2254">
        <v>62</v>
      </c>
      <c r="C2254">
        <f>IF(B2254&gt;'user input'!$C$6,0,IF('heat units'!H2254&gt;1,1,'heat units'!H2254))</f>
        <v>0</v>
      </c>
      <c r="D2254">
        <f>IF(B2254&gt;'user input'!$C$6,0,(C2254/(C2254+EXP('user input'!$C$15-'user input'!$C$14*C2254))))</f>
        <v>0</v>
      </c>
      <c r="E2254">
        <f>IF(C2254&lt;'user input'!$C$12,(D2254-D2253)*'user input'!$C$17*(1-EXP(5*(F2253-'user input'!$C$17))),F2254-F2253)</f>
        <v>0</v>
      </c>
      <c r="F2254">
        <f>IF(C2254&lt;'user input'!$C$12,IF(B2254&gt;'user input'!$C$6,0,F2253+E2254),'user input'!$C$17*((1-C2254)/(1-'user input'!$C$12)))</f>
        <v>0</v>
      </c>
    </row>
    <row r="2255" spans="1:6" x14ac:dyDescent="0.2">
      <c r="A2255" s="1">
        <v>42431</v>
      </c>
      <c r="B2255">
        <v>63</v>
      </c>
      <c r="C2255">
        <f>IF(B2255&gt;'user input'!$C$6,0,IF('heat units'!H2255&gt;1,1,'heat units'!H2255))</f>
        <v>0</v>
      </c>
      <c r="D2255">
        <f>IF(B2255&gt;'user input'!$C$6,0,(C2255/(C2255+EXP('user input'!$C$15-'user input'!$C$14*C2255))))</f>
        <v>0</v>
      </c>
      <c r="E2255">
        <f>IF(C2255&lt;'user input'!$C$12,(D2255-D2254)*'user input'!$C$17*(1-EXP(5*(F2254-'user input'!$C$17))),F2255-F2254)</f>
        <v>0</v>
      </c>
      <c r="F2255">
        <f>IF(C2255&lt;'user input'!$C$12,IF(B2255&gt;'user input'!$C$6,0,F2254+E2255),'user input'!$C$17*((1-C2255)/(1-'user input'!$C$12)))</f>
        <v>0</v>
      </c>
    </row>
    <row r="2256" spans="1:6" x14ac:dyDescent="0.2">
      <c r="A2256" s="1">
        <v>42432</v>
      </c>
      <c r="B2256">
        <v>64</v>
      </c>
      <c r="C2256">
        <f>IF(B2256&gt;'user input'!$C$6,0,IF('heat units'!H2256&gt;1,1,'heat units'!H2256))</f>
        <v>0</v>
      </c>
      <c r="D2256">
        <f>IF(B2256&gt;'user input'!$C$6,0,(C2256/(C2256+EXP('user input'!$C$15-'user input'!$C$14*C2256))))</f>
        <v>0</v>
      </c>
      <c r="E2256">
        <f>IF(C2256&lt;'user input'!$C$12,(D2256-D2255)*'user input'!$C$17*(1-EXP(5*(F2255-'user input'!$C$17))),F2256-F2255)</f>
        <v>0</v>
      </c>
      <c r="F2256">
        <f>IF(C2256&lt;'user input'!$C$12,IF(B2256&gt;'user input'!$C$6,0,F2255+E2256),'user input'!$C$17*((1-C2256)/(1-'user input'!$C$12)))</f>
        <v>0</v>
      </c>
    </row>
    <row r="2257" spans="1:6" x14ac:dyDescent="0.2">
      <c r="A2257" s="1">
        <v>42433</v>
      </c>
      <c r="B2257">
        <v>65</v>
      </c>
      <c r="C2257">
        <f>IF(B2257&gt;'user input'!$C$6,0,IF('heat units'!H2257&gt;1,1,'heat units'!H2257))</f>
        <v>0</v>
      </c>
      <c r="D2257">
        <f>IF(B2257&gt;'user input'!$C$6,0,(C2257/(C2257+EXP('user input'!$C$15-'user input'!$C$14*C2257))))</f>
        <v>0</v>
      </c>
      <c r="E2257">
        <f>IF(C2257&lt;'user input'!$C$12,(D2257-D2256)*'user input'!$C$17*(1-EXP(5*(F2256-'user input'!$C$17))),F2257-F2256)</f>
        <v>0</v>
      </c>
      <c r="F2257">
        <f>IF(C2257&lt;'user input'!$C$12,IF(B2257&gt;'user input'!$C$6,0,F2256+E2257),'user input'!$C$17*((1-C2257)/(1-'user input'!$C$12)))</f>
        <v>0</v>
      </c>
    </row>
    <row r="2258" spans="1:6" x14ac:dyDescent="0.2">
      <c r="A2258" s="1">
        <v>42434</v>
      </c>
      <c r="B2258">
        <v>66</v>
      </c>
      <c r="C2258">
        <f>IF(B2258&gt;'user input'!$C$6,0,IF('heat units'!H2258&gt;1,1,'heat units'!H2258))</f>
        <v>0</v>
      </c>
      <c r="D2258">
        <f>IF(B2258&gt;'user input'!$C$6,0,(C2258/(C2258+EXP('user input'!$C$15-'user input'!$C$14*C2258))))</f>
        <v>0</v>
      </c>
      <c r="E2258">
        <f>IF(C2258&lt;'user input'!$C$12,(D2258-D2257)*'user input'!$C$17*(1-EXP(5*(F2257-'user input'!$C$17))),F2258-F2257)</f>
        <v>0</v>
      </c>
      <c r="F2258">
        <f>IF(C2258&lt;'user input'!$C$12,IF(B2258&gt;'user input'!$C$6,0,F2257+E2258),'user input'!$C$17*((1-C2258)/(1-'user input'!$C$12)))</f>
        <v>0</v>
      </c>
    </row>
    <row r="2259" spans="1:6" x14ac:dyDescent="0.2">
      <c r="A2259" s="1">
        <v>42435</v>
      </c>
      <c r="B2259">
        <v>67</v>
      </c>
      <c r="C2259">
        <f>IF(B2259&gt;'user input'!$C$6,0,IF('heat units'!H2259&gt;1,1,'heat units'!H2259))</f>
        <v>0</v>
      </c>
      <c r="D2259">
        <f>IF(B2259&gt;'user input'!$C$6,0,(C2259/(C2259+EXP('user input'!$C$15-'user input'!$C$14*C2259))))</f>
        <v>0</v>
      </c>
      <c r="E2259">
        <f>IF(C2259&lt;'user input'!$C$12,(D2259-D2258)*'user input'!$C$17*(1-EXP(5*(F2258-'user input'!$C$17))),F2259-F2258)</f>
        <v>0</v>
      </c>
      <c r="F2259">
        <f>IF(C2259&lt;'user input'!$C$12,IF(B2259&gt;'user input'!$C$6,0,F2258+E2259),'user input'!$C$17*((1-C2259)/(1-'user input'!$C$12)))</f>
        <v>0</v>
      </c>
    </row>
    <row r="2260" spans="1:6" x14ac:dyDescent="0.2">
      <c r="A2260" s="1">
        <v>42436</v>
      </c>
      <c r="B2260">
        <v>68</v>
      </c>
      <c r="C2260">
        <f>IF(B2260&gt;'user input'!$C$6,0,IF('heat units'!H2260&gt;1,1,'heat units'!H2260))</f>
        <v>0</v>
      </c>
      <c r="D2260">
        <f>IF(B2260&gt;'user input'!$C$6,0,(C2260/(C2260+EXP('user input'!$C$15-'user input'!$C$14*C2260))))</f>
        <v>0</v>
      </c>
      <c r="E2260">
        <f>IF(C2260&lt;'user input'!$C$12,(D2260-D2259)*'user input'!$C$17*(1-EXP(5*(F2259-'user input'!$C$17))),F2260-F2259)</f>
        <v>0</v>
      </c>
      <c r="F2260">
        <f>IF(C2260&lt;'user input'!$C$12,IF(B2260&gt;'user input'!$C$6,0,F2259+E2260),'user input'!$C$17*((1-C2260)/(1-'user input'!$C$12)))</f>
        <v>0</v>
      </c>
    </row>
    <row r="2261" spans="1:6" x14ac:dyDescent="0.2">
      <c r="A2261" s="1">
        <v>42437</v>
      </c>
      <c r="B2261">
        <v>69</v>
      </c>
      <c r="C2261">
        <f>IF(B2261&gt;'user input'!$C$6,0,IF('heat units'!H2261&gt;1,1,'heat units'!H2261))</f>
        <v>0</v>
      </c>
      <c r="D2261">
        <f>IF(B2261&gt;'user input'!$C$6,0,(C2261/(C2261+EXP('user input'!$C$15-'user input'!$C$14*C2261))))</f>
        <v>0</v>
      </c>
      <c r="E2261">
        <f>IF(C2261&lt;'user input'!$C$12,(D2261-D2260)*'user input'!$C$17*(1-EXP(5*(F2260-'user input'!$C$17))),F2261-F2260)</f>
        <v>0</v>
      </c>
      <c r="F2261">
        <f>IF(C2261&lt;'user input'!$C$12,IF(B2261&gt;'user input'!$C$6,0,F2260+E2261),'user input'!$C$17*((1-C2261)/(1-'user input'!$C$12)))</f>
        <v>0</v>
      </c>
    </row>
    <row r="2262" spans="1:6" x14ac:dyDescent="0.2">
      <c r="A2262" s="1">
        <v>42438</v>
      </c>
      <c r="B2262">
        <v>70</v>
      </c>
      <c r="C2262">
        <f>IF(B2262&gt;'user input'!$C$6,0,IF('heat units'!H2262&gt;1,1,'heat units'!H2262))</f>
        <v>0</v>
      </c>
      <c r="D2262">
        <f>IF(B2262&gt;'user input'!$C$6,0,(C2262/(C2262+EXP('user input'!$C$15-'user input'!$C$14*C2262))))</f>
        <v>0</v>
      </c>
      <c r="E2262">
        <f>IF(C2262&lt;'user input'!$C$12,(D2262-D2261)*'user input'!$C$17*(1-EXP(5*(F2261-'user input'!$C$17))),F2262-F2261)</f>
        <v>0</v>
      </c>
      <c r="F2262">
        <f>IF(C2262&lt;'user input'!$C$12,IF(B2262&gt;'user input'!$C$6,0,F2261+E2262),'user input'!$C$17*((1-C2262)/(1-'user input'!$C$12)))</f>
        <v>0</v>
      </c>
    </row>
    <row r="2263" spans="1:6" x14ac:dyDescent="0.2">
      <c r="A2263" s="1">
        <v>42439</v>
      </c>
      <c r="B2263">
        <v>71</v>
      </c>
      <c r="C2263">
        <f>IF(B2263&gt;'user input'!$C$6,0,IF('heat units'!H2263&gt;1,1,'heat units'!H2263))</f>
        <v>0</v>
      </c>
      <c r="D2263">
        <f>IF(B2263&gt;'user input'!$C$6,0,(C2263/(C2263+EXP('user input'!$C$15-'user input'!$C$14*C2263))))</f>
        <v>0</v>
      </c>
      <c r="E2263">
        <f>IF(C2263&lt;'user input'!$C$12,(D2263-D2262)*'user input'!$C$17*(1-EXP(5*(F2262-'user input'!$C$17))),F2263-F2262)</f>
        <v>0</v>
      </c>
      <c r="F2263">
        <f>IF(C2263&lt;'user input'!$C$12,IF(B2263&gt;'user input'!$C$6,0,F2262+E2263),'user input'!$C$17*((1-C2263)/(1-'user input'!$C$12)))</f>
        <v>0</v>
      </c>
    </row>
    <row r="2264" spans="1:6" x14ac:dyDescent="0.2">
      <c r="A2264" s="1">
        <v>42440</v>
      </c>
      <c r="B2264">
        <v>72</v>
      </c>
      <c r="C2264">
        <f>IF(B2264&gt;'user input'!$C$6,0,IF('heat units'!H2264&gt;1,1,'heat units'!H2264))</f>
        <v>0</v>
      </c>
      <c r="D2264">
        <f>IF(B2264&gt;'user input'!$C$6,0,(C2264/(C2264+EXP('user input'!$C$15-'user input'!$C$14*C2264))))</f>
        <v>0</v>
      </c>
      <c r="E2264">
        <f>IF(C2264&lt;'user input'!$C$12,(D2264-D2263)*'user input'!$C$17*(1-EXP(5*(F2263-'user input'!$C$17))),F2264-F2263)</f>
        <v>0</v>
      </c>
      <c r="F2264">
        <f>IF(C2264&lt;'user input'!$C$12,IF(B2264&gt;'user input'!$C$6,0,F2263+E2264),'user input'!$C$17*((1-C2264)/(1-'user input'!$C$12)))</f>
        <v>0</v>
      </c>
    </row>
    <row r="2265" spans="1:6" x14ac:dyDescent="0.2">
      <c r="A2265" s="1">
        <v>42441</v>
      </c>
      <c r="B2265">
        <v>73</v>
      </c>
      <c r="C2265">
        <f>IF(B2265&gt;'user input'!$C$6,0,IF('heat units'!H2265&gt;1,1,'heat units'!H2265))</f>
        <v>0</v>
      </c>
      <c r="D2265">
        <f>IF(B2265&gt;'user input'!$C$6,0,(C2265/(C2265+EXP('user input'!$C$15-'user input'!$C$14*C2265))))</f>
        <v>0</v>
      </c>
      <c r="E2265">
        <f>IF(C2265&lt;'user input'!$C$12,(D2265-D2264)*'user input'!$C$17*(1-EXP(5*(F2264-'user input'!$C$17))),F2265-F2264)</f>
        <v>0</v>
      </c>
      <c r="F2265">
        <f>IF(C2265&lt;'user input'!$C$12,IF(B2265&gt;'user input'!$C$6,0,F2264+E2265),'user input'!$C$17*((1-C2265)/(1-'user input'!$C$12)))</f>
        <v>0</v>
      </c>
    </row>
    <row r="2266" spans="1:6" x14ac:dyDescent="0.2">
      <c r="A2266" s="1">
        <v>42442</v>
      </c>
      <c r="B2266">
        <v>74</v>
      </c>
      <c r="C2266">
        <f>IF(B2266&gt;'user input'!$C$6,0,IF('heat units'!H2266&gt;1,1,'heat units'!H2266))</f>
        <v>0</v>
      </c>
      <c r="D2266">
        <f>IF(B2266&gt;'user input'!$C$6,0,(C2266/(C2266+EXP('user input'!$C$15-'user input'!$C$14*C2266))))</f>
        <v>0</v>
      </c>
      <c r="E2266">
        <f>IF(C2266&lt;'user input'!$C$12,(D2266-D2265)*'user input'!$C$17*(1-EXP(5*(F2265-'user input'!$C$17))),F2266-F2265)</f>
        <v>0</v>
      </c>
      <c r="F2266">
        <f>IF(C2266&lt;'user input'!$C$12,IF(B2266&gt;'user input'!$C$6,0,F2265+E2266),'user input'!$C$17*((1-C2266)/(1-'user input'!$C$12)))</f>
        <v>0</v>
      </c>
    </row>
    <row r="2267" spans="1:6" x14ac:dyDescent="0.2">
      <c r="A2267" s="1">
        <v>42443</v>
      </c>
      <c r="B2267">
        <v>75</v>
      </c>
      <c r="C2267">
        <f>IF(B2267&gt;'user input'!$C$6,0,IF('heat units'!H2267&gt;1,1,'heat units'!H2267))</f>
        <v>0</v>
      </c>
      <c r="D2267">
        <f>IF(B2267&gt;'user input'!$C$6,0,(C2267/(C2267+EXP('user input'!$C$15-'user input'!$C$14*C2267))))</f>
        <v>0</v>
      </c>
      <c r="E2267">
        <f>IF(C2267&lt;'user input'!$C$12,(D2267-D2266)*'user input'!$C$17*(1-EXP(5*(F2266-'user input'!$C$17))),F2267-F2266)</f>
        <v>0</v>
      </c>
      <c r="F2267">
        <f>IF(C2267&lt;'user input'!$C$12,IF(B2267&gt;'user input'!$C$6,0,F2266+E2267),'user input'!$C$17*((1-C2267)/(1-'user input'!$C$12)))</f>
        <v>0</v>
      </c>
    </row>
    <row r="2268" spans="1:6" x14ac:dyDescent="0.2">
      <c r="A2268" s="1">
        <v>42444</v>
      </c>
      <c r="B2268">
        <v>76</v>
      </c>
      <c r="C2268">
        <f>IF(B2268&gt;'user input'!$C$6,0,IF('heat units'!H2268&gt;1,1,'heat units'!H2268))</f>
        <v>0</v>
      </c>
      <c r="D2268">
        <f>IF(B2268&gt;'user input'!$C$6,0,(C2268/(C2268+EXP('user input'!$C$15-'user input'!$C$14*C2268))))</f>
        <v>0</v>
      </c>
      <c r="E2268">
        <f>IF(C2268&lt;'user input'!$C$12,(D2268-D2267)*'user input'!$C$17*(1-EXP(5*(F2267-'user input'!$C$17))),F2268-F2267)</f>
        <v>0</v>
      </c>
      <c r="F2268">
        <f>IF(C2268&lt;'user input'!$C$12,IF(B2268&gt;'user input'!$C$6,0,F2267+E2268),'user input'!$C$17*((1-C2268)/(1-'user input'!$C$12)))</f>
        <v>0</v>
      </c>
    </row>
    <row r="2269" spans="1:6" x14ac:dyDescent="0.2">
      <c r="A2269" s="1">
        <v>42445</v>
      </c>
      <c r="B2269">
        <v>77</v>
      </c>
      <c r="C2269">
        <f>IF(B2269&gt;'user input'!$C$6,0,IF('heat units'!H2269&gt;1,1,'heat units'!H2269))</f>
        <v>0</v>
      </c>
      <c r="D2269">
        <f>IF(B2269&gt;'user input'!$C$6,0,(C2269/(C2269+EXP('user input'!$C$15-'user input'!$C$14*C2269))))</f>
        <v>0</v>
      </c>
      <c r="E2269">
        <f>IF(C2269&lt;'user input'!$C$12,(D2269-D2268)*'user input'!$C$17*(1-EXP(5*(F2268-'user input'!$C$17))),F2269-F2268)</f>
        <v>0</v>
      </c>
      <c r="F2269">
        <f>IF(C2269&lt;'user input'!$C$12,IF(B2269&gt;'user input'!$C$6,0,F2268+E2269),'user input'!$C$17*((1-C2269)/(1-'user input'!$C$12)))</f>
        <v>0</v>
      </c>
    </row>
    <row r="2270" spans="1:6" x14ac:dyDescent="0.2">
      <c r="A2270" s="1">
        <v>42446</v>
      </c>
      <c r="B2270">
        <v>78</v>
      </c>
      <c r="C2270">
        <f>IF(B2270&gt;'user input'!$C$6,0,IF('heat units'!H2270&gt;1,1,'heat units'!H2270))</f>
        <v>0</v>
      </c>
      <c r="D2270">
        <f>IF(B2270&gt;'user input'!$C$6,0,(C2270/(C2270+EXP('user input'!$C$15-'user input'!$C$14*C2270))))</f>
        <v>0</v>
      </c>
      <c r="E2270">
        <f>IF(C2270&lt;'user input'!$C$12,(D2270-D2269)*'user input'!$C$17*(1-EXP(5*(F2269-'user input'!$C$17))),F2270-F2269)</f>
        <v>0</v>
      </c>
      <c r="F2270">
        <f>IF(C2270&lt;'user input'!$C$12,IF(B2270&gt;'user input'!$C$6,0,F2269+E2270),'user input'!$C$17*((1-C2270)/(1-'user input'!$C$12)))</f>
        <v>0</v>
      </c>
    </row>
    <row r="2271" spans="1:6" x14ac:dyDescent="0.2">
      <c r="A2271" s="1">
        <v>42447</v>
      </c>
      <c r="B2271">
        <v>79</v>
      </c>
      <c r="C2271">
        <f>IF(B2271&gt;'user input'!$C$6,0,IF('heat units'!H2271&gt;1,1,'heat units'!H2271))</f>
        <v>0</v>
      </c>
      <c r="D2271">
        <f>IF(B2271&gt;'user input'!$C$6,0,(C2271/(C2271+EXP('user input'!$C$15-'user input'!$C$14*C2271))))</f>
        <v>0</v>
      </c>
      <c r="E2271">
        <f>IF(C2271&lt;'user input'!$C$12,(D2271-D2270)*'user input'!$C$17*(1-EXP(5*(F2270-'user input'!$C$17))),F2271-F2270)</f>
        <v>0</v>
      </c>
      <c r="F2271">
        <f>IF(C2271&lt;'user input'!$C$12,IF(B2271&gt;'user input'!$C$6,0,F2270+E2271),'user input'!$C$17*((1-C2271)/(1-'user input'!$C$12)))</f>
        <v>0</v>
      </c>
    </row>
    <row r="2272" spans="1:6" x14ac:dyDescent="0.2">
      <c r="A2272" s="1">
        <v>42448</v>
      </c>
      <c r="B2272">
        <v>80</v>
      </c>
      <c r="C2272">
        <f>IF(B2272&gt;'user input'!$C$6,0,IF('heat units'!H2272&gt;1,1,'heat units'!H2272))</f>
        <v>0</v>
      </c>
      <c r="D2272">
        <f>IF(B2272&gt;'user input'!$C$6,0,(C2272/(C2272+EXP('user input'!$C$15-'user input'!$C$14*C2272))))</f>
        <v>0</v>
      </c>
      <c r="E2272">
        <f>IF(C2272&lt;'user input'!$C$12,(D2272-D2271)*'user input'!$C$17*(1-EXP(5*(F2271-'user input'!$C$17))),F2272-F2271)</f>
        <v>0</v>
      </c>
      <c r="F2272">
        <f>IF(C2272&lt;'user input'!$C$12,IF(B2272&gt;'user input'!$C$6,0,F2271+E2272),'user input'!$C$17*((1-C2272)/(1-'user input'!$C$12)))</f>
        <v>0</v>
      </c>
    </row>
    <row r="2273" spans="1:6" x14ac:dyDescent="0.2">
      <c r="A2273" s="1">
        <v>42449</v>
      </c>
      <c r="B2273">
        <v>81</v>
      </c>
      <c r="C2273">
        <f>IF(B2273&gt;'user input'!$C$6,0,IF('heat units'!H2273&gt;1,1,'heat units'!H2273))</f>
        <v>0</v>
      </c>
      <c r="D2273">
        <f>IF(B2273&gt;'user input'!$C$6,0,(C2273/(C2273+EXP('user input'!$C$15-'user input'!$C$14*C2273))))</f>
        <v>0</v>
      </c>
      <c r="E2273">
        <f>IF(C2273&lt;'user input'!$C$12,(D2273-D2272)*'user input'!$C$17*(1-EXP(5*(F2272-'user input'!$C$17))),F2273-F2272)</f>
        <v>0</v>
      </c>
      <c r="F2273">
        <f>IF(C2273&lt;'user input'!$C$12,IF(B2273&gt;'user input'!$C$6,0,F2272+E2273),'user input'!$C$17*((1-C2273)/(1-'user input'!$C$12)))</f>
        <v>0</v>
      </c>
    </row>
    <row r="2274" spans="1:6" x14ac:dyDescent="0.2">
      <c r="A2274" s="1">
        <v>42450</v>
      </c>
      <c r="B2274">
        <v>82</v>
      </c>
      <c r="C2274">
        <f>IF(B2274&gt;'user input'!$C$6,0,IF('heat units'!H2274&gt;1,1,'heat units'!H2274))</f>
        <v>0</v>
      </c>
      <c r="D2274">
        <f>IF(B2274&gt;'user input'!$C$6,0,(C2274/(C2274+EXP('user input'!$C$15-'user input'!$C$14*C2274))))</f>
        <v>0</v>
      </c>
      <c r="E2274">
        <f>IF(C2274&lt;'user input'!$C$12,(D2274-D2273)*'user input'!$C$17*(1-EXP(5*(F2273-'user input'!$C$17))),F2274-F2273)</f>
        <v>0</v>
      </c>
      <c r="F2274">
        <f>IF(C2274&lt;'user input'!$C$12,IF(B2274&gt;'user input'!$C$6,0,F2273+E2274),'user input'!$C$17*((1-C2274)/(1-'user input'!$C$12)))</f>
        <v>0</v>
      </c>
    </row>
    <row r="2275" spans="1:6" x14ac:dyDescent="0.2">
      <c r="A2275" s="1">
        <v>42451</v>
      </c>
      <c r="B2275">
        <v>83</v>
      </c>
      <c r="C2275">
        <f>IF(B2275&gt;'user input'!$C$6,0,IF('heat units'!H2275&gt;1,1,'heat units'!H2275))</f>
        <v>0</v>
      </c>
      <c r="D2275">
        <f>IF(B2275&gt;'user input'!$C$6,0,(C2275/(C2275+EXP('user input'!$C$15-'user input'!$C$14*C2275))))</f>
        <v>0</v>
      </c>
      <c r="E2275">
        <f>IF(C2275&lt;'user input'!$C$12,(D2275-D2274)*'user input'!$C$17*(1-EXP(5*(F2274-'user input'!$C$17))),F2275-F2274)</f>
        <v>0</v>
      </c>
      <c r="F2275">
        <f>IF(C2275&lt;'user input'!$C$12,IF(B2275&gt;'user input'!$C$6,0,F2274+E2275),'user input'!$C$17*((1-C2275)/(1-'user input'!$C$12)))</f>
        <v>0</v>
      </c>
    </row>
    <row r="2276" spans="1:6" x14ac:dyDescent="0.2">
      <c r="A2276" s="1">
        <v>42452</v>
      </c>
      <c r="B2276">
        <v>84</v>
      </c>
      <c r="C2276">
        <f>IF(B2276&gt;'user input'!$C$6,0,IF('heat units'!H2276&gt;1,1,'heat units'!H2276))</f>
        <v>0</v>
      </c>
      <c r="D2276">
        <f>IF(B2276&gt;'user input'!$C$6,0,(C2276/(C2276+EXP('user input'!$C$15-'user input'!$C$14*C2276))))</f>
        <v>0</v>
      </c>
      <c r="E2276">
        <f>IF(C2276&lt;'user input'!$C$12,(D2276-D2275)*'user input'!$C$17*(1-EXP(5*(F2275-'user input'!$C$17))),F2276-F2275)</f>
        <v>0</v>
      </c>
      <c r="F2276">
        <f>IF(C2276&lt;'user input'!$C$12,IF(B2276&gt;'user input'!$C$6,0,F2275+E2276),'user input'!$C$17*((1-C2276)/(1-'user input'!$C$12)))</f>
        <v>0</v>
      </c>
    </row>
    <row r="2277" spans="1:6" x14ac:dyDescent="0.2">
      <c r="A2277" s="1">
        <v>42453</v>
      </c>
      <c r="B2277">
        <v>85</v>
      </c>
      <c r="C2277">
        <f>IF(B2277&gt;'user input'!$C$6,0,IF('heat units'!H2277&gt;1,1,'heat units'!H2277))</f>
        <v>0</v>
      </c>
      <c r="D2277">
        <f>IF(B2277&gt;'user input'!$C$6,0,(C2277/(C2277+EXP('user input'!$C$15-'user input'!$C$14*C2277))))</f>
        <v>0</v>
      </c>
      <c r="E2277">
        <f>IF(C2277&lt;'user input'!$C$12,(D2277-D2276)*'user input'!$C$17*(1-EXP(5*(F2276-'user input'!$C$17))),F2277-F2276)</f>
        <v>0</v>
      </c>
      <c r="F2277">
        <f>IF(C2277&lt;'user input'!$C$12,IF(B2277&gt;'user input'!$C$6,0,F2276+E2277),'user input'!$C$17*((1-C2277)/(1-'user input'!$C$12)))</f>
        <v>0</v>
      </c>
    </row>
    <row r="2278" spans="1:6" x14ac:dyDescent="0.2">
      <c r="A2278" s="1">
        <v>42454</v>
      </c>
      <c r="B2278">
        <v>86</v>
      </c>
      <c r="C2278">
        <f>IF(B2278&gt;'user input'!$C$6,0,IF('heat units'!H2278&gt;1,1,'heat units'!H2278))</f>
        <v>0</v>
      </c>
      <c r="D2278">
        <f>IF(B2278&gt;'user input'!$C$6,0,(C2278/(C2278+EXP('user input'!$C$15-'user input'!$C$14*C2278))))</f>
        <v>0</v>
      </c>
      <c r="E2278">
        <f>IF(C2278&lt;'user input'!$C$12,(D2278-D2277)*'user input'!$C$17*(1-EXP(5*(F2277-'user input'!$C$17))),F2278-F2277)</f>
        <v>0</v>
      </c>
      <c r="F2278">
        <f>IF(C2278&lt;'user input'!$C$12,IF(B2278&gt;'user input'!$C$6,0,F2277+E2278),'user input'!$C$17*((1-C2278)/(1-'user input'!$C$12)))</f>
        <v>0</v>
      </c>
    </row>
    <row r="2279" spans="1:6" x14ac:dyDescent="0.2">
      <c r="A2279" s="1">
        <v>42455</v>
      </c>
      <c r="B2279">
        <v>87</v>
      </c>
      <c r="C2279">
        <f>IF(B2279&gt;'user input'!$C$6,0,IF('heat units'!H2279&gt;1,1,'heat units'!H2279))</f>
        <v>0</v>
      </c>
      <c r="D2279">
        <f>IF(B2279&gt;'user input'!$C$6,0,(C2279/(C2279+EXP('user input'!$C$15-'user input'!$C$14*C2279))))</f>
        <v>0</v>
      </c>
      <c r="E2279">
        <f>IF(C2279&lt;'user input'!$C$12,(D2279-D2278)*'user input'!$C$17*(1-EXP(5*(F2278-'user input'!$C$17))),F2279-F2278)</f>
        <v>0</v>
      </c>
      <c r="F2279">
        <f>IF(C2279&lt;'user input'!$C$12,IF(B2279&gt;'user input'!$C$6,0,F2278+E2279),'user input'!$C$17*((1-C2279)/(1-'user input'!$C$12)))</f>
        <v>0</v>
      </c>
    </row>
    <row r="2280" spans="1:6" x14ac:dyDescent="0.2">
      <c r="A2280" s="1">
        <v>42456</v>
      </c>
      <c r="B2280">
        <v>88</v>
      </c>
      <c r="C2280">
        <f>IF(B2280&gt;'user input'!$C$6,0,IF('heat units'!H2280&gt;1,1,'heat units'!H2280))</f>
        <v>0</v>
      </c>
      <c r="D2280">
        <f>IF(B2280&gt;'user input'!$C$6,0,(C2280/(C2280+EXP('user input'!$C$15-'user input'!$C$14*C2280))))</f>
        <v>0</v>
      </c>
      <c r="E2280">
        <f>IF(C2280&lt;'user input'!$C$12,(D2280-D2279)*'user input'!$C$17*(1-EXP(5*(F2279-'user input'!$C$17))),F2280-F2279)</f>
        <v>0</v>
      </c>
      <c r="F2280">
        <f>IF(C2280&lt;'user input'!$C$12,IF(B2280&gt;'user input'!$C$6,0,F2279+E2280),'user input'!$C$17*((1-C2280)/(1-'user input'!$C$12)))</f>
        <v>0</v>
      </c>
    </row>
    <row r="2281" spans="1:6" x14ac:dyDescent="0.2">
      <c r="A2281" s="1">
        <v>42457</v>
      </c>
      <c r="B2281">
        <v>89</v>
      </c>
      <c r="C2281">
        <f>IF(B2281&gt;'user input'!$C$6,0,IF('heat units'!H2281&gt;1,1,'heat units'!H2281))</f>
        <v>0</v>
      </c>
      <c r="D2281">
        <f>IF(B2281&gt;'user input'!$C$6,0,(C2281/(C2281+EXP('user input'!$C$15-'user input'!$C$14*C2281))))</f>
        <v>0</v>
      </c>
      <c r="E2281">
        <f>IF(C2281&lt;'user input'!$C$12,(D2281-D2280)*'user input'!$C$17*(1-EXP(5*(F2280-'user input'!$C$17))),F2281-F2280)</f>
        <v>0</v>
      </c>
      <c r="F2281">
        <f>IF(C2281&lt;'user input'!$C$12,IF(B2281&gt;'user input'!$C$6,0,F2280+E2281),'user input'!$C$17*((1-C2281)/(1-'user input'!$C$12)))</f>
        <v>0</v>
      </c>
    </row>
    <row r="2282" spans="1:6" x14ac:dyDescent="0.2">
      <c r="A2282" s="1">
        <v>42458</v>
      </c>
      <c r="B2282">
        <v>90</v>
      </c>
      <c r="C2282">
        <f>IF(B2282&gt;'user input'!$C$6,0,IF('heat units'!H2282&gt;1,1,'heat units'!H2282))</f>
        <v>0</v>
      </c>
      <c r="D2282">
        <f>IF(B2282&gt;'user input'!$C$6,0,(C2282/(C2282+EXP('user input'!$C$15-'user input'!$C$14*C2282))))</f>
        <v>0</v>
      </c>
      <c r="E2282">
        <f>IF(C2282&lt;'user input'!$C$12,(D2282-D2281)*'user input'!$C$17*(1-EXP(5*(F2281-'user input'!$C$17))),F2282-F2281)</f>
        <v>0</v>
      </c>
      <c r="F2282">
        <f>IF(C2282&lt;'user input'!$C$12,IF(B2282&gt;'user input'!$C$6,0,F2281+E2282),'user input'!$C$17*((1-C2282)/(1-'user input'!$C$12)))</f>
        <v>0</v>
      </c>
    </row>
    <row r="2283" spans="1:6" x14ac:dyDescent="0.2">
      <c r="A2283" s="1">
        <v>42459</v>
      </c>
      <c r="B2283">
        <v>91</v>
      </c>
      <c r="C2283">
        <f>IF(B2283&gt;'user input'!$C$6,0,IF('heat units'!H2283&gt;1,1,'heat units'!H2283))</f>
        <v>0</v>
      </c>
      <c r="D2283">
        <f>IF(B2283&gt;'user input'!$C$6,0,(C2283/(C2283+EXP('user input'!$C$15-'user input'!$C$14*C2283))))</f>
        <v>0</v>
      </c>
      <c r="E2283">
        <f>IF(C2283&lt;'user input'!$C$12,(D2283-D2282)*'user input'!$C$17*(1-EXP(5*(F2282-'user input'!$C$17))),F2283-F2282)</f>
        <v>0</v>
      </c>
      <c r="F2283">
        <f>IF(C2283&lt;'user input'!$C$12,IF(B2283&gt;'user input'!$C$6,0,F2282+E2283),'user input'!$C$17*((1-C2283)/(1-'user input'!$C$12)))</f>
        <v>0</v>
      </c>
    </row>
    <row r="2284" spans="1:6" x14ac:dyDescent="0.2">
      <c r="A2284" s="1">
        <v>42460</v>
      </c>
      <c r="B2284">
        <v>92</v>
      </c>
      <c r="C2284">
        <f>IF(B2284&gt;'user input'!$C$6,0,IF('heat units'!H2284&gt;1,1,'heat units'!H2284))</f>
        <v>0</v>
      </c>
      <c r="D2284">
        <f>IF(B2284&gt;'user input'!$C$6,0,(C2284/(C2284+EXP('user input'!$C$15-'user input'!$C$14*C2284))))</f>
        <v>0</v>
      </c>
      <c r="E2284">
        <f>IF(C2284&lt;'user input'!$C$12,(D2284-D2283)*'user input'!$C$17*(1-EXP(5*(F2283-'user input'!$C$17))),F2284-F2283)</f>
        <v>0</v>
      </c>
      <c r="F2284">
        <f>IF(C2284&lt;'user input'!$C$12,IF(B2284&gt;'user input'!$C$6,0,F2283+E2284),'user input'!$C$17*((1-C2284)/(1-'user input'!$C$12)))</f>
        <v>0</v>
      </c>
    </row>
    <row r="2285" spans="1:6" x14ac:dyDescent="0.2">
      <c r="A2285" s="1">
        <v>42461</v>
      </c>
      <c r="B2285">
        <v>93</v>
      </c>
      <c r="C2285">
        <f>IF(B2285&gt;'user input'!$C$6,0,IF('heat units'!H2285&gt;1,1,'heat units'!H2285))</f>
        <v>0</v>
      </c>
      <c r="D2285">
        <f>IF(B2285&gt;'user input'!$C$6,0,(C2285/(C2285+EXP('user input'!$C$15-'user input'!$C$14*C2285))))</f>
        <v>0</v>
      </c>
      <c r="E2285">
        <f>IF(C2285&lt;'user input'!$C$12,(D2285-D2284)*'user input'!$C$17*(1-EXP(5*(F2284-'user input'!$C$17))),F2285-F2284)</f>
        <v>0</v>
      </c>
      <c r="F2285">
        <f>IF(C2285&lt;'user input'!$C$12,IF(B2285&gt;'user input'!$C$6,0,F2284+E2285),'user input'!$C$17*((1-C2285)/(1-'user input'!$C$12)))</f>
        <v>0</v>
      </c>
    </row>
    <row r="2286" spans="1:6" x14ac:dyDescent="0.2">
      <c r="A2286" s="1">
        <v>42462</v>
      </c>
      <c r="B2286">
        <v>94</v>
      </c>
      <c r="C2286">
        <f>IF(B2286&gt;'user input'!$C$6,0,IF('heat units'!H2286&gt;1,1,'heat units'!H2286))</f>
        <v>0</v>
      </c>
      <c r="D2286">
        <f>IF(B2286&gt;'user input'!$C$6,0,(C2286/(C2286+EXP('user input'!$C$15-'user input'!$C$14*C2286))))</f>
        <v>0</v>
      </c>
      <c r="E2286">
        <f>IF(C2286&lt;'user input'!$C$12,(D2286-D2285)*'user input'!$C$17*(1-EXP(5*(F2285-'user input'!$C$17))),F2286-F2285)</f>
        <v>0</v>
      </c>
      <c r="F2286">
        <f>IF(C2286&lt;'user input'!$C$12,IF(B2286&gt;'user input'!$C$6,0,F2285+E2286),'user input'!$C$17*((1-C2286)/(1-'user input'!$C$12)))</f>
        <v>0</v>
      </c>
    </row>
    <row r="2287" spans="1:6" x14ac:dyDescent="0.2">
      <c r="A2287" s="1">
        <v>42463</v>
      </c>
      <c r="B2287">
        <v>95</v>
      </c>
      <c r="C2287">
        <f>IF(B2287&gt;'user input'!$C$6,0,IF('heat units'!H2287&gt;1,1,'heat units'!H2287))</f>
        <v>0</v>
      </c>
      <c r="D2287">
        <f>IF(B2287&gt;'user input'!$C$6,0,(C2287/(C2287+EXP('user input'!$C$15-'user input'!$C$14*C2287))))</f>
        <v>0</v>
      </c>
      <c r="E2287">
        <f>IF(C2287&lt;'user input'!$C$12,(D2287-D2286)*'user input'!$C$17*(1-EXP(5*(F2286-'user input'!$C$17))),F2287-F2286)</f>
        <v>0</v>
      </c>
      <c r="F2287">
        <f>IF(C2287&lt;'user input'!$C$12,IF(B2287&gt;'user input'!$C$6,0,F2286+E2287),'user input'!$C$17*((1-C2287)/(1-'user input'!$C$12)))</f>
        <v>0</v>
      </c>
    </row>
    <row r="2288" spans="1:6" x14ac:dyDescent="0.2">
      <c r="A2288" s="1">
        <v>42464</v>
      </c>
      <c r="B2288">
        <v>96</v>
      </c>
      <c r="C2288">
        <f>IF(B2288&gt;'user input'!$C$6,0,IF('heat units'!H2288&gt;1,1,'heat units'!H2288))</f>
        <v>0</v>
      </c>
      <c r="D2288">
        <f>IF(B2288&gt;'user input'!$C$6,0,(C2288/(C2288+EXP('user input'!$C$15-'user input'!$C$14*C2288))))</f>
        <v>0</v>
      </c>
      <c r="E2288">
        <f>IF(C2288&lt;'user input'!$C$12,(D2288-D2287)*'user input'!$C$17*(1-EXP(5*(F2287-'user input'!$C$17))),F2288-F2287)</f>
        <v>0</v>
      </c>
      <c r="F2288">
        <f>IF(C2288&lt;'user input'!$C$12,IF(B2288&gt;'user input'!$C$6,0,F2287+E2288),'user input'!$C$17*((1-C2288)/(1-'user input'!$C$12)))</f>
        <v>0</v>
      </c>
    </row>
    <row r="2289" spans="1:6" x14ac:dyDescent="0.2">
      <c r="A2289" s="1">
        <v>42465</v>
      </c>
      <c r="B2289">
        <v>97</v>
      </c>
      <c r="C2289">
        <f>IF(B2289&gt;'user input'!$C$6,0,IF('heat units'!H2289&gt;1,1,'heat units'!H2289))</f>
        <v>0</v>
      </c>
      <c r="D2289">
        <f>IF(B2289&gt;'user input'!$C$6,0,(C2289/(C2289+EXP('user input'!$C$15-'user input'!$C$14*C2289))))</f>
        <v>0</v>
      </c>
      <c r="E2289">
        <f>IF(C2289&lt;'user input'!$C$12,(D2289-D2288)*'user input'!$C$17*(1-EXP(5*(F2288-'user input'!$C$17))),F2289-F2288)</f>
        <v>0</v>
      </c>
      <c r="F2289">
        <f>IF(C2289&lt;'user input'!$C$12,IF(B2289&gt;'user input'!$C$6,0,F2288+E2289),'user input'!$C$17*((1-C2289)/(1-'user input'!$C$12)))</f>
        <v>0</v>
      </c>
    </row>
    <row r="2290" spans="1:6" x14ac:dyDescent="0.2">
      <c r="A2290" s="1">
        <v>42466</v>
      </c>
      <c r="B2290">
        <v>98</v>
      </c>
      <c r="C2290">
        <f>IF(B2290&gt;'user input'!$C$6,0,IF('heat units'!H2290&gt;1,1,'heat units'!H2290))</f>
        <v>0</v>
      </c>
      <c r="D2290">
        <f>IF(B2290&gt;'user input'!$C$6,0,(C2290/(C2290+EXP('user input'!$C$15-'user input'!$C$14*C2290))))</f>
        <v>0</v>
      </c>
      <c r="E2290">
        <f>IF(C2290&lt;'user input'!$C$12,(D2290-D2289)*'user input'!$C$17*(1-EXP(5*(F2289-'user input'!$C$17))),F2290-F2289)</f>
        <v>0</v>
      </c>
      <c r="F2290">
        <f>IF(C2290&lt;'user input'!$C$12,IF(B2290&gt;'user input'!$C$6,0,F2289+E2290),'user input'!$C$17*((1-C2290)/(1-'user input'!$C$12)))</f>
        <v>0</v>
      </c>
    </row>
    <row r="2291" spans="1:6" x14ac:dyDescent="0.2">
      <c r="A2291" s="1">
        <v>42467</v>
      </c>
      <c r="B2291">
        <v>99</v>
      </c>
      <c r="C2291">
        <f>IF(B2291&gt;'user input'!$C$6,0,IF('heat units'!H2291&gt;1,1,'heat units'!H2291))</f>
        <v>0</v>
      </c>
      <c r="D2291">
        <f>IF(B2291&gt;'user input'!$C$6,0,(C2291/(C2291+EXP('user input'!$C$15-'user input'!$C$14*C2291))))</f>
        <v>0</v>
      </c>
      <c r="E2291">
        <f>IF(C2291&lt;'user input'!$C$12,(D2291-D2290)*'user input'!$C$17*(1-EXP(5*(F2290-'user input'!$C$17))),F2291-F2290)</f>
        <v>0</v>
      </c>
      <c r="F2291">
        <f>IF(C2291&lt;'user input'!$C$12,IF(B2291&gt;'user input'!$C$6,0,F2290+E2291),'user input'!$C$17*((1-C2291)/(1-'user input'!$C$12)))</f>
        <v>0</v>
      </c>
    </row>
    <row r="2292" spans="1:6" x14ac:dyDescent="0.2">
      <c r="A2292" s="1">
        <v>42468</v>
      </c>
      <c r="B2292">
        <v>100</v>
      </c>
      <c r="C2292">
        <f>IF(B2292&gt;'user input'!$C$6,0,IF('heat units'!H2292&gt;1,1,'heat units'!H2292))</f>
        <v>0</v>
      </c>
      <c r="D2292">
        <f>IF(B2292&gt;'user input'!$C$6,0,(C2292/(C2292+EXP('user input'!$C$15-'user input'!$C$14*C2292))))</f>
        <v>0</v>
      </c>
      <c r="E2292">
        <f>IF(C2292&lt;'user input'!$C$12,(D2292-D2291)*'user input'!$C$17*(1-EXP(5*(F2291-'user input'!$C$17))),F2292-F2291)</f>
        <v>0</v>
      </c>
      <c r="F2292">
        <f>IF(C2292&lt;'user input'!$C$12,IF(B2292&gt;'user input'!$C$6,0,F2291+E2292),'user input'!$C$17*((1-C2292)/(1-'user input'!$C$12)))</f>
        <v>0</v>
      </c>
    </row>
    <row r="2293" spans="1:6" x14ac:dyDescent="0.2">
      <c r="A2293" s="1">
        <v>42469</v>
      </c>
      <c r="B2293">
        <v>101</v>
      </c>
      <c r="C2293">
        <f>IF(B2293&gt;'user input'!$C$6,0,IF('heat units'!H2293&gt;1,1,'heat units'!H2293))</f>
        <v>0</v>
      </c>
      <c r="D2293">
        <f>IF(B2293&gt;'user input'!$C$6,0,(C2293/(C2293+EXP('user input'!$C$15-'user input'!$C$14*C2293))))</f>
        <v>0</v>
      </c>
      <c r="E2293">
        <f>IF(C2293&lt;'user input'!$C$12,(D2293-D2292)*'user input'!$C$17*(1-EXP(5*(F2292-'user input'!$C$17))),F2293-F2292)</f>
        <v>0</v>
      </c>
      <c r="F2293">
        <f>IF(C2293&lt;'user input'!$C$12,IF(B2293&gt;'user input'!$C$6,0,F2292+E2293),'user input'!$C$17*((1-C2293)/(1-'user input'!$C$12)))</f>
        <v>0</v>
      </c>
    </row>
    <row r="2294" spans="1:6" x14ac:dyDescent="0.2">
      <c r="A2294" s="1">
        <v>42470</v>
      </c>
      <c r="B2294">
        <v>102</v>
      </c>
      <c r="C2294">
        <f>IF(B2294&gt;'user input'!$C$6,0,IF('heat units'!H2294&gt;1,1,'heat units'!H2294))</f>
        <v>0</v>
      </c>
      <c r="D2294">
        <f>IF(B2294&gt;'user input'!$C$6,0,(C2294/(C2294+EXP('user input'!$C$15-'user input'!$C$14*C2294))))</f>
        <v>0</v>
      </c>
      <c r="E2294">
        <f>IF(C2294&lt;'user input'!$C$12,(D2294-D2293)*'user input'!$C$17*(1-EXP(5*(F2293-'user input'!$C$17))),F2294-F2293)</f>
        <v>0</v>
      </c>
      <c r="F2294">
        <f>IF(C2294&lt;'user input'!$C$12,IF(B2294&gt;'user input'!$C$6,0,F2293+E2294),'user input'!$C$17*((1-C2294)/(1-'user input'!$C$12)))</f>
        <v>0</v>
      </c>
    </row>
    <row r="2295" spans="1:6" x14ac:dyDescent="0.2">
      <c r="A2295" s="1">
        <v>42471</v>
      </c>
      <c r="B2295">
        <v>103</v>
      </c>
      <c r="C2295">
        <f>IF(B2295&gt;'user input'!$C$6,0,IF('heat units'!H2295&gt;1,1,'heat units'!H2295))</f>
        <v>0</v>
      </c>
      <c r="D2295">
        <f>IF(B2295&gt;'user input'!$C$6,0,(C2295/(C2295+EXP('user input'!$C$15-'user input'!$C$14*C2295))))</f>
        <v>0</v>
      </c>
      <c r="E2295">
        <f>IF(C2295&lt;'user input'!$C$12,(D2295-D2294)*'user input'!$C$17*(1-EXP(5*(F2294-'user input'!$C$17))),F2295-F2294)</f>
        <v>0</v>
      </c>
      <c r="F2295">
        <f>IF(C2295&lt;'user input'!$C$12,IF(B2295&gt;'user input'!$C$6,0,F2294+E2295),'user input'!$C$17*((1-C2295)/(1-'user input'!$C$12)))</f>
        <v>0</v>
      </c>
    </row>
    <row r="2296" spans="1:6" x14ac:dyDescent="0.2">
      <c r="A2296" s="1">
        <v>42472</v>
      </c>
      <c r="B2296">
        <v>104</v>
      </c>
      <c r="C2296">
        <f>IF(B2296&gt;'user input'!$C$6,0,IF('heat units'!H2296&gt;1,1,'heat units'!H2296))</f>
        <v>0</v>
      </c>
      <c r="D2296">
        <f>IF(B2296&gt;'user input'!$C$6,0,(C2296/(C2296+EXP('user input'!$C$15-'user input'!$C$14*C2296))))</f>
        <v>0</v>
      </c>
      <c r="E2296">
        <f>IF(C2296&lt;'user input'!$C$12,(D2296-D2295)*'user input'!$C$17*(1-EXP(5*(F2295-'user input'!$C$17))),F2296-F2295)</f>
        <v>0</v>
      </c>
      <c r="F2296">
        <f>IF(C2296&lt;'user input'!$C$12,IF(B2296&gt;'user input'!$C$6,0,F2295+E2296),'user input'!$C$17*((1-C2296)/(1-'user input'!$C$12)))</f>
        <v>0</v>
      </c>
    </row>
    <row r="2297" spans="1:6" x14ac:dyDescent="0.2">
      <c r="A2297" s="1">
        <v>42473</v>
      </c>
      <c r="B2297">
        <v>105</v>
      </c>
      <c r="C2297">
        <f>IF(B2297&gt;'user input'!$C$6,0,IF('heat units'!H2297&gt;1,1,'heat units'!H2297))</f>
        <v>0</v>
      </c>
      <c r="D2297">
        <f>IF(B2297&gt;'user input'!$C$6,0,(C2297/(C2297+EXP('user input'!$C$15-'user input'!$C$14*C2297))))</f>
        <v>0</v>
      </c>
      <c r="E2297">
        <f>IF(C2297&lt;'user input'!$C$12,(D2297-D2296)*'user input'!$C$17*(1-EXP(5*(F2296-'user input'!$C$17))),F2297-F2296)</f>
        <v>0</v>
      </c>
      <c r="F2297">
        <f>IF(C2297&lt;'user input'!$C$12,IF(B2297&gt;'user input'!$C$6,0,F2296+E2297),'user input'!$C$17*((1-C2297)/(1-'user input'!$C$12)))</f>
        <v>0</v>
      </c>
    </row>
    <row r="2298" spans="1:6" x14ac:dyDescent="0.2">
      <c r="A2298" s="1">
        <v>42474</v>
      </c>
      <c r="B2298">
        <v>106</v>
      </c>
      <c r="C2298">
        <f>IF(B2298&gt;'user input'!$C$6,0,IF('heat units'!H2298&gt;1,1,'heat units'!H2298))</f>
        <v>0</v>
      </c>
      <c r="D2298">
        <f>IF(B2298&gt;'user input'!$C$6,0,(C2298/(C2298+EXP('user input'!$C$15-'user input'!$C$14*C2298))))</f>
        <v>0</v>
      </c>
      <c r="E2298">
        <f>IF(C2298&lt;'user input'!$C$12,(D2298-D2297)*'user input'!$C$17*(1-EXP(5*(F2297-'user input'!$C$17))),F2298-F2297)</f>
        <v>0</v>
      </c>
      <c r="F2298">
        <f>IF(C2298&lt;'user input'!$C$12,IF(B2298&gt;'user input'!$C$6,0,F2297+E2298),'user input'!$C$17*((1-C2298)/(1-'user input'!$C$12)))</f>
        <v>0</v>
      </c>
    </row>
    <row r="2299" spans="1:6" x14ac:dyDescent="0.2">
      <c r="A2299" s="1">
        <v>42475</v>
      </c>
      <c r="B2299">
        <v>107</v>
      </c>
      <c r="C2299">
        <f>IF(B2299&gt;'user input'!$C$6,0,IF('heat units'!H2299&gt;1,1,'heat units'!H2299))</f>
        <v>0</v>
      </c>
      <c r="D2299">
        <f>IF(B2299&gt;'user input'!$C$6,0,(C2299/(C2299+EXP('user input'!$C$15-'user input'!$C$14*C2299))))</f>
        <v>0</v>
      </c>
      <c r="E2299">
        <f>IF(C2299&lt;'user input'!$C$12,(D2299-D2298)*'user input'!$C$17*(1-EXP(5*(F2298-'user input'!$C$17))),F2299-F2298)</f>
        <v>0</v>
      </c>
      <c r="F2299">
        <f>IF(C2299&lt;'user input'!$C$12,IF(B2299&gt;'user input'!$C$6,0,F2298+E2299),'user input'!$C$17*((1-C2299)/(1-'user input'!$C$12)))</f>
        <v>0</v>
      </c>
    </row>
    <row r="2300" spans="1:6" x14ac:dyDescent="0.2">
      <c r="A2300" s="1">
        <v>42476</v>
      </c>
      <c r="B2300">
        <v>108</v>
      </c>
      <c r="C2300">
        <f>IF(B2300&gt;'user input'!$C$6,0,IF('heat units'!H2300&gt;1,1,'heat units'!H2300))</f>
        <v>0</v>
      </c>
      <c r="D2300">
        <f>IF(B2300&gt;'user input'!$C$6,0,(C2300/(C2300+EXP('user input'!$C$15-'user input'!$C$14*C2300))))</f>
        <v>0</v>
      </c>
      <c r="E2300">
        <f>IF(C2300&lt;'user input'!$C$12,(D2300-D2299)*'user input'!$C$17*(1-EXP(5*(F2299-'user input'!$C$17))),F2300-F2299)</f>
        <v>0</v>
      </c>
      <c r="F2300">
        <f>IF(C2300&lt;'user input'!$C$12,IF(B2300&gt;'user input'!$C$6,0,F2299+E2300),'user input'!$C$17*((1-C2300)/(1-'user input'!$C$12)))</f>
        <v>0</v>
      </c>
    </row>
    <row r="2301" spans="1:6" x14ac:dyDescent="0.2">
      <c r="A2301" s="1">
        <v>42477</v>
      </c>
      <c r="B2301">
        <v>109</v>
      </c>
      <c r="C2301">
        <f>IF(B2301&gt;'user input'!$C$6,0,IF('heat units'!H2301&gt;1,1,'heat units'!H2301))</f>
        <v>0</v>
      </c>
      <c r="D2301">
        <f>IF(B2301&gt;'user input'!$C$6,0,(C2301/(C2301+EXP('user input'!$C$15-'user input'!$C$14*C2301))))</f>
        <v>0</v>
      </c>
      <c r="E2301">
        <f>IF(C2301&lt;'user input'!$C$12,(D2301-D2300)*'user input'!$C$17*(1-EXP(5*(F2300-'user input'!$C$17))),F2301-F2300)</f>
        <v>0</v>
      </c>
      <c r="F2301">
        <f>IF(C2301&lt;'user input'!$C$12,IF(B2301&gt;'user input'!$C$6,0,F2300+E2301),'user input'!$C$17*((1-C2301)/(1-'user input'!$C$12)))</f>
        <v>0</v>
      </c>
    </row>
    <row r="2302" spans="1:6" x14ac:dyDescent="0.2">
      <c r="A2302" s="1">
        <v>42478</v>
      </c>
      <c r="B2302">
        <v>110</v>
      </c>
      <c r="C2302">
        <f>IF(B2302&gt;'user input'!$C$6,0,IF('heat units'!H2302&gt;1,1,'heat units'!H2302))</f>
        <v>0</v>
      </c>
      <c r="D2302">
        <f>IF(B2302&gt;'user input'!$C$6,0,(C2302/(C2302+EXP('user input'!$C$15-'user input'!$C$14*C2302))))</f>
        <v>0</v>
      </c>
      <c r="E2302">
        <f>IF(C2302&lt;'user input'!$C$12,(D2302-D2301)*'user input'!$C$17*(1-EXP(5*(F2301-'user input'!$C$17))),F2302-F2301)</f>
        <v>0</v>
      </c>
      <c r="F2302">
        <f>IF(C2302&lt;'user input'!$C$12,IF(B2302&gt;'user input'!$C$6,0,F2301+E2302),'user input'!$C$17*((1-C2302)/(1-'user input'!$C$12)))</f>
        <v>0</v>
      </c>
    </row>
    <row r="2303" spans="1:6" x14ac:dyDescent="0.2">
      <c r="A2303" s="1">
        <v>42479</v>
      </c>
      <c r="B2303">
        <v>111</v>
      </c>
      <c r="C2303">
        <f>IF(B2303&gt;'user input'!$C$6,0,IF('heat units'!H2303&gt;1,1,'heat units'!H2303))</f>
        <v>0</v>
      </c>
      <c r="D2303">
        <f>IF(B2303&gt;'user input'!$C$6,0,(C2303/(C2303+EXP('user input'!$C$15-'user input'!$C$14*C2303))))</f>
        <v>0</v>
      </c>
      <c r="E2303">
        <f>IF(C2303&lt;'user input'!$C$12,(D2303-D2302)*'user input'!$C$17*(1-EXP(5*(F2302-'user input'!$C$17))),F2303-F2302)</f>
        <v>0</v>
      </c>
      <c r="F2303">
        <f>IF(C2303&lt;'user input'!$C$12,IF(B2303&gt;'user input'!$C$6,0,F2302+E2303),'user input'!$C$17*((1-C2303)/(1-'user input'!$C$12)))</f>
        <v>0</v>
      </c>
    </row>
    <row r="2304" spans="1:6" x14ac:dyDescent="0.2">
      <c r="A2304" s="1">
        <v>42480</v>
      </c>
      <c r="B2304">
        <v>112</v>
      </c>
      <c r="C2304">
        <f>IF(B2304&gt;'user input'!$C$6,0,IF('heat units'!H2304&gt;1,1,'heat units'!H2304))</f>
        <v>0</v>
      </c>
      <c r="D2304">
        <f>IF(B2304&gt;'user input'!$C$6,0,(C2304/(C2304+EXP('user input'!$C$15-'user input'!$C$14*C2304))))</f>
        <v>0</v>
      </c>
      <c r="E2304">
        <f>IF(C2304&lt;'user input'!$C$12,(D2304-D2303)*'user input'!$C$17*(1-EXP(5*(F2303-'user input'!$C$17))),F2304-F2303)</f>
        <v>0</v>
      </c>
      <c r="F2304">
        <f>IF(C2304&lt;'user input'!$C$12,IF(B2304&gt;'user input'!$C$6,0,F2303+E2304),'user input'!$C$17*((1-C2304)/(1-'user input'!$C$12)))</f>
        <v>0</v>
      </c>
    </row>
    <row r="2305" spans="1:6" x14ac:dyDescent="0.2">
      <c r="A2305" s="1">
        <v>42481</v>
      </c>
      <c r="B2305">
        <v>113</v>
      </c>
      <c r="C2305">
        <f>IF(B2305&gt;'user input'!$C$6,0,IF('heat units'!H2305&gt;1,1,'heat units'!H2305))</f>
        <v>0</v>
      </c>
      <c r="D2305">
        <f>IF(B2305&gt;'user input'!$C$6,0,(C2305/(C2305+EXP('user input'!$C$15-'user input'!$C$14*C2305))))</f>
        <v>0</v>
      </c>
      <c r="E2305">
        <f>IF(C2305&lt;'user input'!$C$12,(D2305-D2304)*'user input'!$C$17*(1-EXP(5*(F2304-'user input'!$C$17))),F2305-F2304)</f>
        <v>0</v>
      </c>
      <c r="F2305">
        <f>IF(C2305&lt;'user input'!$C$12,IF(B2305&gt;'user input'!$C$6,0,F2304+E2305),'user input'!$C$17*((1-C2305)/(1-'user input'!$C$12)))</f>
        <v>0</v>
      </c>
    </row>
    <row r="2306" spans="1:6" x14ac:dyDescent="0.2">
      <c r="A2306" s="1">
        <v>42482</v>
      </c>
      <c r="B2306">
        <v>114</v>
      </c>
      <c r="C2306">
        <f>IF(B2306&gt;'user input'!$C$6,0,IF('heat units'!H2306&gt;1,1,'heat units'!H2306))</f>
        <v>0</v>
      </c>
      <c r="D2306">
        <f>IF(B2306&gt;'user input'!$C$6,0,(C2306/(C2306+EXP('user input'!$C$15-'user input'!$C$14*C2306))))</f>
        <v>0</v>
      </c>
      <c r="E2306">
        <f>IF(C2306&lt;'user input'!$C$12,(D2306-D2305)*'user input'!$C$17*(1-EXP(5*(F2305-'user input'!$C$17))),F2306-F2305)</f>
        <v>0</v>
      </c>
      <c r="F2306">
        <f>IF(C2306&lt;'user input'!$C$12,IF(B2306&gt;'user input'!$C$6,0,F2305+E2306),'user input'!$C$17*((1-C2306)/(1-'user input'!$C$12)))</f>
        <v>0</v>
      </c>
    </row>
    <row r="2307" spans="1:6" x14ac:dyDescent="0.2">
      <c r="A2307" s="1">
        <v>42483</v>
      </c>
      <c r="B2307">
        <v>115</v>
      </c>
      <c r="C2307">
        <f>IF(B2307&gt;'user input'!$C$6,0,IF('heat units'!H2307&gt;1,1,'heat units'!H2307))</f>
        <v>0</v>
      </c>
      <c r="D2307">
        <f>IF(B2307&gt;'user input'!$C$6,0,(C2307/(C2307+EXP('user input'!$C$15-'user input'!$C$14*C2307))))</f>
        <v>0</v>
      </c>
      <c r="E2307">
        <f>IF(C2307&lt;'user input'!$C$12,(D2307-D2306)*'user input'!$C$17*(1-EXP(5*(F2306-'user input'!$C$17))),F2307-F2306)</f>
        <v>0</v>
      </c>
      <c r="F2307">
        <f>IF(C2307&lt;'user input'!$C$12,IF(B2307&gt;'user input'!$C$6,0,F2306+E2307),'user input'!$C$17*((1-C2307)/(1-'user input'!$C$12)))</f>
        <v>0</v>
      </c>
    </row>
    <row r="2308" spans="1:6" x14ac:dyDescent="0.2">
      <c r="A2308" s="1">
        <v>42484</v>
      </c>
      <c r="B2308">
        <v>116</v>
      </c>
      <c r="C2308">
        <f>IF(B2308&gt;'user input'!$C$6,0,IF('heat units'!H2308&gt;1,1,'heat units'!H2308))</f>
        <v>0</v>
      </c>
      <c r="D2308">
        <f>IF(B2308&gt;'user input'!$C$6,0,(C2308/(C2308+EXP('user input'!$C$15-'user input'!$C$14*C2308))))</f>
        <v>0</v>
      </c>
      <c r="E2308">
        <f>IF(C2308&lt;'user input'!$C$12,(D2308-D2307)*'user input'!$C$17*(1-EXP(5*(F2307-'user input'!$C$17))),F2308-F2307)</f>
        <v>0</v>
      </c>
      <c r="F2308">
        <f>IF(C2308&lt;'user input'!$C$12,IF(B2308&gt;'user input'!$C$6,0,F2307+E2308),'user input'!$C$17*((1-C2308)/(1-'user input'!$C$12)))</f>
        <v>0</v>
      </c>
    </row>
    <row r="2309" spans="1:6" x14ac:dyDescent="0.2">
      <c r="A2309" s="1">
        <v>42485</v>
      </c>
      <c r="B2309">
        <v>117</v>
      </c>
      <c r="C2309">
        <f>IF(B2309&gt;'user input'!$C$6,0,IF('heat units'!H2309&gt;1,1,'heat units'!H2309))</f>
        <v>0</v>
      </c>
      <c r="D2309">
        <f>IF(B2309&gt;'user input'!$C$6,0,(C2309/(C2309+EXP('user input'!$C$15-'user input'!$C$14*C2309))))</f>
        <v>0</v>
      </c>
      <c r="E2309">
        <f>IF(C2309&lt;'user input'!$C$12,(D2309-D2308)*'user input'!$C$17*(1-EXP(5*(F2308-'user input'!$C$17))),F2309-F2308)</f>
        <v>0</v>
      </c>
      <c r="F2309">
        <f>IF(C2309&lt;'user input'!$C$12,IF(B2309&gt;'user input'!$C$6,0,F2308+E2309),'user input'!$C$17*((1-C2309)/(1-'user input'!$C$12)))</f>
        <v>0</v>
      </c>
    </row>
    <row r="2310" spans="1:6" x14ac:dyDescent="0.2">
      <c r="A2310" s="1">
        <v>42486</v>
      </c>
      <c r="B2310">
        <v>118</v>
      </c>
      <c r="C2310">
        <f>IF(B2310&gt;'user input'!$C$6,0,IF('heat units'!H2310&gt;1,1,'heat units'!H2310))</f>
        <v>0</v>
      </c>
      <c r="D2310">
        <f>IF(B2310&gt;'user input'!$C$6,0,(C2310/(C2310+EXP('user input'!$C$15-'user input'!$C$14*C2310))))</f>
        <v>0</v>
      </c>
      <c r="E2310">
        <f>IF(C2310&lt;'user input'!$C$12,(D2310-D2309)*'user input'!$C$17*(1-EXP(5*(F2309-'user input'!$C$17))),F2310-F2309)</f>
        <v>0</v>
      </c>
      <c r="F2310">
        <f>IF(C2310&lt;'user input'!$C$12,IF(B2310&gt;'user input'!$C$6,0,F2309+E2310),'user input'!$C$17*((1-C2310)/(1-'user input'!$C$12)))</f>
        <v>0</v>
      </c>
    </row>
    <row r="2311" spans="1:6" x14ac:dyDescent="0.2">
      <c r="A2311" s="1">
        <v>42487</v>
      </c>
      <c r="B2311">
        <v>119</v>
      </c>
      <c r="C2311">
        <f>IF(B2311&gt;'user input'!$C$6,0,IF('heat units'!H2311&gt;1,1,'heat units'!H2311))</f>
        <v>0</v>
      </c>
      <c r="D2311">
        <f>IF(B2311&gt;'user input'!$C$6,0,(C2311/(C2311+EXP('user input'!$C$15-'user input'!$C$14*C2311))))</f>
        <v>0</v>
      </c>
      <c r="E2311">
        <f>IF(C2311&lt;'user input'!$C$12,(D2311-D2310)*'user input'!$C$17*(1-EXP(5*(F2310-'user input'!$C$17))),F2311-F2310)</f>
        <v>0</v>
      </c>
      <c r="F2311">
        <f>IF(C2311&lt;'user input'!$C$12,IF(B2311&gt;'user input'!$C$6,0,F2310+E2311),'user input'!$C$17*((1-C2311)/(1-'user input'!$C$12)))</f>
        <v>0</v>
      </c>
    </row>
    <row r="2312" spans="1:6" x14ac:dyDescent="0.2">
      <c r="A2312" s="1">
        <v>42488</v>
      </c>
      <c r="B2312">
        <v>120</v>
      </c>
      <c r="C2312">
        <f>IF(B2312&gt;'user input'!$C$6,0,IF('heat units'!H2312&gt;1,1,'heat units'!H2312))</f>
        <v>0</v>
      </c>
      <c r="D2312">
        <f>IF(B2312&gt;'user input'!$C$6,0,(C2312/(C2312+EXP('user input'!$C$15-'user input'!$C$14*C2312))))</f>
        <v>0</v>
      </c>
      <c r="E2312">
        <f>IF(C2312&lt;'user input'!$C$12,(D2312-D2311)*'user input'!$C$17*(1-EXP(5*(F2311-'user input'!$C$17))),F2312-F2311)</f>
        <v>0</v>
      </c>
      <c r="F2312">
        <f>IF(C2312&lt;'user input'!$C$12,IF(B2312&gt;'user input'!$C$6,0,F2311+E2312),'user input'!$C$17*((1-C2312)/(1-'user input'!$C$12)))</f>
        <v>0</v>
      </c>
    </row>
    <row r="2313" spans="1:6" x14ac:dyDescent="0.2">
      <c r="A2313" s="1">
        <v>42489</v>
      </c>
      <c r="B2313">
        <v>121</v>
      </c>
      <c r="C2313">
        <f>IF(B2313&gt;'user input'!$C$6,0,IF('heat units'!H2313&gt;1,1,'heat units'!H2313))</f>
        <v>0</v>
      </c>
      <c r="D2313">
        <f>IF(B2313&gt;'user input'!$C$6,0,(C2313/(C2313+EXP('user input'!$C$15-'user input'!$C$14*C2313))))</f>
        <v>0</v>
      </c>
      <c r="E2313">
        <f>IF(C2313&lt;'user input'!$C$12,(D2313-D2312)*'user input'!$C$17*(1-EXP(5*(F2312-'user input'!$C$17))),F2313-F2312)</f>
        <v>0</v>
      </c>
      <c r="F2313">
        <f>IF(C2313&lt;'user input'!$C$12,IF(B2313&gt;'user input'!$C$6,0,F2312+E2313),'user input'!$C$17*((1-C2313)/(1-'user input'!$C$12)))</f>
        <v>0</v>
      </c>
    </row>
    <row r="2314" spans="1:6" x14ac:dyDescent="0.2">
      <c r="A2314" s="1">
        <v>42490</v>
      </c>
      <c r="B2314">
        <v>122</v>
      </c>
      <c r="C2314">
        <f>IF(B2314&gt;'user input'!$C$6,0,IF('heat units'!H2314&gt;1,1,'heat units'!H2314))</f>
        <v>6.944444444444449E-4</v>
      </c>
      <c r="D2314">
        <f>IF(B2314&gt;'user input'!$C$6,0,(C2314/(C2314+EXP('user input'!$C$15-'user input'!$C$14*C2314))))</f>
        <v>3.3024149556769456E-5</v>
      </c>
      <c r="E2314">
        <f>IF(C2314&lt;'user input'!$C$12,(D2314-D2313)*'user input'!$C$17*(1-EXP(5*(F2313-'user input'!$C$17))),F2314-F2313)</f>
        <v>9.9072418363816412E-5</v>
      </c>
      <c r="F2314">
        <f>IF(C2314&lt;'user input'!$C$12,IF(B2314&gt;'user input'!$C$6,0,F2313+E2314),'user input'!$C$17*((1-C2314)/(1-'user input'!$C$12)))</f>
        <v>9.9072418363816412E-5</v>
      </c>
    </row>
    <row r="2315" spans="1:6" x14ac:dyDescent="0.2">
      <c r="A2315" s="1">
        <v>42491</v>
      </c>
      <c r="B2315">
        <v>123</v>
      </c>
      <c r="C2315">
        <f>IF(B2315&gt;'user input'!$C$6,0,IF('heat units'!H2315&gt;1,1,'heat units'!H2315))</f>
        <v>6.944444444444449E-4</v>
      </c>
      <c r="D2315">
        <f>IF(B2315&gt;'user input'!$C$6,0,(C2315/(C2315+EXP('user input'!$C$15-'user input'!$C$14*C2315))))</f>
        <v>3.3024149556769456E-5</v>
      </c>
      <c r="E2315">
        <f>IF(C2315&lt;'user input'!$C$12,(D2315-D2314)*'user input'!$C$17*(1-EXP(5*(F2314-'user input'!$C$17))),F2315-F2314)</f>
        <v>0</v>
      </c>
      <c r="F2315">
        <f>IF(C2315&lt;'user input'!$C$12,IF(B2315&gt;'user input'!$C$6,0,F2314+E2315),'user input'!$C$17*((1-C2315)/(1-'user input'!$C$12)))</f>
        <v>9.9072418363816412E-5</v>
      </c>
    </row>
    <row r="2316" spans="1:6" x14ac:dyDescent="0.2">
      <c r="A2316" s="1">
        <v>42492</v>
      </c>
      <c r="B2316">
        <v>124</v>
      </c>
      <c r="C2316">
        <f>IF(B2316&gt;'user input'!$C$6,0,IF('heat units'!H2316&gt;1,1,'heat units'!H2316))</f>
        <v>2.0833333333333333E-3</v>
      </c>
      <c r="D2316">
        <f>IF(B2316&gt;'user input'!$C$6,0,(C2316/(C2316+EXP('user input'!$C$15-'user input'!$C$14*C2316))))</f>
        <v>1.0092466784725865E-4</v>
      </c>
      <c r="E2316">
        <f>IF(C2316&lt;'user input'!$C$12,(D2316-D2315)*'user input'!$C$17*(1-EXP(5*(F2315-'user input'!$C$17))),F2316-F2315)</f>
        <v>2.0370149252781422E-4</v>
      </c>
      <c r="F2316">
        <f>IF(C2316&lt;'user input'!$C$12,IF(B2316&gt;'user input'!$C$6,0,F2315+E2316),'user input'!$C$17*((1-C2316)/(1-'user input'!$C$12)))</f>
        <v>3.0277391089163062E-4</v>
      </c>
    </row>
    <row r="2317" spans="1:6" x14ac:dyDescent="0.2">
      <c r="A2317" s="1">
        <v>42493</v>
      </c>
      <c r="B2317">
        <v>125</v>
      </c>
      <c r="C2317">
        <f>IF(B2317&gt;'user input'!$C$6,0,IF('heat units'!H2317&gt;1,1,'heat units'!H2317))</f>
        <v>5.5555555555555549E-3</v>
      </c>
      <c r="D2317">
        <f>IF(B2317&gt;'user input'!$C$6,0,(C2317/(C2317+EXP('user input'!$C$15-'user input'!$C$14*C2317))))</f>
        <v>2.8188519191220819E-4</v>
      </c>
      <c r="E2317">
        <f>IF(C2317&lt;'user input'!$C$12,(D2317-D2316)*'user input'!$C$17*(1-EXP(5*(F2316-'user input'!$C$17))),F2317-F2316)</f>
        <v>5.4288140587451916E-4</v>
      </c>
      <c r="F2317">
        <f>IF(C2317&lt;'user input'!$C$12,IF(B2317&gt;'user input'!$C$6,0,F2316+E2317),'user input'!$C$17*((1-C2317)/(1-'user input'!$C$12)))</f>
        <v>8.4565531676614983E-4</v>
      </c>
    </row>
    <row r="2318" spans="1:6" x14ac:dyDescent="0.2">
      <c r="A2318" s="1">
        <v>42494</v>
      </c>
      <c r="B2318">
        <v>126</v>
      </c>
      <c r="C2318">
        <f>IF(B2318&gt;'user input'!$C$6,0,IF('heat units'!H2318&gt;1,1,'heat units'!H2318))</f>
        <v>9.4907407407407388E-3</v>
      </c>
      <c r="D2318">
        <f>IF(B2318&gt;'user input'!$C$6,0,(C2318/(C2318+EXP('user input'!$C$15-'user input'!$C$14*C2318))))</f>
        <v>5.0748472557263756E-4</v>
      </c>
      <c r="E2318">
        <f>IF(C2318&lt;'user input'!$C$12,(D2318-D2317)*'user input'!$C$17*(1-EXP(5*(F2317-'user input'!$C$17))),F2318-F2317)</f>
        <v>6.7679839306977404E-4</v>
      </c>
      <c r="F2318">
        <f>IF(C2318&lt;'user input'!$C$12,IF(B2318&gt;'user input'!$C$6,0,F2317+E2318),'user input'!$C$17*((1-C2318)/(1-'user input'!$C$12)))</f>
        <v>1.522453709835924E-3</v>
      </c>
    </row>
    <row r="2319" spans="1:6" x14ac:dyDescent="0.2">
      <c r="A2319" s="1">
        <v>42495</v>
      </c>
      <c r="B2319">
        <v>127</v>
      </c>
      <c r="C2319">
        <f>IF(B2319&gt;'user input'!$C$6,0,IF('heat units'!H2319&gt;1,1,'heat units'!H2319))</f>
        <v>1.2037037037037035E-2</v>
      </c>
      <c r="D2319">
        <f>IF(B2319&gt;'user input'!$C$6,0,(C2319/(C2319+EXP('user input'!$C$15-'user input'!$C$14*C2319))))</f>
        <v>6.6584912928468142E-4</v>
      </c>
      <c r="E2319">
        <f>IF(C2319&lt;'user input'!$C$12,(D2319-D2318)*'user input'!$C$17*(1-EXP(5*(F2318-'user input'!$C$17))),F2319-F2318)</f>
        <v>4.7509306469348727E-4</v>
      </c>
      <c r="F2319">
        <f>IF(C2319&lt;'user input'!$C$12,IF(B2319&gt;'user input'!$C$6,0,F2318+E2319),'user input'!$C$17*((1-C2319)/(1-'user input'!$C$12)))</f>
        <v>1.9975467745294113E-3</v>
      </c>
    </row>
    <row r="2320" spans="1:6" x14ac:dyDescent="0.2">
      <c r="A2320" s="1">
        <v>42496</v>
      </c>
      <c r="B2320">
        <v>128</v>
      </c>
      <c r="C2320">
        <f>IF(B2320&gt;'user input'!$C$6,0,IF('heat units'!H2320&gt;1,1,'heat units'!H2320))</f>
        <v>1.5972222222222221E-2</v>
      </c>
      <c r="D2320">
        <f>IF(B2320&gt;'user input'!$C$6,0,(C2320/(C2320+EXP('user input'!$C$15-'user input'!$C$14*C2320))))</f>
        <v>9.3107018717383859E-4</v>
      </c>
      <c r="E2320">
        <f>IF(C2320&lt;'user input'!$C$12,(D2320-D2319)*'user input'!$C$17*(1-EXP(5*(F2319-'user input'!$C$17))),F2320-F2319)</f>
        <v>7.9566292782911328E-4</v>
      </c>
      <c r="F2320">
        <f>IF(C2320&lt;'user input'!$C$12,IF(B2320&gt;'user input'!$C$6,0,F2319+E2320),'user input'!$C$17*((1-C2320)/(1-'user input'!$C$12)))</f>
        <v>2.7932097023585247E-3</v>
      </c>
    </row>
    <row r="2321" spans="1:6" x14ac:dyDescent="0.2">
      <c r="A2321" s="1">
        <v>42497</v>
      </c>
      <c r="B2321">
        <v>129</v>
      </c>
      <c r="C2321">
        <f>IF(B2321&gt;'user input'!$C$6,0,IF('heat units'!H2321&gt;1,1,'heat units'!H2321))</f>
        <v>2.4074074074074071E-2</v>
      </c>
      <c r="D2321">
        <f>IF(B2321&gt;'user input'!$C$6,0,(C2321/(C2321+EXP('user input'!$C$15-'user input'!$C$14*C2321))))</f>
        <v>1.5631106275558249E-3</v>
      </c>
      <c r="E2321">
        <f>IF(C2321&lt;'user input'!$C$12,(D2321-D2320)*'user input'!$C$17*(1-EXP(5*(F2320-'user input'!$C$17))),F2321-F2320)</f>
        <v>1.8961207329605172E-3</v>
      </c>
      <c r="F2321">
        <f>IF(C2321&lt;'user input'!$C$12,IF(B2321&gt;'user input'!$C$6,0,F2320+E2321),'user input'!$C$17*((1-C2321)/(1-'user input'!$C$12)))</f>
        <v>4.6893304353190415E-3</v>
      </c>
    </row>
    <row r="2322" spans="1:6" x14ac:dyDescent="0.2">
      <c r="A2322" s="1">
        <v>42498</v>
      </c>
      <c r="B2322">
        <v>130</v>
      </c>
      <c r="C2322">
        <f>IF(B2322&gt;'user input'!$C$6,0,IF('heat units'!H2322&gt;1,1,'heat units'!H2322))</f>
        <v>2.8240740740740736E-2</v>
      </c>
      <c r="D2322">
        <f>IF(B2322&gt;'user input'!$C$6,0,(C2322/(C2322+EXP('user input'!$C$15-'user input'!$C$14*C2322))))</f>
        <v>1.9380939942718637E-3</v>
      </c>
      <c r="E2322">
        <f>IF(C2322&lt;'user input'!$C$12,(D2322-D2321)*'user input'!$C$17*(1-EXP(5*(F2321-'user input'!$C$17))),F2322-F2321)</f>
        <v>1.1249497478593605E-3</v>
      </c>
      <c r="F2322">
        <f>IF(C2322&lt;'user input'!$C$12,IF(B2322&gt;'user input'!$C$6,0,F2321+E2322),'user input'!$C$17*((1-C2322)/(1-'user input'!$C$12)))</f>
        <v>5.8142801831784019E-3</v>
      </c>
    </row>
    <row r="2323" spans="1:6" x14ac:dyDescent="0.2">
      <c r="A2323" s="1">
        <v>42499</v>
      </c>
      <c r="B2323">
        <v>131</v>
      </c>
      <c r="C2323">
        <f>IF(B2323&gt;'user input'!$C$6,0,IF('heat units'!H2323&gt;1,1,'heat units'!H2323))</f>
        <v>3.3333333333333333E-2</v>
      </c>
      <c r="D2323">
        <f>IF(B2323&gt;'user input'!$C$6,0,(C2323/(C2323+EXP('user input'!$C$15-'user input'!$C$14*C2323))))</f>
        <v>2.4477106045305108E-3</v>
      </c>
      <c r="E2323">
        <f>IF(C2323&lt;'user input'!$C$12,(D2323-D2322)*'user input'!$C$17*(1-EXP(5*(F2322-'user input'!$C$17))),F2323-F2322)</f>
        <v>1.5288493493015975E-3</v>
      </c>
      <c r="F2323">
        <f>IF(C2323&lt;'user input'!$C$12,IF(B2323&gt;'user input'!$C$6,0,F2322+E2323),'user input'!$C$17*((1-C2323)/(1-'user input'!$C$12)))</f>
        <v>7.3431295324799997E-3</v>
      </c>
    </row>
    <row r="2324" spans="1:6" x14ac:dyDescent="0.2">
      <c r="A2324" s="1">
        <v>42500</v>
      </c>
      <c r="B2324">
        <v>132</v>
      </c>
      <c r="C2324">
        <f>IF(B2324&gt;'user input'!$C$6,0,IF('heat units'!H2324&gt;1,1,'heat units'!H2324))</f>
        <v>3.7037037037037035E-2</v>
      </c>
      <c r="D2324">
        <f>IF(B2324&gt;'user input'!$C$6,0,(C2324/(C2324+EXP('user input'!$C$15-'user input'!$C$14*C2324))))</f>
        <v>2.8567347029300957E-3</v>
      </c>
      <c r="E2324">
        <f>IF(C2324&lt;'user input'!$C$12,(D2324-D2323)*'user input'!$C$17*(1-EXP(5*(F2323-'user input'!$C$17))),F2324-F2323)</f>
        <v>1.2270719057966225E-3</v>
      </c>
      <c r="F2324">
        <f>IF(C2324&lt;'user input'!$C$12,IF(B2324&gt;'user input'!$C$6,0,F2323+E2324),'user input'!$C$17*((1-C2324)/(1-'user input'!$C$12)))</f>
        <v>8.5702014382766228E-3</v>
      </c>
    </row>
    <row r="2325" spans="1:6" x14ac:dyDescent="0.2">
      <c r="A2325" s="1">
        <v>42501</v>
      </c>
      <c r="B2325">
        <v>133</v>
      </c>
      <c r="C2325">
        <f>IF(B2325&gt;'user input'!$C$6,0,IF('heat units'!H2325&gt;1,1,'heat units'!H2325))</f>
        <v>3.7499999999999999E-2</v>
      </c>
      <c r="D2325">
        <f>IF(B2325&gt;'user input'!$C$6,0,(C2325/(C2325+EXP('user input'!$C$15-'user input'!$C$14*C2325))))</f>
        <v>2.9102676620509195E-3</v>
      </c>
      <c r="E2325">
        <f>IF(C2325&lt;'user input'!$C$12,(D2325-D2324)*'user input'!$C$17*(1-EXP(5*(F2324-'user input'!$C$17))),F2325-F2324)</f>
        <v>1.6059882608398087E-4</v>
      </c>
      <c r="F2325">
        <f>IF(C2325&lt;'user input'!$C$12,IF(B2325&gt;'user input'!$C$6,0,F2324+E2325),'user input'!$C$17*((1-C2325)/(1-'user input'!$C$12)))</f>
        <v>8.7308002643606032E-3</v>
      </c>
    </row>
    <row r="2326" spans="1:6" x14ac:dyDescent="0.2">
      <c r="A2326" s="1">
        <v>42502</v>
      </c>
      <c r="B2326">
        <v>134</v>
      </c>
      <c r="C2326">
        <f>IF(B2326&gt;'user input'!$C$6,0,IF('heat units'!H2326&gt;1,1,'heat units'!H2326))</f>
        <v>4.1666666666666664E-2</v>
      </c>
      <c r="D2326">
        <f>IF(B2326&gt;'user input'!$C$6,0,(C2326/(C2326+EXP('user input'!$C$15-'user input'!$C$14*C2326))))</f>
        <v>3.4173641827144629E-3</v>
      </c>
      <c r="E2326">
        <f>IF(C2326&lt;'user input'!$C$12,(D2326-D2325)*'user input'!$C$17*(1-EXP(5*(F2325-'user input'!$C$17))),F2326-F2325)</f>
        <v>1.5212890758595939E-3</v>
      </c>
      <c r="F2326">
        <f>IF(C2326&lt;'user input'!$C$12,IF(B2326&gt;'user input'!$C$6,0,F2325+E2326),'user input'!$C$17*((1-C2326)/(1-'user input'!$C$12)))</f>
        <v>1.0252089340220196E-2</v>
      </c>
    </row>
    <row r="2327" spans="1:6" x14ac:dyDescent="0.2">
      <c r="A2327" s="1">
        <v>42503</v>
      </c>
      <c r="B2327">
        <v>135</v>
      </c>
      <c r="C2327">
        <f>IF(B2327&gt;'user input'!$C$6,0,IF('heat units'!H2327&gt;1,1,'heat units'!H2327))</f>
        <v>4.5370370370370366E-2</v>
      </c>
      <c r="D2327">
        <f>IF(B2327&gt;'user input'!$C$6,0,(C2327/(C2327+EXP('user input'!$C$15-'user input'!$C$14*C2327))))</f>
        <v>3.9083304976017998E-3</v>
      </c>
      <c r="E2327">
        <f>IF(C2327&lt;'user input'!$C$12,(D2327-D2326)*'user input'!$C$17*(1-EXP(5*(F2326-'user input'!$C$17))),F2327-F2326)</f>
        <v>1.4728984704005315E-3</v>
      </c>
      <c r="F2327">
        <f>IF(C2327&lt;'user input'!$C$12,IF(B2327&gt;'user input'!$C$6,0,F2326+E2327),'user input'!$C$17*((1-C2327)/(1-'user input'!$C$12)))</f>
        <v>1.1724987810620728E-2</v>
      </c>
    </row>
    <row r="2328" spans="1:6" x14ac:dyDescent="0.2">
      <c r="A2328" s="1">
        <v>42504</v>
      </c>
      <c r="B2328">
        <v>136</v>
      </c>
      <c r="C2328">
        <f>IF(B2328&gt;'user input'!$C$6,0,IF('heat units'!H2328&gt;1,1,'heat units'!H2328))</f>
        <v>4.7222222222222221E-2</v>
      </c>
      <c r="D2328">
        <f>IF(B2328&gt;'user input'!$C$6,0,(C2328/(C2328+EXP('user input'!$C$15-'user input'!$C$14*C2328))))</f>
        <v>4.1688570507525599E-3</v>
      </c>
      <c r="E2328">
        <f>IF(C2328&lt;'user input'!$C$12,(D2328-D2327)*'user input'!$C$17*(1-EXP(5*(F2327-'user input'!$C$17))),F2328-F2327)</f>
        <v>7.8157940592978102E-4</v>
      </c>
      <c r="F2328">
        <f>IF(C2328&lt;'user input'!$C$12,IF(B2328&gt;'user input'!$C$6,0,F2327+E2328),'user input'!$C$17*((1-C2328)/(1-'user input'!$C$12)))</f>
        <v>1.2506567216550508E-2</v>
      </c>
    </row>
    <row r="2329" spans="1:6" x14ac:dyDescent="0.2">
      <c r="A2329" s="1">
        <v>42505</v>
      </c>
      <c r="B2329">
        <v>137</v>
      </c>
      <c r="C2329">
        <f>IF(B2329&gt;'user input'!$C$6,0,IF('heat units'!H2329&gt;1,1,'heat units'!H2329))</f>
        <v>4.7222222222222221E-2</v>
      </c>
      <c r="D2329">
        <f>IF(B2329&gt;'user input'!$C$6,0,(C2329/(C2329+EXP('user input'!$C$15-'user input'!$C$14*C2329))))</f>
        <v>4.1688570507525599E-3</v>
      </c>
      <c r="E2329">
        <f>IF(C2329&lt;'user input'!$C$12,(D2329-D2328)*'user input'!$C$17*(1-EXP(5*(F2328-'user input'!$C$17))),F2329-F2328)</f>
        <v>0</v>
      </c>
      <c r="F2329">
        <f>IF(C2329&lt;'user input'!$C$12,IF(B2329&gt;'user input'!$C$6,0,F2328+E2329),'user input'!$C$17*((1-C2329)/(1-'user input'!$C$12)))</f>
        <v>1.2506567216550508E-2</v>
      </c>
    </row>
    <row r="2330" spans="1:6" x14ac:dyDescent="0.2">
      <c r="A2330" s="1">
        <v>42506</v>
      </c>
      <c r="B2330">
        <v>138</v>
      </c>
      <c r="C2330">
        <f>IF(B2330&gt;'user input'!$C$6,0,IF('heat units'!H2330&gt;1,1,'heat units'!H2330))</f>
        <v>4.9074074074074069E-2</v>
      </c>
      <c r="D2330">
        <f>IF(B2330&gt;'user input'!$C$6,0,(C2330/(C2330+EXP('user input'!$C$15-'user input'!$C$14*C2330))))</f>
        <v>4.4398645508783429E-3</v>
      </c>
      <c r="E2330">
        <f>IF(C2330&lt;'user input'!$C$12,(D2330-D2329)*'user input'!$C$17*(1-EXP(5*(F2329-'user input'!$C$17))),F2330-F2329)</f>
        <v>8.1302223562306148E-4</v>
      </c>
      <c r="F2330">
        <f>IF(C2330&lt;'user input'!$C$12,IF(B2330&gt;'user input'!$C$6,0,F2329+E2330),'user input'!$C$17*((1-C2330)/(1-'user input'!$C$12)))</f>
        <v>1.3319589452173569E-2</v>
      </c>
    </row>
    <row r="2331" spans="1:6" x14ac:dyDescent="0.2">
      <c r="A2331" s="1">
        <v>42507</v>
      </c>
      <c r="B2331">
        <v>139</v>
      </c>
      <c r="C2331">
        <f>IF(B2331&gt;'user input'!$C$6,0,IF('heat units'!H2331&gt;1,1,'heat units'!H2331))</f>
        <v>5.3703703703703705E-2</v>
      </c>
      <c r="D2331">
        <f>IF(B2331&gt;'user input'!$C$6,0,(C2331/(C2331+EXP('user input'!$C$15-'user input'!$C$14*C2331))))</f>
        <v>5.1655697378463188E-3</v>
      </c>
      <c r="E2331">
        <f>IF(C2331&lt;'user input'!$C$12,(D2331-D2330)*'user input'!$C$17*(1-EXP(5*(F2330-'user input'!$C$17))),F2331-F2330)</f>
        <v>2.1771148490557553E-3</v>
      </c>
      <c r="F2331">
        <f>IF(C2331&lt;'user input'!$C$12,IF(B2331&gt;'user input'!$C$6,0,F2330+E2331),'user input'!$C$17*((1-C2331)/(1-'user input'!$C$12)))</f>
        <v>1.5496704301229325E-2</v>
      </c>
    </row>
    <row r="2332" spans="1:6" x14ac:dyDescent="0.2">
      <c r="A2332" s="1">
        <v>42508</v>
      </c>
      <c r="B2332">
        <v>140</v>
      </c>
      <c r="C2332">
        <f>IF(B2332&gt;'user input'!$C$6,0,IF('heat units'!H2332&gt;1,1,'heat units'!H2332))</f>
        <v>5.6250000000000001E-2</v>
      </c>
      <c r="D2332">
        <f>IF(B2332&gt;'user input'!$C$6,0,(C2332/(C2332+EXP('user input'!$C$15-'user input'!$C$14*C2332))))</f>
        <v>5.5956548032754299E-3</v>
      </c>
      <c r="E2332">
        <f>IF(C2332&lt;'user input'!$C$12,(D2332-D2331)*'user input'!$C$17*(1-EXP(5*(F2331-'user input'!$C$17))),F2332-F2331)</f>
        <v>1.2902547697971356E-3</v>
      </c>
      <c r="F2332">
        <f>IF(C2332&lt;'user input'!$C$12,IF(B2332&gt;'user input'!$C$6,0,F2331+E2332),'user input'!$C$17*((1-C2332)/(1-'user input'!$C$12)))</f>
        <v>1.678695907102646E-2</v>
      </c>
    </row>
    <row r="2333" spans="1:6" x14ac:dyDescent="0.2">
      <c r="A2333" s="1">
        <v>42509</v>
      </c>
      <c r="B2333">
        <v>141</v>
      </c>
      <c r="C2333">
        <f>IF(B2333&gt;'user input'!$C$6,0,IF('heat units'!H2333&gt;1,1,'heat units'!H2333))</f>
        <v>6.0416666666666667E-2</v>
      </c>
      <c r="D2333">
        <f>IF(B2333&gt;'user input'!$C$6,0,(C2333/(C2333+EXP('user input'!$C$15-'user input'!$C$14*C2333))))</f>
        <v>6.3500525104214483E-3</v>
      </c>
      <c r="E2333">
        <f>IF(C2333&lt;'user input'!$C$12,(D2333-D2332)*'user input'!$C$17*(1-EXP(5*(F2332-'user input'!$C$17))),F2333-F2332)</f>
        <v>2.2631923685042365E-3</v>
      </c>
      <c r="F2333">
        <f>IF(C2333&lt;'user input'!$C$12,IF(B2333&gt;'user input'!$C$6,0,F2332+E2333),'user input'!$C$17*((1-C2333)/(1-'user input'!$C$12)))</f>
        <v>1.9050151439530698E-2</v>
      </c>
    </row>
    <row r="2334" spans="1:6" x14ac:dyDescent="0.2">
      <c r="A2334" s="1">
        <v>42510</v>
      </c>
      <c r="B2334">
        <v>142</v>
      </c>
      <c r="C2334">
        <f>IF(B2334&gt;'user input'!$C$6,0,IF('heat units'!H2334&gt;1,1,'heat units'!H2334))</f>
        <v>6.5509259259259267E-2</v>
      </c>
      <c r="D2334">
        <f>IF(B2334&gt;'user input'!$C$6,0,(C2334/(C2334+EXP('user input'!$C$15-'user input'!$C$14*C2334))))</f>
        <v>7.3635027352122288E-3</v>
      </c>
      <c r="E2334">
        <f>IF(C2334&lt;'user input'!$C$12,(D2334-D2333)*'user input'!$C$17*(1-EXP(5*(F2333-'user input'!$C$17))),F2334-F2333)</f>
        <v>3.0403496513777733E-3</v>
      </c>
      <c r="F2334">
        <f>IF(C2334&lt;'user input'!$C$12,IF(B2334&gt;'user input'!$C$6,0,F2333+E2334),'user input'!$C$17*((1-C2334)/(1-'user input'!$C$12)))</f>
        <v>2.209050109090847E-2</v>
      </c>
    </row>
    <row r="2335" spans="1:6" x14ac:dyDescent="0.2">
      <c r="A2335" s="1">
        <v>42511</v>
      </c>
      <c r="B2335">
        <v>143</v>
      </c>
      <c r="C2335">
        <f>IF(B2335&gt;'user input'!$C$6,0,IF('heat units'!H2335&gt;1,1,'heat units'!H2335))</f>
        <v>7.1064814814814817E-2</v>
      </c>
      <c r="D2335">
        <f>IF(B2335&gt;'user input'!$C$6,0,(C2335/(C2335+EXP('user input'!$C$15-'user input'!$C$14*C2335))))</f>
        <v>8.5939614795309763E-3</v>
      </c>
      <c r="E2335">
        <f>IF(C2335&lt;'user input'!$C$12,(D2335-D2334)*'user input'!$C$17*(1-EXP(5*(F2334-'user input'!$C$17))),F2335-F2334)</f>
        <v>3.6913749718839122E-3</v>
      </c>
      <c r="F2335">
        <f>IF(C2335&lt;'user input'!$C$12,IF(B2335&gt;'user input'!$C$6,0,F2334+E2335),'user input'!$C$17*((1-C2335)/(1-'user input'!$C$12)))</f>
        <v>2.5781876062792381E-2</v>
      </c>
    </row>
    <row r="2336" spans="1:6" x14ac:dyDescent="0.2">
      <c r="A2336" s="1">
        <v>42512</v>
      </c>
      <c r="B2336">
        <v>144</v>
      </c>
      <c r="C2336">
        <f>IF(B2336&gt;'user input'!$C$6,0,IF('heat units'!H2336&gt;1,1,'heat units'!H2336))</f>
        <v>7.824074074074075E-2</v>
      </c>
      <c r="D2336">
        <f>IF(B2336&gt;'user input'!$C$6,0,(C2336/(C2336+EXP('user input'!$C$15-'user input'!$C$14*C2336))))</f>
        <v>1.0396725019397103E-2</v>
      </c>
      <c r="E2336">
        <f>IF(C2336&lt;'user input'!$C$12,(D2336-D2335)*'user input'!$C$17*(1-EXP(5*(F2335-'user input'!$C$17))),F2336-F2335)</f>
        <v>5.4082887375645535E-3</v>
      </c>
      <c r="F2336">
        <f>IF(C2336&lt;'user input'!$C$12,IF(B2336&gt;'user input'!$C$6,0,F2335+E2336),'user input'!$C$17*((1-C2336)/(1-'user input'!$C$12)))</f>
        <v>3.1190164800356933E-2</v>
      </c>
    </row>
    <row r="2337" spans="1:6" x14ac:dyDescent="0.2">
      <c r="A2337" s="1">
        <v>42513</v>
      </c>
      <c r="B2337">
        <v>145</v>
      </c>
      <c r="C2337">
        <f>IF(B2337&gt;'user input'!$C$6,0,IF('heat units'!H2337&gt;1,1,'heat units'!H2337))</f>
        <v>8.6342592592592596E-2</v>
      </c>
      <c r="D2337">
        <f>IF(B2337&gt;'user input'!$C$6,0,(C2337/(C2337+EXP('user input'!$C$15-'user input'!$C$14*C2337))))</f>
        <v>1.2757027657169585E-2</v>
      </c>
      <c r="E2337">
        <f>IF(C2337&lt;'user input'!$C$12,(D2337-D2336)*'user input'!$C$17*(1-EXP(5*(F2336-'user input'!$C$17))),F2337-F2336)</f>
        <v>7.080905381687058E-3</v>
      </c>
      <c r="F2337">
        <f>IF(C2337&lt;'user input'!$C$12,IF(B2337&gt;'user input'!$C$6,0,F2336+E2337),'user input'!$C$17*((1-C2337)/(1-'user input'!$C$12)))</f>
        <v>3.8271070182043988E-2</v>
      </c>
    </row>
    <row r="2338" spans="1:6" x14ac:dyDescent="0.2">
      <c r="A2338" s="1">
        <v>42514</v>
      </c>
      <c r="B2338">
        <v>146</v>
      </c>
      <c r="C2338">
        <f>IF(B2338&gt;'user input'!$C$6,0,IF('heat units'!H2338&gt;1,1,'heat units'!H2338))</f>
        <v>9.4444444444444456E-2</v>
      </c>
      <c r="D2338">
        <f>IF(B2338&gt;'user input'!$C$6,0,(C2338/(C2338+EXP('user input'!$C$15-'user input'!$C$14*C2338))))</f>
        <v>1.5509091854136329E-2</v>
      </c>
      <c r="E2338">
        <f>IF(C2338&lt;'user input'!$C$12,(D2338-D2337)*'user input'!$C$17*(1-EXP(5*(F2337-'user input'!$C$17))),F2338-F2337)</f>
        <v>8.2561895326912476E-3</v>
      </c>
      <c r="F2338">
        <f>IF(C2338&lt;'user input'!$C$12,IF(B2338&gt;'user input'!$C$6,0,F2337+E2338),'user input'!$C$17*((1-C2338)/(1-'user input'!$C$12)))</f>
        <v>4.6527259714735238E-2</v>
      </c>
    </row>
    <row r="2339" spans="1:6" x14ac:dyDescent="0.2">
      <c r="A2339" s="1">
        <v>42515</v>
      </c>
      <c r="B2339">
        <v>147</v>
      </c>
      <c r="C2339">
        <f>IF(B2339&gt;'user input'!$C$6,0,IF('heat units'!H2339&gt;1,1,'heat units'!H2339))</f>
        <v>0.10416666666666669</v>
      </c>
      <c r="D2339">
        <f>IF(B2339&gt;'user input'!$C$6,0,(C2339/(C2339+EXP('user input'!$C$15-'user input'!$C$14*C2339))))</f>
        <v>1.9405897939554963E-2</v>
      </c>
      <c r="E2339">
        <f>IF(C2339&lt;'user input'!$C$12,(D2339-D2338)*'user input'!$C$17*(1-EXP(5*(F2338-'user input'!$C$17))),F2339-F2338)</f>
        <v>1.1690413743462191E-2</v>
      </c>
      <c r="F2339">
        <f>IF(C2339&lt;'user input'!$C$12,IF(B2339&gt;'user input'!$C$6,0,F2338+E2339),'user input'!$C$17*((1-C2339)/(1-'user input'!$C$12)))</f>
        <v>5.8217673458197429E-2</v>
      </c>
    </row>
    <row r="2340" spans="1:6" x14ac:dyDescent="0.2">
      <c r="A2340" s="1">
        <v>42516</v>
      </c>
      <c r="B2340">
        <v>148</v>
      </c>
      <c r="C2340">
        <f>IF(B2340&gt;'user input'!$C$6,0,IF('heat units'!H2340&gt;1,1,'heat units'!H2340))</f>
        <v>0.11365740740740743</v>
      </c>
      <c r="D2340">
        <f>IF(B2340&gt;'user input'!$C$6,0,(C2340/(C2340+EXP('user input'!$C$15-'user input'!$C$14*C2340))))</f>
        <v>2.3931264671935237E-2</v>
      </c>
      <c r="E2340">
        <f>IF(C2340&lt;'user input'!$C$12,(D2340-D2339)*'user input'!$C$17*(1-EXP(5*(F2339-'user input'!$C$17))),F2340-F2339)</f>
        <v>1.3576094640966312E-2</v>
      </c>
      <c r="F2340">
        <f>IF(C2340&lt;'user input'!$C$12,IF(B2340&gt;'user input'!$C$6,0,F2339+E2340),'user input'!$C$17*((1-C2340)/(1-'user input'!$C$12)))</f>
        <v>7.1793768099163741E-2</v>
      </c>
    </row>
    <row r="2341" spans="1:6" x14ac:dyDescent="0.2">
      <c r="A2341" s="1">
        <v>42517</v>
      </c>
      <c r="B2341">
        <v>149</v>
      </c>
      <c r="C2341">
        <f>IF(B2341&gt;'user input'!$C$6,0,IF('heat units'!H2341&gt;1,1,'heat units'!H2341))</f>
        <v>0.12384259259259262</v>
      </c>
      <c r="D2341">
        <f>IF(B2341&gt;'user input'!$C$6,0,(C2341/(C2341+EXP('user input'!$C$15-'user input'!$C$14*C2341))))</f>
        <v>2.9707690561735361E-2</v>
      </c>
      <c r="E2341">
        <f>IF(C2341&lt;'user input'!$C$12,(D2341-D2340)*'user input'!$C$17*(1-EXP(5*(F2340-'user input'!$C$17))),F2341-F2340)</f>
        <v>1.7329270079057078E-2</v>
      </c>
      <c r="F2341">
        <f>IF(C2341&lt;'user input'!$C$12,IF(B2341&gt;'user input'!$C$6,0,F2340+E2341),'user input'!$C$17*((1-C2341)/(1-'user input'!$C$12)))</f>
        <v>8.9123038178220815E-2</v>
      </c>
    </row>
    <row r="2342" spans="1:6" x14ac:dyDescent="0.2">
      <c r="A2342" s="1">
        <v>42518</v>
      </c>
      <c r="B2342">
        <v>150</v>
      </c>
      <c r="C2342">
        <f>IF(B2342&gt;'user input'!$C$6,0,IF('heat units'!H2342&gt;1,1,'heat units'!H2342))</f>
        <v>0.13356481481481483</v>
      </c>
      <c r="D2342">
        <f>IF(B2342&gt;'user input'!$C$6,0,(C2342/(C2342+EXP('user input'!$C$15-'user input'!$C$14*C2342))))</f>
        <v>3.6246957034778995E-2</v>
      </c>
      <c r="E2342">
        <f>IF(C2342&lt;'user input'!$C$12,(D2342-D2341)*'user input'!$C$17*(1-EXP(5*(F2341-'user input'!$C$17))),F2342-F2341)</f>
        <v>1.9617790048662948E-2</v>
      </c>
      <c r="F2342">
        <f>IF(C2342&lt;'user input'!$C$12,IF(B2342&gt;'user input'!$C$6,0,F2341+E2342),'user input'!$C$17*((1-C2342)/(1-'user input'!$C$12)))</f>
        <v>0.10874082822688376</v>
      </c>
    </row>
    <row r="2343" spans="1:6" x14ac:dyDescent="0.2">
      <c r="A2343" s="1">
        <v>42519</v>
      </c>
      <c r="B2343">
        <v>151</v>
      </c>
      <c r="C2343">
        <f>IF(B2343&gt;'user input'!$C$6,0,IF('heat units'!H2343&gt;1,1,'heat units'!H2343))</f>
        <v>0.14375000000000002</v>
      </c>
      <c r="D2343">
        <f>IF(B2343&gt;'user input'!$C$6,0,(C2343/(C2343+EXP('user input'!$C$15-'user input'!$C$14*C2343))))</f>
        <v>4.433395713982189E-2</v>
      </c>
      <c r="E2343">
        <f>IF(C2343&lt;'user input'!$C$12,(D2343-D2342)*'user input'!$C$17*(1-EXP(5*(F2342-'user input'!$C$17))),F2343-F2342)</f>
        <v>2.4260987532529147E-2</v>
      </c>
      <c r="F2343">
        <f>IF(C2343&lt;'user input'!$C$12,IF(B2343&gt;'user input'!$C$6,0,F2342+E2343),'user input'!$C$17*((1-C2343)/(1-'user input'!$C$12)))</f>
        <v>0.13300181575941292</v>
      </c>
    </row>
    <row r="2344" spans="1:6" x14ac:dyDescent="0.2">
      <c r="A2344" s="1">
        <v>42520</v>
      </c>
      <c r="B2344">
        <v>152</v>
      </c>
      <c r="C2344">
        <f>IF(B2344&gt;'user input'!$C$6,0,IF('heat units'!H2344&gt;1,1,'heat units'!H2344))</f>
        <v>0.15185185185185188</v>
      </c>
      <c r="D2344">
        <f>IF(B2344&gt;'user input'!$C$6,0,(C2344/(C2344+EXP('user input'!$C$15-'user input'!$C$14*C2344))))</f>
        <v>5.1789896267635381E-2</v>
      </c>
      <c r="E2344">
        <f>IF(C2344&lt;'user input'!$C$12,(D2344-D2343)*'user input'!$C$17*(1-EXP(5*(F2343-'user input'!$C$17))),F2344-F2343)</f>
        <v>2.2367804078401433E-2</v>
      </c>
      <c r="F2344">
        <f>IF(C2344&lt;'user input'!$C$12,IF(B2344&gt;'user input'!$C$6,0,F2343+E2344),'user input'!$C$17*((1-C2344)/(1-'user input'!$C$12)))</f>
        <v>0.15536961983781436</v>
      </c>
    </row>
    <row r="2345" spans="1:6" x14ac:dyDescent="0.2">
      <c r="A2345" s="1">
        <v>42521</v>
      </c>
      <c r="B2345">
        <v>153</v>
      </c>
      <c r="C2345">
        <f>IF(B2345&gt;'user input'!$C$6,0,IF('heat units'!H2345&gt;1,1,'heat units'!H2345))</f>
        <v>0.16111111111111115</v>
      </c>
      <c r="D2345">
        <f>IF(B2345&gt;'user input'!$C$6,0,(C2345/(C2345+EXP('user input'!$C$15-'user input'!$C$14*C2345))))</f>
        <v>6.155732793026162E-2</v>
      </c>
      <c r="E2345">
        <f>IF(C2345&lt;'user input'!$C$12,(D2345-D2344)*'user input'!$C$17*(1-EXP(5*(F2344-'user input'!$C$17))),F2345-F2344)</f>
        <v>2.9302275495481613E-2</v>
      </c>
      <c r="F2345">
        <f>IF(C2345&lt;'user input'!$C$12,IF(B2345&gt;'user input'!$C$6,0,F2344+E2345),'user input'!$C$17*((1-C2345)/(1-'user input'!$C$12)))</f>
        <v>0.18467189533329598</v>
      </c>
    </row>
    <row r="2346" spans="1:6" x14ac:dyDescent="0.2">
      <c r="A2346" s="1">
        <v>42522</v>
      </c>
      <c r="B2346">
        <v>154</v>
      </c>
      <c r="C2346">
        <f>IF(B2346&gt;'user input'!$C$6,0,IF('heat units'!H2346&gt;1,1,'heat units'!H2346))</f>
        <v>0.17083333333333336</v>
      </c>
      <c r="D2346">
        <f>IF(B2346&gt;'user input'!$C$6,0,(C2346/(C2346+EXP('user input'!$C$15-'user input'!$C$14*C2346))))</f>
        <v>7.3405141121926948E-2</v>
      </c>
      <c r="E2346">
        <f>IF(C2346&lt;'user input'!$C$12,(D2346-D2345)*'user input'!$C$17*(1-EXP(5*(F2345-'user input'!$C$17))),F2346-F2345)</f>
        <v>3.554341220012068E-2</v>
      </c>
      <c r="F2346">
        <f>IF(C2346&lt;'user input'!$C$12,IF(B2346&gt;'user input'!$C$6,0,F2345+E2346),'user input'!$C$17*((1-C2346)/(1-'user input'!$C$12)))</f>
        <v>0.22021530753341667</v>
      </c>
    </row>
    <row r="2347" spans="1:6" x14ac:dyDescent="0.2">
      <c r="A2347" s="1">
        <v>42523</v>
      </c>
      <c r="B2347">
        <v>155</v>
      </c>
      <c r="C2347">
        <f>IF(B2347&gt;'user input'!$C$6,0,IF('heat units'!H2347&gt;1,1,'heat units'!H2347))</f>
        <v>0.17777777777777781</v>
      </c>
      <c r="D2347">
        <f>IF(B2347&gt;'user input'!$C$6,0,(C2347/(C2347+EXP('user input'!$C$15-'user input'!$C$14*C2347))))</f>
        <v>8.2965360198383367E-2</v>
      </c>
      <c r="E2347">
        <f>IF(C2347&lt;'user input'!$C$12,(D2347-D2346)*'user input'!$C$17*(1-EXP(5*(F2346-'user input'!$C$17))),F2347-F2346)</f>
        <v>2.8680630843990362E-2</v>
      </c>
      <c r="F2347">
        <f>IF(C2347&lt;'user input'!$C$12,IF(B2347&gt;'user input'!$C$6,0,F2346+E2347),'user input'!$C$17*((1-C2347)/(1-'user input'!$C$12)))</f>
        <v>0.24889593837740703</v>
      </c>
    </row>
    <row r="2348" spans="1:6" x14ac:dyDescent="0.2">
      <c r="A2348" s="1">
        <v>42524</v>
      </c>
      <c r="B2348">
        <v>156</v>
      </c>
      <c r="C2348">
        <f>IF(B2348&gt;'user input'!$C$6,0,IF('heat units'!H2348&gt;1,1,'heat units'!H2348))</f>
        <v>0.18356481481481485</v>
      </c>
      <c r="D2348">
        <f>IF(B2348&gt;'user input'!$C$6,0,(C2348/(C2348+EXP('user input'!$C$15-'user input'!$C$14*C2348))))</f>
        <v>9.1685492790340051E-2</v>
      </c>
      <c r="E2348">
        <f>IF(C2348&lt;'user input'!$C$12,(D2348-D2347)*'user input'!$C$17*(1-EXP(5*(F2347-'user input'!$C$17))),F2348-F2347)</f>
        <v>2.6160369998074459E-2</v>
      </c>
      <c r="F2348">
        <f>IF(C2348&lt;'user input'!$C$12,IF(B2348&gt;'user input'!$C$6,0,F2347+E2348),'user input'!$C$17*((1-C2348)/(1-'user input'!$C$12)))</f>
        <v>0.27505630837548151</v>
      </c>
    </row>
    <row r="2349" spans="1:6" x14ac:dyDescent="0.2">
      <c r="A2349" s="1">
        <v>42525</v>
      </c>
      <c r="B2349">
        <v>157</v>
      </c>
      <c r="C2349">
        <f>IF(B2349&gt;'user input'!$C$6,0,IF('heat units'!H2349&gt;1,1,'heat units'!H2349))</f>
        <v>0.19236111111111115</v>
      </c>
      <c r="D2349">
        <f>IF(B2349&gt;'user input'!$C$6,0,(C2349/(C2349+EXP('user input'!$C$15-'user input'!$C$14*C2349))))</f>
        <v>0.10634059410990554</v>
      </c>
      <c r="E2349">
        <f>IF(C2349&lt;'user input'!$C$12,(D2349-D2348)*'user input'!$C$17*(1-EXP(5*(F2348-'user input'!$C$17))),F2349-F2348)</f>
        <v>4.3965250751541653E-2</v>
      </c>
      <c r="F2349">
        <f>IF(C2349&lt;'user input'!$C$12,IF(B2349&gt;'user input'!$C$6,0,F2348+E2349),'user input'!$C$17*((1-C2349)/(1-'user input'!$C$12)))</f>
        <v>0.31902155912702318</v>
      </c>
    </row>
    <row r="2350" spans="1:6" x14ac:dyDescent="0.2">
      <c r="A2350" s="1">
        <v>42526</v>
      </c>
      <c r="B2350">
        <v>158</v>
      </c>
      <c r="C2350">
        <f>IF(B2350&gt;'user input'!$C$6,0,IF('heat units'!H2350&gt;1,1,'heat units'!H2350))</f>
        <v>0.20115740740740742</v>
      </c>
      <c r="D2350">
        <f>IF(B2350&gt;'user input'!$C$6,0,(C2350/(C2350+EXP('user input'!$C$15-'user input'!$C$14*C2350))))</f>
        <v>0.12279526326324725</v>
      </c>
      <c r="E2350">
        <f>IF(C2350&lt;'user input'!$C$12,(D2350-D2349)*'user input'!$C$17*(1-EXP(5*(F2349-'user input'!$C$17))),F2350-F2349)</f>
        <v>4.9363933031451784E-2</v>
      </c>
      <c r="F2350">
        <f>IF(C2350&lt;'user input'!$C$12,IF(B2350&gt;'user input'!$C$6,0,F2349+E2350),'user input'!$C$17*((1-C2350)/(1-'user input'!$C$12)))</f>
        <v>0.36838549215847494</v>
      </c>
    </row>
    <row r="2351" spans="1:6" x14ac:dyDescent="0.2">
      <c r="A2351" s="1">
        <v>42527</v>
      </c>
      <c r="B2351">
        <v>159</v>
      </c>
      <c r="C2351">
        <f>IF(B2351&gt;'user input'!$C$6,0,IF('heat units'!H2351&gt;1,1,'heat units'!H2351))</f>
        <v>0.20902777777777781</v>
      </c>
      <c r="D2351">
        <f>IF(B2351&gt;'user input'!$C$6,0,(C2351/(C2351+EXP('user input'!$C$15-'user input'!$C$14*C2351))))</f>
        <v>0.13913486383686785</v>
      </c>
      <c r="E2351">
        <f>IF(C2351&lt;'user input'!$C$12,(D2351-D2350)*'user input'!$C$17*(1-EXP(5*(F2350-'user input'!$C$17))),F2351-F2350)</f>
        <v>4.9018707122330391E-2</v>
      </c>
      <c r="F2351">
        <f>IF(C2351&lt;'user input'!$C$12,IF(B2351&gt;'user input'!$C$6,0,F2350+E2351),'user input'!$C$17*((1-C2351)/(1-'user input'!$C$12)))</f>
        <v>0.4174041992808053</v>
      </c>
    </row>
    <row r="2352" spans="1:6" x14ac:dyDescent="0.2">
      <c r="A2352" s="1">
        <v>42528</v>
      </c>
      <c r="B2352">
        <v>160</v>
      </c>
      <c r="C2352">
        <f>IF(B2352&gt;'user input'!$C$6,0,IF('heat units'!H2352&gt;1,1,'heat units'!H2352))</f>
        <v>0.21458333333333338</v>
      </c>
      <c r="D2352">
        <f>IF(B2352&gt;'user input'!$C$6,0,(C2352/(C2352+EXP('user input'!$C$15-'user input'!$C$14*C2352))))</f>
        <v>0.15162664963134689</v>
      </c>
      <c r="E2352">
        <f>IF(C2352&lt;'user input'!$C$12,(D2352-D2351)*'user input'!$C$17*(1-EXP(5*(F2351-'user input'!$C$17))),F2352-F2351)</f>
        <v>3.7475264975291134E-2</v>
      </c>
      <c r="F2352">
        <f>IF(C2352&lt;'user input'!$C$12,IF(B2352&gt;'user input'!$C$6,0,F2351+E2352),'user input'!$C$17*((1-C2352)/(1-'user input'!$C$12)))</f>
        <v>0.45487946425609643</v>
      </c>
    </row>
    <row r="2353" spans="1:6" x14ac:dyDescent="0.2">
      <c r="A2353" s="1">
        <v>42529</v>
      </c>
      <c r="B2353">
        <v>161</v>
      </c>
      <c r="C2353">
        <f>IF(B2353&gt;'user input'!$C$6,0,IF('heat units'!H2353&gt;1,1,'heat units'!H2353))</f>
        <v>0.21851851851851858</v>
      </c>
      <c r="D2353">
        <f>IF(B2353&gt;'user input'!$C$6,0,(C2353/(C2353+EXP('user input'!$C$15-'user input'!$C$14*C2353))))</f>
        <v>0.16096671614670863</v>
      </c>
      <c r="E2353">
        <f>IF(C2353&lt;'user input'!$C$12,(D2353-D2352)*'user input'!$C$17*(1-EXP(5*(F2352-'user input'!$C$17))),F2353-F2352)</f>
        <v>2.8020116214009148E-2</v>
      </c>
      <c r="F2353">
        <f>IF(C2353&lt;'user input'!$C$12,IF(B2353&gt;'user input'!$C$6,0,F2352+E2353),'user input'!$C$17*((1-C2353)/(1-'user input'!$C$12)))</f>
        <v>0.48289958047010556</v>
      </c>
    </row>
    <row r="2354" spans="1:6" x14ac:dyDescent="0.2">
      <c r="A2354" s="1">
        <v>42530</v>
      </c>
      <c r="B2354">
        <v>162</v>
      </c>
      <c r="C2354">
        <f>IF(B2354&gt;'user input'!$C$6,0,IF('heat units'!H2354&gt;1,1,'heat units'!H2354))</f>
        <v>0.22407407407407415</v>
      </c>
      <c r="D2354">
        <f>IF(B2354&gt;'user input'!$C$6,0,(C2354/(C2354+EXP('user input'!$C$15-'user input'!$C$14*C2354))))</f>
        <v>0.17485771242116185</v>
      </c>
      <c r="E2354">
        <f>IF(C2354&lt;'user input'!$C$12,(D2354-D2353)*'user input'!$C$17*(1-EXP(5*(F2353-'user input'!$C$17))),F2354-F2353)</f>
        <v>4.1672846249293238E-2</v>
      </c>
      <c r="F2354">
        <f>IF(C2354&lt;'user input'!$C$12,IF(B2354&gt;'user input'!$C$6,0,F2353+E2354),'user input'!$C$17*((1-C2354)/(1-'user input'!$C$12)))</f>
        <v>0.52457242671939874</v>
      </c>
    </row>
    <row r="2355" spans="1:6" x14ac:dyDescent="0.2">
      <c r="A2355" s="1">
        <v>42531</v>
      </c>
      <c r="B2355">
        <v>163</v>
      </c>
      <c r="C2355">
        <f>IF(B2355&gt;'user input'!$C$6,0,IF('heat units'!H2355&gt;1,1,'heat units'!H2355))</f>
        <v>0.23125000000000004</v>
      </c>
      <c r="D2355">
        <f>IF(B2355&gt;'user input'!$C$6,0,(C2355/(C2355+EXP('user input'!$C$15-'user input'!$C$14*C2355))))</f>
        <v>0.19403408250533918</v>
      </c>
      <c r="E2355">
        <f>IF(C2355&lt;'user input'!$C$12,(D2355-D2354)*'user input'!$C$17*(1-EXP(5*(F2354-'user input'!$C$17))),F2355-F2354)</f>
        <v>5.7528867834467104E-2</v>
      </c>
      <c r="F2355">
        <f>IF(C2355&lt;'user input'!$C$12,IF(B2355&gt;'user input'!$C$6,0,F2354+E2355),'user input'!$C$17*((1-C2355)/(1-'user input'!$C$12)))</f>
        <v>0.58210129455386583</v>
      </c>
    </row>
    <row r="2356" spans="1:6" x14ac:dyDescent="0.2">
      <c r="A2356" s="1">
        <v>42532</v>
      </c>
      <c r="B2356">
        <v>164</v>
      </c>
      <c r="C2356">
        <f>IF(B2356&gt;'user input'!$C$6,0,IF('heat units'!H2356&gt;1,1,'heat units'!H2356))</f>
        <v>0.24259259259259261</v>
      </c>
      <c r="D2356">
        <f>IF(B2356&gt;'user input'!$C$6,0,(C2356/(C2356+EXP('user input'!$C$15-'user input'!$C$14*C2356))))</f>
        <v>0.22718098229828013</v>
      </c>
      <c r="E2356">
        <f>IF(C2356&lt;'user input'!$C$12,(D2356-D2355)*'user input'!$C$17*(1-EXP(5*(F2355-'user input'!$C$17))),F2356-F2355)</f>
        <v>9.9440140697899526E-2</v>
      </c>
      <c r="F2356">
        <f>IF(C2356&lt;'user input'!$C$12,IF(B2356&gt;'user input'!$C$6,0,F2355+E2356),'user input'!$C$17*((1-C2356)/(1-'user input'!$C$12)))</f>
        <v>0.68154143525176536</v>
      </c>
    </row>
    <row r="2357" spans="1:6" x14ac:dyDescent="0.2">
      <c r="A2357" s="1">
        <v>42533</v>
      </c>
      <c r="B2357">
        <v>165</v>
      </c>
      <c r="C2357">
        <f>IF(B2357&gt;'user input'!$C$6,0,IF('heat units'!H2357&gt;1,1,'heat units'!H2357))</f>
        <v>0.25347222222222227</v>
      </c>
      <c r="D2357">
        <f>IF(B2357&gt;'user input'!$C$6,0,(C2357/(C2357+EXP('user input'!$C$15-'user input'!$C$14*C2357))))</f>
        <v>0.26215487884990341</v>
      </c>
      <c r="E2357">
        <f>IF(C2357&lt;'user input'!$C$12,(D2357-D2356)*'user input'!$C$17*(1-EXP(5*(F2356-'user input'!$C$17))),F2357-F2356)</f>
        <v>0.10492072049266367</v>
      </c>
      <c r="F2357">
        <f>IF(C2357&lt;'user input'!$C$12,IF(B2357&gt;'user input'!$C$6,0,F2356+E2357),'user input'!$C$17*((1-C2357)/(1-'user input'!$C$12)))</f>
        <v>0.78646215574442901</v>
      </c>
    </row>
    <row r="2358" spans="1:6" x14ac:dyDescent="0.2">
      <c r="A2358" s="1">
        <v>42534</v>
      </c>
      <c r="B2358">
        <v>166</v>
      </c>
      <c r="C2358">
        <f>IF(B2358&gt;'user input'!$C$6,0,IF('heat units'!H2358&gt;1,1,'heat units'!H2358))</f>
        <v>0.25972222222222224</v>
      </c>
      <c r="D2358">
        <f>IF(B2358&gt;'user input'!$C$6,0,(C2358/(C2358+EXP('user input'!$C$15-'user input'!$C$14*C2358))))</f>
        <v>0.28357823480871169</v>
      </c>
      <c r="E2358">
        <f>IF(C2358&lt;'user input'!$C$12,(D2358-D2357)*'user input'!$C$17*(1-EXP(5*(F2357-'user input'!$C$17))),F2358-F2357)</f>
        <v>6.4269064711353366E-2</v>
      </c>
      <c r="F2358">
        <f>IF(C2358&lt;'user input'!$C$12,IF(B2358&gt;'user input'!$C$6,0,F2357+E2358),'user input'!$C$17*((1-C2358)/(1-'user input'!$C$12)))</f>
        <v>0.85073122045578242</v>
      </c>
    </row>
    <row r="2359" spans="1:6" x14ac:dyDescent="0.2">
      <c r="A2359" s="1">
        <v>42535</v>
      </c>
      <c r="B2359">
        <v>167</v>
      </c>
      <c r="C2359">
        <f>IF(B2359&gt;'user input'!$C$6,0,IF('heat units'!H2359&gt;1,1,'heat units'!H2359))</f>
        <v>0.26828703703703705</v>
      </c>
      <c r="D2359">
        <f>IF(B2359&gt;'user input'!$C$6,0,(C2359/(C2359+EXP('user input'!$C$15-'user input'!$C$14*C2359))))</f>
        <v>0.3143861835846461</v>
      </c>
      <c r="E2359">
        <f>IF(C2359&lt;'user input'!$C$12,(D2359-D2358)*'user input'!$C$17*(1-EXP(5*(F2358-'user input'!$C$17))),F2359-F2358)</f>
        <v>9.2421857000777E-2</v>
      </c>
      <c r="F2359">
        <f>IF(C2359&lt;'user input'!$C$12,IF(B2359&gt;'user input'!$C$6,0,F2358+E2359),'user input'!$C$17*((1-C2359)/(1-'user input'!$C$12)))</f>
        <v>0.94315307745655941</v>
      </c>
    </row>
    <row r="2360" spans="1:6" x14ac:dyDescent="0.2">
      <c r="A2360" s="1">
        <v>42536</v>
      </c>
      <c r="B2360">
        <v>168</v>
      </c>
      <c r="C2360">
        <f>IF(B2360&gt;'user input'!$C$6,0,IF('heat units'!H2360&gt;1,1,'heat units'!H2360))</f>
        <v>0.27916666666666667</v>
      </c>
      <c r="D2360">
        <f>IF(B2360&gt;'user input'!$C$6,0,(C2360/(C2360+EXP('user input'!$C$15-'user input'!$C$14*C2360))))</f>
        <v>0.35564604691776164</v>
      </c>
      <c r="E2360">
        <f>IF(C2360&lt;'user input'!$C$12,(D2360-D2359)*'user input'!$C$17*(1-EXP(5*(F2359-'user input'!$C$17))),F2360-F2359)</f>
        <v>0.12377536075578412</v>
      </c>
      <c r="F2360">
        <f>IF(C2360&lt;'user input'!$C$12,IF(B2360&gt;'user input'!$C$6,0,F2359+E2360),'user input'!$C$17*((1-C2360)/(1-'user input'!$C$12)))</f>
        <v>1.0669284382123436</v>
      </c>
    </row>
    <row r="2361" spans="1:6" x14ac:dyDescent="0.2">
      <c r="A2361" s="1">
        <v>42537</v>
      </c>
      <c r="B2361">
        <v>169</v>
      </c>
      <c r="C2361">
        <f>IF(B2361&gt;'user input'!$C$6,0,IF('heat units'!H2361&gt;1,1,'heat units'!H2361))</f>
        <v>0.29074074074074074</v>
      </c>
      <c r="D2361">
        <f>IF(B2361&gt;'user input'!$C$6,0,(C2361/(C2361+EXP('user input'!$C$15-'user input'!$C$14*C2361))))</f>
        <v>0.40160906831086413</v>
      </c>
      <c r="E2361">
        <f>IF(C2361&lt;'user input'!$C$12,(D2361-D2360)*'user input'!$C$17*(1-EXP(5*(F2360-'user input'!$C$17))),F2361-F2360)</f>
        <v>0.13788031598819359</v>
      </c>
      <c r="F2361">
        <f>IF(C2361&lt;'user input'!$C$12,IF(B2361&gt;'user input'!$C$6,0,F2360+E2361),'user input'!$C$17*((1-C2361)/(1-'user input'!$C$12)))</f>
        <v>1.2048087542005372</v>
      </c>
    </row>
    <row r="2362" spans="1:6" x14ac:dyDescent="0.2">
      <c r="A2362" s="1">
        <v>42538</v>
      </c>
      <c r="B2362">
        <v>170</v>
      </c>
      <c r="C2362">
        <f>IF(B2362&gt;'user input'!$C$6,0,IF('heat units'!H2362&gt;1,1,'heat units'!H2362))</f>
        <v>0.29722222222222222</v>
      </c>
      <c r="D2362">
        <f>IF(B2362&gt;'user input'!$C$6,0,(C2362/(C2362+EXP('user input'!$C$15-'user input'!$C$14*C2362))))</f>
        <v>0.42801378617537694</v>
      </c>
      <c r="E2362">
        <f>IF(C2362&lt;'user input'!$C$12,(D2362-D2361)*'user input'!$C$17*(1-EXP(5*(F2361-'user input'!$C$17))),F2362-F2361)</f>
        <v>7.9204139894695755E-2</v>
      </c>
      <c r="F2362">
        <f>IF(C2362&lt;'user input'!$C$12,IF(B2362&gt;'user input'!$C$6,0,F2361+E2362),'user input'!$C$17*((1-C2362)/(1-'user input'!$C$12)))</f>
        <v>1.2840128940952329</v>
      </c>
    </row>
    <row r="2363" spans="1:6" x14ac:dyDescent="0.2">
      <c r="A2363" s="1">
        <v>42539</v>
      </c>
      <c r="B2363">
        <v>171</v>
      </c>
      <c r="C2363">
        <f>IF(B2363&gt;'user input'!$C$6,0,IF('heat units'!H2363&gt;1,1,'heat units'!H2363))</f>
        <v>0.30671296296296302</v>
      </c>
      <c r="D2363">
        <f>IF(B2363&gt;'user input'!$C$6,0,(C2363/(C2363+EXP('user input'!$C$15-'user input'!$C$14*C2363))))</f>
        <v>0.46717491606623784</v>
      </c>
      <c r="E2363">
        <f>IF(C2363&lt;'user input'!$C$12,(D2363-D2362)*'user input'!$C$17*(1-EXP(5*(F2362-'user input'!$C$17))),F2363-F2362)</f>
        <v>0.11746132193490014</v>
      </c>
      <c r="F2363">
        <f>IF(C2363&lt;'user input'!$C$12,IF(B2363&gt;'user input'!$C$6,0,F2362+E2363),'user input'!$C$17*((1-C2363)/(1-'user input'!$C$12)))</f>
        <v>1.401474216030133</v>
      </c>
    </row>
    <row r="2364" spans="1:6" x14ac:dyDescent="0.2">
      <c r="A2364" s="1">
        <v>42540</v>
      </c>
      <c r="B2364">
        <v>172</v>
      </c>
      <c r="C2364">
        <f>IF(B2364&gt;'user input'!$C$6,0,IF('heat units'!H2364&gt;1,1,'heat units'!H2364))</f>
        <v>0.31643518518518526</v>
      </c>
      <c r="D2364">
        <f>IF(B2364&gt;'user input'!$C$6,0,(C2364/(C2364+EXP('user input'!$C$15-'user input'!$C$14*C2364))))</f>
        <v>0.50746266957210717</v>
      </c>
      <c r="E2364">
        <f>IF(C2364&lt;'user input'!$C$12,(D2364-D2363)*'user input'!$C$17*(1-EXP(5*(F2363-'user input'!$C$17))),F2364-F2363)</f>
        <v>0.12082241544520816</v>
      </c>
      <c r="F2364">
        <f>IF(C2364&lt;'user input'!$C$12,IF(B2364&gt;'user input'!$C$6,0,F2363+E2364),'user input'!$C$17*((1-C2364)/(1-'user input'!$C$12)))</f>
        <v>1.5222966314753412</v>
      </c>
    </row>
    <row r="2365" spans="1:6" x14ac:dyDescent="0.2">
      <c r="A2365" s="1">
        <v>42541</v>
      </c>
      <c r="B2365">
        <v>173</v>
      </c>
      <c r="C2365">
        <f>IF(B2365&gt;'user input'!$C$6,0,IF('heat units'!H2365&gt;1,1,'heat units'!H2365))</f>
        <v>0.32893518518518522</v>
      </c>
      <c r="D2365">
        <f>IF(B2365&gt;'user input'!$C$6,0,(C2365/(C2365+EXP('user input'!$C$15-'user input'!$C$14*C2365))))</f>
        <v>0.55870628405649092</v>
      </c>
      <c r="E2365">
        <f>IF(C2365&lt;'user input'!$C$12,(D2365-D2364)*'user input'!$C$17*(1-EXP(5*(F2364-'user input'!$C$17))),F2365-F2364)</f>
        <v>0.15363578977740908</v>
      </c>
      <c r="F2365">
        <f>IF(C2365&lt;'user input'!$C$12,IF(B2365&gt;'user input'!$C$6,0,F2364+E2365),'user input'!$C$17*((1-C2365)/(1-'user input'!$C$12)))</f>
        <v>1.6759324212527502</v>
      </c>
    </row>
    <row r="2366" spans="1:6" x14ac:dyDescent="0.2">
      <c r="A2366" s="1">
        <v>42542</v>
      </c>
      <c r="B2366">
        <v>174</v>
      </c>
      <c r="C2366">
        <f>IF(B2366&gt;'user input'!$C$6,0,IF('heat units'!H2366&gt;1,1,'heat units'!H2366))</f>
        <v>0.33773148148148152</v>
      </c>
      <c r="D2366">
        <f>IF(B2366&gt;'user input'!$C$6,0,(C2366/(C2366+EXP('user input'!$C$15-'user input'!$C$14*C2366))))</f>
        <v>0.59388419112746582</v>
      </c>
      <c r="E2366">
        <f>IF(C2366&lt;'user input'!$C$12,(D2366-D2365)*'user input'!$C$17*(1-EXP(5*(F2365-'user input'!$C$17))),F2366-F2365)</f>
        <v>0.10539304682427988</v>
      </c>
      <c r="F2366">
        <f>IF(C2366&lt;'user input'!$C$12,IF(B2366&gt;'user input'!$C$6,0,F2365+E2366),'user input'!$C$17*((1-C2366)/(1-'user input'!$C$12)))</f>
        <v>1.7813254680770301</v>
      </c>
    </row>
    <row r="2367" spans="1:6" x14ac:dyDescent="0.2">
      <c r="A2367" s="1">
        <v>42543</v>
      </c>
      <c r="B2367">
        <v>175</v>
      </c>
      <c r="C2367">
        <f>IF(B2367&gt;'user input'!$C$6,0,IF('heat units'!H2367&gt;1,1,'heat units'!H2367))</f>
        <v>0.34652777777777782</v>
      </c>
      <c r="D2367">
        <f>IF(B2367&gt;'user input'!$C$6,0,(C2367/(C2367+EXP('user input'!$C$15-'user input'!$C$14*C2367))))</f>
        <v>0.62796584995070259</v>
      </c>
      <c r="E2367">
        <f>IF(C2367&lt;'user input'!$C$12,(D2367-D2366)*'user input'!$C$17*(1-EXP(5*(F2366-'user input'!$C$17))),F2367-F2366)</f>
        <v>0.10201412967059659</v>
      </c>
      <c r="F2367">
        <f>IF(C2367&lt;'user input'!$C$12,IF(B2367&gt;'user input'!$C$6,0,F2366+E2367),'user input'!$C$17*((1-C2367)/(1-'user input'!$C$12)))</f>
        <v>1.8833395977476266</v>
      </c>
    </row>
    <row r="2368" spans="1:6" x14ac:dyDescent="0.2">
      <c r="A2368" s="1">
        <v>42544</v>
      </c>
      <c r="B2368">
        <v>176</v>
      </c>
      <c r="C2368">
        <f>IF(B2368&gt;'user input'!$C$6,0,IF('heat units'!H2368&gt;1,1,'heat units'!H2368))</f>
        <v>0.35578703703703707</v>
      </c>
      <c r="D2368">
        <f>IF(B2368&gt;'user input'!$C$6,0,(C2368/(C2368+EXP('user input'!$C$15-'user input'!$C$14*C2368))))</f>
        <v>0.66235548424206292</v>
      </c>
      <c r="E2368">
        <f>IF(C2368&lt;'user input'!$C$12,(D2368-D2367)*'user input'!$C$17*(1-EXP(5*(F2367-'user input'!$C$17))),F2368-F2367)</f>
        <v>0.10278097448955635</v>
      </c>
      <c r="F2368">
        <f>IF(C2368&lt;'user input'!$C$12,IF(B2368&gt;'user input'!$C$6,0,F2367+E2368),'user input'!$C$17*((1-C2368)/(1-'user input'!$C$12)))</f>
        <v>1.9861205722371829</v>
      </c>
    </row>
    <row r="2369" spans="1:6" x14ac:dyDescent="0.2">
      <c r="A2369" s="1">
        <v>42545</v>
      </c>
      <c r="B2369">
        <v>177</v>
      </c>
      <c r="C2369">
        <f>IF(B2369&gt;'user input'!$C$6,0,IF('heat units'!H2369&gt;1,1,'heat units'!H2369))</f>
        <v>0.36203703703703705</v>
      </c>
      <c r="D2369">
        <f>IF(B2369&gt;'user input'!$C$6,0,(C2369/(C2369+EXP('user input'!$C$15-'user input'!$C$14*C2369))))</f>
        <v>0.68457601699667814</v>
      </c>
      <c r="E2369">
        <f>IF(C2369&lt;'user input'!$C$12,(D2369-D2368)*'user input'!$C$17*(1-EXP(5*(F2368-'user input'!$C$17))),F2369-F2368)</f>
        <v>6.6242549544221388E-2</v>
      </c>
      <c r="F2369">
        <f>IF(C2369&lt;'user input'!$C$12,IF(B2369&gt;'user input'!$C$6,0,F2368+E2369),'user input'!$C$17*((1-C2369)/(1-'user input'!$C$12)))</f>
        <v>2.0523631217814042</v>
      </c>
    </row>
    <row r="2370" spans="1:6" x14ac:dyDescent="0.2">
      <c r="A2370" s="1">
        <v>42546</v>
      </c>
      <c r="B2370">
        <v>178</v>
      </c>
      <c r="C2370">
        <f>IF(B2370&gt;'user input'!$C$6,0,IF('heat units'!H2370&gt;1,1,'heat units'!H2370))</f>
        <v>0.37106481481481479</v>
      </c>
      <c r="D2370">
        <f>IF(B2370&gt;'user input'!$C$6,0,(C2370/(C2370+EXP('user input'!$C$15-'user input'!$C$14*C2370))))</f>
        <v>0.71511403065983481</v>
      </c>
      <c r="E2370">
        <f>IF(C2370&lt;'user input'!$C$12,(D2370-D2369)*'user input'!$C$17*(1-EXP(5*(F2369-'user input'!$C$17))),F2370-F2369)</f>
        <v>9.0812003434245489E-2</v>
      </c>
      <c r="F2370">
        <f>IF(C2370&lt;'user input'!$C$12,IF(B2370&gt;'user input'!$C$6,0,F2369+E2370),'user input'!$C$17*((1-C2370)/(1-'user input'!$C$12)))</f>
        <v>2.1431751252156497</v>
      </c>
    </row>
    <row r="2371" spans="1:6" x14ac:dyDescent="0.2">
      <c r="A2371" s="1">
        <v>42547</v>
      </c>
      <c r="B2371">
        <v>179</v>
      </c>
      <c r="C2371">
        <f>IF(B2371&gt;'user input'!$C$6,0,IF('heat units'!H2371&gt;1,1,'heat units'!H2371))</f>
        <v>0.38333333333333336</v>
      </c>
      <c r="D2371">
        <f>IF(B2371&gt;'user input'!$C$6,0,(C2371/(C2371+EXP('user input'!$C$15-'user input'!$C$14*C2371))))</f>
        <v>0.75345054166691416</v>
      </c>
      <c r="E2371">
        <f>IF(C2371&lt;'user input'!$C$12,(D2371-D2370)*'user input'!$C$17*(1-EXP(5*(F2370-'user input'!$C$17))),F2371-F2370)</f>
        <v>0.11342404755727895</v>
      </c>
      <c r="F2371">
        <f>IF(C2371&lt;'user input'!$C$12,IF(B2371&gt;'user input'!$C$6,0,F2370+E2371),'user input'!$C$17*((1-C2371)/(1-'user input'!$C$12)))</f>
        <v>2.2565991727729284</v>
      </c>
    </row>
    <row r="2372" spans="1:6" x14ac:dyDescent="0.2">
      <c r="A2372" s="1">
        <v>42548</v>
      </c>
      <c r="B2372">
        <v>180</v>
      </c>
      <c r="C2372">
        <f>IF(B2372&gt;'user input'!$C$6,0,IF('heat units'!H2372&gt;1,1,'heat units'!H2372))</f>
        <v>0.39421296296296293</v>
      </c>
      <c r="D2372">
        <f>IF(B2372&gt;'user input'!$C$6,0,(C2372/(C2372+EXP('user input'!$C$15-'user input'!$C$14*C2372))))</f>
        <v>0.78426831659675078</v>
      </c>
      <c r="E2372">
        <f>IF(C2372&lt;'user input'!$C$12,(D2372-D2371)*'user input'!$C$17*(1-EXP(5*(F2371-'user input'!$C$17))),F2372-F2371)</f>
        <v>9.0206091559124235E-2</v>
      </c>
      <c r="F2372">
        <f>IF(C2372&lt;'user input'!$C$12,IF(B2372&gt;'user input'!$C$6,0,F2371+E2372),'user input'!$C$17*((1-C2372)/(1-'user input'!$C$12)))</f>
        <v>2.3468052643320525</v>
      </c>
    </row>
    <row r="2373" spans="1:6" x14ac:dyDescent="0.2">
      <c r="A2373" s="1">
        <v>42549</v>
      </c>
      <c r="B2373">
        <v>181</v>
      </c>
      <c r="C2373">
        <f>IF(B2373&gt;'user input'!$C$6,0,IF('heat units'!H2373&gt;1,1,'heat units'!H2373))</f>
        <v>0.40277777777777773</v>
      </c>
      <c r="D2373">
        <f>IF(B2373&gt;'user input'!$C$6,0,(C2373/(C2373+EXP('user input'!$C$15-'user input'!$C$14*C2373))))</f>
        <v>0.80641055427814867</v>
      </c>
      <c r="E2373">
        <f>IF(C2373&lt;'user input'!$C$12,(D2373-D2372)*'user input'!$C$17*(1-EXP(5*(F2372-'user input'!$C$17))),F2373-F2372)</f>
        <v>6.3891885506851528E-2</v>
      </c>
      <c r="F2373">
        <f>IF(C2373&lt;'user input'!$C$12,IF(B2373&gt;'user input'!$C$6,0,F2372+E2373),'user input'!$C$17*((1-C2373)/(1-'user input'!$C$12)))</f>
        <v>2.4106971498389038</v>
      </c>
    </row>
    <row r="2374" spans="1:6" x14ac:dyDescent="0.2">
      <c r="A2374" s="1">
        <v>42550</v>
      </c>
      <c r="B2374">
        <v>182</v>
      </c>
      <c r="C2374">
        <f>IF(B2374&gt;'user input'!$C$6,0,IF('heat units'!H2374&gt;1,1,'heat units'!H2374))</f>
        <v>0.40879629629629627</v>
      </c>
      <c r="D2374">
        <f>IF(B2374&gt;'user input'!$C$6,0,(C2374/(C2374+EXP('user input'!$C$15-'user input'!$C$14*C2374))))</f>
        <v>0.82086895614784383</v>
      </c>
      <c r="E2374">
        <f>IF(C2374&lt;'user input'!$C$12,(D2374-D2373)*'user input'!$C$17*(1-EXP(5*(F2373-'user input'!$C$17))),F2374-F2373)</f>
        <v>4.109703278731687E-2</v>
      </c>
      <c r="F2374">
        <f>IF(C2374&lt;'user input'!$C$12,IF(B2374&gt;'user input'!$C$6,0,F2373+E2374),'user input'!$C$17*((1-C2374)/(1-'user input'!$C$12)))</f>
        <v>2.4517941826262208</v>
      </c>
    </row>
    <row r="2375" spans="1:6" x14ac:dyDescent="0.2">
      <c r="A2375" s="1">
        <v>42551</v>
      </c>
      <c r="B2375">
        <v>183</v>
      </c>
      <c r="C2375">
        <f>IF(B2375&gt;'user input'!$C$6,0,IF('heat units'!H2375&gt;1,1,'heat units'!H2375))</f>
        <v>0.41550925925925924</v>
      </c>
      <c r="D2375">
        <f>IF(B2375&gt;'user input'!$C$6,0,(C2375/(C2375+EXP('user input'!$C$15-'user input'!$C$14*C2375))))</f>
        <v>0.83594893262972614</v>
      </c>
      <c r="E2375">
        <f>IF(C2375&lt;'user input'!$C$12,(D2375-D2374)*'user input'!$C$17*(1-EXP(5*(F2374-'user input'!$C$17))),F2375-F2374)</f>
        <v>4.2321776086943146E-2</v>
      </c>
      <c r="F2375">
        <f>IF(C2375&lt;'user input'!$C$12,IF(B2375&gt;'user input'!$C$6,0,F2374+E2375),'user input'!$C$17*((1-C2375)/(1-'user input'!$C$12)))</f>
        <v>2.4941159587131638</v>
      </c>
    </row>
    <row r="2376" spans="1:6" x14ac:dyDescent="0.2">
      <c r="A2376" s="1">
        <v>42552</v>
      </c>
      <c r="B2376">
        <v>184</v>
      </c>
      <c r="C2376">
        <f>IF(B2376&gt;'user input'!$C$6,0,IF('heat units'!H2376&gt;1,1,'heat units'!H2376))</f>
        <v>0.42268518518518516</v>
      </c>
      <c r="D2376">
        <f>IF(B2376&gt;'user input'!$C$6,0,(C2376/(C2376+EXP('user input'!$C$15-'user input'!$C$14*C2376))))</f>
        <v>0.85088580009339532</v>
      </c>
      <c r="E2376">
        <f>IF(C2376&lt;'user input'!$C$12,(D2376-D2375)*'user input'!$C$17*(1-EXP(5*(F2375-'user input'!$C$17))),F2376-F2375)</f>
        <v>4.12389634930726E-2</v>
      </c>
      <c r="F2376">
        <f>IF(C2376&lt;'user input'!$C$12,IF(B2376&gt;'user input'!$C$6,0,F2375+E2376),'user input'!$C$17*((1-C2376)/(1-'user input'!$C$12)))</f>
        <v>2.5353549222062366</v>
      </c>
    </row>
    <row r="2377" spans="1:6" x14ac:dyDescent="0.2">
      <c r="A2377" s="1">
        <v>42553</v>
      </c>
      <c r="B2377">
        <v>185</v>
      </c>
      <c r="C2377">
        <f>IF(B2377&gt;'user input'!$C$6,0,IF('heat units'!H2377&gt;1,1,'heat units'!H2377))</f>
        <v>0.42893518518518514</v>
      </c>
      <c r="D2377">
        <f>IF(B2377&gt;'user input'!$C$6,0,(C2377/(C2377+EXP('user input'!$C$15-'user input'!$C$14*C2377))))</f>
        <v>0.86293719427282889</v>
      </c>
      <c r="E2377">
        <f>IF(C2377&lt;'user input'!$C$12,(D2377-D2376)*'user input'!$C$17*(1-EXP(5*(F2376-'user input'!$C$17))),F2377-F2376)</f>
        <v>3.2612622735071303E-2</v>
      </c>
      <c r="F2377">
        <f>IF(C2377&lt;'user input'!$C$12,IF(B2377&gt;'user input'!$C$6,0,F2376+E2377),'user input'!$C$17*((1-C2377)/(1-'user input'!$C$12)))</f>
        <v>2.567967544941308</v>
      </c>
    </row>
    <row r="2378" spans="1:6" x14ac:dyDescent="0.2">
      <c r="A2378" s="1">
        <v>42554</v>
      </c>
      <c r="B2378">
        <v>186</v>
      </c>
      <c r="C2378">
        <f>IF(B2378&gt;'user input'!$C$6,0,IF('heat units'!H2378&gt;1,1,'heat units'!H2378))</f>
        <v>0.43472222222222218</v>
      </c>
      <c r="D2378">
        <f>IF(B2378&gt;'user input'!$C$6,0,(C2378/(C2378+EXP('user input'!$C$15-'user input'!$C$14*C2378))))</f>
        <v>0.87333419631828224</v>
      </c>
      <c r="E2378">
        <f>IF(C2378&lt;'user input'!$C$12,(D2378-D2377)*'user input'!$C$17*(1-EXP(5*(F2377-'user input'!$C$17))),F2378-F2377)</f>
        <v>2.7594483252548457E-2</v>
      </c>
      <c r="F2378">
        <f>IF(C2378&lt;'user input'!$C$12,IF(B2378&gt;'user input'!$C$6,0,F2377+E2378),'user input'!$C$17*((1-C2378)/(1-'user input'!$C$12)))</f>
        <v>2.5955620281938563</v>
      </c>
    </row>
    <row r="2379" spans="1:6" x14ac:dyDescent="0.2">
      <c r="A2379" s="1">
        <v>42555</v>
      </c>
      <c r="B2379">
        <v>187</v>
      </c>
      <c r="C2379">
        <f>IF(B2379&gt;'user input'!$C$6,0,IF('heat units'!H2379&gt;1,1,'heat units'!H2379))</f>
        <v>0.4418981481481481</v>
      </c>
      <c r="D2379">
        <f>IF(B2379&gt;'user input'!$C$6,0,(C2379/(C2379+EXP('user input'!$C$15-'user input'!$C$14*C2379))))</f>
        <v>0.88525782331600045</v>
      </c>
      <c r="E2379">
        <f>IF(C2379&lt;'user input'!$C$12,(D2379-D2378)*'user input'!$C$17*(1-EXP(5*(F2378-'user input'!$C$17))),F2379-F2378)</f>
        <v>3.1036058094537359E-2</v>
      </c>
      <c r="F2379">
        <f>IF(C2379&lt;'user input'!$C$12,IF(B2379&gt;'user input'!$C$6,0,F2378+E2379),'user input'!$C$17*((1-C2379)/(1-'user input'!$C$12)))</f>
        <v>2.6265980862883938</v>
      </c>
    </row>
    <row r="2380" spans="1:6" x14ac:dyDescent="0.2">
      <c r="A2380" s="1">
        <v>42556</v>
      </c>
      <c r="B2380">
        <v>188</v>
      </c>
      <c r="C2380">
        <f>IF(B2380&gt;'user input'!$C$6,0,IF('heat units'!H2380&gt;1,1,'heat units'!H2380))</f>
        <v>0.44884259259259257</v>
      </c>
      <c r="D2380">
        <f>IF(B2380&gt;'user input'!$C$6,0,(C2380/(C2380+EXP('user input'!$C$15-'user input'!$C$14*C2380))))</f>
        <v>0.89583112679956867</v>
      </c>
      <c r="E2380">
        <f>IF(C2380&lt;'user input'!$C$12,(D2380-D2379)*'user input'!$C$17*(1-EXP(5*(F2379-'user input'!$C$17))),F2380-F2379)</f>
        <v>2.6816480230756314E-2</v>
      </c>
      <c r="F2380">
        <f>IF(C2380&lt;'user input'!$C$12,IF(B2380&gt;'user input'!$C$6,0,F2379+E2380),'user input'!$C$17*((1-C2380)/(1-'user input'!$C$12)))</f>
        <v>2.65341456651915</v>
      </c>
    </row>
    <row r="2381" spans="1:6" x14ac:dyDescent="0.2">
      <c r="A2381" s="1">
        <v>42557</v>
      </c>
      <c r="B2381">
        <v>189</v>
      </c>
      <c r="C2381">
        <f>IF(B2381&gt;'user input'!$C$6,0,IF('heat units'!H2381&gt;1,1,'heat units'!H2381))</f>
        <v>0.46041666666666664</v>
      </c>
      <c r="D2381">
        <f>IF(B2381&gt;'user input'!$C$6,0,(C2381/(C2381+EXP('user input'!$C$15-'user input'!$C$14*C2381))))</f>
        <v>0.91150268227822251</v>
      </c>
      <c r="E2381">
        <f>IF(C2381&lt;'user input'!$C$12,(D2381-D2380)*'user input'!$C$17*(1-EXP(5*(F2380-'user input'!$C$17))),F2381-F2380)</f>
        <v>3.8704061208345152E-2</v>
      </c>
      <c r="F2381">
        <f>IF(C2381&lt;'user input'!$C$12,IF(B2381&gt;'user input'!$C$6,0,F2380+E2381),'user input'!$C$17*((1-C2381)/(1-'user input'!$C$12)))</f>
        <v>2.6921186277274951</v>
      </c>
    </row>
    <row r="2382" spans="1:6" x14ac:dyDescent="0.2">
      <c r="A2382" s="1">
        <v>42558</v>
      </c>
      <c r="B2382">
        <v>190</v>
      </c>
      <c r="C2382">
        <f>IF(B2382&gt;'user input'!$C$6,0,IF('heat units'!H2382&gt;1,1,'heat units'!H2382))</f>
        <v>0.47106481481481488</v>
      </c>
      <c r="D2382">
        <f>IF(B2382&gt;'user input'!$C$6,0,(C2382/(C2382+EXP('user input'!$C$15-'user input'!$C$14*C2382))))</f>
        <v>0.92396751955590739</v>
      </c>
      <c r="E2382">
        <f>IF(C2382&lt;'user input'!$C$12,(D2382-D2381)*'user input'!$C$17*(1-EXP(5*(F2381-'user input'!$C$17))),F2382-F2381)</f>
        <v>2.9373078787838239E-2</v>
      </c>
      <c r="F2382">
        <f>IF(C2382&lt;'user input'!$C$12,IF(B2382&gt;'user input'!$C$6,0,F2381+E2382),'user input'!$C$17*((1-C2382)/(1-'user input'!$C$12)))</f>
        <v>2.7214917065153332</v>
      </c>
    </row>
    <row r="2383" spans="1:6" x14ac:dyDescent="0.2">
      <c r="A2383" s="1">
        <v>42559</v>
      </c>
      <c r="B2383">
        <v>191</v>
      </c>
      <c r="C2383">
        <f>IF(B2383&gt;'user input'!$C$6,0,IF('heat units'!H2383&gt;1,1,'heat units'!H2383))</f>
        <v>0.48240740740740745</v>
      </c>
      <c r="D2383">
        <f>IF(B2383&gt;'user input'!$C$6,0,(C2383/(C2383+EXP('user input'!$C$15-'user input'!$C$14*C2383))))</f>
        <v>0.93542268030243558</v>
      </c>
      <c r="E2383">
        <f>IF(C2383&lt;'user input'!$C$12,(D2383-D2382)*'user input'!$C$17*(1-EXP(5*(F2382-'user input'!$C$17))),F2383-F2382)</f>
        <v>2.5827615588560175E-2</v>
      </c>
      <c r="F2383">
        <f>IF(C2383&lt;'user input'!$C$12,IF(B2383&gt;'user input'!$C$6,0,F2382+E2383),'user input'!$C$17*((1-C2383)/(1-'user input'!$C$12)))</f>
        <v>2.7473193221038934</v>
      </c>
    </row>
    <row r="2384" spans="1:6" x14ac:dyDescent="0.2">
      <c r="A2384" s="1">
        <v>42560</v>
      </c>
      <c r="B2384">
        <v>192</v>
      </c>
      <c r="C2384">
        <f>IF(B2384&gt;'user input'!$C$6,0,IF('heat units'!H2384&gt;1,1,'heat units'!H2384))</f>
        <v>0.49166666666666664</v>
      </c>
      <c r="D2384">
        <f>IF(B2384&gt;'user input'!$C$6,0,(C2384/(C2384+EXP('user input'!$C$15-'user input'!$C$14*C2384))))</f>
        <v>0.94353894326170351</v>
      </c>
      <c r="E2384">
        <f>IF(C2384&lt;'user input'!$C$12,(D2384-D2383)*'user input'!$C$17*(1-EXP(5*(F2383-'user input'!$C$17))),F2384-F2383)</f>
        <v>1.7465622876309223E-2</v>
      </c>
      <c r="F2384">
        <f>IF(C2384&lt;'user input'!$C$12,IF(B2384&gt;'user input'!$C$6,0,F2383+E2384),'user input'!$C$17*((1-C2384)/(1-'user input'!$C$12)))</f>
        <v>2.7647849449802027</v>
      </c>
    </row>
    <row r="2385" spans="1:6" x14ac:dyDescent="0.2">
      <c r="A2385" s="1">
        <v>42561</v>
      </c>
      <c r="B2385">
        <v>193</v>
      </c>
      <c r="C2385">
        <f>IF(B2385&gt;'user input'!$C$6,0,IF('heat units'!H2385&gt;1,1,'heat units'!H2385))</f>
        <v>0.50069444444444444</v>
      </c>
      <c r="D2385">
        <f>IF(B2385&gt;'user input'!$C$6,0,(C2385/(C2385+EXP('user input'!$C$15-'user input'!$C$14*C2385))))</f>
        <v>0.95050502743881615</v>
      </c>
      <c r="E2385">
        <f>IF(C2385&lt;'user input'!$C$12,(D2385-D2384)*'user input'!$C$17*(1-EXP(5*(F2384-'user input'!$C$17))),F2385-F2384)</f>
        <v>1.4451411363430929E-2</v>
      </c>
      <c r="F2385">
        <f>IF(C2385&lt;'user input'!$C$12,IF(B2385&gt;'user input'!$C$6,0,F2384+E2385),'user input'!$C$17*((1-C2385)/(1-'user input'!$C$12)))</f>
        <v>2.7792363563436338</v>
      </c>
    </row>
    <row r="2386" spans="1:6" x14ac:dyDescent="0.2">
      <c r="A2386" s="1">
        <v>42562</v>
      </c>
      <c r="B2386">
        <v>194</v>
      </c>
      <c r="C2386">
        <f>IF(B2386&gt;'user input'!$C$6,0,IF('heat units'!H2386&gt;1,1,'heat units'!H2386))</f>
        <v>0.5097222222222223</v>
      </c>
      <c r="D2386">
        <f>IF(B2386&gt;'user input'!$C$6,0,(C2386/(C2386+EXP('user input'!$C$15-'user input'!$C$14*C2386))))</f>
        <v>0.95663764645384219</v>
      </c>
      <c r="E2386">
        <f>IF(C2386&lt;'user input'!$C$12,(D2386-D2385)*'user input'!$C$17*(1-EXP(5*(F2385-'user input'!$C$17))),F2386-F2385)</f>
        <v>1.2297081054802659E-2</v>
      </c>
      <c r="F2386">
        <f>IF(C2386&lt;'user input'!$C$12,IF(B2386&gt;'user input'!$C$6,0,F2385+E2386),'user input'!$C$17*((1-C2386)/(1-'user input'!$C$12)))</f>
        <v>2.7915334373984364</v>
      </c>
    </row>
    <row r="2387" spans="1:6" x14ac:dyDescent="0.2">
      <c r="A2387" s="1">
        <v>42563</v>
      </c>
      <c r="B2387">
        <v>195</v>
      </c>
      <c r="C2387">
        <f>IF(B2387&gt;'user input'!$C$6,0,IF('heat units'!H2387&gt;1,1,'heat units'!H2387))</f>
        <v>0.52222222222222225</v>
      </c>
      <c r="D2387">
        <f>IF(B2387&gt;'user input'!$C$6,0,(C2387/(C2387+EXP('user input'!$C$15-'user input'!$C$14*C2387))))</f>
        <v>0.96392378292198155</v>
      </c>
      <c r="E2387">
        <f>IF(C2387&lt;'user input'!$C$12,(D2387-D2386)*'user input'!$C$17*(1-EXP(5*(F2386-'user input'!$C$17))),F2387-F2386)</f>
        <v>1.4150454467522758E-2</v>
      </c>
      <c r="F2387">
        <f>IF(C2387&lt;'user input'!$C$12,IF(B2387&gt;'user input'!$C$6,0,F2386+E2387),'user input'!$C$17*((1-C2387)/(1-'user input'!$C$12)))</f>
        <v>2.805683891865959</v>
      </c>
    </row>
    <row r="2388" spans="1:6" x14ac:dyDescent="0.2">
      <c r="A2388" s="1">
        <v>42564</v>
      </c>
      <c r="B2388">
        <v>196</v>
      </c>
      <c r="C2388">
        <f>IF(B2388&gt;'user input'!$C$6,0,IF('heat units'!H2388&gt;1,1,'heat units'!H2388))</f>
        <v>0.53287037037037044</v>
      </c>
      <c r="D2388">
        <f>IF(B2388&gt;'user input'!$C$6,0,(C2388/(C2388+EXP('user input'!$C$15-'user input'!$C$14*C2388))))</f>
        <v>0.96917423523815327</v>
      </c>
      <c r="E2388">
        <f>IF(C2388&lt;'user input'!$C$12,(D2388-D2387)*'user input'!$C$17*(1-EXP(5*(F2387-'user input'!$C$17))),F2388-F2387)</f>
        <v>9.7897147704846255E-3</v>
      </c>
      <c r="F2388">
        <f>IF(C2388&lt;'user input'!$C$12,IF(B2388&gt;'user input'!$C$6,0,F2387+E2388),'user input'!$C$17*((1-C2388)/(1-'user input'!$C$12)))</f>
        <v>2.8154736066364436</v>
      </c>
    </row>
    <row r="2389" spans="1:6" x14ac:dyDescent="0.2">
      <c r="A2389" s="1">
        <v>42565</v>
      </c>
      <c r="B2389">
        <v>197</v>
      </c>
      <c r="C2389">
        <f>IF(B2389&gt;'user input'!$C$6,0,IF('heat units'!H2389&gt;1,1,'heat units'!H2389))</f>
        <v>0.54375000000000007</v>
      </c>
      <c r="D2389">
        <f>IF(B2389&gt;'user input'!$C$6,0,(C2389/(C2389+EXP('user input'!$C$15-'user input'!$C$14*C2389))))</f>
        <v>0.97376137220037773</v>
      </c>
      <c r="E2389">
        <f>IF(C2389&lt;'user input'!$C$12,(D2389-D2388)*'user input'!$C$17*(1-EXP(5*(F2388-'user input'!$C$17))),F2389-F2388)</f>
        <v>8.291641828666943E-3</v>
      </c>
      <c r="F2389">
        <f>IF(C2389&lt;'user input'!$C$12,IF(B2389&gt;'user input'!$C$6,0,F2388+E2389),'user input'!$C$17*((1-C2389)/(1-'user input'!$C$12)))</f>
        <v>2.8237652484651106</v>
      </c>
    </row>
    <row r="2390" spans="1:6" x14ac:dyDescent="0.2">
      <c r="A2390" s="1">
        <v>42566</v>
      </c>
      <c r="B2390">
        <v>198</v>
      </c>
      <c r="C2390">
        <f>IF(B2390&gt;'user input'!$C$6,0,IF('heat units'!H2390&gt;1,1,'heat units'!H2390))</f>
        <v>0.55277777777777792</v>
      </c>
      <c r="D2390">
        <f>IF(B2390&gt;'user input'!$C$6,0,(C2390/(C2390+EXP('user input'!$C$15-'user input'!$C$14*C2390))))</f>
        <v>0.97705047118714961</v>
      </c>
      <c r="E2390">
        <f>IF(C2390&lt;'user input'!$C$12,(D2390-D2389)*'user input'!$C$17*(1-EXP(5*(F2389-'user input'!$C$17))),F2390-F2389)</f>
        <v>5.7793119176310368E-3</v>
      </c>
      <c r="F2390">
        <f>IF(C2390&lt;'user input'!$C$12,IF(B2390&gt;'user input'!$C$6,0,F2389+E2390),'user input'!$C$17*((1-C2390)/(1-'user input'!$C$12)))</f>
        <v>2.8295445603827418</v>
      </c>
    </row>
    <row r="2391" spans="1:6" x14ac:dyDescent="0.2">
      <c r="A2391" s="1">
        <v>42567</v>
      </c>
      <c r="B2391">
        <v>199</v>
      </c>
      <c r="C2391">
        <f>IF(B2391&gt;'user input'!$C$6,0,IF('heat units'!H2391&gt;1,1,'heat units'!H2391))</f>
        <v>0.55787037037037046</v>
      </c>
      <c r="D2391">
        <f>IF(B2391&gt;'user input'!$C$6,0,(C2391/(C2391+EXP('user input'!$C$15-'user input'!$C$14*C2391))))</f>
        <v>0.97872208543057482</v>
      </c>
      <c r="E2391">
        <f>IF(C2391&lt;'user input'!$C$12,(D2391-D2390)*'user input'!$C$17*(1-EXP(5*(F2390-'user input'!$C$17))),F2391-F2390)</f>
        <v>2.876299501588592E-3</v>
      </c>
      <c r="F2391">
        <f>IF(C2391&lt;'user input'!$C$12,IF(B2391&gt;'user input'!$C$6,0,F2390+E2391),'user input'!$C$17*((1-C2391)/(1-'user input'!$C$12)))</f>
        <v>2.8324208598843303</v>
      </c>
    </row>
    <row r="2392" spans="1:6" x14ac:dyDescent="0.2">
      <c r="A2392" s="1">
        <v>42568</v>
      </c>
      <c r="B2392">
        <v>200</v>
      </c>
      <c r="C2392">
        <f>IF(B2392&gt;'user input'!$C$6,0,IF('heat units'!H2392&gt;1,1,'heat units'!H2392))</f>
        <v>0.56504629629629644</v>
      </c>
      <c r="D2392">
        <f>IF(B2392&gt;'user input'!$C$6,0,(C2392/(C2392+EXP('user input'!$C$15-'user input'!$C$14*C2392))))</f>
        <v>0.98087431356710097</v>
      </c>
      <c r="E2392">
        <f>IF(C2392&lt;'user input'!$C$12,(D2392-D2391)*'user input'!$C$17*(1-EXP(5*(F2391-'user input'!$C$17))),F2392-F2391)</f>
        <v>3.6633940643603742E-3</v>
      </c>
      <c r="F2392">
        <f>IF(C2392&lt;'user input'!$C$12,IF(B2392&gt;'user input'!$C$6,0,F2391+E2392),'user input'!$C$17*((1-C2392)/(1-'user input'!$C$12)))</f>
        <v>2.8360842539486906</v>
      </c>
    </row>
    <row r="2393" spans="1:6" x14ac:dyDescent="0.2">
      <c r="A2393" s="1">
        <v>42569</v>
      </c>
      <c r="B2393">
        <v>201</v>
      </c>
      <c r="C2393">
        <f>IF(B2393&gt;'user input'!$C$6,0,IF('heat units'!H2393&gt;1,1,'heat units'!H2393))</f>
        <v>0.57476851851851862</v>
      </c>
      <c r="D2393">
        <f>IF(B2393&gt;'user input'!$C$6,0,(C2393/(C2393+EXP('user input'!$C$15-'user input'!$C$14*C2393))))</f>
        <v>0.98344881722597455</v>
      </c>
      <c r="E2393">
        <f>IF(C2393&lt;'user input'!$C$12,(D2393-D2392)*'user input'!$C$17*(1-EXP(5*(F2392-'user input'!$C$17))),F2393-F2392)</f>
        <v>4.3203989323842718E-3</v>
      </c>
      <c r="F2393">
        <f>IF(C2393&lt;'user input'!$C$12,IF(B2393&gt;'user input'!$C$6,0,F2392+E2393),'user input'!$C$17*((1-C2393)/(1-'user input'!$C$12)))</f>
        <v>2.8404046528810749</v>
      </c>
    </row>
    <row r="2394" spans="1:6" x14ac:dyDescent="0.2">
      <c r="A2394" s="1">
        <v>42570</v>
      </c>
      <c r="B2394">
        <v>202</v>
      </c>
      <c r="C2394">
        <f>IF(B2394&gt;'user input'!$C$6,0,IF('heat units'!H2394&gt;1,1,'heat units'!H2394))</f>
        <v>0.5849537037037037</v>
      </c>
      <c r="D2394">
        <f>IF(B2394&gt;'user input'!$C$6,0,(C2394/(C2394+EXP('user input'!$C$15-'user input'!$C$14*C2394))))</f>
        <v>0.98577611357783579</v>
      </c>
      <c r="E2394">
        <f>IF(C2394&lt;'user input'!$C$12,(D2394-D2393)*'user input'!$C$17*(1-EXP(5*(F2393-'user input'!$C$17))),F2394-F2393)</f>
        <v>3.8383703389450905E-3</v>
      </c>
      <c r="F2394">
        <f>IF(C2394&lt;'user input'!$C$12,IF(B2394&gt;'user input'!$C$6,0,F2393+E2394),'user input'!$C$17*((1-C2394)/(1-'user input'!$C$12)))</f>
        <v>2.8442430232200202</v>
      </c>
    </row>
    <row r="2395" spans="1:6" x14ac:dyDescent="0.2">
      <c r="A2395" s="1">
        <v>42571</v>
      </c>
      <c r="B2395">
        <v>203</v>
      </c>
      <c r="C2395">
        <f>IF(B2395&gt;'user input'!$C$6,0,IF('heat units'!H2395&gt;1,1,'heat units'!H2395))</f>
        <v>0.59560185185185188</v>
      </c>
      <c r="D2395">
        <f>IF(B2395&gt;'user input'!$C$6,0,(C2395/(C2395+EXP('user input'!$C$15-'user input'!$C$14*C2395))))</f>
        <v>0.9878604947595736</v>
      </c>
      <c r="E2395">
        <f>IF(C2395&lt;'user input'!$C$12,(D2395-D2394)*'user input'!$C$17*(1-EXP(5*(F2394-'user input'!$C$17))),F2395-F2394)</f>
        <v>3.3831797332015685E-3</v>
      </c>
      <c r="F2395">
        <f>IF(C2395&lt;'user input'!$C$12,IF(B2395&gt;'user input'!$C$6,0,F2394+E2395),'user input'!$C$17*((1-C2395)/(1-'user input'!$C$12)))</f>
        <v>2.8476262029532218</v>
      </c>
    </row>
    <row r="2396" spans="1:6" x14ac:dyDescent="0.2">
      <c r="A2396" s="1">
        <v>42572</v>
      </c>
      <c r="B2396">
        <v>204</v>
      </c>
      <c r="C2396">
        <f>IF(B2396&gt;'user input'!$C$6,0,IF('heat units'!H2396&gt;1,1,'heat units'!H2396))</f>
        <v>0.60717592592592595</v>
      </c>
      <c r="D2396">
        <f>IF(B2396&gt;'user input'!$C$6,0,(C2396/(C2396+EXP('user input'!$C$15-'user input'!$C$14*C2396))))</f>
        <v>0.98978111898462295</v>
      </c>
      <c r="E2396">
        <f>IF(C2396&lt;'user input'!$C$12,(D2396-D2395)*'user input'!$C$17*(1-EXP(5*(F2395-'user input'!$C$17))),F2396-F2395)</f>
        <v>3.0722697968018154E-3</v>
      </c>
      <c r="F2396">
        <f>IF(C2396&lt;'user input'!$C$12,IF(B2396&gt;'user input'!$C$6,0,F2395+E2396),'user input'!$C$17*((1-C2396)/(1-'user input'!$C$12)))</f>
        <v>2.8506984727500235</v>
      </c>
    </row>
    <row r="2397" spans="1:6" x14ac:dyDescent="0.2">
      <c r="A2397" s="1">
        <v>42573</v>
      </c>
      <c r="B2397">
        <v>205</v>
      </c>
      <c r="C2397">
        <f>IF(B2397&gt;'user input'!$C$6,0,IF('heat units'!H2397&gt;1,1,'heat units'!H2397))</f>
        <v>0.61944444444444446</v>
      </c>
      <c r="D2397">
        <f>IF(B2397&gt;'user input'!$C$6,0,(C2397/(C2397+EXP('user input'!$C$15-'user input'!$C$14*C2397))))</f>
        <v>0.99148581240708422</v>
      </c>
      <c r="E2397">
        <f>IF(C2397&lt;'user input'!$C$12,(D2397-D2396)*'user input'!$C$17*(1-EXP(5*(F2396-'user input'!$C$17))),F2397-F2396)</f>
        <v>2.6899084774935794E-3</v>
      </c>
      <c r="F2397">
        <f>IF(C2397&lt;'user input'!$C$12,IF(B2397&gt;'user input'!$C$6,0,F2396+E2397),'user input'!$C$17*((1-C2397)/(1-'user input'!$C$12)))</f>
        <v>2.8533883812275169</v>
      </c>
    </row>
    <row r="2398" spans="1:6" x14ac:dyDescent="0.2">
      <c r="A2398" s="1">
        <v>42574</v>
      </c>
      <c r="B2398">
        <v>206</v>
      </c>
      <c r="C2398">
        <f>IF(B2398&gt;'user input'!$C$6,0,IF('heat units'!H2398&gt;1,1,'heat units'!H2398))</f>
        <v>0.63194444444444453</v>
      </c>
      <c r="D2398">
        <f>IF(B2398&gt;'user input'!$C$6,0,(C2398/(C2398+EXP('user input'!$C$15-'user input'!$C$14*C2398))))</f>
        <v>0.99292977225272105</v>
      </c>
      <c r="E2398">
        <f>IF(C2398&lt;'user input'!$C$12,(D2398-D2397)*'user input'!$C$17*(1-EXP(5*(F2397-'user input'!$C$17))),F2398-F2397)</f>
        <v>2.2506820827889757E-3</v>
      </c>
      <c r="F2398">
        <f>IF(C2398&lt;'user input'!$C$12,IF(B2398&gt;'user input'!$C$6,0,F2397+E2398),'user input'!$C$17*((1-C2398)/(1-'user input'!$C$12)))</f>
        <v>2.8556390633103059</v>
      </c>
    </row>
    <row r="2399" spans="1:6" x14ac:dyDescent="0.2">
      <c r="A2399" s="1">
        <v>42575</v>
      </c>
      <c r="B2399">
        <v>207</v>
      </c>
      <c r="C2399">
        <f>IF(B2399&gt;'user input'!$C$6,0,IF('heat units'!H2399&gt;1,1,'heat units'!H2399))</f>
        <v>0.64421296296296293</v>
      </c>
      <c r="D2399">
        <f>IF(B2399&gt;'user input'!$C$6,0,(C2399/(C2399+EXP('user input'!$C$15-'user input'!$C$14*C2399))))</f>
        <v>0.99410779103421398</v>
      </c>
      <c r="E2399">
        <f>IF(C2399&lt;'user input'!$C$12,(D2399-D2398)*'user input'!$C$17*(1-EXP(5*(F2398-'user input'!$C$17))),F2399-F2398)</f>
        <v>1.8169480808693024E-3</v>
      </c>
      <c r="F2399">
        <f>IF(C2399&lt;'user input'!$C$12,IF(B2399&gt;'user input'!$C$6,0,F2398+E2399),'user input'!$C$17*((1-C2399)/(1-'user input'!$C$12)))</f>
        <v>2.8574560113911751</v>
      </c>
    </row>
    <row r="2400" spans="1:6" x14ac:dyDescent="0.2">
      <c r="A2400" s="1">
        <v>42576</v>
      </c>
      <c r="B2400">
        <v>208</v>
      </c>
      <c r="C2400">
        <f>IF(B2400&gt;'user input'!$C$6,0,IF('heat units'!H2400&gt;1,1,'heat units'!H2400))</f>
        <v>0.65601851851851845</v>
      </c>
      <c r="D2400">
        <f>IF(B2400&gt;'user input'!$C$6,0,(C2400/(C2400+EXP('user input'!$C$15-'user input'!$C$14*C2400))))</f>
        <v>0.99505488133830222</v>
      </c>
      <c r="E2400">
        <f>IF(C2400&lt;'user input'!$C$12,(D2400-D2399)*'user input'!$C$17*(1-EXP(5*(F2399-'user input'!$C$17))),F2400-F2399)</f>
        <v>1.4481708654324333E-3</v>
      </c>
      <c r="F2400">
        <f>IF(C2400&lt;'user input'!$C$12,IF(B2400&gt;'user input'!$C$6,0,F2399+E2400),'user input'!$C$17*((1-C2400)/(1-'user input'!$C$12)))</f>
        <v>2.8589041822566075</v>
      </c>
    </row>
    <row r="2401" spans="1:6" x14ac:dyDescent="0.2">
      <c r="A2401" s="1">
        <v>42577</v>
      </c>
      <c r="B2401">
        <v>209</v>
      </c>
      <c r="C2401">
        <f>IF(B2401&gt;'user input'!$C$6,0,IF('heat units'!H2401&gt;1,1,'heat units'!H2401))</f>
        <v>0.66689814814814807</v>
      </c>
      <c r="D2401">
        <f>IF(B2401&gt;'user input'!$C$6,0,(C2401/(C2401+EXP('user input'!$C$15-'user input'!$C$14*C2401))))</f>
        <v>0.99579167728071616</v>
      </c>
      <c r="E2401">
        <f>IF(C2401&lt;'user input'!$C$12,(D2401-D2400)*'user input'!$C$17*(1-EXP(5*(F2400-'user input'!$C$17))),F2401-F2400)</f>
        <v>1.1187393711293025E-3</v>
      </c>
      <c r="F2401">
        <f>IF(C2401&lt;'user input'!$C$12,IF(B2401&gt;'user input'!$C$6,0,F2400+E2401),'user input'!$C$17*((1-C2401)/(1-'user input'!$C$12)))</f>
        <v>2.8600229216277366</v>
      </c>
    </row>
    <row r="2402" spans="1:6" x14ac:dyDescent="0.2">
      <c r="A2402" s="1">
        <v>42578</v>
      </c>
      <c r="B2402">
        <v>210</v>
      </c>
      <c r="C2402">
        <f>IF(B2402&gt;'user input'!$C$6,0,IF('heat units'!H2402&gt;1,1,'heat units'!H2402))</f>
        <v>0.6782407407407407</v>
      </c>
      <c r="D2402">
        <f>IF(B2402&gt;'user input'!$C$6,0,(C2402/(C2402+EXP('user input'!$C$15-'user input'!$C$14*C2402))))</f>
        <v>0.99644261032759873</v>
      </c>
      <c r="E2402">
        <f>IF(C2402&lt;'user input'!$C$12,(D2402-D2401)*'user input'!$C$17*(1-EXP(5*(F2401-'user input'!$C$17))),F2402-F2401)</f>
        <v>9.8295664067104042E-4</v>
      </c>
      <c r="F2402">
        <f>IF(C2402&lt;'user input'!$C$12,IF(B2402&gt;'user input'!$C$6,0,F2401+E2402),'user input'!$C$17*((1-C2402)/(1-'user input'!$C$12)))</f>
        <v>2.8610058782684078</v>
      </c>
    </row>
    <row r="2403" spans="1:6" x14ac:dyDescent="0.2">
      <c r="A2403" s="1">
        <v>42579</v>
      </c>
      <c r="B2403">
        <v>211</v>
      </c>
      <c r="C2403">
        <f>IF(B2403&gt;'user input'!$C$6,0,IF('heat units'!H2403&gt;1,1,'heat units'!H2403))</f>
        <v>0.68981481481481477</v>
      </c>
      <c r="D2403">
        <f>IF(B2403&gt;'user input'!$C$6,0,(C2403/(C2403+EXP('user input'!$C$15-'user input'!$C$14*C2403))))</f>
        <v>0.99700260408545927</v>
      </c>
      <c r="E2403">
        <f>IF(C2403&lt;'user input'!$C$12,(D2403-D2402)*'user input'!$C$17*(1-EXP(5*(F2402-'user input'!$C$17))),F2403-F2402)</f>
        <v>8.4152090373012904E-4</v>
      </c>
      <c r="F2403">
        <f>IF(C2403&lt;'user input'!$C$12,IF(B2403&gt;'user input'!$C$6,0,F2402+E2403),'user input'!$C$17*((1-C2403)/(1-'user input'!$C$12)))</f>
        <v>2.861847399172138</v>
      </c>
    </row>
    <row r="2404" spans="1:6" x14ac:dyDescent="0.2">
      <c r="A2404" s="1">
        <v>42580</v>
      </c>
      <c r="B2404">
        <v>212</v>
      </c>
      <c r="C2404">
        <f>IF(B2404&gt;'user input'!$C$6,0,IF('heat units'!H2404&gt;1,1,'heat units'!H2404))</f>
        <v>0.69907407407407396</v>
      </c>
      <c r="D2404">
        <f>IF(B2404&gt;'user input'!$C$6,0,(C2404/(C2404+EXP('user input'!$C$15-'user input'!$C$14*C2404))))</f>
        <v>0.99738606798880414</v>
      </c>
      <c r="E2404">
        <f>IF(C2404&lt;'user input'!$C$12,(D2404-D2403)*'user input'!$C$17*(1-EXP(5*(F2403-'user input'!$C$17))),F2404-F2403)</f>
        <v>5.7382285053044694E-4</v>
      </c>
      <c r="F2404">
        <f>IF(C2404&lt;'user input'!$C$12,IF(B2404&gt;'user input'!$C$6,0,F2403+E2404),'user input'!$C$17*((1-C2404)/(1-'user input'!$C$12)))</f>
        <v>2.8624212220226686</v>
      </c>
    </row>
    <row r="2405" spans="1:6" x14ac:dyDescent="0.2">
      <c r="A2405" s="1">
        <v>42581</v>
      </c>
      <c r="B2405">
        <v>213</v>
      </c>
      <c r="C2405">
        <f>IF(B2405&gt;'user input'!$C$6,0,IF('heat units'!H2405&gt;1,1,'heat units'!H2405))</f>
        <v>0.70671296296296282</v>
      </c>
      <c r="D2405">
        <f>IF(B2405&gt;'user input'!$C$6,0,(C2405/(C2405+EXP('user input'!$C$15-'user input'!$C$14*C2405))))</f>
        <v>0.99766498709020379</v>
      </c>
      <c r="E2405">
        <f>IF(C2405&lt;'user input'!$C$12,(D2405-D2404)*'user input'!$C$17*(1-EXP(5*(F2404-'user input'!$C$17))),F2405-F2404)</f>
        <v>4.1617500429512477E-4</v>
      </c>
      <c r="F2405">
        <f>IF(C2405&lt;'user input'!$C$12,IF(B2405&gt;'user input'!$C$6,0,F2404+E2405),'user input'!$C$17*((1-C2405)/(1-'user input'!$C$12)))</f>
        <v>2.8628373970269636</v>
      </c>
    </row>
    <row r="2406" spans="1:6" x14ac:dyDescent="0.2">
      <c r="A2406" s="1">
        <v>42582</v>
      </c>
      <c r="B2406">
        <v>214</v>
      </c>
      <c r="C2406">
        <f>IF(B2406&gt;'user input'!$C$6,0,IF('heat units'!H2406&gt;1,1,'heat units'!H2406))</f>
        <v>0.71481481481481468</v>
      </c>
      <c r="D2406">
        <f>IF(B2406&gt;'user input'!$C$6,0,(C2406/(C2406+EXP('user input'!$C$15-'user input'!$C$14*C2406))))</f>
        <v>0.99792816356509573</v>
      </c>
      <c r="E2406">
        <f>IF(C2406&lt;'user input'!$C$12,(D2406-D2405)*'user input'!$C$17*(1-EXP(5*(F2405-'user input'!$C$17))),F2406-F2405)</f>
        <v>3.9185879932916083E-4</v>
      </c>
      <c r="F2406">
        <f>IF(C2406&lt;'user input'!$C$12,IF(B2406&gt;'user input'!$C$6,0,F2405+E2406),'user input'!$C$17*((1-C2406)/(1-'user input'!$C$12)))</f>
        <v>2.8632292558262926</v>
      </c>
    </row>
    <row r="2407" spans="1:6" x14ac:dyDescent="0.2">
      <c r="A2407" s="1">
        <v>42583</v>
      </c>
      <c r="B2407">
        <v>215</v>
      </c>
      <c r="C2407">
        <f>IF(B2407&gt;'user input'!$C$6,0,IF('heat units'!H2407&gt;1,1,'heat units'!H2407))</f>
        <v>0.72499999999999976</v>
      </c>
      <c r="D2407">
        <f>IF(B2407&gt;'user input'!$C$6,0,(C2407/(C2407+EXP('user input'!$C$15-'user input'!$C$14*C2407))))</f>
        <v>0.99821709598101982</v>
      </c>
      <c r="E2407">
        <f>IF(C2407&lt;'user input'!$C$12,(D2407-D2406)*'user input'!$C$17*(1-EXP(5*(F2406-'user input'!$C$17))),F2407-F2406)</f>
        <v>4.293520771597316E-4</v>
      </c>
      <c r="F2407">
        <f>IF(C2407&lt;'user input'!$C$12,IF(B2407&gt;'user input'!$C$6,0,F2406+E2407),'user input'!$C$17*((1-C2407)/(1-'user input'!$C$12)))</f>
        <v>2.8636586079034525</v>
      </c>
    </row>
    <row r="2408" spans="1:6" x14ac:dyDescent="0.2">
      <c r="A2408" s="1">
        <v>42584</v>
      </c>
      <c r="B2408">
        <v>216</v>
      </c>
      <c r="C2408">
        <f>IF(B2408&gt;'user input'!$C$6,0,IF('heat units'!H2408&gt;1,1,'heat units'!H2408))</f>
        <v>0.7354166666666665</v>
      </c>
      <c r="D2408">
        <f>IF(B2408&gt;'user input'!$C$6,0,(C2408/(C2408+EXP('user input'!$C$15-'user input'!$C$14*C2408))))</f>
        <v>0.99847071505819796</v>
      </c>
      <c r="E2408">
        <f>IF(C2408&lt;'user input'!$C$12,(D2408-D2407)*'user input'!$C$17*(1-EXP(5*(F2407-'user input'!$C$17))),F2408-F2407)</f>
        <v>3.7605143848324783E-4</v>
      </c>
      <c r="F2408">
        <f>IF(C2408&lt;'user input'!$C$12,IF(B2408&gt;'user input'!$C$6,0,F2407+E2408),'user input'!$C$17*((1-C2408)/(1-'user input'!$C$12)))</f>
        <v>2.8640346593419359</v>
      </c>
    </row>
    <row r="2409" spans="1:6" x14ac:dyDescent="0.2">
      <c r="A2409" s="1">
        <v>42585</v>
      </c>
      <c r="B2409">
        <v>217</v>
      </c>
      <c r="C2409">
        <f>IF(B2409&gt;'user input'!$C$6,0,IF('heat units'!H2409&gt;1,1,'heat units'!H2409))</f>
        <v>0.74745370370370356</v>
      </c>
      <c r="D2409">
        <f>IF(B2409&gt;'user input'!$C$6,0,(C2409/(C2409+EXP('user input'!$C$15-'user input'!$C$14*C2409))))</f>
        <v>0.998718933898881</v>
      </c>
      <c r="E2409">
        <f>IF(C2409&lt;'user input'!$C$12,(D2409-D2408)*'user input'!$C$17*(1-EXP(5*(F2408-'user input'!$C$17))),F2409-F2408)</f>
        <v>3.6733549167560403E-4</v>
      </c>
      <c r="F2409">
        <f>IF(C2409&lt;'user input'!$C$12,IF(B2409&gt;'user input'!$C$6,0,F2408+E2409),'user input'!$C$17*((1-C2409)/(1-'user input'!$C$12)))</f>
        <v>2.8644019948336115</v>
      </c>
    </row>
    <row r="2410" spans="1:6" x14ac:dyDescent="0.2">
      <c r="A2410" s="1">
        <v>42586</v>
      </c>
      <c r="B2410">
        <v>218</v>
      </c>
      <c r="C2410">
        <f>IF(B2410&gt;'user input'!$C$6,0,IF('heat units'!H2410&gt;1,1,'heat units'!H2410))</f>
        <v>0.76018518518518507</v>
      </c>
      <c r="D2410">
        <f>IF(B2410&gt;'user input'!$C$6,0,(C2410/(C2410+EXP('user input'!$C$15-'user input'!$C$14*C2410))))</f>
        <v>0.99893752059019425</v>
      </c>
      <c r="E2410">
        <f>IF(C2410&lt;'user input'!$C$12,(D2410-D2409)*'user input'!$C$17*(1-EXP(5*(F2409-'user input'!$C$17))),F2410-F2409)</f>
        <v>3.2287245403213088E-4</v>
      </c>
      <c r="F2410">
        <f>IF(C2410&lt;'user input'!$C$12,IF(B2410&gt;'user input'!$C$6,0,F2409+E2410),'user input'!$C$17*((1-C2410)/(1-'user input'!$C$12)))</f>
        <v>2.8647248672876438</v>
      </c>
    </row>
    <row r="2411" spans="1:6" x14ac:dyDescent="0.2">
      <c r="A2411" s="1">
        <v>42587</v>
      </c>
      <c r="B2411">
        <v>219</v>
      </c>
      <c r="C2411">
        <f>IF(B2411&gt;'user input'!$C$6,0,IF('heat units'!H2411&gt;1,1,'heat units'!H2411))</f>
        <v>0.77268518518518503</v>
      </c>
      <c r="D2411">
        <f>IF(B2411&gt;'user input'!$C$6,0,(C2411/(C2411+EXP('user input'!$C$15-'user input'!$C$14*C2411))))</f>
        <v>0.99911559854142329</v>
      </c>
      <c r="E2411">
        <f>IF(C2411&lt;'user input'!$C$12,(D2411-D2410)*'user input'!$C$17*(1-EXP(5*(F2410-'user input'!$C$17))),F2411-F2410)</f>
        <v>2.6259919202800951E-4</v>
      </c>
      <c r="F2411">
        <f>IF(C2411&lt;'user input'!$C$12,IF(B2411&gt;'user input'!$C$6,0,F2410+E2411),'user input'!$C$17*((1-C2411)/(1-'user input'!$C$12)))</f>
        <v>2.864987466479672</v>
      </c>
    </row>
    <row r="2412" spans="1:6" x14ac:dyDescent="0.2">
      <c r="A2412" s="1">
        <v>42588</v>
      </c>
      <c r="B2412">
        <v>220</v>
      </c>
      <c r="C2412">
        <f>IF(B2412&gt;'user input'!$C$6,0,IF('heat units'!H2412&gt;1,1,'heat units'!H2412))</f>
        <v>0.78101851851851833</v>
      </c>
      <c r="D2412">
        <f>IF(B2412&gt;'user input'!$C$6,0,(C2412/(C2412+EXP('user input'!$C$15-'user input'!$C$14*C2412))))</f>
        <v>0.99921730712947032</v>
      </c>
      <c r="E2412">
        <f>IF(C2412&lt;'user input'!$C$12,(D2412-D2411)*'user input'!$C$17*(1-EXP(5*(F2411-'user input'!$C$17))),F2412-F2411)</f>
        <v>1.4977875776523423E-4</v>
      </c>
      <c r="F2412">
        <f>IF(C2412&lt;'user input'!$C$12,IF(B2412&gt;'user input'!$C$6,0,F2411+E2412),'user input'!$C$17*((1-C2412)/(1-'user input'!$C$12)))</f>
        <v>2.8651372452374373</v>
      </c>
    </row>
    <row r="2413" spans="1:6" x14ac:dyDescent="0.2">
      <c r="A2413" s="1">
        <v>42589</v>
      </c>
      <c r="B2413">
        <v>221</v>
      </c>
      <c r="C2413">
        <f>IF(B2413&gt;'user input'!$C$6,0,IF('heat units'!H2413&gt;1,1,'heat units'!H2413))</f>
        <v>0.78958333333333319</v>
      </c>
      <c r="D2413">
        <f>IF(B2413&gt;'user input'!$C$6,0,(C2413/(C2413+EXP('user input'!$C$15-'user input'!$C$14*C2413))))</f>
        <v>0.99930959225162364</v>
      </c>
      <c r="E2413">
        <f>IF(C2413&lt;'user input'!$C$12,(D2413-D2412)*'user input'!$C$17*(1-EXP(5*(F2412-'user input'!$C$17))),F2413-F2412)</f>
        <v>1.3579591356197829E-4</v>
      </c>
      <c r="F2413">
        <f>IF(C2413&lt;'user input'!$C$12,IF(B2413&gt;'user input'!$C$6,0,F2412+E2413),'user input'!$C$17*((1-C2413)/(1-'user input'!$C$12)))</f>
        <v>2.8652730411509992</v>
      </c>
    </row>
    <row r="2414" spans="1:6" x14ac:dyDescent="0.2">
      <c r="A2414" s="1">
        <v>42590</v>
      </c>
      <c r="B2414">
        <v>222</v>
      </c>
      <c r="C2414">
        <f>IF(B2414&gt;'user input'!$C$6,0,IF('heat units'!H2414&gt;1,1,'heat units'!H2414))</f>
        <v>0.79699074074074072</v>
      </c>
      <c r="D2414">
        <f>IF(B2414&gt;'user input'!$C$6,0,(C2414/(C2414+EXP('user input'!$C$15-'user input'!$C$14*C2414))))</f>
        <v>0.9993805300244708</v>
      </c>
      <c r="E2414">
        <f>IF(C2414&lt;'user input'!$C$12,(D2414-D2413)*'user input'!$C$17*(1-EXP(5*(F2413-'user input'!$C$17))),F2414-F2413)</f>
        <v>1.0431002275896451E-4</v>
      </c>
      <c r="F2414">
        <f>IF(C2414&lt;'user input'!$C$12,IF(B2414&gt;'user input'!$C$6,0,F2413+E2414),'user input'!$C$17*((1-C2414)/(1-'user input'!$C$12)))</f>
        <v>2.8653773511737581</v>
      </c>
    </row>
    <row r="2415" spans="1:6" x14ac:dyDescent="0.2">
      <c r="A2415" s="1">
        <v>42591</v>
      </c>
      <c r="B2415">
        <v>223</v>
      </c>
      <c r="C2415">
        <f>IF(B2415&gt;'user input'!$C$6,0,IF('heat units'!H2415&gt;1,1,'heat units'!H2415))</f>
        <v>0.80578703703703691</v>
      </c>
      <c r="D2415">
        <f>IF(B2415&gt;'user input'!$C$6,0,(C2415/(C2415+EXP('user input'!$C$15-'user input'!$C$14*C2415))))</f>
        <v>0.99945530810414218</v>
      </c>
      <c r="E2415">
        <f>IF(C2415&lt;'user input'!$C$12,(D2415-D2414)*'user input'!$C$17*(1-EXP(5*(F2414-'user input'!$C$17))),F2415-F2414)</f>
        <v>1.0989730987128929E-4</v>
      </c>
      <c r="F2415">
        <f>IF(C2415&lt;'user input'!$C$12,IF(B2415&gt;'user input'!$C$6,0,F2414+E2415),'user input'!$C$17*((1-C2415)/(1-'user input'!$C$12)))</f>
        <v>2.8654872484836296</v>
      </c>
    </row>
    <row r="2416" spans="1:6" x14ac:dyDescent="0.2">
      <c r="A2416" s="1">
        <v>42592</v>
      </c>
      <c r="B2416">
        <v>224</v>
      </c>
      <c r="C2416">
        <f>IF(B2416&gt;'user input'!$C$6,0,IF('heat units'!H2416&gt;1,1,'heat units'!H2416))</f>
        <v>0.8168981481481481</v>
      </c>
      <c r="D2416">
        <f>IF(B2416&gt;'user input'!$C$6,0,(C2416/(C2416+EXP('user input'!$C$15-'user input'!$C$14*C2416))))</f>
        <v>0.99953692923398529</v>
      </c>
      <c r="E2416">
        <f>IF(C2416&lt;'user input'!$C$12,(D2416-D2415)*'user input'!$C$17*(1-EXP(5*(F2415-'user input'!$C$17))),F2416-F2415)</f>
        <v>1.1988551677195218E-4</v>
      </c>
      <c r="F2416">
        <f>IF(C2416&lt;'user input'!$C$12,IF(B2416&gt;'user input'!$C$6,0,F2415+E2416),'user input'!$C$17*((1-C2416)/(1-'user input'!$C$12)))</f>
        <v>2.8656071340004017</v>
      </c>
    </row>
    <row r="2417" spans="1:6" x14ac:dyDescent="0.2">
      <c r="A2417" s="1">
        <v>42593</v>
      </c>
      <c r="B2417">
        <v>225</v>
      </c>
      <c r="C2417">
        <f>IF(B2417&gt;'user input'!$C$6,0,IF('heat units'!H2417&gt;1,1,'heat units'!H2417))</f>
        <v>0.82870370370370361</v>
      </c>
      <c r="D2417">
        <f>IF(B2417&gt;'user input'!$C$6,0,(C2417/(C2417+EXP('user input'!$C$15-'user input'!$C$14*C2417))))</f>
        <v>0.99961022004706312</v>
      </c>
      <c r="E2417">
        <f>IF(C2417&lt;'user input'!$C$12,(D2417-D2416)*'user input'!$C$17*(1-EXP(5*(F2416-'user input'!$C$17))),F2417-F2416)</f>
        <v>1.075826171071806E-4</v>
      </c>
      <c r="F2417">
        <f>IF(C2417&lt;'user input'!$C$12,IF(B2417&gt;'user input'!$C$6,0,F2416+E2417),'user input'!$C$17*((1-C2417)/(1-'user input'!$C$12)))</f>
        <v>2.865714716617509</v>
      </c>
    </row>
    <row r="2418" spans="1:6" x14ac:dyDescent="0.2">
      <c r="A2418" s="1">
        <v>42594</v>
      </c>
      <c r="B2418">
        <v>226</v>
      </c>
      <c r="C2418">
        <f>IF(B2418&gt;'user input'!$C$6,0,IF('heat units'!H2418&gt;1,1,'heat units'!H2418))</f>
        <v>0.84189814814814812</v>
      </c>
      <c r="D2418">
        <f>IF(B2418&gt;'user input'!$C$6,0,(C2418/(C2418+EXP('user input'!$C$15-'user input'!$C$14*C2418))))</f>
        <v>0.99967842180636779</v>
      </c>
      <c r="E2418">
        <f>IF(C2418&lt;'user input'!$C$12,(D2418-D2417)*'user input'!$C$17*(1-EXP(5*(F2417-'user input'!$C$17))),F2418-F2417)</f>
        <v>1.00056239073922E-4</v>
      </c>
      <c r="F2418">
        <f>IF(C2418&lt;'user input'!$C$12,IF(B2418&gt;'user input'!$C$6,0,F2417+E2418),'user input'!$C$17*((1-C2418)/(1-'user input'!$C$12)))</f>
        <v>2.865814772856583</v>
      </c>
    </row>
    <row r="2419" spans="1:6" x14ac:dyDescent="0.2">
      <c r="A2419" s="1">
        <v>42595</v>
      </c>
      <c r="B2419">
        <v>227</v>
      </c>
      <c r="C2419">
        <f>IF(B2419&gt;'user input'!$C$6,0,IF('heat units'!H2419&gt;1,1,'heat units'!H2419))</f>
        <v>0.85300925925925919</v>
      </c>
      <c r="D2419">
        <f>IF(B2419&gt;'user input'!$C$6,0,(C2419/(C2419+EXP('user input'!$C$15-'user input'!$C$14*C2419))))</f>
        <v>0.99972645934073145</v>
      </c>
      <c r="E2419">
        <f>IF(C2419&lt;'user input'!$C$12,(D2419-D2418)*'user input'!$C$17*(1-EXP(5*(F2418-'user input'!$C$17))),F2419-F2418)</f>
        <v>7.0437212938931465E-5</v>
      </c>
      <c r="F2419">
        <f>IF(C2419&lt;'user input'!$C$12,IF(B2419&gt;'user input'!$C$6,0,F2418+E2419),'user input'!$C$17*((1-C2419)/(1-'user input'!$C$12)))</f>
        <v>2.8658852100695218</v>
      </c>
    </row>
    <row r="2420" spans="1:6" x14ac:dyDescent="0.2">
      <c r="A2420" s="1">
        <v>42596</v>
      </c>
      <c r="B2420">
        <v>228</v>
      </c>
      <c r="C2420">
        <f>IF(B2420&gt;'user input'!$C$6,0,IF('heat units'!H2420&gt;1,1,'heat units'!H2420))</f>
        <v>0.86273148148148149</v>
      </c>
      <c r="D2420">
        <f>IF(B2420&gt;'user input'!$C$6,0,(C2420/(C2420+EXP('user input'!$C$15-'user input'!$C$14*C2420))))</f>
        <v>0.99976253576798302</v>
      </c>
      <c r="E2420">
        <f>IF(C2420&lt;'user input'!$C$12,(D2420-D2419)*'user input'!$C$17*(1-EXP(5*(F2419-'user input'!$C$17))),F2420-F2419)</f>
        <v>5.2879207187601853E-5</v>
      </c>
      <c r="F2420">
        <f>IF(C2420&lt;'user input'!$C$12,IF(B2420&gt;'user input'!$C$6,0,F2419+E2420),'user input'!$C$17*((1-C2420)/(1-'user input'!$C$12)))</f>
        <v>2.8659380892767095</v>
      </c>
    </row>
    <row r="2421" spans="1:6" x14ac:dyDescent="0.2">
      <c r="A2421" s="1">
        <v>42597</v>
      </c>
      <c r="B2421">
        <v>229</v>
      </c>
      <c r="C2421">
        <f>IF(B2421&gt;'user input'!$C$6,0,IF('heat units'!H2421&gt;1,1,'heat units'!H2421))</f>
        <v>0.87291666666666667</v>
      </c>
      <c r="D2421">
        <f>IF(B2421&gt;'user input'!$C$6,0,(C2421/(C2421+EXP('user input'!$C$15-'user input'!$C$14*C2421))))</f>
        <v>0.99979521106240143</v>
      </c>
      <c r="E2421">
        <f>IF(C2421&lt;'user input'!$C$12,(D2421-D2420)*'user input'!$C$17*(1-EXP(5*(F2420-'user input'!$C$17))),F2421-F2420)</f>
        <v>4.7880722966939234E-5</v>
      </c>
      <c r="F2421">
        <f>IF(C2421&lt;'user input'!$C$12,IF(B2421&gt;'user input'!$C$6,0,F2420+E2421),'user input'!$C$17*((1-C2421)/(1-'user input'!$C$12)))</f>
        <v>2.8659859699996764</v>
      </c>
    </row>
    <row r="2422" spans="1:6" x14ac:dyDescent="0.2">
      <c r="A2422" s="1">
        <v>42598</v>
      </c>
      <c r="B2422">
        <v>230</v>
      </c>
      <c r="C2422">
        <f>IF(B2422&gt;'user input'!$C$6,0,IF('heat units'!H2422&gt;1,1,'heat units'!H2422))</f>
        <v>0.88310185185185186</v>
      </c>
      <c r="D2422">
        <f>IF(B2422&gt;'user input'!$C$6,0,(C2422/(C2422+EXP('user input'!$C$15-'user input'!$C$14*C2422))))</f>
        <v>0.99982336695788498</v>
      </c>
      <c r="E2422">
        <f>IF(C2422&lt;'user input'!$C$12,(D2422-D2421)*'user input'!$C$17*(1-EXP(5*(F2421-'user input'!$C$17))),F2422-F2421)</f>
        <v>4.1247878723996081E-5</v>
      </c>
      <c r="F2422">
        <f>IF(C2422&lt;'user input'!$C$12,IF(B2422&gt;'user input'!$C$6,0,F2421+E2422),'user input'!$C$17*((1-C2422)/(1-'user input'!$C$12)))</f>
        <v>2.8660272178784005</v>
      </c>
    </row>
    <row r="2423" spans="1:6" x14ac:dyDescent="0.2">
      <c r="A2423" s="1">
        <v>42599</v>
      </c>
      <c r="B2423">
        <v>231</v>
      </c>
      <c r="C2423">
        <f>IF(B2423&gt;'user input'!$C$6,0,IF('heat units'!H2423&gt;1,1,'heat units'!H2423))</f>
        <v>0.89375000000000004</v>
      </c>
      <c r="D2423">
        <f>IF(B2423&gt;'user input'!$C$6,0,(C2423/(C2423+EXP('user input'!$C$15-'user input'!$C$14*C2423))))</f>
        <v>0.99984865168153247</v>
      </c>
      <c r="E2423">
        <f>IF(C2423&lt;'user input'!$C$12,(D2423-D2422)*'user input'!$C$17*(1-EXP(5*(F2422-'user input'!$C$17))),F2423-F2422)</f>
        <v>3.703365830982726E-5</v>
      </c>
      <c r="F2423">
        <f>IF(C2423&lt;'user input'!$C$12,IF(B2423&gt;'user input'!$C$6,0,F2422+E2423),'user input'!$C$17*((1-C2423)/(1-'user input'!$C$12)))</f>
        <v>2.8660642515367103</v>
      </c>
    </row>
    <row r="2424" spans="1:6" x14ac:dyDescent="0.2">
      <c r="A2424" s="1">
        <v>42600</v>
      </c>
      <c r="B2424">
        <v>232</v>
      </c>
      <c r="C2424">
        <f>IF(B2424&gt;'user input'!$C$6,0,IF('heat units'!H2424&gt;1,1,'heat units'!H2424))</f>
        <v>0.90486111111111101</v>
      </c>
      <c r="D2424">
        <f>IF(B2424&gt;'user input'!$C$6,0,(C2424/(C2424+EXP('user input'!$C$15-'user input'!$C$14*C2424))))</f>
        <v>0.99987116610673954</v>
      </c>
      <c r="E2424">
        <f>IF(C2424&lt;'user input'!$C$12,(D2424-D2423)*'user input'!$C$17*(1-EXP(5*(F2423-'user input'!$C$17))),F2424-F2423)</f>
        <v>-1.1897584870039779E-2</v>
      </c>
      <c r="F2424">
        <f>IF(C2424&lt;'user input'!$C$12,IF(B2424&gt;'user input'!$C$6,0,F2423+E2424),'user input'!$C$17*((1-C2424)/(1-'user input'!$C$12)))</f>
        <v>2.8541666666666705</v>
      </c>
    </row>
    <row r="2425" spans="1:6" x14ac:dyDescent="0.2">
      <c r="A2425" s="1">
        <v>42601</v>
      </c>
      <c r="B2425">
        <v>233</v>
      </c>
      <c r="C2425">
        <f>IF(B2425&gt;'user input'!$C$6,0,IF('heat units'!H2425&gt;1,1,'heat units'!H2425))</f>
        <v>0.91666666666666663</v>
      </c>
      <c r="D2425">
        <f>IF(B2425&gt;'user input'!$C$6,0,(C2425/(C2425+EXP('user input'!$C$15-'user input'!$C$14*C2425))))</f>
        <v>0.99989141219145339</v>
      </c>
      <c r="E2425">
        <f>IF(C2425&lt;'user input'!$C$12,(D2425-D2424)*'user input'!$C$17*(1-EXP(5*(F2424-'user input'!$C$17))),F2425-F2424)</f>
        <v>-0.35416666666666874</v>
      </c>
      <c r="F2425">
        <f>IF(C2425&lt;'user input'!$C$12,IF(B2425&gt;'user input'!$C$6,0,F2424+E2425),'user input'!$C$17*((1-C2425)/(1-'user input'!$C$12)))</f>
        <v>2.5000000000000018</v>
      </c>
    </row>
    <row r="2426" spans="1:6" x14ac:dyDescent="0.2">
      <c r="A2426" s="1">
        <v>42602</v>
      </c>
      <c r="B2426">
        <v>234</v>
      </c>
      <c r="C2426">
        <f>IF(B2426&gt;'user input'!$C$6,0,IF('heat units'!H2426&gt;1,1,'heat units'!H2426))</f>
        <v>0.92638888888888893</v>
      </c>
      <c r="D2426">
        <f>IF(B2426&gt;'user input'!$C$6,0,(C2426/(C2426+EXP('user input'!$C$15-'user input'!$C$14*C2426))))</f>
        <v>0.99990566173121787</v>
      </c>
      <c r="E2426">
        <f>IF(C2426&lt;'user input'!$C$12,(D2426-D2425)*'user input'!$C$17*(1-EXP(5*(F2425-'user input'!$C$17))),F2426-F2425)</f>
        <v>-0.29166666666666918</v>
      </c>
      <c r="F2426">
        <f>IF(C2426&lt;'user input'!$C$12,IF(B2426&gt;'user input'!$C$6,0,F2425+E2426),'user input'!$C$17*((1-C2426)/(1-'user input'!$C$12)))</f>
        <v>2.2083333333333326</v>
      </c>
    </row>
    <row r="2427" spans="1:6" x14ac:dyDescent="0.2">
      <c r="A2427" s="1">
        <v>42603</v>
      </c>
      <c r="B2427">
        <v>235</v>
      </c>
      <c r="C2427">
        <f>IF(B2427&gt;'user input'!$C$6,0,IF('heat units'!H2427&gt;1,1,'heat units'!H2427))</f>
        <v>0.93310185185185202</v>
      </c>
      <c r="D2427">
        <f>IF(B2427&gt;'user input'!$C$6,0,(C2427/(C2427+EXP('user input'!$C$15-'user input'!$C$14*C2427))))</f>
        <v>0.99991438851699954</v>
      </c>
      <c r="E2427">
        <f>IF(C2427&lt;'user input'!$C$12,(D2427-D2426)*'user input'!$C$17*(1-EXP(5*(F2426-'user input'!$C$17))),F2427-F2426)</f>
        <v>-0.20138888888889284</v>
      </c>
      <c r="F2427">
        <f>IF(C2427&lt;'user input'!$C$12,IF(B2427&gt;'user input'!$C$6,0,F2426+E2427),'user input'!$C$17*((1-C2427)/(1-'user input'!$C$12)))</f>
        <v>2.0069444444444398</v>
      </c>
    </row>
    <row r="2428" spans="1:6" x14ac:dyDescent="0.2">
      <c r="A2428" s="1">
        <v>42604</v>
      </c>
      <c r="B2428">
        <v>236</v>
      </c>
      <c r="C2428">
        <f>IF(B2428&gt;'user input'!$C$6,0,IF('heat units'!H2428&gt;1,1,'heat units'!H2428))</f>
        <v>0.93819444444444455</v>
      </c>
      <c r="D2428">
        <f>IF(B2428&gt;'user input'!$C$6,0,(C2428/(C2428+EXP('user input'!$C$15-'user input'!$C$14*C2428))))</f>
        <v>0.99992046350094255</v>
      </c>
      <c r="E2428">
        <f>IF(C2428&lt;'user input'!$C$12,(D2428-D2427)*'user input'!$C$17*(1-EXP(5*(F2427-'user input'!$C$17))),F2428-F2427)</f>
        <v>-0.1527777777777759</v>
      </c>
      <c r="F2428">
        <f>IF(C2428&lt;'user input'!$C$12,IF(B2428&gt;'user input'!$C$6,0,F2427+E2428),'user input'!$C$17*((1-C2428)/(1-'user input'!$C$12)))</f>
        <v>1.8541666666666639</v>
      </c>
    </row>
    <row r="2429" spans="1:6" x14ac:dyDescent="0.2">
      <c r="A2429" s="1">
        <v>42605</v>
      </c>
      <c r="B2429">
        <v>237</v>
      </c>
      <c r="C2429">
        <f>IF(B2429&gt;'user input'!$C$6,0,IF('heat units'!H2429&gt;1,1,'heat units'!H2429))</f>
        <v>0.94444444444444453</v>
      </c>
      <c r="D2429">
        <f>IF(B2429&gt;'user input'!$C$6,0,(C2429/(C2429+EXP('user input'!$C$15-'user input'!$C$14*C2429))))</f>
        <v>0.99992733032081704</v>
      </c>
      <c r="E2429">
        <f>IF(C2429&lt;'user input'!$C$12,(D2429-D2428)*'user input'!$C$17*(1-EXP(5*(F2428-'user input'!$C$17))),F2429-F2428)</f>
        <v>-0.18749999999999956</v>
      </c>
      <c r="F2429">
        <f>IF(C2429&lt;'user input'!$C$12,IF(B2429&gt;'user input'!$C$6,0,F2428+E2429),'user input'!$C$17*((1-C2429)/(1-'user input'!$C$12)))</f>
        <v>1.6666666666666643</v>
      </c>
    </row>
    <row r="2430" spans="1:6" x14ac:dyDescent="0.2">
      <c r="A2430" s="1">
        <v>42606</v>
      </c>
      <c r="B2430">
        <v>238</v>
      </c>
      <c r="C2430">
        <f>IF(B2430&gt;'user input'!$C$6,0,IF('heat units'!H2430&gt;1,1,'heat units'!H2430))</f>
        <v>0.95324074074074094</v>
      </c>
      <c r="D2430">
        <f>IF(B2430&gt;'user input'!$C$6,0,(C2430/(C2430+EXP('user input'!$C$15-'user input'!$C$14*C2430))))</f>
        <v>0.99993599764034236</v>
      </c>
      <c r="E2430">
        <f>IF(C2430&lt;'user input'!$C$12,(D2430-D2429)*'user input'!$C$17*(1-EXP(5*(F2429-'user input'!$C$17))),F2430-F2429)</f>
        <v>-0.26388888888889239</v>
      </c>
      <c r="F2430">
        <f>IF(C2430&lt;'user input'!$C$12,IF(B2430&gt;'user input'!$C$6,0,F2429+E2430),'user input'!$C$17*((1-C2430)/(1-'user input'!$C$12)))</f>
        <v>1.4027777777777719</v>
      </c>
    </row>
    <row r="2431" spans="1:6" x14ac:dyDescent="0.2">
      <c r="A2431" s="1">
        <v>42607</v>
      </c>
      <c r="B2431">
        <v>239</v>
      </c>
      <c r="C2431">
        <f>IF(B2431&gt;'user input'!$C$6,0,IF('heat units'!H2431&gt;1,1,'heat units'!H2431))</f>
        <v>0.96412037037037068</v>
      </c>
      <c r="D2431">
        <f>IF(B2431&gt;'user input'!$C$6,0,(C2431/(C2431+EXP('user input'!$C$15-'user input'!$C$14*C2431))))</f>
        <v>0.9999452951747837</v>
      </c>
      <c r="E2431">
        <f>IF(C2431&lt;'user input'!$C$12,(D2431-D2430)*'user input'!$C$17*(1-EXP(5*(F2430-'user input'!$C$17))),F2431-F2430)</f>
        <v>-0.32638888888889217</v>
      </c>
      <c r="F2431">
        <f>IF(C2431&lt;'user input'!$C$12,IF(B2431&gt;'user input'!$C$6,0,F2430+E2431),'user input'!$C$17*((1-C2431)/(1-'user input'!$C$12)))</f>
        <v>1.0763888888888797</v>
      </c>
    </row>
    <row r="2432" spans="1:6" x14ac:dyDescent="0.2">
      <c r="A2432" s="1">
        <v>42608</v>
      </c>
      <c r="B2432">
        <v>240</v>
      </c>
      <c r="C2432">
        <f>IF(B2432&gt;'user input'!$C$6,0,IF('heat units'!H2432&gt;1,1,'heat units'!H2432))</f>
        <v>0.97199074074074099</v>
      </c>
      <c r="D2432">
        <f>IF(B2432&gt;'user input'!$C$6,0,(C2432/(C2432+EXP('user input'!$C$15-'user input'!$C$14*C2432))))</f>
        <v>0.99995116343749102</v>
      </c>
      <c r="E2432">
        <f>IF(C2432&lt;'user input'!$C$12,(D2432-D2431)*'user input'!$C$17*(1-EXP(5*(F2431-'user input'!$C$17))),F2432-F2431)</f>
        <v>-0.23611111111110916</v>
      </c>
      <c r="F2432">
        <f>IF(C2432&lt;'user input'!$C$12,IF(B2432&gt;'user input'!$C$6,0,F2431+E2432),'user input'!$C$17*((1-C2432)/(1-'user input'!$C$12)))</f>
        <v>0.84027777777777057</v>
      </c>
    </row>
    <row r="2433" spans="1:6" x14ac:dyDescent="0.2">
      <c r="A2433" s="1">
        <v>42609</v>
      </c>
      <c r="B2433">
        <v>241</v>
      </c>
      <c r="C2433">
        <f>IF(B2433&gt;'user input'!$C$6,0,IF('heat units'!H2433&gt;1,1,'heat units'!H2433))</f>
        <v>0.97916666666666685</v>
      </c>
      <c r="D2433">
        <f>IF(B2433&gt;'user input'!$C$6,0,(C2433/(C2433+EXP('user input'!$C$15-'user input'!$C$14*C2433))))</f>
        <v>0.99995596100370165</v>
      </c>
      <c r="E2433">
        <f>IF(C2433&lt;'user input'!$C$12,(D2433-D2432)*'user input'!$C$17*(1-EXP(5*(F2432-'user input'!$C$17))),F2433-F2432)</f>
        <v>-0.2152777777777759</v>
      </c>
      <c r="F2433">
        <f>IF(C2433&lt;'user input'!$C$12,IF(B2433&gt;'user input'!$C$6,0,F2432+E2433),'user input'!$C$17*((1-C2433)/(1-'user input'!$C$12)))</f>
        <v>0.62499999999999467</v>
      </c>
    </row>
    <row r="2434" spans="1:6" x14ac:dyDescent="0.2">
      <c r="A2434" s="1">
        <v>42610</v>
      </c>
      <c r="B2434">
        <v>242</v>
      </c>
      <c r="C2434">
        <f>IF(B2434&gt;'user input'!$C$6,0,IF('heat units'!H2434&gt;1,1,'heat units'!H2434))</f>
        <v>0.98657407407407427</v>
      </c>
      <c r="D2434">
        <f>IF(B2434&gt;'user input'!$C$6,0,(C2434/(C2434+EXP('user input'!$C$15-'user input'!$C$14*C2434))))</f>
        <v>0.99996041730590446</v>
      </c>
      <c r="E2434">
        <f>IF(C2434&lt;'user input'!$C$12,(D2434-D2433)*'user input'!$C$17*(1-EXP(5*(F2433-'user input'!$C$17))),F2434-F2433)</f>
        <v>-0.22222222222222265</v>
      </c>
      <c r="F2434">
        <f>IF(C2434&lt;'user input'!$C$12,IF(B2434&gt;'user input'!$C$6,0,F2433+E2434),'user input'!$C$17*((1-C2434)/(1-'user input'!$C$12)))</f>
        <v>0.40277777777777202</v>
      </c>
    </row>
    <row r="2435" spans="1:6" x14ac:dyDescent="0.2">
      <c r="A2435" s="1">
        <v>42611</v>
      </c>
      <c r="B2435">
        <v>243</v>
      </c>
      <c r="C2435">
        <f>IF(B2435&gt;'user input'!$C$6,0,IF('heat units'!H2435&gt;1,1,'heat units'!H2435))</f>
        <v>0.99675925925925946</v>
      </c>
      <c r="D2435">
        <f>IF(B2435&gt;'user input'!$C$6,0,(C2435/(C2435+EXP('user input'!$C$15-'user input'!$C$14*C2435))))</f>
        <v>0.99996581478233559</v>
      </c>
      <c r="E2435">
        <f>IF(C2435&lt;'user input'!$C$12,(D2435-D2434)*'user input'!$C$17*(1-EXP(5*(F2434-'user input'!$C$17))),F2435-F2434)</f>
        <v>-0.30555555555555569</v>
      </c>
      <c r="F2435">
        <f>IF(C2435&lt;'user input'!$C$12,IF(B2435&gt;'user input'!$C$6,0,F2434+E2435),'user input'!$C$17*((1-C2435)/(1-'user input'!$C$12)))</f>
        <v>9.7222222222216353E-2</v>
      </c>
    </row>
    <row r="2436" spans="1:6" x14ac:dyDescent="0.2">
      <c r="A2436" s="1">
        <v>42612</v>
      </c>
      <c r="B2436">
        <v>244</v>
      </c>
      <c r="C2436">
        <f>IF(B2436&gt;'user input'!$C$6,0,IF('heat units'!H2436&gt;1,1,'heat units'!H2436))</f>
        <v>1</v>
      </c>
      <c r="D2436">
        <f>IF(B2436&gt;'user input'!$C$6,0,(C2436/(C2436+EXP('user input'!$C$15-'user input'!$C$14*C2436))))</f>
        <v>0.99996737202265329</v>
      </c>
      <c r="E2436">
        <f>IF(C2436&lt;'user input'!$C$12,(D2436-D2435)*'user input'!$C$17*(1-EXP(5*(F2435-'user input'!$C$17))),F2436-F2435)</f>
        <v>-9.7222222222216353E-2</v>
      </c>
      <c r="F2436">
        <f>IF(C2436&lt;'user input'!$C$12,IF(B2436&gt;'user input'!$C$6,0,F2435+E2436),'user input'!$C$17*((1-C2436)/(1-'user input'!$C$12)))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36"/>
  <sheetViews>
    <sheetView workbookViewId="0">
      <selection activeCell="F2" sqref="F2"/>
    </sheetView>
  </sheetViews>
  <sheetFormatPr baseColWidth="10" defaultColWidth="8.83203125" defaultRowHeight="15" x14ac:dyDescent="0.2"/>
  <sheetData>
    <row r="1" spans="1:6" x14ac:dyDescent="0.2">
      <c r="C1" t="s">
        <v>4</v>
      </c>
      <c r="F1" t="s">
        <v>32</v>
      </c>
    </row>
    <row r="2" spans="1:6" x14ac:dyDescent="0.2">
      <c r="A2" t="s">
        <v>0</v>
      </c>
      <c r="B2" t="s">
        <v>1</v>
      </c>
      <c r="C2" t="s">
        <v>5</v>
      </c>
      <c r="D2" t="s">
        <v>26</v>
      </c>
      <c r="E2" t="s">
        <v>29</v>
      </c>
      <c r="F2" s="3" t="s">
        <v>31</v>
      </c>
    </row>
    <row r="3" spans="1:6" x14ac:dyDescent="0.2">
      <c r="A3" s="1">
        <v>40179</v>
      </c>
      <c r="B3">
        <v>1</v>
      </c>
      <c r="C3">
        <f>'weather data'!E3</f>
        <v>4.9911111111111106</v>
      </c>
      <c r="D3">
        <f>LAI!F3</f>
        <v>0</v>
      </c>
      <c r="E3">
        <f>0.5*C3*(1-EXP(-'user input'!$C$19*D3))</f>
        <v>0</v>
      </c>
      <c r="F3">
        <f>E3*'user input'!$C$21</f>
        <v>0</v>
      </c>
    </row>
    <row r="4" spans="1:6" x14ac:dyDescent="0.2">
      <c r="A4" s="1">
        <v>40180</v>
      </c>
      <c r="B4">
        <v>2</v>
      </c>
      <c r="C4">
        <f>'weather data'!E4</f>
        <v>5.0022222222222226</v>
      </c>
      <c r="D4">
        <f>LAI!F4</f>
        <v>0</v>
      </c>
      <c r="E4">
        <f>0.5*C4*(1-EXP(-'user input'!$C$19*D4))</f>
        <v>0</v>
      </c>
      <c r="F4">
        <f>E4*'user input'!$C$21</f>
        <v>0</v>
      </c>
    </row>
    <row r="5" spans="1:6" x14ac:dyDescent="0.2">
      <c r="A5" s="1">
        <v>40181</v>
      </c>
      <c r="B5">
        <v>3</v>
      </c>
      <c r="C5">
        <f>'weather data'!E5</f>
        <v>5.4333333333333336</v>
      </c>
      <c r="D5">
        <f>LAI!F5</f>
        <v>0</v>
      </c>
      <c r="E5">
        <f>0.5*C5*(1-EXP(-'user input'!$C$19*D5))</f>
        <v>0</v>
      </c>
      <c r="F5">
        <f>E5*'user input'!$C$21</f>
        <v>0</v>
      </c>
    </row>
    <row r="6" spans="1:6" x14ac:dyDescent="0.2">
      <c r="A6" s="1">
        <v>40182</v>
      </c>
      <c r="B6">
        <v>4</v>
      </c>
      <c r="C6">
        <f>'weather data'!E6</f>
        <v>5.8600000000000012</v>
      </c>
      <c r="D6">
        <f>LAI!F6</f>
        <v>0</v>
      </c>
      <c r="E6">
        <f>0.5*C6*(1-EXP(-'user input'!$C$19*D6))</f>
        <v>0</v>
      </c>
      <c r="F6">
        <f>E6*'user input'!$C$21</f>
        <v>0</v>
      </c>
    </row>
    <row r="7" spans="1:6" x14ac:dyDescent="0.2">
      <c r="A7" s="1">
        <v>40183</v>
      </c>
      <c r="B7">
        <v>5</v>
      </c>
      <c r="C7">
        <f>'weather data'!E7</f>
        <v>5.8844444444444459</v>
      </c>
      <c r="D7">
        <f>LAI!F7</f>
        <v>0</v>
      </c>
      <c r="E7">
        <f>0.5*C7*(1-EXP(-'user input'!$C$19*D7))</f>
        <v>0</v>
      </c>
      <c r="F7">
        <f>E7*'user input'!$C$21</f>
        <v>0</v>
      </c>
    </row>
    <row r="8" spans="1:6" x14ac:dyDescent="0.2">
      <c r="A8" s="1">
        <v>40184</v>
      </c>
      <c r="B8">
        <v>6</v>
      </c>
      <c r="C8">
        <f>'weather data'!E8</f>
        <v>5.9622222222222225</v>
      </c>
      <c r="D8">
        <f>LAI!F8</f>
        <v>0</v>
      </c>
      <c r="E8">
        <f>0.5*C8*(1-EXP(-'user input'!$C$19*D8))</f>
        <v>0</v>
      </c>
      <c r="F8">
        <f>E8*'user input'!$C$21</f>
        <v>0</v>
      </c>
    </row>
    <row r="9" spans="1:6" x14ac:dyDescent="0.2">
      <c r="A9" s="1">
        <v>40185</v>
      </c>
      <c r="B9">
        <v>7</v>
      </c>
      <c r="C9">
        <f>'weather data'!E9</f>
        <v>6.1066666666666682</v>
      </c>
      <c r="D9">
        <f>LAI!F9</f>
        <v>0</v>
      </c>
      <c r="E9">
        <f>0.5*C9*(1-EXP(-'user input'!$C$19*D9))</f>
        <v>0</v>
      </c>
      <c r="F9">
        <f>E9*'user input'!$C$21</f>
        <v>0</v>
      </c>
    </row>
    <row r="10" spans="1:6" x14ac:dyDescent="0.2">
      <c r="A10" s="1">
        <v>40186</v>
      </c>
      <c r="B10">
        <v>8</v>
      </c>
      <c r="C10">
        <f>'weather data'!E10</f>
        <v>6.2755555555555587</v>
      </c>
      <c r="D10">
        <f>LAI!F10</f>
        <v>0</v>
      </c>
      <c r="E10">
        <f>0.5*C10*(1-EXP(-'user input'!$C$19*D10))</f>
        <v>0</v>
      </c>
      <c r="F10">
        <f>E10*'user input'!$C$21</f>
        <v>0</v>
      </c>
    </row>
    <row r="11" spans="1:6" x14ac:dyDescent="0.2">
      <c r="A11" s="1">
        <v>40187</v>
      </c>
      <c r="B11">
        <v>9</v>
      </c>
      <c r="C11">
        <f>'weather data'!E11</f>
        <v>6.2377777777777776</v>
      </c>
      <c r="D11">
        <f>LAI!F11</f>
        <v>0</v>
      </c>
      <c r="E11">
        <f>0.5*C11*(1-EXP(-'user input'!$C$19*D11))</f>
        <v>0</v>
      </c>
      <c r="F11">
        <f>E11*'user input'!$C$21</f>
        <v>0</v>
      </c>
    </row>
    <row r="12" spans="1:6" x14ac:dyDescent="0.2">
      <c r="A12" s="1">
        <v>40188</v>
      </c>
      <c r="B12">
        <v>10</v>
      </c>
      <c r="C12">
        <f>'weather data'!E12</f>
        <v>6.6755555555555537</v>
      </c>
      <c r="D12">
        <f>LAI!F12</f>
        <v>0</v>
      </c>
      <c r="E12">
        <f>0.5*C12*(1-EXP(-'user input'!$C$19*D12))</f>
        <v>0</v>
      </c>
      <c r="F12">
        <f>E12*'user input'!$C$21</f>
        <v>0</v>
      </c>
    </row>
    <row r="13" spans="1:6" x14ac:dyDescent="0.2">
      <c r="A13" s="1">
        <v>40189</v>
      </c>
      <c r="B13">
        <v>11</v>
      </c>
      <c r="C13">
        <f>'weather data'!E13</f>
        <v>5.9155555555555575</v>
      </c>
      <c r="D13">
        <f>LAI!F13</f>
        <v>0</v>
      </c>
      <c r="E13">
        <f>0.5*C13*(1-EXP(-'user input'!$C$19*D13))</f>
        <v>0</v>
      </c>
      <c r="F13">
        <f>E13*'user input'!$C$21</f>
        <v>0</v>
      </c>
    </row>
    <row r="14" spans="1:6" x14ac:dyDescent="0.2">
      <c r="A14" s="1">
        <v>40190</v>
      </c>
      <c r="B14">
        <v>12</v>
      </c>
      <c r="C14">
        <f>'weather data'!E14</f>
        <v>5.7666666666666666</v>
      </c>
      <c r="D14">
        <f>LAI!F14</f>
        <v>0</v>
      </c>
      <c r="E14">
        <f>0.5*C14*(1-EXP(-'user input'!$C$19*D14))</f>
        <v>0</v>
      </c>
      <c r="F14">
        <f>E14*'user input'!$C$21</f>
        <v>0</v>
      </c>
    </row>
    <row r="15" spans="1:6" x14ac:dyDescent="0.2">
      <c r="A15" s="1">
        <v>40191</v>
      </c>
      <c r="B15">
        <v>13</v>
      </c>
      <c r="C15">
        <f>'weather data'!E15</f>
        <v>6.44</v>
      </c>
      <c r="D15">
        <f>LAI!F15</f>
        <v>0</v>
      </c>
      <c r="E15">
        <f>0.5*C15*(1-EXP(-'user input'!$C$19*D15))</f>
        <v>0</v>
      </c>
      <c r="F15">
        <f>E15*'user input'!$C$21</f>
        <v>0</v>
      </c>
    </row>
    <row r="16" spans="1:6" x14ac:dyDescent="0.2">
      <c r="A16" s="1">
        <v>40192</v>
      </c>
      <c r="B16">
        <v>14</v>
      </c>
      <c r="C16">
        <f>'weather data'!E16</f>
        <v>6.0333333333333332</v>
      </c>
      <c r="D16">
        <f>LAI!F16</f>
        <v>0</v>
      </c>
      <c r="E16">
        <f>0.5*C16*(1-EXP(-'user input'!$C$19*D16))</f>
        <v>0</v>
      </c>
      <c r="F16">
        <f>E16*'user input'!$C$21</f>
        <v>0</v>
      </c>
    </row>
    <row r="17" spans="1:6" x14ac:dyDescent="0.2">
      <c r="A17" s="1">
        <v>40193</v>
      </c>
      <c r="B17">
        <v>15</v>
      </c>
      <c r="C17">
        <f>'weather data'!E17</f>
        <v>6.6888888888888864</v>
      </c>
      <c r="D17">
        <f>LAI!F17</f>
        <v>0</v>
      </c>
      <c r="E17">
        <f>0.5*C17*(1-EXP(-'user input'!$C$19*D17))</f>
        <v>0</v>
      </c>
      <c r="F17">
        <f>E17*'user input'!$C$21</f>
        <v>0</v>
      </c>
    </row>
    <row r="18" spans="1:6" x14ac:dyDescent="0.2">
      <c r="A18" s="1">
        <v>40194</v>
      </c>
      <c r="B18">
        <v>16</v>
      </c>
      <c r="C18">
        <f>'weather data'!E18</f>
        <v>6.5733333333333333</v>
      </c>
      <c r="D18">
        <f>LAI!F18</f>
        <v>0</v>
      </c>
      <c r="E18">
        <f>0.5*C18*(1-EXP(-'user input'!$C$19*D18))</f>
        <v>0</v>
      </c>
      <c r="F18">
        <f>E18*'user input'!$C$21</f>
        <v>0</v>
      </c>
    </row>
    <row r="19" spans="1:6" x14ac:dyDescent="0.2">
      <c r="A19" s="1">
        <v>40195</v>
      </c>
      <c r="B19">
        <v>17</v>
      </c>
      <c r="C19">
        <f>'weather data'!E19</f>
        <v>6.46</v>
      </c>
      <c r="D19">
        <f>LAI!F19</f>
        <v>0</v>
      </c>
      <c r="E19">
        <f>0.5*C19*(1-EXP(-'user input'!$C$19*D19))</f>
        <v>0</v>
      </c>
      <c r="F19">
        <f>E19*'user input'!$C$21</f>
        <v>0</v>
      </c>
    </row>
    <row r="20" spans="1:6" x14ac:dyDescent="0.2">
      <c r="A20" s="1">
        <v>40196</v>
      </c>
      <c r="B20">
        <v>18</v>
      </c>
      <c r="C20">
        <f>'weather data'!E20</f>
        <v>6.8355555555555547</v>
      </c>
      <c r="D20">
        <f>LAI!F20</f>
        <v>0</v>
      </c>
      <c r="E20">
        <f>0.5*C20*(1-EXP(-'user input'!$C$19*D20))</f>
        <v>0</v>
      </c>
      <c r="F20">
        <f>E20*'user input'!$C$21</f>
        <v>0</v>
      </c>
    </row>
    <row r="21" spans="1:6" x14ac:dyDescent="0.2">
      <c r="A21" s="1">
        <v>40197</v>
      </c>
      <c r="B21">
        <v>19</v>
      </c>
      <c r="C21">
        <f>'weather data'!E21</f>
        <v>6.5555555555555554</v>
      </c>
      <c r="D21">
        <f>LAI!F21</f>
        <v>0</v>
      </c>
      <c r="E21">
        <f>0.5*C21*(1-EXP(-'user input'!$C$19*D21))</f>
        <v>0</v>
      </c>
      <c r="F21">
        <f>E21*'user input'!$C$21</f>
        <v>0</v>
      </c>
    </row>
    <row r="22" spans="1:6" x14ac:dyDescent="0.2">
      <c r="A22" s="1">
        <v>40198</v>
      </c>
      <c r="B22">
        <v>20</v>
      </c>
      <c r="C22">
        <f>'weather data'!E22</f>
        <v>6.5533333333333337</v>
      </c>
      <c r="D22">
        <f>LAI!F22</f>
        <v>0</v>
      </c>
      <c r="E22">
        <f>0.5*C22*(1-EXP(-'user input'!$C$19*D22))</f>
        <v>0</v>
      </c>
      <c r="F22">
        <f>E22*'user input'!$C$21</f>
        <v>0</v>
      </c>
    </row>
    <row r="23" spans="1:6" x14ac:dyDescent="0.2">
      <c r="A23" s="1">
        <v>40199</v>
      </c>
      <c r="B23">
        <v>21</v>
      </c>
      <c r="C23">
        <f>'weather data'!E23</f>
        <v>6.5222222222222221</v>
      </c>
      <c r="D23">
        <f>LAI!F23</f>
        <v>0</v>
      </c>
      <c r="E23">
        <f>0.5*C23*(1-EXP(-'user input'!$C$19*D23))</f>
        <v>0</v>
      </c>
      <c r="F23">
        <f>E23*'user input'!$C$21</f>
        <v>0</v>
      </c>
    </row>
    <row r="24" spans="1:6" x14ac:dyDescent="0.2">
      <c r="A24" s="1">
        <v>40200</v>
      </c>
      <c r="B24">
        <v>22</v>
      </c>
      <c r="C24">
        <f>'weather data'!E24</f>
        <v>6.1199999999999992</v>
      </c>
      <c r="D24">
        <f>LAI!F24</f>
        <v>0</v>
      </c>
      <c r="E24">
        <f>0.5*C24*(1-EXP(-'user input'!$C$19*D24))</f>
        <v>0</v>
      </c>
      <c r="F24">
        <f>E24*'user input'!$C$21</f>
        <v>0</v>
      </c>
    </row>
    <row r="25" spans="1:6" x14ac:dyDescent="0.2">
      <c r="A25" s="1">
        <v>40201</v>
      </c>
      <c r="B25">
        <v>23</v>
      </c>
      <c r="C25">
        <f>'weather data'!E25</f>
        <v>7.2466666666666661</v>
      </c>
      <c r="D25">
        <f>LAI!F25</f>
        <v>0</v>
      </c>
      <c r="E25">
        <f>0.5*C25*(1-EXP(-'user input'!$C$19*D25))</f>
        <v>0</v>
      </c>
      <c r="F25">
        <f>E25*'user input'!$C$21</f>
        <v>0</v>
      </c>
    </row>
    <row r="26" spans="1:6" x14ac:dyDescent="0.2">
      <c r="A26" s="1">
        <v>40202</v>
      </c>
      <c r="B26">
        <v>24</v>
      </c>
      <c r="C26">
        <f>'weather data'!E26</f>
        <v>6.8688888888888879</v>
      </c>
      <c r="D26">
        <f>LAI!F26</f>
        <v>0</v>
      </c>
      <c r="E26">
        <f>0.5*C26*(1-EXP(-'user input'!$C$19*D26))</f>
        <v>0</v>
      </c>
      <c r="F26">
        <f>E26*'user input'!$C$21</f>
        <v>0</v>
      </c>
    </row>
    <row r="27" spans="1:6" x14ac:dyDescent="0.2">
      <c r="A27" s="1">
        <v>40203</v>
      </c>
      <c r="B27">
        <v>25</v>
      </c>
      <c r="C27">
        <f>'weather data'!E27</f>
        <v>7.0244444444444447</v>
      </c>
      <c r="D27">
        <f>LAI!F27</f>
        <v>0</v>
      </c>
      <c r="E27">
        <f>0.5*C27*(1-EXP(-'user input'!$C$19*D27))</f>
        <v>0</v>
      </c>
      <c r="F27">
        <f>E27*'user input'!$C$21</f>
        <v>0</v>
      </c>
    </row>
    <row r="28" spans="1:6" x14ac:dyDescent="0.2">
      <c r="A28" s="1">
        <v>40204</v>
      </c>
      <c r="B28">
        <v>26</v>
      </c>
      <c r="C28">
        <f>'weather data'!E28</f>
        <v>7.3288888888888888</v>
      </c>
      <c r="D28">
        <f>LAI!F28</f>
        <v>0</v>
      </c>
      <c r="E28">
        <f>0.5*C28*(1-EXP(-'user input'!$C$19*D28))</f>
        <v>0</v>
      </c>
      <c r="F28">
        <f>E28*'user input'!$C$21</f>
        <v>0</v>
      </c>
    </row>
    <row r="29" spans="1:6" x14ac:dyDescent="0.2">
      <c r="A29" s="1">
        <v>40205</v>
      </c>
      <c r="B29">
        <v>27</v>
      </c>
      <c r="C29">
        <f>'weather data'!E29</f>
        <v>7.4177777777777756</v>
      </c>
      <c r="D29">
        <f>LAI!F29</f>
        <v>0</v>
      </c>
      <c r="E29">
        <f>0.5*C29*(1-EXP(-'user input'!$C$19*D29))</f>
        <v>0</v>
      </c>
      <c r="F29">
        <f>E29*'user input'!$C$21</f>
        <v>0</v>
      </c>
    </row>
    <row r="30" spans="1:6" x14ac:dyDescent="0.2">
      <c r="A30" s="1">
        <v>40206</v>
      </c>
      <c r="B30">
        <v>28</v>
      </c>
      <c r="C30">
        <f>'weather data'!E30</f>
        <v>7.677777777777778</v>
      </c>
      <c r="D30">
        <f>LAI!F30</f>
        <v>0</v>
      </c>
      <c r="E30">
        <f>0.5*C30*(1-EXP(-'user input'!$C$19*D30))</f>
        <v>0</v>
      </c>
      <c r="F30">
        <f>E30*'user input'!$C$21</f>
        <v>0</v>
      </c>
    </row>
    <row r="31" spans="1:6" x14ac:dyDescent="0.2">
      <c r="A31" s="1">
        <v>40207</v>
      </c>
      <c r="B31">
        <v>29</v>
      </c>
      <c r="C31">
        <f>'weather data'!E31</f>
        <v>7.3044444444444458</v>
      </c>
      <c r="D31">
        <f>LAI!F31</f>
        <v>0</v>
      </c>
      <c r="E31">
        <f>0.5*C31*(1-EXP(-'user input'!$C$19*D31))</f>
        <v>0</v>
      </c>
      <c r="F31">
        <f>E31*'user input'!$C$21</f>
        <v>0</v>
      </c>
    </row>
    <row r="32" spans="1:6" x14ac:dyDescent="0.2">
      <c r="A32" s="1">
        <v>40208</v>
      </c>
      <c r="B32">
        <v>30</v>
      </c>
      <c r="C32">
        <f>'weather data'!E32</f>
        <v>8</v>
      </c>
      <c r="D32">
        <f>LAI!F32</f>
        <v>0</v>
      </c>
      <c r="E32">
        <f>0.5*C32*(1-EXP(-'user input'!$C$19*D32))</f>
        <v>0</v>
      </c>
      <c r="F32">
        <f>E32*'user input'!$C$21</f>
        <v>0</v>
      </c>
    </row>
    <row r="33" spans="1:6" x14ac:dyDescent="0.2">
      <c r="A33" s="1">
        <v>40209</v>
      </c>
      <c r="B33">
        <v>31</v>
      </c>
      <c r="C33">
        <f>'weather data'!E33</f>
        <v>7.6400000000000041</v>
      </c>
      <c r="D33">
        <f>LAI!F33</f>
        <v>0</v>
      </c>
      <c r="E33">
        <f>0.5*C33*(1-EXP(-'user input'!$C$19*D33))</f>
        <v>0</v>
      </c>
      <c r="F33">
        <f>E33*'user input'!$C$21</f>
        <v>0</v>
      </c>
    </row>
    <row r="34" spans="1:6" x14ac:dyDescent="0.2">
      <c r="A34" s="1">
        <v>40210</v>
      </c>
      <c r="B34">
        <v>32</v>
      </c>
      <c r="C34">
        <f>'weather data'!E34</f>
        <v>7.5244444444444474</v>
      </c>
      <c r="D34">
        <f>LAI!F34</f>
        <v>0</v>
      </c>
      <c r="E34">
        <f>0.5*C34*(1-EXP(-'user input'!$C$19*D34))</f>
        <v>0</v>
      </c>
      <c r="F34">
        <f>E34*'user input'!$C$21</f>
        <v>0</v>
      </c>
    </row>
    <row r="35" spans="1:6" x14ac:dyDescent="0.2">
      <c r="A35" s="1">
        <v>40211</v>
      </c>
      <c r="B35">
        <v>33</v>
      </c>
      <c r="C35">
        <f>'weather data'!E35</f>
        <v>7.8222222222222237</v>
      </c>
      <c r="D35">
        <f>LAI!F35</f>
        <v>0</v>
      </c>
      <c r="E35">
        <f>0.5*C35*(1-EXP(-'user input'!$C$19*D35))</f>
        <v>0</v>
      </c>
      <c r="F35">
        <f>E35*'user input'!$C$21</f>
        <v>0</v>
      </c>
    </row>
    <row r="36" spans="1:6" x14ac:dyDescent="0.2">
      <c r="A36" s="1">
        <v>40212</v>
      </c>
      <c r="B36">
        <v>34</v>
      </c>
      <c r="C36">
        <f>'weather data'!E36</f>
        <v>7.9933333333333367</v>
      </c>
      <c r="D36">
        <f>LAI!F36</f>
        <v>0</v>
      </c>
      <c r="E36">
        <f>0.5*C36*(1-EXP(-'user input'!$C$19*D36))</f>
        <v>0</v>
      </c>
      <c r="F36">
        <f>E36*'user input'!$C$21</f>
        <v>0</v>
      </c>
    </row>
    <row r="37" spans="1:6" x14ac:dyDescent="0.2">
      <c r="A37" s="1">
        <v>40213</v>
      </c>
      <c r="B37">
        <v>35</v>
      </c>
      <c r="C37">
        <f>'weather data'!E37</f>
        <v>8.8044444444444458</v>
      </c>
      <c r="D37">
        <f>LAI!F37</f>
        <v>0</v>
      </c>
      <c r="E37">
        <f>0.5*C37*(1-EXP(-'user input'!$C$19*D37))</f>
        <v>0</v>
      </c>
      <c r="F37">
        <f>E37*'user input'!$C$21</f>
        <v>0</v>
      </c>
    </row>
    <row r="38" spans="1:6" x14ac:dyDescent="0.2">
      <c r="A38" s="1">
        <v>40214</v>
      </c>
      <c r="B38">
        <v>36</v>
      </c>
      <c r="C38">
        <f>'weather data'!E38</f>
        <v>8.4622222222222199</v>
      </c>
      <c r="D38">
        <f>LAI!F38</f>
        <v>0</v>
      </c>
      <c r="E38">
        <f>0.5*C38*(1-EXP(-'user input'!$C$19*D38))</f>
        <v>0</v>
      </c>
      <c r="F38">
        <f>E38*'user input'!$C$21</f>
        <v>0</v>
      </c>
    </row>
    <row r="39" spans="1:6" x14ac:dyDescent="0.2">
      <c r="A39" s="1">
        <v>40215</v>
      </c>
      <c r="B39">
        <v>37</v>
      </c>
      <c r="C39">
        <f>'weather data'!E39</f>
        <v>8.9911111111111115</v>
      </c>
      <c r="D39">
        <f>LAI!F39</f>
        <v>0</v>
      </c>
      <c r="E39">
        <f>0.5*C39*(1-EXP(-'user input'!$C$19*D39))</f>
        <v>0</v>
      </c>
      <c r="F39">
        <f>E39*'user input'!$C$21</f>
        <v>0</v>
      </c>
    </row>
    <row r="40" spans="1:6" x14ac:dyDescent="0.2">
      <c r="A40" s="1">
        <v>40216</v>
      </c>
      <c r="B40">
        <v>38</v>
      </c>
      <c r="C40">
        <f>'weather data'!E40</f>
        <v>9.43333333333333</v>
      </c>
      <c r="D40">
        <f>LAI!F40</f>
        <v>0</v>
      </c>
      <c r="E40">
        <f>0.5*C40*(1-EXP(-'user input'!$C$19*D40))</f>
        <v>0</v>
      </c>
      <c r="F40">
        <f>E40*'user input'!$C$21</f>
        <v>0</v>
      </c>
    </row>
    <row r="41" spans="1:6" x14ac:dyDescent="0.2">
      <c r="A41" s="1">
        <v>40217</v>
      </c>
      <c r="B41">
        <v>39</v>
      </c>
      <c r="C41">
        <f>'weather data'!E41</f>
        <v>9.0800000000000036</v>
      </c>
      <c r="D41">
        <f>LAI!F41</f>
        <v>0</v>
      </c>
      <c r="E41">
        <f>0.5*C41*(1-EXP(-'user input'!$C$19*D41))</f>
        <v>0</v>
      </c>
      <c r="F41">
        <f>E41*'user input'!$C$21</f>
        <v>0</v>
      </c>
    </row>
    <row r="42" spans="1:6" x14ac:dyDescent="0.2">
      <c r="A42" s="1">
        <v>40218</v>
      </c>
      <c r="B42">
        <v>40</v>
      </c>
      <c r="C42">
        <f>'weather data'!E42</f>
        <v>9.9822222222222212</v>
      </c>
      <c r="D42">
        <f>LAI!F42</f>
        <v>0</v>
      </c>
      <c r="E42">
        <f>0.5*C42*(1-EXP(-'user input'!$C$19*D42))</f>
        <v>0</v>
      </c>
      <c r="F42">
        <f>E42*'user input'!$C$21</f>
        <v>0</v>
      </c>
    </row>
    <row r="43" spans="1:6" x14ac:dyDescent="0.2">
      <c r="A43" s="1">
        <v>40219</v>
      </c>
      <c r="B43">
        <v>41</v>
      </c>
      <c r="C43">
        <f>'weather data'!E43</f>
        <v>8.9066666666666627</v>
      </c>
      <c r="D43">
        <f>LAI!F43</f>
        <v>0</v>
      </c>
      <c r="E43">
        <f>0.5*C43*(1-EXP(-'user input'!$C$19*D43))</f>
        <v>0</v>
      </c>
      <c r="F43">
        <f>E43*'user input'!$C$21</f>
        <v>0</v>
      </c>
    </row>
    <row r="44" spans="1:6" x14ac:dyDescent="0.2">
      <c r="A44" s="1">
        <v>40220</v>
      </c>
      <c r="B44">
        <v>42</v>
      </c>
      <c r="C44">
        <f>'weather data'!E44</f>
        <v>9.7333333333333325</v>
      </c>
      <c r="D44">
        <f>LAI!F44</f>
        <v>0</v>
      </c>
      <c r="E44">
        <f>0.5*C44*(1-EXP(-'user input'!$C$19*D44))</f>
        <v>0</v>
      </c>
      <c r="F44">
        <f>E44*'user input'!$C$21</f>
        <v>0</v>
      </c>
    </row>
    <row r="45" spans="1:6" x14ac:dyDescent="0.2">
      <c r="A45" s="1">
        <v>40221</v>
      </c>
      <c r="B45">
        <v>43</v>
      </c>
      <c r="C45">
        <f>'weather data'!E45</f>
        <v>10.073333333333336</v>
      </c>
      <c r="D45">
        <f>LAI!F45</f>
        <v>0</v>
      </c>
      <c r="E45">
        <f>0.5*C45*(1-EXP(-'user input'!$C$19*D45))</f>
        <v>0</v>
      </c>
      <c r="F45">
        <f>E45*'user input'!$C$21</f>
        <v>0</v>
      </c>
    </row>
    <row r="46" spans="1:6" x14ac:dyDescent="0.2">
      <c r="A46" s="1">
        <v>40222</v>
      </c>
      <c r="B46">
        <v>44</v>
      </c>
      <c r="C46">
        <f>'weather data'!E46</f>
        <v>8.4711111111111101</v>
      </c>
      <c r="D46">
        <f>LAI!F46</f>
        <v>0</v>
      </c>
      <c r="E46">
        <f>0.5*C46*(1-EXP(-'user input'!$C$19*D46))</f>
        <v>0</v>
      </c>
      <c r="F46">
        <f>E46*'user input'!$C$21</f>
        <v>0</v>
      </c>
    </row>
    <row r="47" spans="1:6" x14ac:dyDescent="0.2">
      <c r="A47" s="1">
        <v>40223</v>
      </c>
      <c r="B47">
        <v>45</v>
      </c>
      <c r="C47">
        <f>'weather data'!E47</f>
        <v>9.2622222222222241</v>
      </c>
      <c r="D47">
        <f>LAI!F47</f>
        <v>0</v>
      </c>
      <c r="E47">
        <f>0.5*C47*(1-EXP(-'user input'!$C$19*D47))</f>
        <v>0</v>
      </c>
      <c r="F47">
        <f>E47*'user input'!$C$21</f>
        <v>0</v>
      </c>
    </row>
    <row r="48" spans="1:6" x14ac:dyDescent="0.2">
      <c r="A48" s="1">
        <v>40224</v>
      </c>
      <c r="B48">
        <v>46</v>
      </c>
      <c r="C48">
        <f>'weather data'!E48</f>
        <v>9.7844444444444445</v>
      </c>
      <c r="D48">
        <f>LAI!F48</f>
        <v>0</v>
      </c>
      <c r="E48">
        <f>0.5*C48*(1-EXP(-'user input'!$C$19*D48))</f>
        <v>0</v>
      </c>
      <c r="F48">
        <f>E48*'user input'!$C$21</f>
        <v>0</v>
      </c>
    </row>
    <row r="49" spans="1:6" x14ac:dyDescent="0.2">
      <c r="A49" s="1">
        <v>40225</v>
      </c>
      <c r="B49">
        <v>47</v>
      </c>
      <c r="C49">
        <f>'weather data'!E49</f>
        <v>10.419999999999996</v>
      </c>
      <c r="D49">
        <f>LAI!F49</f>
        <v>0</v>
      </c>
      <c r="E49">
        <f>0.5*C49*(1-EXP(-'user input'!$C$19*D49))</f>
        <v>0</v>
      </c>
      <c r="F49">
        <f>E49*'user input'!$C$21</f>
        <v>0</v>
      </c>
    </row>
    <row r="50" spans="1:6" x14ac:dyDescent="0.2">
      <c r="A50" s="1">
        <v>40226</v>
      </c>
      <c r="B50">
        <v>48</v>
      </c>
      <c r="C50">
        <f>'weather data'!E50</f>
        <v>10.89111111111111</v>
      </c>
      <c r="D50">
        <f>LAI!F50</f>
        <v>0</v>
      </c>
      <c r="E50">
        <f>0.5*C50*(1-EXP(-'user input'!$C$19*D50))</f>
        <v>0</v>
      </c>
      <c r="F50">
        <f>E50*'user input'!$C$21</f>
        <v>0</v>
      </c>
    </row>
    <row r="51" spans="1:6" x14ac:dyDescent="0.2">
      <c r="A51" s="1">
        <v>40227</v>
      </c>
      <c r="B51">
        <v>49</v>
      </c>
      <c r="C51">
        <f>'weather data'!E51</f>
        <v>8.7977777777777799</v>
      </c>
      <c r="D51">
        <f>LAI!F51</f>
        <v>0</v>
      </c>
      <c r="E51">
        <f>0.5*C51*(1-EXP(-'user input'!$C$19*D51))</f>
        <v>0</v>
      </c>
      <c r="F51">
        <f>E51*'user input'!$C$21</f>
        <v>0</v>
      </c>
    </row>
    <row r="52" spans="1:6" x14ac:dyDescent="0.2">
      <c r="A52" s="1">
        <v>40228</v>
      </c>
      <c r="B52">
        <v>50</v>
      </c>
      <c r="C52">
        <f>'weather data'!E52</f>
        <v>9.6266666666666687</v>
      </c>
      <c r="D52">
        <f>LAI!F52</f>
        <v>0</v>
      </c>
      <c r="E52">
        <f>0.5*C52*(1-EXP(-'user input'!$C$19*D52))</f>
        <v>0</v>
      </c>
      <c r="F52">
        <f>E52*'user input'!$C$21</f>
        <v>0</v>
      </c>
    </row>
    <row r="53" spans="1:6" x14ac:dyDescent="0.2">
      <c r="A53" s="1">
        <v>40229</v>
      </c>
      <c r="B53">
        <v>51</v>
      </c>
      <c r="C53">
        <f>'weather data'!E53</f>
        <v>10.488888888888887</v>
      </c>
      <c r="D53">
        <f>LAI!F53</f>
        <v>0</v>
      </c>
      <c r="E53">
        <f>0.5*C53*(1-EXP(-'user input'!$C$19*D53))</f>
        <v>0</v>
      </c>
      <c r="F53">
        <f>E53*'user input'!$C$21</f>
        <v>0</v>
      </c>
    </row>
    <row r="54" spans="1:6" x14ac:dyDescent="0.2">
      <c r="A54" s="1">
        <v>40230</v>
      </c>
      <c r="B54">
        <v>52</v>
      </c>
      <c r="C54">
        <f>'weather data'!E54</f>
        <v>10.06</v>
      </c>
      <c r="D54">
        <f>LAI!F54</f>
        <v>0</v>
      </c>
      <c r="E54">
        <f>0.5*C54*(1-EXP(-'user input'!$C$19*D54))</f>
        <v>0</v>
      </c>
      <c r="F54">
        <f>E54*'user input'!$C$21</f>
        <v>0</v>
      </c>
    </row>
    <row r="55" spans="1:6" x14ac:dyDescent="0.2">
      <c r="A55" s="1">
        <v>40231</v>
      </c>
      <c r="B55">
        <v>53</v>
      </c>
      <c r="C55">
        <f>'weather data'!E55</f>
        <v>10.406666666666665</v>
      </c>
      <c r="D55">
        <f>LAI!F55</f>
        <v>0</v>
      </c>
      <c r="E55">
        <f>0.5*C55*(1-EXP(-'user input'!$C$19*D55))</f>
        <v>0</v>
      </c>
      <c r="F55">
        <f>E55*'user input'!$C$21</f>
        <v>0</v>
      </c>
    </row>
    <row r="56" spans="1:6" x14ac:dyDescent="0.2">
      <c r="A56" s="1">
        <v>40232</v>
      </c>
      <c r="B56">
        <v>54</v>
      </c>
      <c r="C56">
        <f>'weather data'!E56</f>
        <v>10.113333333333337</v>
      </c>
      <c r="D56">
        <f>LAI!F56</f>
        <v>0</v>
      </c>
      <c r="E56">
        <f>0.5*C56*(1-EXP(-'user input'!$C$19*D56))</f>
        <v>0</v>
      </c>
      <c r="F56">
        <f>E56*'user input'!$C$21</f>
        <v>0</v>
      </c>
    </row>
    <row r="57" spans="1:6" x14ac:dyDescent="0.2">
      <c r="A57" s="1">
        <v>40233</v>
      </c>
      <c r="B57">
        <v>55</v>
      </c>
      <c r="C57">
        <f>'weather data'!E57</f>
        <v>10.037777777777777</v>
      </c>
      <c r="D57">
        <f>LAI!F57</f>
        <v>0</v>
      </c>
      <c r="E57">
        <f>0.5*C57*(1-EXP(-'user input'!$C$19*D57))</f>
        <v>0</v>
      </c>
      <c r="F57">
        <f>E57*'user input'!$C$21</f>
        <v>0</v>
      </c>
    </row>
    <row r="58" spans="1:6" x14ac:dyDescent="0.2">
      <c r="A58" s="1">
        <v>40234</v>
      </c>
      <c r="B58">
        <v>56</v>
      </c>
      <c r="C58">
        <f>'weather data'!E58</f>
        <v>11.8</v>
      </c>
      <c r="D58">
        <f>LAI!F58</f>
        <v>0</v>
      </c>
      <c r="E58">
        <f>0.5*C58*(1-EXP(-'user input'!$C$19*D58))</f>
        <v>0</v>
      </c>
      <c r="F58">
        <f>E58*'user input'!$C$21</f>
        <v>0</v>
      </c>
    </row>
    <row r="59" spans="1:6" x14ac:dyDescent="0.2">
      <c r="A59" s="1">
        <v>40235</v>
      </c>
      <c r="B59">
        <v>57</v>
      </c>
      <c r="C59">
        <f>'weather data'!E59</f>
        <v>11.313333333333336</v>
      </c>
      <c r="D59">
        <f>LAI!F59</f>
        <v>0</v>
      </c>
      <c r="E59">
        <f>0.5*C59*(1-EXP(-'user input'!$C$19*D59))</f>
        <v>0</v>
      </c>
      <c r="F59">
        <f>E59*'user input'!$C$21</f>
        <v>0</v>
      </c>
    </row>
    <row r="60" spans="1:6" x14ac:dyDescent="0.2">
      <c r="A60" s="1">
        <v>40236</v>
      </c>
      <c r="B60">
        <v>58</v>
      </c>
      <c r="C60">
        <f>'weather data'!E60</f>
        <v>11.128888888888891</v>
      </c>
      <c r="D60">
        <f>LAI!F60</f>
        <v>0</v>
      </c>
      <c r="E60">
        <f>0.5*C60*(1-EXP(-'user input'!$C$19*D60))</f>
        <v>0</v>
      </c>
      <c r="F60">
        <f>E60*'user input'!$C$21</f>
        <v>0</v>
      </c>
    </row>
    <row r="61" spans="1:6" x14ac:dyDescent="0.2">
      <c r="A61" s="1">
        <v>40237</v>
      </c>
      <c r="B61">
        <v>59</v>
      </c>
      <c r="C61">
        <f>'weather data'!E61</f>
        <v>11.87555555555555</v>
      </c>
      <c r="D61">
        <f>LAI!F61</f>
        <v>0</v>
      </c>
      <c r="E61">
        <f>0.5*C61*(1-EXP(-'user input'!$C$19*D61))</f>
        <v>0</v>
      </c>
      <c r="F61">
        <f>E61*'user input'!$C$21</f>
        <v>0</v>
      </c>
    </row>
    <row r="62" spans="1:6" x14ac:dyDescent="0.2">
      <c r="A62" s="1">
        <v>40238</v>
      </c>
      <c r="B62">
        <v>60</v>
      </c>
      <c r="C62">
        <f>'weather data'!E62</f>
        <v>11.59555555555556</v>
      </c>
      <c r="D62">
        <f>LAI!F62</f>
        <v>0</v>
      </c>
      <c r="E62">
        <f>0.5*C62*(1-EXP(-'user input'!$C$19*D62))</f>
        <v>0</v>
      </c>
      <c r="F62">
        <f>E62*'user input'!$C$21</f>
        <v>0</v>
      </c>
    </row>
    <row r="63" spans="1:6" x14ac:dyDescent="0.2">
      <c r="A63" s="1">
        <v>40239</v>
      </c>
      <c r="B63">
        <v>61</v>
      </c>
      <c r="C63">
        <f>'weather data'!E63</f>
        <v>11.271111111111111</v>
      </c>
      <c r="D63">
        <f>LAI!F63</f>
        <v>0</v>
      </c>
      <c r="E63">
        <f>0.5*C63*(1-EXP(-'user input'!$C$19*D63))</f>
        <v>0</v>
      </c>
      <c r="F63">
        <f>E63*'user input'!$C$21</f>
        <v>0</v>
      </c>
    </row>
    <row r="64" spans="1:6" x14ac:dyDescent="0.2">
      <c r="A64" s="1">
        <v>40240</v>
      </c>
      <c r="B64">
        <v>62</v>
      </c>
      <c r="C64">
        <f>'weather data'!E64</f>
        <v>11.388888888888886</v>
      </c>
      <c r="D64">
        <f>LAI!F64</f>
        <v>0</v>
      </c>
      <c r="E64">
        <f>0.5*C64*(1-EXP(-'user input'!$C$19*D64))</f>
        <v>0</v>
      </c>
      <c r="F64">
        <f>E64*'user input'!$C$21</f>
        <v>0</v>
      </c>
    </row>
    <row r="65" spans="1:6" x14ac:dyDescent="0.2">
      <c r="A65" s="1">
        <v>40241</v>
      </c>
      <c r="B65">
        <v>63</v>
      </c>
      <c r="C65">
        <f>'weather data'!E65</f>
        <v>10.191111111111111</v>
      </c>
      <c r="D65">
        <f>LAI!F65</f>
        <v>0</v>
      </c>
      <c r="E65">
        <f>0.5*C65*(1-EXP(-'user input'!$C$19*D65))</f>
        <v>0</v>
      </c>
      <c r="F65">
        <f>E65*'user input'!$C$21</f>
        <v>0</v>
      </c>
    </row>
    <row r="66" spans="1:6" x14ac:dyDescent="0.2">
      <c r="A66" s="1">
        <v>40242</v>
      </c>
      <c r="B66">
        <v>64</v>
      </c>
      <c r="C66">
        <f>'weather data'!E66</f>
        <v>11.199999999999996</v>
      </c>
      <c r="D66">
        <f>LAI!F66</f>
        <v>0</v>
      </c>
      <c r="E66">
        <f>0.5*C66*(1-EXP(-'user input'!$C$19*D66))</f>
        <v>0</v>
      </c>
      <c r="F66">
        <f>E66*'user input'!$C$21</f>
        <v>0</v>
      </c>
    </row>
    <row r="67" spans="1:6" x14ac:dyDescent="0.2">
      <c r="A67" s="1">
        <v>40243</v>
      </c>
      <c r="B67">
        <v>65</v>
      </c>
      <c r="C67">
        <f>'weather data'!E67</f>
        <v>12.780000000000003</v>
      </c>
      <c r="D67">
        <f>LAI!F67</f>
        <v>0</v>
      </c>
      <c r="E67">
        <f>0.5*C67*(1-EXP(-'user input'!$C$19*D67))</f>
        <v>0</v>
      </c>
      <c r="F67">
        <f>E67*'user input'!$C$21</f>
        <v>0</v>
      </c>
    </row>
    <row r="68" spans="1:6" x14ac:dyDescent="0.2">
      <c r="A68" s="1">
        <v>40244</v>
      </c>
      <c r="B68">
        <v>66</v>
      </c>
      <c r="C68">
        <f>'weather data'!E68</f>
        <v>13.068888888888889</v>
      </c>
      <c r="D68">
        <f>LAI!F68</f>
        <v>0</v>
      </c>
      <c r="E68">
        <f>0.5*C68*(1-EXP(-'user input'!$C$19*D68))</f>
        <v>0</v>
      </c>
      <c r="F68">
        <f>E68*'user input'!$C$21</f>
        <v>0</v>
      </c>
    </row>
    <row r="69" spans="1:6" x14ac:dyDescent="0.2">
      <c r="A69" s="1">
        <v>40245</v>
      </c>
      <c r="B69">
        <v>67</v>
      </c>
      <c r="C69">
        <f>'weather data'!E69</f>
        <v>11.393333333333333</v>
      </c>
      <c r="D69">
        <f>LAI!F69</f>
        <v>0</v>
      </c>
      <c r="E69">
        <f>0.5*C69*(1-EXP(-'user input'!$C$19*D69))</f>
        <v>0</v>
      </c>
      <c r="F69">
        <f>E69*'user input'!$C$21</f>
        <v>0</v>
      </c>
    </row>
    <row r="70" spans="1:6" x14ac:dyDescent="0.2">
      <c r="A70" s="1">
        <v>40246</v>
      </c>
      <c r="B70">
        <v>68</v>
      </c>
      <c r="C70">
        <f>'weather data'!E70</f>
        <v>12.291111111111112</v>
      </c>
      <c r="D70">
        <f>LAI!F70</f>
        <v>0</v>
      </c>
      <c r="E70">
        <f>0.5*C70*(1-EXP(-'user input'!$C$19*D70))</f>
        <v>0</v>
      </c>
      <c r="F70">
        <f>E70*'user input'!$C$21</f>
        <v>0</v>
      </c>
    </row>
    <row r="71" spans="1:6" x14ac:dyDescent="0.2">
      <c r="A71" s="1">
        <v>40247</v>
      </c>
      <c r="B71">
        <v>69</v>
      </c>
      <c r="C71">
        <f>'weather data'!E71</f>
        <v>13.813333333333336</v>
      </c>
      <c r="D71">
        <f>LAI!F71</f>
        <v>0</v>
      </c>
      <c r="E71">
        <f>0.5*C71*(1-EXP(-'user input'!$C$19*D71))</f>
        <v>0</v>
      </c>
      <c r="F71">
        <f>E71*'user input'!$C$21</f>
        <v>0</v>
      </c>
    </row>
    <row r="72" spans="1:6" x14ac:dyDescent="0.2">
      <c r="A72" s="1">
        <v>40248</v>
      </c>
      <c r="B72">
        <v>70</v>
      </c>
      <c r="C72">
        <f>'weather data'!E72</f>
        <v>12.808888888888891</v>
      </c>
      <c r="D72">
        <f>LAI!F72</f>
        <v>0</v>
      </c>
      <c r="E72">
        <f>0.5*C72*(1-EXP(-'user input'!$C$19*D72))</f>
        <v>0</v>
      </c>
      <c r="F72">
        <f>E72*'user input'!$C$21</f>
        <v>0</v>
      </c>
    </row>
    <row r="73" spans="1:6" x14ac:dyDescent="0.2">
      <c r="A73" s="1">
        <v>40249</v>
      </c>
      <c r="B73">
        <v>71</v>
      </c>
      <c r="C73">
        <f>'weather data'!E73</f>
        <v>12.691111111111107</v>
      </c>
      <c r="D73">
        <f>LAI!F73</f>
        <v>0</v>
      </c>
      <c r="E73">
        <f>0.5*C73*(1-EXP(-'user input'!$C$19*D73))</f>
        <v>0</v>
      </c>
      <c r="F73">
        <f>E73*'user input'!$C$21</f>
        <v>0</v>
      </c>
    </row>
    <row r="74" spans="1:6" x14ac:dyDescent="0.2">
      <c r="A74" s="1">
        <v>40250</v>
      </c>
      <c r="B74">
        <v>72</v>
      </c>
      <c r="C74">
        <f>'weather data'!E74</f>
        <v>11.371111111111109</v>
      </c>
      <c r="D74">
        <f>LAI!F74</f>
        <v>0</v>
      </c>
      <c r="E74">
        <f>0.5*C74*(1-EXP(-'user input'!$C$19*D74))</f>
        <v>0</v>
      </c>
      <c r="F74">
        <f>E74*'user input'!$C$21</f>
        <v>0</v>
      </c>
    </row>
    <row r="75" spans="1:6" x14ac:dyDescent="0.2">
      <c r="A75" s="1">
        <v>40251</v>
      </c>
      <c r="B75">
        <v>73</v>
      </c>
      <c r="C75">
        <f>'weather data'!E75</f>
        <v>13.164444444444442</v>
      </c>
      <c r="D75">
        <f>LAI!F75</f>
        <v>0</v>
      </c>
      <c r="E75">
        <f>0.5*C75*(1-EXP(-'user input'!$C$19*D75))</f>
        <v>0</v>
      </c>
      <c r="F75">
        <f>E75*'user input'!$C$21</f>
        <v>0</v>
      </c>
    </row>
    <row r="76" spans="1:6" x14ac:dyDescent="0.2">
      <c r="A76" s="1">
        <v>40252</v>
      </c>
      <c r="B76">
        <v>74</v>
      </c>
      <c r="C76">
        <f>'weather data'!E76</f>
        <v>12.719999999999995</v>
      </c>
      <c r="D76">
        <f>LAI!F76</f>
        <v>0</v>
      </c>
      <c r="E76">
        <f>0.5*C76*(1-EXP(-'user input'!$C$19*D76))</f>
        <v>0</v>
      </c>
      <c r="F76">
        <f>E76*'user input'!$C$21</f>
        <v>0</v>
      </c>
    </row>
    <row r="77" spans="1:6" x14ac:dyDescent="0.2">
      <c r="A77" s="1">
        <v>40253</v>
      </c>
      <c r="B77">
        <v>75</v>
      </c>
      <c r="C77">
        <f>'weather data'!E77</f>
        <v>14.366666666666664</v>
      </c>
      <c r="D77">
        <f>LAI!F77</f>
        <v>0</v>
      </c>
      <c r="E77">
        <f>0.5*C77*(1-EXP(-'user input'!$C$19*D77))</f>
        <v>0</v>
      </c>
      <c r="F77">
        <f>E77*'user input'!$C$21</f>
        <v>0</v>
      </c>
    </row>
    <row r="78" spans="1:6" x14ac:dyDescent="0.2">
      <c r="A78" s="1">
        <v>40254</v>
      </c>
      <c r="B78">
        <v>76</v>
      </c>
      <c r="C78">
        <f>'weather data'!E78</f>
        <v>13.237777777777776</v>
      </c>
      <c r="D78">
        <f>LAI!F78</f>
        <v>0</v>
      </c>
      <c r="E78">
        <f>0.5*C78*(1-EXP(-'user input'!$C$19*D78))</f>
        <v>0</v>
      </c>
      <c r="F78">
        <f>E78*'user input'!$C$21</f>
        <v>0</v>
      </c>
    </row>
    <row r="79" spans="1:6" x14ac:dyDescent="0.2">
      <c r="A79" s="1">
        <v>40255</v>
      </c>
      <c r="B79">
        <v>77</v>
      </c>
      <c r="C79">
        <f>'weather data'!E79</f>
        <v>12.584444444444451</v>
      </c>
      <c r="D79">
        <f>LAI!F79</f>
        <v>0</v>
      </c>
      <c r="E79">
        <f>0.5*C79*(1-EXP(-'user input'!$C$19*D79))</f>
        <v>0</v>
      </c>
      <c r="F79">
        <f>E79*'user input'!$C$21</f>
        <v>0</v>
      </c>
    </row>
    <row r="80" spans="1:6" x14ac:dyDescent="0.2">
      <c r="A80" s="1">
        <v>40256</v>
      </c>
      <c r="B80">
        <v>78</v>
      </c>
      <c r="C80">
        <f>'weather data'!E80</f>
        <v>12.284444444444446</v>
      </c>
      <c r="D80">
        <f>LAI!F80</f>
        <v>0</v>
      </c>
      <c r="E80">
        <f>0.5*C80*(1-EXP(-'user input'!$C$19*D80))</f>
        <v>0</v>
      </c>
      <c r="F80">
        <f>E80*'user input'!$C$21</f>
        <v>0</v>
      </c>
    </row>
    <row r="81" spans="1:6" x14ac:dyDescent="0.2">
      <c r="A81" s="1">
        <v>40257</v>
      </c>
      <c r="B81">
        <v>79</v>
      </c>
      <c r="C81">
        <f>'weather data'!E81</f>
        <v>13.337777777777776</v>
      </c>
      <c r="D81">
        <f>LAI!F81</f>
        <v>0</v>
      </c>
      <c r="E81">
        <f>0.5*C81*(1-EXP(-'user input'!$C$19*D81))</f>
        <v>0</v>
      </c>
      <c r="F81">
        <f>E81*'user input'!$C$21</f>
        <v>0</v>
      </c>
    </row>
    <row r="82" spans="1:6" x14ac:dyDescent="0.2">
      <c r="A82" s="1">
        <v>40258</v>
      </c>
      <c r="B82">
        <v>80</v>
      </c>
      <c r="C82">
        <f>'weather data'!E82</f>
        <v>15</v>
      </c>
      <c r="D82">
        <f>LAI!F82</f>
        <v>0</v>
      </c>
      <c r="E82">
        <f>0.5*C82*(1-EXP(-'user input'!$C$19*D82))</f>
        <v>0</v>
      </c>
      <c r="F82">
        <f>E82*'user input'!$C$21</f>
        <v>0</v>
      </c>
    </row>
    <row r="83" spans="1:6" x14ac:dyDescent="0.2">
      <c r="A83" s="1">
        <v>40259</v>
      </c>
      <c r="B83">
        <v>81</v>
      </c>
      <c r="C83">
        <f>'weather data'!E83</f>
        <v>14.926666666666668</v>
      </c>
      <c r="D83">
        <f>LAI!F83</f>
        <v>0</v>
      </c>
      <c r="E83">
        <f>0.5*C83*(1-EXP(-'user input'!$C$19*D83))</f>
        <v>0</v>
      </c>
      <c r="F83">
        <f>E83*'user input'!$C$21</f>
        <v>0</v>
      </c>
    </row>
    <row r="84" spans="1:6" x14ac:dyDescent="0.2">
      <c r="A84" s="1">
        <v>40260</v>
      </c>
      <c r="B84">
        <v>82</v>
      </c>
      <c r="C84">
        <f>'weather data'!E84</f>
        <v>16.43333333333333</v>
      </c>
      <c r="D84">
        <f>LAI!F84</f>
        <v>0</v>
      </c>
      <c r="E84">
        <f>0.5*C84*(1-EXP(-'user input'!$C$19*D84))</f>
        <v>0</v>
      </c>
      <c r="F84">
        <f>E84*'user input'!$C$21</f>
        <v>0</v>
      </c>
    </row>
    <row r="85" spans="1:6" x14ac:dyDescent="0.2">
      <c r="A85" s="1">
        <v>40261</v>
      </c>
      <c r="B85">
        <v>83</v>
      </c>
      <c r="C85">
        <f>'weather data'!E85</f>
        <v>14.304444444444442</v>
      </c>
      <c r="D85">
        <f>LAI!F85</f>
        <v>0</v>
      </c>
      <c r="E85">
        <f>0.5*C85*(1-EXP(-'user input'!$C$19*D85))</f>
        <v>0</v>
      </c>
      <c r="F85">
        <f>E85*'user input'!$C$21</f>
        <v>0</v>
      </c>
    </row>
    <row r="86" spans="1:6" x14ac:dyDescent="0.2">
      <c r="A86" s="1">
        <v>40262</v>
      </c>
      <c r="B86">
        <v>84</v>
      </c>
      <c r="C86">
        <f>'weather data'!E86</f>
        <v>14.604444444444443</v>
      </c>
      <c r="D86">
        <f>LAI!F86</f>
        <v>0</v>
      </c>
      <c r="E86">
        <f>0.5*C86*(1-EXP(-'user input'!$C$19*D86))</f>
        <v>0</v>
      </c>
      <c r="F86">
        <f>E86*'user input'!$C$21</f>
        <v>0</v>
      </c>
    </row>
    <row r="87" spans="1:6" x14ac:dyDescent="0.2">
      <c r="A87" s="1">
        <v>40263</v>
      </c>
      <c r="B87">
        <v>85</v>
      </c>
      <c r="C87">
        <f>'weather data'!E87</f>
        <v>15.69777777777778</v>
      </c>
      <c r="D87">
        <f>LAI!F87</f>
        <v>0</v>
      </c>
      <c r="E87">
        <f>0.5*C87*(1-EXP(-'user input'!$C$19*D87))</f>
        <v>0</v>
      </c>
      <c r="F87">
        <f>E87*'user input'!$C$21</f>
        <v>0</v>
      </c>
    </row>
    <row r="88" spans="1:6" x14ac:dyDescent="0.2">
      <c r="A88" s="1">
        <v>40264</v>
      </c>
      <c r="B88">
        <v>86</v>
      </c>
      <c r="C88">
        <f>'weather data'!E88</f>
        <v>14.977777777777776</v>
      </c>
      <c r="D88">
        <f>LAI!F88</f>
        <v>0</v>
      </c>
      <c r="E88">
        <f>0.5*C88*(1-EXP(-'user input'!$C$19*D88))</f>
        <v>0</v>
      </c>
      <c r="F88">
        <f>E88*'user input'!$C$21</f>
        <v>0</v>
      </c>
    </row>
    <row r="89" spans="1:6" x14ac:dyDescent="0.2">
      <c r="A89" s="1">
        <v>40265</v>
      </c>
      <c r="B89">
        <v>87</v>
      </c>
      <c r="C89">
        <f>'weather data'!E89</f>
        <v>12.684444444444447</v>
      </c>
      <c r="D89">
        <f>LAI!F89</f>
        <v>0</v>
      </c>
      <c r="E89">
        <f>0.5*C89*(1-EXP(-'user input'!$C$19*D89))</f>
        <v>0</v>
      </c>
      <c r="F89">
        <f>E89*'user input'!$C$21</f>
        <v>0</v>
      </c>
    </row>
    <row r="90" spans="1:6" x14ac:dyDescent="0.2">
      <c r="A90" s="1">
        <v>40266</v>
      </c>
      <c r="B90">
        <v>88</v>
      </c>
      <c r="C90">
        <f>'weather data'!E90</f>
        <v>14.022222222222222</v>
      </c>
      <c r="D90">
        <f>LAI!F90</f>
        <v>0</v>
      </c>
      <c r="E90">
        <f>0.5*C90*(1-EXP(-'user input'!$C$19*D90))</f>
        <v>0</v>
      </c>
      <c r="F90">
        <f>E90*'user input'!$C$21</f>
        <v>0</v>
      </c>
    </row>
    <row r="91" spans="1:6" x14ac:dyDescent="0.2">
      <c r="A91" s="1">
        <v>40267</v>
      </c>
      <c r="B91">
        <v>89</v>
      </c>
      <c r="C91">
        <f>'weather data'!E91</f>
        <v>15.895555555555557</v>
      </c>
      <c r="D91">
        <f>LAI!F91</f>
        <v>0</v>
      </c>
      <c r="E91">
        <f>0.5*C91*(1-EXP(-'user input'!$C$19*D91))</f>
        <v>0</v>
      </c>
      <c r="F91">
        <f>E91*'user input'!$C$21</f>
        <v>0</v>
      </c>
    </row>
    <row r="92" spans="1:6" x14ac:dyDescent="0.2">
      <c r="A92" s="1">
        <v>40268</v>
      </c>
      <c r="B92">
        <v>90</v>
      </c>
      <c r="C92">
        <f>'weather data'!E92</f>
        <v>14.608888888888893</v>
      </c>
      <c r="D92">
        <f>LAI!F92</f>
        <v>0</v>
      </c>
      <c r="E92">
        <f>0.5*C92*(1-EXP(-'user input'!$C$19*D92))</f>
        <v>0</v>
      </c>
      <c r="F92">
        <f>E92*'user input'!$C$21</f>
        <v>0</v>
      </c>
    </row>
    <row r="93" spans="1:6" x14ac:dyDescent="0.2">
      <c r="A93" s="1">
        <v>40269</v>
      </c>
      <c r="B93">
        <v>91</v>
      </c>
      <c r="C93">
        <f>'weather data'!E93</f>
        <v>13.344444444444447</v>
      </c>
      <c r="D93">
        <f>LAI!F93</f>
        <v>0</v>
      </c>
      <c r="E93">
        <f>0.5*C93*(1-EXP(-'user input'!$C$19*D93))</f>
        <v>0</v>
      </c>
      <c r="F93">
        <f>E93*'user input'!$C$21</f>
        <v>0</v>
      </c>
    </row>
    <row r="94" spans="1:6" x14ac:dyDescent="0.2">
      <c r="A94" s="1">
        <v>40270</v>
      </c>
      <c r="B94">
        <v>92</v>
      </c>
      <c r="C94">
        <f>'weather data'!E94</f>
        <v>14.593333333333337</v>
      </c>
      <c r="D94">
        <f>LAI!F94</f>
        <v>0</v>
      </c>
      <c r="E94">
        <f>0.5*C94*(1-EXP(-'user input'!$C$19*D94))</f>
        <v>0</v>
      </c>
      <c r="F94">
        <f>E94*'user input'!$C$21</f>
        <v>0</v>
      </c>
    </row>
    <row r="95" spans="1:6" x14ac:dyDescent="0.2">
      <c r="A95" s="1">
        <v>40271</v>
      </c>
      <c r="B95">
        <v>93</v>
      </c>
      <c r="C95">
        <f>'weather data'!E95</f>
        <v>13.820000000000002</v>
      </c>
      <c r="D95">
        <f>LAI!F95</f>
        <v>0</v>
      </c>
      <c r="E95">
        <f>0.5*C95*(1-EXP(-'user input'!$C$19*D95))</f>
        <v>0</v>
      </c>
      <c r="F95">
        <f>E95*'user input'!$C$21</f>
        <v>0</v>
      </c>
    </row>
    <row r="96" spans="1:6" x14ac:dyDescent="0.2">
      <c r="A96" s="1">
        <v>40272</v>
      </c>
      <c r="B96">
        <v>94</v>
      </c>
      <c r="C96">
        <f>'weather data'!E96</f>
        <v>15.273333333333332</v>
      </c>
      <c r="D96">
        <f>LAI!F96</f>
        <v>0</v>
      </c>
      <c r="E96">
        <f>0.5*C96*(1-EXP(-'user input'!$C$19*D96))</f>
        <v>0</v>
      </c>
      <c r="F96">
        <f>E96*'user input'!$C$21</f>
        <v>0</v>
      </c>
    </row>
    <row r="97" spans="1:6" x14ac:dyDescent="0.2">
      <c r="A97" s="1">
        <v>40273</v>
      </c>
      <c r="B97">
        <v>95</v>
      </c>
      <c r="C97">
        <f>'weather data'!E97</f>
        <v>14.677777777777782</v>
      </c>
      <c r="D97">
        <f>LAI!F97</f>
        <v>0</v>
      </c>
      <c r="E97">
        <f>0.5*C97*(1-EXP(-'user input'!$C$19*D97))</f>
        <v>0</v>
      </c>
      <c r="F97">
        <f>E97*'user input'!$C$21</f>
        <v>0</v>
      </c>
    </row>
    <row r="98" spans="1:6" x14ac:dyDescent="0.2">
      <c r="A98" s="1">
        <v>40274</v>
      </c>
      <c r="B98">
        <v>96</v>
      </c>
      <c r="C98">
        <f>'weather data'!E98</f>
        <v>17.008888888888887</v>
      </c>
      <c r="D98">
        <f>LAI!F98</f>
        <v>0</v>
      </c>
      <c r="E98">
        <f>0.5*C98*(1-EXP(-'user input'!$C$19*D98))</f>
        <v>0</v>
      </c>
      <c r="F98">
        <f>E98*'user input'!$C$21</f>
        <v>0</v>
      </c>
    </row>
    <row r="99" spans="1:6" x14ac:dyDescent="0.2">
      <c r="A99" s="1">
        <v>40275</v>
      </c>
      <c r="B99">
        <v>97</v>
      </c>
      <c r="C99">
        <f>'weather data'!E99</f>
        <v>16.526666666666664</v>
      </c>
      <c r="D99">
        <f>LAI!F99</f>
        <v>0</v>
      </c>
      <c r="E99">
        <f>0.5*C99*(1-EXP(-'user input'!$C$19*D99))</f>
        <v>0</v>
      </c>
      <c r="F99">
        <f>E99*'user input'!$C$21</f>
        <v>0</v>
      </c>
    </row>
    <row r="100" spans="1:6" x14ac:dyDescent="0.2">
      <c r="A100" s="1">
        <v>40276</v>
      </c>
      <c r="B100">
        <v>98</v>
      </c>
      <c r="C100">
        <f>'weather data'!E100</f>
        <v>14.875555555555552</v>
      </c>
      <c r="D100">
        <f>LAI!F100</f>
        <v>0</v>
      </c>
      <c r="E100">
        <f>0.5*C100*(1-EXP(-'user input'!$C$19*D100))</f>
        <v>0</v>
      </c>
      <c r="F100">
        <f>E100*'user input'!$C$21</f>
        <v>0</v>
      </c>
    </row>
    <row r="101" spans="1:6" x14ac:dyDescent="0.2">
      <c r="A101" s="1">
        <v>40277</v>
      </c>
      <c r="B101">
        <v>99</v>
      </c>
      <c r="C101">
        <f>'weather data'!E101</f>
        <v>17.475555555555555</v>
      </c>
      <c r="D101">
        <f>LAI!F101</f>
        <v>0</v>
      </c>
      <c r="E101">
        <f>0.5*C101*(1-EXP(-'user input'!$C$19*D101))</f>
        <v>0</v>
      </c>
      <c r="F101">
        <f>E101*'user input'!$C$21</f>
        <v>0</v>
      </c>
    </row>
    <row r="102" spans="1:6" x14ac:dyDescent="0.2">
      <c r="A102" s="1">
        <v>40278</v>
      </c>
      <c r="B102">
        <v>100</v>
      </c>
      <c r="C102">
        <f>'weather data'!E102</f>
        <v>17.055555555555557</v>
      </c>
      <c r="D102">
        <f>LAI!F102</f>
        <v>0</v>
      </c>
      <c r="E102">
        <f>0.5*C102*(1-EXP(-'user input'!$C$19*D102))</f>
        <v>0</v>
      </c>
      <c r="F102">
        <f>E102*'user input'!$C$21</f>
        <v>0</v>
      </c>
    </row>
    <row r="103" spans="1:6" x14ac:dyDescent="0.2">
      <c r="A103" s="1">
        <v>40279</v>
      </c>
      <c r="B103">
        <v>101</v>
      </c>
      <c r="C103">
        <f>'weather data'!E103</f>
        <v>15.882222222222218</v>
      </c>
      <c r="D103">
        <f>LAI!F103</f>
        <v>0</v>
      </c>
      <c r="E103">
        <f>0.5*C103*(1-EXP(-'user input'!$C$19*D103))</f>
        <v>0</v>
      </c>
      <c r="F103">
        <f>E103*'user input'!$C$21</f>
        <v>0</v>
      </c>
    </row>
    <row r="104" spans="1:6" x14ac:dyDescent="0.2">
      <c r="A104" s="1">
        <v>40280</v>
      </c>
      <c r="B104">
        <v>102</v>
      </c>
      <c r="C104">
        <f>'weather data'!E104</f>
        <v>15.497777777777774</v>
      </c>
      <c r="D104">
        <f>LAI!F104</f>
        <v>0</v>
      </c>
      <c r="E104">
        <f>0.5*C104*(1-EXP(-'user input'!$C$19*D104))</f>
        <v>0</v>
      </c>
      <c r="F104">
        <f>E104*'user input'!$C$21</f>
        <v>0</v>
      </c>
    </row>
    <row r="105" spans="1:6" x14ac:dyDescent="0.2">
      <c r="A105" s="1">
        <v>40281</v>
      </c>
      <c r="B105">
        <v>103</v>
      </c>
      <c r="C105">
        <f>'weather data'!E105</f>
        <v>18.066666666666666</v>
      </c>
      <c r="D105">
        <f>LAI!F105</f>
        <v>0</v>
      </c>
      <c r="E105">
        <f>0.5*C105*(1-EXP(-'user input'!$C$19*D105))</f>
        <v>0</v>
      </c>
      <c r="F105">
        <f>E105*'user input'!$C$21</f>
        <v>0</v>
      </c>
    </row>
    <row r="106" spans="1:6" x14ac:dyDescent="0.2">
      <c r="A106" s="1">
        <v>40282</v>
      </c>
      <c r="B106">
        <v>104</v>
      </c>
      <c r="C106">
        <f>'weather data'!E106</f>
        <v>17.306666666666665</v>
      </c>
      <c r="D106">
        <f>LAI!F106</f>
        <v>0</v>
      </c>
      <c r="E106">
        <f>0.5*C106*(1-EXP(-'user input'!$C$19*D106))</f>
        <v>0</v>
      </c>
      <c r="F106">
        <f>E106*'user input'!$C$21</f>
        <v>0</v>
      </c>
    </row>
    <row r="107" spans="1:6" x14ac:dyDescent="0.2">
      <c r="A107" s="1">
        <v>40283</v>
      </c>
      <c r="B107">
        <v>105</v>
      </c>
      <c r="C107">
        <f>'weather data'!E107</f>
        <v>18.091111111111108</v>
      </c>
      <c r="D107">
        <f>LAI!F107</f>
        <v>0</v>
      </c>
      <c r="E107">
        <f>0.5*C107*(1-EXP(-'user input'!$C$19*D107))</f>
        <v>0</v>
      </c>
      <c r="F107">
        <f>E107*'user input'!$C$21</f>
        <v>0</v>
      </c>
    </row>
    <row r="108" spans="1:6" x14ac:dyDescent="0.2">
      <c r="A108" s="1">
        <v>40284</v>
      </c>
      <c r="B108">
        <v>106</v>
      </c>
      <c r="C108">
        <f>'weather data'!E108</f>
        <v>15.755555555555551</v>
      </c>
      <c r="D108">
        <f>LAI!F108</f>
        <v>0</v>
      </c>
      <c r="E108">
        <f>0.5*C108*(1-EXP(-'user input'!$C$19*D108))</f>
        <v>0</v>
      </c>
      <c r="F108">
        <f>E108*'user input'!$C$21</f>
        <v>0</v>
      </c>
    </row>
    <row r="109" spans="1:6" x14ac:dyDescent="0.2">
      <c r="A109" s="1">
        <v>40285</v>
      </c>
      <c r="B109">
        <v>107</v>
      </c>
      <c r="C109">
        <f>'weather data'!E109</f>
        <v>18.606666666666669</v>
      </c>
      <c r="D109">
        <f>LAI!F109</f>
        <v>0</v>
      </c>
      <c r="E109">
        <f>0.5*C109*(1-EXP(-'user input'!$C$19*D109))</f>
        <v>0</v>
      </c>
      <c r="F109">
        <f>E109*'user input'!$C$21</f>
        <v>0</v>
      </c>
    </row>
    <row r="110" spans="1:6" x14ac:dyDescent="0.2">
      <c r="A110" s="1">
        <v>40286</v>
      </c>
      <c r="B110">
        <v>108</v>
      </c>
      <c r="C110">
        <f>'weather data'!E110</f>
        <v>17.028888888888886</v>
      </c>
      <c r="D110">
        <f>LAI!F110</f>
        <v>0</v>
      </c>
      <c r="E110">
        <f>0.5*C110*(1-EXP(-'user input'!$C$19*D110))</f>
        <v>0</v>
      </c>
      <c r="F110">
        <f>E110*'user input'!$C$21</f>
        <v>0</v>
      </c>
    </row>
    <row r="111" spans="1:6" x14ac:dyDescent="0.2">
      <c r="A111" s="1">
        <v>40287</v>
      </c>
      <c r="B111">
        <v>109</v>
      </c>
      <c r="C111">
        <f>'weather data'!E111</f>
        <v>16.00888888888889</v>
      </c>
      <c r="D111">
        <f>LAI!F111</f>
        <v>0</v>
      </c>
      <c r="E111">
        <f>0.5*C111*(1-EXP(-'user input'!$C$19*D111))</f>
        <v>0</v>
      </c>
      <c r="F111">
        <f>E111*'user input'!$C$21</f>
        <v>0</v>
      </c>
    </row>
    <row r="112" spans="1:6" x14ac:dyDescent="0.2">
      <c r="A112" s="1">
        <v>40288</v>
      </c>
      <c r="B112">
        <v>110</v>
      </c>
      <c r="C112">
        <f>'weather data'!E112</f>
        <v>14.822222222222214</v>
      </c>
      <c r="D112">
        <f>LAI!F112</f>
        <v>0</v>
      </c>
      <c r="E112">
        <f>0.5*C112*(1-EXP(-'user input'!$C$19*D112))</f>
        <v>0</v>
      </c>
      <c r="F112">
        <f>E112*'user input'!$C$21</f>
        <v>0</v>
      </c>
    </row>
    <row r="113" spans="1:6" x14ac:dyDescent="0.2">
      <c r="A113" s="1">
        <v>40289</v>
      </c>
      <c r="B113">
        <v>111</v>
      </c>
      <c r="C113">
        <f>'weather data'!E113</f>
        <v>16.506666666666668</v>
      </c>
      <c r="D113">
        <f>LAI!F113</f>
        <v>0</v>
      </c>
      <c r="E113">
        <f>0.5*C113*(1-EXP(-'user input'!$C$19*D113))</f>
        <v>0</v>
      </c>
      <c r="F113">
        <f>E113*'user input'!$C$21</f>
        <v>0</v>
      </c>
    </row>
    <row r="114" spans="1:6" x14ac:dyDescent="0.2">
      <c r="A114" s="1">
        <v>40290</v>
      </c>
      <c r="B114">
        <v>112</v>
      </c>
      <c r="C114">
        <f>'weather data'!E114</f>
        <v>16.88</v>
      </c>
      <c r="D114">
        <f>LAI!F114</f>
        <v>0</v>
      </c>
      <c r="E114">
        <f>0.5*C114*(1-EXP(-'user input'!$C$19*D114))</f>
        <v>0</v>
      </c>
      <c r="F114">
        <f>E114*'user input'!$C$21</f>
        <v>0</v>
      </c>
    </row>
    <row r="115" spans="1:6" x14ac:dyDescent="0.2">
      <c r="A115" s="1">
        <v>40291</v>
      </c>
      <c r="B115">
        <v>113</v>
      </c>
      <c r="C115">
        <f>'weather data'!E115</f>
        <v>17.740000000000009</v>
      </c>
      <c r="D115">
        <f>LAI!F115</f>
        <v>0</v>
      </c>
      <c r="E115">
        <f>0.5*C115*(1-EXP(-'user input'!$C$19*D115))</f>
        <v>0</v>
      </c>
      <c r="F115">
        <f>E115*'user input'!$C$21</f>
        <v>0</v>
      </c>
    </row>
    <row r="116" spans="1:6" x14ac:dyDescent="0.2">
      <c r="A116" s="1">
        <v>40292</v>
      </c>
      <c r="B116">
        <v>114</v>
      </c>
      <c r="C116">
        <f>'weather data'!E116</f>
        <v>19.917777777777768</v>
      </c>
      <c r="D116">
        <f>LAI!F116</f>
        <v>0</v>
      </c>
      <c r="E116">
        <f>0.5*C116*(1-EXP(-'user input'!$C$19*D116))</f>
        <v>0</v>
      </c>
      <c r="F116">
        <f>E116*'user input'!$C$21</f>
        <v>0</v>
      </c>
    </row>
    <row r="117" spans="1:6" x14ac:dyDescent="0.2">
      <c r="A117" s="1">
        <v>40293</v>
      </c>
      <c r="B117">
        <v>115</v>
      </c>
      <c r="C117">
        <f>'weather data'!E117</f>
        <v>19.82888888888888</v>
      </c>
      <c r="D117">
        <f>LAI!F117</f>
        <v>0</v>
      </c>
      <c r="E117">
        <f>0.5*C117*(1-EXP(-'user input'!$C$19*D117))</f>
        <v>0</v>
      </c>
      <c r="F117">
        <f>E117*'user input'!$C$21</f>
        <v>0</v>
      </c>
    </row>
    <row r="118" spans="1:6" x14ac:dyDescent="0.2">
      <c r="A118" s="1">
        <v>40294</v>
      </c>
      <c r="B118">
        <v>116</v>
      </c>
      <c r="C118">
        <f>'weather data'!E118</f>
        <v>19.919999999999998</v>
      </c>
      <c r="D118">
        <f>LAI!F118</f>
        <v>0</v>
      </c>
      <c r="E118">
        <f>0.5*C118*(1-EXP(-'user input'!$C$19*D118))</f>
        <v>0</v>
      </c>
      <c r="F118">
        <f>E118*'user input'!$C$21</f>
        <v>0</v>
      </c>
    </row>
    <row r="119" spans="1:6" x14ac:dyDescent="0.2">
      <c r="A119" s="1">
        <v>40295</v>
      </c>
      <c r="B119">
        <v>117</v>
      </c>
      <c r="C119">
        <f>'weather data'!E119</f>
        <v>18.355555555555554</v>
      </c>
      <c r="D119">
        <f>LAI!F119</f>
        <v>0</v>
      </c>
      <c r="E119">
        <f>0.5*C119*(1-EXP(-'user input'!$C$19*D119))</f>
        <v>0</v>
      </c>
      <c r="F119">
        <f>E119*'user input'!$C$21</f>
        <v>0</v>
      </c>
    </row>
    <row r="120" spans="1:6" x14ac:dyDescent="0.2">
      <c r="A120" s="1">
        <v>40296</v>
      </c>
      <c r="B120">
        <v>118</v>
      </c>
      <c r="C120">
        <f>'weather data'!E120</f>
        <v>18.562222222222225</v>
      </c>
      <c r="D120">
        <f>LAI!F120</f>
        <v>0</v>
      </c>
      <c r="E120">
        <f>0.5*C120*(1-EXP(-'user input'!$C$19*D120))</f>
        <v>0</v>
      </c>
      <c r="F120">
        <f>E120*'user input'!$C$21</f>
        <v>0</v>
      </c>
    </row>
    <row r="121" spans="1:6" x14ac:dyDescent="0.2">
      <c r="A121" s="1">
        <v>40297</v>
      </c>
      <c r="B121">
        <v>119</v>
      </c>
      <c r="C121">
        <f>'weather data'!E121</f>
        <v>18.202222222222229</v>
      </c>
      <c r="D121">
        <f>LAI!F121</f>
        <v>0</v>
      </c>
      <c r="E121">
        <f>0.5*C121*(1-EXP(-'user input'!$C$19*D121))</f>
        <v>0</v>
      </c>
      <c r="F121">
        <f>E121*'user input'!$C$21</f>
        <v>0</v>
      </c>
    </row>
    <row r="122" spans="1:6" x14ac:dyDescent="0.2">
      <c r="A122" s="1">
        <v>40298</v>
      </c>
      <c r="B122">
        <v>120</v>
      </c>
      <c r="C122">
        <f>'weather data'!E122</f>
        <v>17.571111111111119</v>
      </c>
      <c r="D122">
        <f>LAI!F122</f>
        <v>0</v>
      </c>
      <c r="E122">
        <f>0.5*C122*(1-EXP(-'user input'!$C$19*D122))</f>
        <v>0</v>
      </c>
      <c r="F122">
        <f>E122*'user input'!$C$21</f>
        <v>0</v>
      </c>
    </row>
    <row r="123" spans="1:6" x14ac:dyDescent="0.2">
      <c r="A123" s="1">
        <v>40299</v>
      </c>
      <c r="B123">
        <v>121</v>
      </c>
      <c r="C123">
        <f>'weather data'!E123</f>
        <v>19.524444444444448</v>
      </c>
      <c r="D123">
        <f>LAI!F123</f>
        <v>1.1161543099299982E-3</v>
      </c>
      <c r="E123">
        <f>0.5*C123*(1-EXP(-'user input'!$C$19*D123))</f>
        <v>7.0799266100991295E-3</v>
      </c>
      <c r="F123">
        <f>E123*'user input'!$C$21</f>
        <v>0.27611713779386604</v>
      </c>
    </row>
    <row r="124" spans="1:6" x14ac:dyDescent="0.2">
      <c r="A124" s="1">
        <v>40300</v>
      </c>
      <c r="B124">
        <v>122</v>
      </c>
      <c r="C124">
        <f>'weather data'!E124</f>
        <v>19.262222222222217</v>
      </c>
      <c r="D124">
        <f>LAI!F124</f>
        <v>1.9975467752907684E-3</v>
      </c>
      <c r="E124">
        <f>0.5*C124*(1-EXP(-'user input'!$C$19*D124))</f>
        <v>1.2496971889011523E-2</v>
      </c>
      <c r="F124">
        <f>E124*'user input'!$C$21</f>
        <v>0.4873819036714494</v>
      </c>
    </row>
    <row r="125" spans="1:6" x14ac:dyDescent="0.2">
      <c r="A125" s="1">
        <v>40301</v>
      </c>
      <c r="B125">
        <v>123</v>
      </c>
      <c r="C125">
        <f>'weather data'!E125</f>
        <v>21.293333333333326</v>
      </c>
      <c r="D125">
        <f>LAI!F125</f>
        <v>2.9917903091056406E-3</v>
      </c>
      <c r="E125">
        <f>0.5*C125*(1-EXP(-'user input'!$C$19*D125))</f>
        <v>2.0684067905985534E-2</v>
      </c>
      <c r="F125">
        <f>E125*'user input'!$C$21</f>
        <v>0.80667864833343583</v>
      </c>
    </row>
    <row r="126" spans="1:6" x14ac:dyDescent="0.2">
      <c r="A126" s="1">
        <v>40302</v>
      </c>
      <c r="B126">
        <v>124</v>
      </c>
      <c r="C126">
        <f>'weather data'!E126</f>
        <v>20.195555555555561</v>
      </c>
      <c r="D126">
        <f>LAI!F126</f>
        <v>3.8318368487806334E-3</v>
      </c>
      <c r="E126">
        <f>0.5*C126*(1-EXP(-'user input'!$C$19*D126))</f>
        <v>2.5119178957560554E-2</v>
      </c>
      <c r="F126">
        <f>E126*'user input'!$C$21</f>
        <v>0.97964797934486159</v>
      </c>
    </row>
    <row r="127" spans="1:6" x14ac:dyDescent="0.2">
      <c r="A127" s="1">
        <v>40303</v>
      </c>
      <c r="B127">
        <v>125</v>
      </c>
      <c r="C127">
        <f>'weather data'!E127</f>
        <v>19.100000000000005</v>
      </c>
      <c r="D127">
        <f>LAI!F127</f>
        <v>5.5548603351581113E-3</v>
      </c>
      <c r="E127">
        <f>0.5*C127*(1-EXP(-'user input'!$C$19*D127))</f>
        <v>3.4419619378863037E-2</v>
      </c>
      <c r="F127">
        <f>E127*'user input'!$C$21</f>
        <v>1.3423651557756584</v>
      </c>
    </row>
    <row r="128" spans="1:6" x14ac:dyDescent="0.2">
      <c r="A128" s="1">
        <v>40304</v>
      </c>
      <c r="B128">
        <v>126</v>
      </c>
      <c r="C128">
        <f>'weather data'!E128</f>
        <v>20.082222222222224</v>
      </c>
      <c r="D128">
        <f>LAI!F128</f>
        <v>6.6262981413228225E-3</v>
      </c>
      <c r="E128">
        <f>0.5*C128*(1-EXP(-'user input'!$C$19*D128))</f>
        <v>4.3155004290283586E-2</v>
      </c>
      <c r="F128">
        <f>E128*'user input'!$C$21</f>
        <v>1.6830451673210598</v>
      </c>
    </row>
    <row r="129" spans="1:6" x14ac:dyDescent="0.2">
      <c r="A129" s="1">
        <v>40305</v>
      </c>
      <c r="B129">
        <v>127</v>
      </c>
      <c r="C129">
        <f>'weather data'!E129</f>
        <v>17.606666666666673</v>
      </c>
      <c r="D129">
        <f>LAI!F129</f>
        <v>7.416886776043314E-3</v>
      </c>
      <c r="E129">
        <f>0.5*C129*(1-EXP(-'user input'!$C$19*D129))</f>
        <v>4.2338523766304065E-2</v>
      </c>
      <c r="F129">
        <f>E129*'user input'!$C$21</f>
        <v>1.6512024268858585</v>
      </c>
    </row>
    <row r="130" spans="1:6" x14ac:dyDescent="0.2">
      <c r="A130" s="1">
        <v>40306</v>
      </c>
      <c r="B130">
        <v>128</v>
      </c>
      <c r="C130">
        <f>'weather data'!E130</f>
        <v>18.580000000000002</v>
      </c>
      <c r="D130">
        <f>LAI!F130</f>
        <v>7.416886776043314E-3</v>
      </c>
      <c r="E130">
        <f>0.5*C130*(1-EXP(-'user input'!$C$19*D130))</f>
        <v>4.4679085852589701E-2</v>
      </c>
      <c r="F130">
        <f>E130*'user input'!$C$21</f>
        <v>1.7424843482509984</v>
      </c>
    </row>
    <row r="131" spans="1:6" x14ac:dyDescent="0.2">
      <c r="A131" s="1">
        <v>40307</v>
      </c>
      <c r="B131">
        <v>129</v>
      </c>
      <c r="C131">
        <f>'weather data'!E131</f>
        <v>20.891111111111112</v>
      </c>
      <c r="D131">
        <f>LAI!F131</f>
        <v>7.416886776043314E-3</v>
      </c>
      <c r="E131">
        <f>0.5*C131*(1-EXP(-'user input'!$C$19*D131))</f>
        <v>5.0236584870254244E-2</v>
      </c>
      <c r="F131">
        <f>E131*'user input'!$C$21</f>
        <v>1.9592268099399155</v>
      </c>
    </row>
    <row r="132" spans="1:6" x14ac:dyDescent="0.2">
      <c r="A132" s="1">
        <v>40308</v>
      </c>
      <c r="B132">
        <v>130</v>
      </c>
      <c r="C132">
        <f>'weather data'!E132</f>
        <v>21.2911111111111</v>
      </c>
      <c r="D132">
        <f>LAI!F132</f>
        <v>8.0208915316717436E-3</v>
      </c>
      <c r="E132">
        <f>0.5*C132*(1-EXP(-'user input'!$C$19*D132))</f>
        <v>5.5357020659544169E-2</v>
      </c>
      <c r="F132">
        <f>E132*'user input'!$C$21</f>
        <v>2.1589238057222224</v>
      </c>
    </row>
    <row r="133" spans="1:6" x14ac:dyDescent="0.2">
      <c r="A133" s="1">
        <v>40309</v>
      </c>
      <c r="B133">
        <v>131</v>
      </c>
      <c r="C133">
        <f>'weather data'!E133</f>
        <v>17.644444444444446</v>
      </c>
      <c r="D133">
        <f>LAI!F133</f>
        <v>8.7308002635050133E-3</v>
      </c>
      <c r="E133">
        <f>0.5*C133*(1-EXP(-'user input'!$C$19*D133))</f>
        <v>4.9924493823524249E-2</v>
      </c>
      <c r="F133">
        <f>E133*'user input'!$C$21</f>
        <v>1.9470552591174457</v>
      </c>
    </row>
    <row r="134" spans="1:6" x14ac:dyDescent="0.2">
      <c r="A134" s="1">
        <v>40310</v>
      </c>
      <c r="B134">
        <v>132</v>
      </c>
      <c r="C134">
        <f>'weather data'!E134</f>
        <v>19.975555555555552</v>
      </c>
      <c r="D134">
        <f>LAI!F134</f>
        <v>9.4741029690016531E-3</v>
      </c>
      <c r="E134">
        <f>0.5*C134*(1-EXP(-'user input'!$C$19*D134))</f>
        <v>6.1317407619582306E-2</v>
      </c>
      <c r="F134">
        <f>E134*'user input'!$C$21</f>
        <v>2.39137889716371</v>
      </c>
    </row>
    <row r="135" spans="1:6" x14ac:dyDescent="0.2">
      <c r="A135" s="1">
        <v>40311</v>
      </c>
      <c r="B135">
        <v>133</v>
      </c>
      <c r="C135">
        <f>'weather data'!E135</f>
        <v>19.571111111111115</v>
      </c>
      <c r="D135">
        <f>LAI!F135</f>
        <v>9.4741029690016531E-3</v>
      </c>
      <c r="E135">
        <f>0.5*C135*(1-EXP(-'user input'!$C$19*D135))</f>
        <v>6.0075915997959903E-2</v>
      </c>
      <c r="F135">
        <f>E135*'user input'!$C$21</f>
        <v>2.3429607239204362</v>
      </c>
    </row>
    <row r="136" spans="1:6" x14ac:dyDescent="0.2">
      <c r="A136" s="1">
        <v>40312</v>
      </c>
      <c r="B136">
        <v>134</v>
      </c>
      <c r="C136">
        <f>'weather data'!E136</f>
        <v>18.477777777777774</v>
      </c>
      <c r="D136">
        <f>LAI!F136</f>
        <v>1.0790672235937E-2</v>
      </c>
      <c r="E136">
        <f>0.5*C136*(1-EXP(-'user input'!$C$19*D136))</f>
        <v>6.4574259564041961E-2</v>
      </c>
      <c r="F136">
        <f>E136*'user input'!$C$21</f>
        <v>2.5183961229976366</v>
      </c>
    </row>
    <row r="137" spans="1:6" x14ac:dyDescent="0.2">
      <c r="A137" s="1">
        <v>40313</v>
      </c>
      <c r="B137">
        <v>135</v>
      </c>
      <c r="C137">
        <f>'weather data'!E137</f>
        <v>19.902222222222221</v>
      </c>
      <c r="D137">
        <f>LAI!F137</f>
        <v>1.2209845903763131E-2</v>
      </c>
      <c r="E137">
        <f>0.5*C137*(1-EXP(-'user input'!$C$19*D137))</f>
        <v>7.8663431488482524E-2</v>
      </c>
      <c r="F137">
        <f>E137*'user input'!$C$21</f>
        <v>3.0678738280508187</v>
      </c>
    </row>
    <row r="138" spans="1:6" x14ac:dyDescent="0.2">
      <c r="A138" s="1">
        <v>40314</v>
      </c>
      <c r="B138">
        <v>136</v>
      </c>
      <c r="C138">
        <f>'weather data'!E138</f>
        <v>20.839999999999996</v>
      </c>
      <c r="D138">
        <f>LAI!F138</f>
        <v>1.3950623722809662E-2</v>
      </c>
      <c r="E138">
        <f>0.5*C138*(1-EXP(-'user input'!$C$19*D138))</f>
        <v>9.4060464253573825E-2</v>
      </c>
      <c r="F138">
        <f>E138*'user input'!$C$21</f>
        <v>3.6683581058893791</v>
      </c>
    </row>
    <row r="139" spans="1:6" x14ac:dyDescent="0.2">
      <c r="A139" s="1">
        <v>40315</v>
      </c>
      <c r="B139">
        <v>137</v>
      </c>
      <c r="C139">
        <f>'weather data'!E139</f>
        <v>20.335555555555548</v>
      </c>
      <c r="D139">
        <f>LAI!F139</f>
        <v>1.5611199534661294E-2</v>
      </c>
      <c r="E139">
        <f>0.5*C139*(1-EXP(-'user input'!$C$19*D139))</f>
        <v>0.10265357690652863</v>
      </c>
      <c r="F139">
        <f>E139*'user input'!$C$21</f>
        <v>4.0034894993546164</v>
      </c>
    </row>
    <row r="140" spans="1:6" x14ac:dyDescent="0.2">
      <c r="A140" s="1">
        <v>40316</v>
      </c>
      <c r="B140">
        <v>138</v>
      </c>
      <c r="C140">
        <f>'weather data'!E140</f>
        <v>19.555555555555557</v>
      </c>
      <c r="D140">
        <f>LAI!F140</f>
        <v>1.7894350456269567E-2</v>
      </c>
      <c r="E140">
        <f>0.5*C140*(1-EXP(-'user input'!$C$19*D140))</f>
        <v>0.11306968840775916</v>
      </c>
      <c r="F140">
        <f>E140*'user input'!$C$21</f>
        <v>4.4097178479026073</v>
      </c>
    </row>
    <row r="141" spans="1:6" x14ac:dyDescent="0.2">
      <c r="A141" s="1">
        <v>40317</v>
      </c>
      <c r="B141">
        <v>139</v>
      </c>
      <c r="C141">
        <f>'weather data'!E141</f>
        <v>21.506666666666671</v>
      </c>
      <c r="D141">
        <f>LAI!F141</f>
        <v>2.0948508672834872E-2</v>
      </c>
      <c r="E141">
        <f>0.5*C141*(1-EXP(-'user input'!$C$19*D141))</f>
        <v>0.14543071487686421</v>
      </c>
      <c r="F141">
        <f>E141*'user input'!$C$21</f>
        <v>5.6717978801977038</v>
      </c>
    </row>
    <row r="142" spans="1:6" x14ac:dyDescent="0.2">
      <c r="A142" s="1">
        <v>40318</v>
      </c>
      <c r="B142">
        <v>140</v>
      </c>
      <c r="C142">
        <f>'weather data'!E142</f>
        <v>22.404444444444444</v>
      </c>
      <c r="D142">
        <f>LAI!F142</f>
        <v>2.5297839715953344E-2</v>
      </c>
      <c r="E142">
        <f>0.5*C142*(1-EXP(-'user input'!$C$19*D142))</f>
        <v>0.18269858693098529</v>
      </c>
      <c r="F142">
        <f>E142*'user input'!$C$21</f>
        <v>7.1252448903084264</v>
      </c>
    </row>
    <row r="143" spans="1:6" x14ac:dyDescent="0.2">
      <c r="A143" s="1">
        <v>40319</v>
      </c>
      <c r="B143">
        <v>141</v>
      </c>
      <c r="C143">
        <f>'weather data'!E143</f>
        <v>22.526666666666674</v>
      </c>
      <c r="D143">
        <f>LAI!F143</f>
        <v>3.0083405919039491E-2</v>
      </c>
      <c r="E143">
        <f>0.5*C143*(1-EXP(-'user input'!$C$19*D143))</f>
        <v>0.21810623101337942</v>
      </c>
      <c r="F143">
        <f>E143*'user input'!$C$21</f>
        <v>8.5061430095217982</v>
      </c>
    </row>
    <row r="144" spans="1:6" x14ac:dyDescent="0.2">
      <c r="A144" s="1">
        <v>40320</v>
      </c>
      <c r="B144">
        <v>142</v>
      </c>
      <c r="C144">
        <f>'weather data'!E144</f>
        <v>20.664444444444445</v>
      </c>
      <c r="D144">
        <f>LAI!F144</f>
        <v>3.3891241266791126E-2</v>
      </c>
      <c r="E144">
        <f>0.5*C144*(1-EXP(-'user input'!$C$19*D144))</f>
        <v>0.22512293826864946</v>
      </c>
      <c r="F144">
        <f>E144*'user input'!$C$21</f>
        <v>8.7797945924773284</v>
      </c>
    </row>
    <row r="145" spans="1:6" x14ac:dyDescent="0.2">
      <c r="A145" s="1">
        <v>40321</v>
      </c>
      <c r="B145">
        <v>143</v>
      </c>
      <c r="C145">
        <f>'weather data'!E145</f>
        <v>19.966666666666665</v>
      </c>
      <c r="D145">
        <f>LAI!F145</f>
        <v>4.1423744169988515E-2</v>
      </c>
      <c r="E145">
        <f>0.5*C145*(1-EXP(-'user input'!$C$19*D145))</f>
        <v>0.26521898873734456</v>
      </c>
      <c r="F145">
        <f>E145*'user input'!$C$21</f>
        <v>10.343540560756438</v>
      </c>
    </row>
    <row r="146" spans="1:6" x14ac:dyDescent="0.2">
      <c r="A146" s="1">
        <v>40322</v>
      </c>
      <c r="B146">
        <v>144</v>
      </c>
      <c r="C146">
        <f>'weather data'!E146</f>
        <v>21.091111111111118</v>
      </c>
      <c r="D146">
        <f>LAI!F146</f>
        <v>5.612233191342484E-2</v>
      </c>
      <c r="E146">
        <f>0.5*C146*(1-EXP(-'user input'!$C$19*D146))</f>
        <v>0.37776453452951997</v>
      </c>
      <c r="F146">
        <f>E146*'user input'!$C$21</f>
        <v>14.732816846651279</v>
      </c>
    </row>
    <row r="147" spans="1:6" x14ac:dyDescent="0.2">
      <c r="A147" s="1">
        <v>40323</v>
      </c>
      <c r="B147">
        <v>145</v>
      </c>
      <c r="C147">
        <f>'weather data'!E147</f>
        <v>21.435555555555553</v>
      </c>
      <c r="D147">
        <f>LAI!F147</f>
        <v>7.4348983351935127E-2</v>
      </c>
      <c r="E147">
        <f>0.5*C147*(1-EXP(-'user input'!$C$19*D147))</f>
        <v>0.50563992764698418</v>
      </c>
      <c r="F147">
        <f>E147*'user input'!$C$21</f>
        <v>19.719957178232384</v>
      </c>
    </row>
    <row r="148" spans="1:6" x14ac:dyDescent="0.2">
      <c r="A148" s="1">
        <v>40324</v>
      </c>
      <c r="B148">
        <v>146</v>
      </c>
      <c r="C148">
        <f>'weather data'!E148</f>
        <v>22.319999999999986</v>
      </c>
      <c r="D148">
        <f>LAI!F148</f>
        <v>9.261471586033479E-2</v>
      </c>
      <c r="E148">
        <f>0.5*C148*(1-EXP(-'user input'!$C$19*D148))</f>
        <v>0.65200504572335793</v>
      </c>
      <c r="F148">
        <f>E148*'user input'!$C$21</f>
        <v>25.428196783210961</v>
      </c>
    </row>
    <row r="149" spans="1:6" x14ac:dyDescent="0.2">
      <c r="A149" s="1">
        <v>40325</v>
      </c>
      <c r="B149">
        <v>147</v>
      </c>
      <c r="C149">
        <f>'weather data'!E149</f>
        <v>21.086666666666666</v>
      </c>
      <c r="D149">
        <f>LAI!F149</f>
        <v>0.11549076071346166</v>
      </c>
      <c r="E149">
        <f>0.5*C149*(1-EXP(-'user input'!$C$19*D149))</f>
        <v>0.76249935581800588</v>
      </c>
      <c r="F149">
        <f>E149*'user input'!$C$21</f>
        <v>29.73747487690223</v>
      </c>
    </row>
    <row r="150" spans="1:6" x14ac:dyDescent="0.2">
      <c r="A150" s="1">
        <v>40326</v>
      </c>
      <c r="B150">
        <v>148</v>
      </c>
      <c r="C150">
        <f>'weather data'!E150</f>
        <v>19.986666666666665</v>
      </c>
      <c r="D150">
        <f>LAI!F150</f>
        <v>0.13420332621591893</v>
      </c>
      <c r="E150">
        <f>0.5*C150*(1-EXP(-'user input'!$C$19*D150))</f>
        <v>0.83480006824674546</v>
      </c>
      <c r="F150">
        <f>E150*'user input'!$C$21</f>
        <v>32.557202661623073</v>
      </c>
    </row>
    <row r="151" spans="1:6" x14ac:dyDescent="0.2">
      <c r="A151" s="1">
        <v>40327</v>
      </c>
      <c r="B151">
        <v>149</v>
      </c>
      <c r="C151">
        <f>'weather data'!E151</f>
        <v>20.988888888888894</v>
      </c>
      <c r="D151">
        <f>LAI!F151</f>
        <v>0.15811375713787382</v>
      </c>
      <c r="E151">
        <f>0.5*C151*(1-EXP(-'user input'!$C$19*D151))</f>
        <v>1.0249826350689948</v>
      </c>
      <c r="F151">
        <f>E151*'user input'!$C$21</f>
        <v>39.974322767690794</v>
      </c>
    </row>
    <row r="152" spans="1:6" x14ac:dyDescent="0.2">
      <c r="A152" s="1">
        <v>40328</v>
      </c>
      <c r="B152">
        <v>150</v>
      </c>
      <c r="C152">
        <f>'weather data'!E152</f>
        <v>21.175555555555562</v>
      </c>
      <c r="D152">
        <f>LAI!F152</f>
        <v>0.19430505446638546</v>
      </c>
      <c r="E152">
        <f>0.5*C152*(1-EXP(-'user input'!$C$19*D152))</f>
        <v>1.2562195772203986</v>
      </c>
      <c r="F152">
        <f>E152*'user input'!$C$21</f>
        <v>48.992563511595542</v>
      </c>
    </row>
    <row r="153" spans="1:6" x14ac:dyDescent="0.2">
      <c r="A153" s="1">
        <v>40329</v>
      </c>
      <c r="B153">
        <v>151</v>
      </c>
      <c r="C153">
        <f>'weather data'!E153</f>
        <v>21.524444444444448</v>
      </c>
      <c r="D153">
        <f>LAI!F153</f>
        <v>0.23804540712283209</v>
      </c>
      <c r="E153">
        <f>0.5*C153*(1-EXP(-'user input'!$C$19*D153))</f>
        <v>1.5427983856174747</v>
      </c>
      <c r="F153">
        <f>E153*'user input'!$C$21</f>
        <v>60.169137039081512</v>
      </c>
    </row>
    <row r="154" spans="1:6" x14ac:dyDescent="0.2">
      <c r="A154" s="1">
        <v>40330</v>
      </c>
      <c r="B154">
        <v>152</v>
      </c>
      <c r="C154">
        <f>'weather data'!E154</f>
        <v>22.935555555555549</v>
      </c>
      <c r="D154">
        <f>LAI!F154</f>
        <v>0.26858367405841288</v>
      </c>
      <c r="E154">
        <f>0.5*C154*(1-EXP(-'user input'!$C$19*D154))</f>
        <v>1.8370212509556338</v>
      </c>
      <c r="F154">
        <f>E154*'user input'!$C$21</f>
        <v>71.643828787269726</v>
      </c>
    </row>
    <row r="155" spans="1:6" x14ac:dyDescent="0.2">
      <c r="A155" s="1">
        <v>40331</v>
      </c>
      <c r="B155">
        <v>153</v>
      </c>
      <c r="C155">
        <f>'weather data'!E155</f>
        <v>22.097777777777782</v>
      </c>
      <c r="D155">
        <f>LAI!F155</f>
        <v>0.31535903888771977</v>
      </c>
      <c r="E155">
        <f>0.5*C155*(1-EXP(-'user input'!$C$19*D155))</f>
        <v>2.0477915667220046</v>
      </c>
      <c r="F155">
        <f>E155*'user input'!$C$21</f>
        <v>79.863871102158186</v>
      </c>
    </row>
    <row r="156" spans="1:6" x14ac:dyDescent="0.2">
      <c r="A156" s="1">
        <v>40332</v>
      </c>
      <c r="B156">
        <v>154</v>
      </c>
      <c r="C156">
        <f>'weather data'!E156</f>
        <v>23.393333333333331</v>
      </c>
      <c r="D156">
        <f>LAI!F156</f>
        <v>0.35752708807250877</v>
      </c>
      <c r="E156">
        <f>0.5*C156*(1-EXP(-'user input'!$C$19*D156))</f>
        <v>2.4254808270988333</v>
      </c>
      <c r="F156">
        <f>E156*'user input'!$C$21</f>
        <v>94.593752256854501</v>
      </c>
    </row>
    <row r="157" spans="1:6" x14ac:dyDescent="0.2">
      <c r="A157" s="1">
        <v>40333</v>
      </c>
      <c r="B157">
        <v>155</v>
      </c>
      <c r="C157">
        <f>'weather data'!E157</f>
        <v>22.279999999999998</v>
      </c>
      <c r="D157">
        <f>LAI!F157</f>
        <v>0.39956585700431807</v>
      </c>
      <c r="E157">
        <f>0.5*C157*(1-EXP(-'user input'!$C$19*D157))</f>
        <v>2.5480610916537763</v>
      </c>
      <c r="F157">
        <f>E157*'user input'!$C$21</f>
        <v>99.374382574497275</v>
      </c>
    </row>
    <row r="158" spans="1:6" x14ac:dyDescent="0.2">
      <c r="A158" s="1">
        <v>40334</v>
      </c>
      <c r="B158">
        <v>156</v>
      </c>
      <c r="C158">
        <f>'weather data'!E158</f>
        <v>21.313333333333325</v>
      </c>
      <c r="D158">
        <f>LAI!F158</f>
        <v>0.45649361420701062</v>
      </c>
      <c r="E158">
        <f>0.5*C158*(1-EXP(-'user input'!$C$19*D158))</f>
        <v>2.7360835800091285</v>
      </c>
      <c r="F158">
        <f>E158*'user input'!$C$21</f>
        <v>106.70725962035601</v>
      </c>
    </row>
    <row r="159" spans="1:6" x14ac:dyDescent="0.2">
      <c r="A159" s="1">
        <v>40335</v>
      </c>
      <c r="B159">
        <v>157</v>
      </c>
      <c r="C159">
        <f>'weather data'!E159</f>
        <v>22.002222222222226</v>
      </c>
      <c r="D159">
        <f>LAI!F159</f>
        <v>0.50865325953862994</v>
      </c>
      <c r="E159">
        <f>0.5*C159*(1-EXP(-'user input'!$C$19*D159))</f>
        <v>3.0970897809327513</v>
      </c>
      <c r="F159">
        <f>E159*'user input'!$C$21</f>
        <v>120.78650145637731</v>
      </c>
    </row>
    <row r="160" spans="1:6" x14ac:dyDescent="0.2">
      <c r="A160" s="1">
        <v>40336</v>
      </c>
      <c r="B160">
        <v>158</v>
      </c>
      <c r="C160">
        <f>'weather data'!E160</f>
        <v>22.086666666666659</v>
      </c>
      <c r="D160">
        <f>LAI!F160</f>
        <v>0.55746674365751447</v>
      </c>
      <c r="E160">
        <f>0.5*C160*(1-EXP(-'user input'!$C$19*D160))</f>
        <v>3.3567718342017927</v>
      </c>
      <c r="F160">
        <f>E160*'user input'!$C$21</f>
        <v>130.91410153386991</v>
      </c>
    </row>
    <row r="161" spans="1:6" x14ac:dyDescent="0.2">
      <c r="A161" s="1">
        <v>40337</v>
      </c>
      <c r="B161">
        <v>159</v>
      </c>
      <c r="C161">
        <f>'weather data'!E161</f>
        <v>23.813333333333325</v>
      </c>
      <c r="D161">
        <f>LAI!F161</f>
        <v>0.60945361336381243</v>
      </c>
      <c r="E161">
        <f>0.5*C161*(1-EXP(-'user input'!$C$19*D161))</f>
        <v>3.8945609007572561</v>
      </c>
      <c r="F161">
        <f>E161*'user input'!$C$21</f>
        <v>151.887875129533</v>
      </c>
    </row>
    <row r="162" spans="1:6" x14ac:dyDescent="0.2">
      <c r="A162" s="1">
        <v>40338</v>
      </c>
      <c r="B162">
        <v>160</v>
      </c>
      <c r="C162">
        <f>'weather data'!E162</f>
        <v>21.76222222222221</v>
      </c>
      <c r="D162">
        <f>LAI!F162</f>
        <v>0.64380978195586203</v>
      </c>
      <c r="E162">
        <f>0.5*C162*(1-EXP(-'user input'!$C$19*D162))</f>
        <v>3.7208102333367852</v>
      </c>
      <c r="F162">
        <f>E162*'user input'!$C$21</f>
        <v>145.11159910013461</v>
      </c>
    </row>
    <row r="163" spans="1:6" x14ac:dyDescent="0.2">
      <c r="A163" s="1">
        <v>40339</v>
      </c>
      <c r="B163">
        <v>161</v>
      </c>
      <c r="C163">
        <f>'weather data'!E163</f>
        <v>23.468888888888888</v>
      </c>
      <c r="D163">
        <f>LAI!F163</f>
        <v>0.70746023529002278</v>
      </c>
      <c r="E163">
        <f>0.5*C163*(1-EXP(-'user input'!$C$19*D163))</f>
        <v>4.3255640540109592</v>
      </c>
      <c r="F163">
        <f>E163*'user input'!$C$21</f>
        <v>168.6969981064274</v>
      </c>
    </row>
    <row r="164" spans="1:6" x14ac:dyDescent="0.2">
      <c r="A164" s="1">
        <v>40340</v>
      </c>
      <c r="B164">
        <v>162</v>
      </c>
      <c r="C164">
        <f>'weather data'!E164</f>
        <v>20.566666666666666</v>
      </c>
      <c r="D164">
        <f>LAI!F164</f>
        <v>0.76796585990013833</v>
      </c>
      <c r="E164">
        <f>0.5*C164*(1-EXP(-'user input'!$C$19*D164))</f>
        <v>4.0410461391752781</v>
      </c>
      <c r="F164">
        <f>E164*'user input'!$C$21</f>
        <v>157.60079942783585</v>
      </c>
    </row>
    <row r="165" spans="1:6" x14ac:dyDescent="0.2">
      <c r="A165" s="1">
        <v>40341</v>
      </c>
      <c r="B165">
        <v>163</v>
      </c>
      <c r="C165">
        <f>'weather data'!E165</f>
        <v>21.984444444444435</v>
      </c>
      <c r="D165">
        <f>LAI!F165</f>
        <v>0.87523169507429033</v>
      </c>
      <c r="E165">
        <f>0.5*C165*(1-EXP(-'user input'!$C$19*D165))</f>
        <v>4.7690028911270499</v>
      </c>
      <c r="F165">
        <f>E165*'user input'!$C$21</f>
        <v>185.99111275395495</v>
      </c>
    </row>
    <row r="166" spans="1:6" x14ac:dyDescent="0.2">
      <c r="A166" s="1">
        <v>40342</v>
      </c>
      <c r="B166">
        <v>164</v>
      </c>
      <c r="C166">
        <f>'weather data'!E166</f>
        <v>23.388888888888882</v>
      </c>
      <c r="D166">
        <f>LAI!F166</f>
        <v>0.9637487784556994</v>
      </c>
      <c r="E166">
        <f>0.5*C166*(1-EXP(-'user input'!$C$19*D166))</f>
        <v>5.4438461315470255</v>
      </c>
      <c r="F166">
        <f>E166*'user input'!$C$21</f>
        <v>212.30999913033401</v>
      </c>
    </row>
    <row r="167" spans="1:6" x14ac:dyDescent="0.2">
      <c r="A167" s="1">
        <v>40343</v>
      </c>
      <c r="B167">
        <v>165</v>
      </c>
      <c r="C167">
        <f>'weather data'!E167</f>
        <v>21.657777777777785</v>
      </c>
      <c r="D167">
        <f>LAI!F167</f>
        <v>1.0588395005977758</v>
      </c>
      <c r="E167">
        <f>0.5*C167*(1-EXP(-'user input'!$C$19*D167))</f>
        <v>5.3878403702591973</v>
      </c>
      <c r="F167">
        <f>E167*'user input'!$C$21</f>
        <v>210.1257744401087</v>
      </c>
    </row>
    <row r="168" spans="1:6" x14ac:dyDescent="0.2">
      <c r="A168" s="1">
        <v>40344</v>
      </c>
      <c r="B168">
        <v>166</v>
      </c>
      <c r="C168">
        <f>'weather data'!E168</f>
        <v>20.875555555555547</v>
      </c>
      <c r="D168">
        <f>LAI!F168</f>
        <v>1.1351944971600185</v>
      </c>
      <c r="E168">
        <f>0.5*C168*(1-EXP(-'user input'!$C$19*D168))</f>
        <v>5.4471820842019083</v>
      </c>
      <c r="F168">
        <f>E168*'user input'!$C$21</f>
        <v>212.44010128387441</v>
      </c>
    </row>
    <row r="169" spans="1:6" x14ac:dyDescent="0.2">
      <c r="A169" s="1">
        <v>40345</v>
      </c>
      <c r="B169">
        <v>167</v>
      </c>
      <c r="C169">
        <f>'weather data'!E169</f>
        <v>21.88</v>
      </c>
      <c r="D169">
        <f>LAI!F169</f>
        <v>1.2216822484981169</v>
      </c>
      <c r="E169">
        <f>0.5*C169*(1-EXP(-'user input'!$C$19*D169))</f>
        <v>5.9952206884701713</v>
      </c>
      <c r="F169">
        <f>E169*'user input'!$C$21</f>
        <v>233.81360685033667</v>
      </c>
    </row>
    <row r="170" spans="1:6" x14ac:dyDescent="0.2">
      <c r="A170" s="1">
        <v>40346</v>
      </c>
      <c r="B170">
        <v>168</v>
      </c>
      <c r="C170">
        <f>'weather data'!E170</f>
        <v>23.36666666666666</v>
      </c>
      <c r="D170">
        <f>LAI!F170</f>
        <v>1.3239758434081932</v>
      </c>
      <c r="E170">
        <f>0.5*C170*(1-EXP(-'user input'!$C$19*D170))</f>
        <v>6.7422775652681386</v>
      </c>
      <c r="F170">
        <f>E170*'user input'!$C$21</f>
        <v>262.9488250454574</v>
      </c>
    </row>
    <row r="171" spans="1:6" x14ac:dyDescent="0.2">
      <c r="A171" s="1">
        <v>40347</v>
      </c>
      <c r="B171">
        <v>169</v>
      </c>
      <c r="C171">
        <f>'weather data'!E171</f>
        <v>21.613333333333337</v>
      </c>
      <c r="D171">
        <f>LAI!F171</f>
        <v>1.4561605618927511</v>
      </c>
      <c r="E171">
        <f>0.5*C171*(1-EXP(-'user input'!$C$19*D171))</f>
        <v>6.6126501845103611</v>
      </c>
      <c r="F171">
        <f>E171*'user input'!$C$21</f>
        <v>257.89335719590406</v>
      </c>
    </row>
    <row r="172" spans="1:6" x14ac:dyDescent="0.2">
      <c r="A172" s="1">
        <v>40348</v>
      </c>
      <c r="B172">
        <v>170</v>
      </c>
      <c r="C172">
        <f>'weather data'!E172</f>
        <v>23.11333333333333</v>
      </c>
      <c r="D172">
        <f>LAI!F172</f>
        <v>1.588125214361394</v>
      </c>
      <c r="E172">
        <f>0.5*C172*(1-EXP(-'user input'!$C$19*D172))</f>
        <v>7.4402580769077131</v>
      </c>
      <c r="F172">
        <f>E172*'user input'!$C$21</f>
        <v>290.17006499940084</v>
      </c>
    </row>
    <row r="173" spans="1:6" x14ac:dyDescent="0.2">
      <c r="A173" s="1">
        <v>40349</v>
      </c>
      <c r="B173">
        <v>171</v>
      </c>
      <c r="C173">
        <f>'weather data'!E173</f>
        <v>23.373333333333328</v>
      </c>
      <c r="D173">
        <f>LAI!F173</f>
        <v>1.7011397268237314</v>
      </c>
      <c r="E173">
        <f>0.5*C173*(1-EXP(-'user input'!$C$19*D173))</f>
        <v>7.8187819669395324</v>
      </c>
      <c r="F173">
        <f>E173*'user input'!$C$21</f>
        <v>304.93249671064177</v>
      </c>
    </row>
    <row r="174" spans="1:6" x14ac:dyDescent="0.2">
      <c r="A174" s="1">
        <v>40350</v>
      </c>
      <c r="B174">
        <v>172</v>
      </c>
      <c r="C174">
        <f>'weather data'!E174</f>
        <v>22.980000000000004</v>
      </c>
      <c r="D174">
        <f>LAI!F174</f>
        <v>1.8139445144853621</v>
      </c>
      <c r="E174">
        <f>0.5*C174*(1-EXP(-'user input'!$C$19*D174))</f>
        <v>7.9560608424187738</v>
      </c>
      <c r="F174">
        <f>E174*'user input'!$C$21</f>
        <v>310.28637285433217</v>
      </c>
    </row>
    <row r="175" spans="1:6" x14ac:dyDescent="0.2">
      <c r="A175" s="1">
        <v>40351</v>
      </c>
      <c r="B175">
        <v>173</v>
      </c>
      <c r="C175">
        <f>'weather data'!E175</f>
        <v>22.42444444444444</v>
      </c>
      <c r="D175">
        <f>LAI!F175</f>
        <v>1.9276546436985416</v>
      </c>
      <c r="E175">
        <f>0.5*C175*(1-EXP(-'user input'!$C$19*D175))</f>
        <v>8.0094109883180256</v>
      </c>
      <c r="F175">
        <f>E175*'user input'!$C$21</f>
        <v>312.36702854440301</v>
      </c>
    </row>
    <row r="176" spans="1:6" x14ac:dyDescent="0.2">
      <c r="A176" s="1">
        <v>40352</v>
      </c>
      <c r="B176">
        <v>174</v>
      </c>
      <c r="C176">
        <f>'weather data'!E176</f>
        <v>22.90444444444444</v>
      </c>
      <c r="D176">
        <f>LAI!F176</f>
        <v>2.0572563394166661</v>
      </c>
      <c r="E176">
        <f>0.5*C176*(1-EXP(-'user input'!$C$19*D176))</f>
        <v>8.4451492502114469</v>
      </c>
      <c r="F176">
        <f>E176*'user input'!$C$21</f>
        <v>329.3608207582464</v>
      </c>
    </row>
    <row r="177" spans="1:6" x14ac:dyDescent="0.2">
      <c r="A177" s="1">
        <v>40353</v>
      </c>
      <c r="B177">
        <v>175</v>
      </c>
      <c r="C177">
        <f>'weather data'!E177</f>
        <v>23.068888888888885</v>
      </c>
      <c r="D177">
        <f>LAI!F177</f>
        <v>2.154481071295439</v>
      </c>
      <c r="E177">
        <f>0.5*C177*(1-EXP(-'user input'!$C$19*D177))</f>
        <v>8.6912590780482724</v>
      </c>
      <c r="F177">
        <f>E177*'user input'!$C$21</f>
        <v>338.95910404388263</v>
      </c>
    </row>
    <row r="178" spans="1:6" x14ac:dyDescent="0.2">
      <c r="A178" s="1">
        <v>40354</v>
      </c>
      <c r="B178">
        <v>176</v>
      </c>
      <c r="C178">
        <f>'weather data'!E178</f>
        <v>23.437777777777779</v>
      </c>
      <c r="D178">
        <f>LAI!F178</f>
        <v>2.242321263298741</v>
      </c>
      <c r="E178">
        <f>0.5*C178*(1-EXP(-'user input'!$C$19*D178))</f>
        <v>8.9905494668551302</v>
      </c>
      <c r="F178">
        <f>E178*'user input'!$C$21</f>
        <v>350.6314292073501</v>
      </c>
    </row>
    <row r="179" spans="1:6" x14ac:dyDescent="0.2">
      <c r="A179" s="1">
        <v>40355</v>
      </c>
      <c r="B179">
        <v>177</v>
      </c>
      <c r="C179">
        <f>'weather data'!E179</f>
        <v>24.166666666666679</v>
      </c>
      <c r="D179">
        <f>LAI!F179</f>
        <v>2.3302777593251025</v>
      </c>
      <c r="E179">
        <f>0.5*C179*(1-EXP(-'user input'!$C$19*D179))</f>
        <v>9.4264691496079553</v>
      </c>
      <c r="F179">
        <f>E179*'user input'!$C$21</f>
        <v>367.63229683471025</v>
      </c>
    </row>
    <row r="180" spans="1:6" x14ac:dyDescent="0.2">
      <c r="A180" s="1">
        <v>40356</v>
      </c>
      <c r="B180">
        <v>178</v>
      </c>
      <c r="C180">
        <f>'weather data'!E180</f>
        <v>24.371111111111112</v>
      </c>
      <c r="D180">
        <f>LAI!F180</f>
        <v>2.4190268729301225</v>
      </c>
      <c r="E180">
        <f>0.5*C180*(1-EXP(-'user input'!$C$19*D180))</f>
        <v>9.6564042046821683</v>
      </c>
      <c r="F180">
        <f>E180*'user input'!$C$21</f>
        <v>376.59976398260454</v>
      </c>
    </row>
    <row r="181" spans="1:6" x14ac:dyDescent="0.2">
      <c r="A181" s="1">
        <v>40357</v>
      </c>
      <c r="B181">
        <v>179</v>
      </c>
      <c r="C181">
        <f>'weather data'!E181</f>
        <v>22.171111111111113</v>
      </c>
      <c r="D181">
        <f>LAI!F181</f>
        <v>2.4875535158440965</v>
      </c>
      <c r="E181">
        <f>0.5*C181*(1-EXP(-'user input'!$C$19*D181))</f>
        <v>8.884948681229428</v>
      </c>
      <c r="F181">
        <f>E181*'user input'!$C$21</f>
        <v>346.5129985679477</v>
      </c>
    </row>
    <row r="182" spans="1:6" x14ac:dyDescent="0.2">
      <c r="A182" s="1">
        <v>40358</v>
      </c>
      <c r="B182">
        <v>180</v>
      </c>
      <c r="C182">
        <f>'weather data'!E182</f>
        <v>22.31111111111111</v>
      </c>
      <c r="D182">
        <f>LAI!F182</f>
        <v>2.5294453294903545</v>
      </c>
      <c r="E182">
        <f>0.5*C182*(1-EXP(-'user input'!$C$19*D182))</f>
        <v>9.0005395175614105</v>
      </c>
      <c r="F182">
        <f>E182*'user input'!$C$21</f>
        <v>351.02104118489501</v>
      </c>
    </row>
    <row r="183" spans="1:6" x14ac:dyDescent="0.2">
      <c r="A183" s="1">
        <v>40359</v>
      </c>
      <c r="B183">
        <v>181</v>
      </c>
      <c r="C183">
        <f>'weather data'!E183</f>
        <v>25.455555555555552</v>
      </c>
      <c r="D183">
        <f>LAI!F183</f>
        <v>2.5590345720593226</v>
      </c>
      <c r="E183">
        <f>0.5*C183*(1-EXP(-'user input'!$C$19*D183))</f>
        <v>10.315878884624802</v>
      </c>
      <c r="F183">
        <f>E183*'user input'!$C$21</f>
        <v>402.31927650036727</v>
      </c>
    </row>
    <row r="184" spans="1:6" x14ac:dyDescent="0.2">
      <c r="A184" s="1">
        <v>40360</v>
      </c>
      <c r="B184">
        <v>182</v>
      </c>
      <c r="C184">
        <f>'weather data'!E184</f>
        <v>25.371111111111109</v>
      </c>
      <c r="D184">
        <f>LAI!F184</f>
        <v>2.5928453700230936</v>
      </c>
      <c r="E184">
        <f>0.5*C184*(1-EXP(-'user input'!$C$19*D184))</f>
        <v>10.333911932286528</v>
      </c>
      <c r="F184">
        <f>E184*'user input'!$C$21</f>
        <v>403.02256535917456</v>
      </c>
    </row>
    <row r="185" spans="1:6" x14ac:dyDescent="0.2">
      <c r="A185" s="1">
        <v>40361</v>
      </c>
      <c r="B185">
        <v>183</v>
      </c>
      <c r="C185">
        <f>'weather data'!E185</f>
        <v>23.746666666666659</v>
      </c>
      <c r="D185">
        <f>LAI!F185</f>
        <v>2.626140341999859</v>
      </c>
      <c r="E185">
        <f>0.5*C185*(1-EXP(-'user input'!$C$19*D185))</f>
        <v>9.7193824694777522</v>
      </c>
      <c r="F185">
        <f>E185*'user input'!$C$21</f>
        <v>379.05591630963232</v>
      </c>
    </row>
    <row r="186" spans="1:6" x14ac:dyDescent="0.2">
      <c r="A186" s="1">
        <v>40362</v>
      </c>
      <c r="B186">
        <v>184</v>
      </c>
      <c r="C186">
        <f>'weather data'!E186</f>
        <v>22.228888888888893</v>
      </c>
      <c r="D186">
        <f>LAI!F186</f>
        <v>2.6598320330455008</v>
      </c>
      <c r="E186">
        <f>0.5*C186*(1-EXP(-'user input'!$C$19*D186))</f>
        <v>9.1418399614227077</v>
      </c>
      <c r="F186">
        <f>E186*'user input'!$C$21</f>
        <v>356.53175849548558</v>
      </c>
    </row>
    <row r="187" spans="1:6" x14ac:dyDescent="0.2">
      <c r="A187" s="1">
        <v>40363</v>
      </c>
      <c r="B187">
        <v>185</v>
      </c>
      <c r="C187">
        <f>'weather data'!E187</f>
        <v>22.664444444444449</v>
      </c>
      <c r="D187">
        <f>LAI!F187</f>
        <v>2.6988592497176112</v>
      </c>
      <c r="E187">
        <f>0.5*C187*(1-EXP(-'user input'!$C$19*D187))</f>
        <v>9.3713455017193645</v>
      </c>
      <c r="F187">
        <f>E187*'user input'!$C$21</f>
        <v>365.48247456705519</v>
      </c>
    </row>
    <row r="188" spans="1:6" x14ac:dyDescent="0.2">
      <c r="A188" s="1">
        <v>40364</v>
      </c>
      <c r="B188">
        <v>186</v>
      </c>
      <c r="C188">
        <f>'weather data'!E188</f>
        <v>24.606666666666666</v>
      </c>
      <c r="D188">
        <f>LAI!F188</f>
        <v>2.732797485432704</v>
      </c>
      <c r="E188">
        <f>0.5*C188*(1-EXP(-'user input'!$C$19*D188))</f>
        <v>10.220869219114624</v>
      </c>
      <c r="F188">
        <f>E188*'user input'!$C$21</f>
        <v>398.6138995454703</v>
      </c>
    </row>
    <row r="189" spans="1:6" x14ac:dyDescent="0.2">
      <c r="A189" s="1">
        <v>40365</v>
      </c>
      <c r="B189">
        <v>187</v>
      </c>
      <c r="C189">
        <f>'weather data'!E189</f>
        <v>23.071111111111112</v>
      </c>
      <c r="D189">
        <f>LAI!F189</f>
        <v>2.7571019509653505</v>
      </c>
      <c r="E189">
        <f>0.5*C189*(1-EXP(-'user input'!$C$19*D189))</f>
        <v>9.6136488195203302</v>
      </c>
      <c r="F189">
        <f>E189*'user input'!$C$21</f>
        <v>374.93230396129286</v>
      </c>
    </row>
    <row r="190" spans="1:6" x14ac:dyDescent="0.2">
      <c r="A190" s="1">
        <v>40366</v>
      </c>
      <c r="B190">
        <v>188</v>
      </c>
      <c r="C190">
        <f>'weather data'!E190</f>
        <v>23.468888888888888</v>
      </c>
      <c r="D190">
        <f>LAI!F190</f>
        <v>2.777941226579427</v>
      </c>
      <c r="E190">
        <f>0.5*C190*(1-EXP(-'user input'!$C$19*D190))</f>
        <v>9.80570492823243</v>
      </c>
      <c r="F190">
        <f>E190*'user input'!$C$21</f>
        <v>382.42249220106476</v>
      </c>
    </row>
    <row r="191" spans="1:6" x14ac:dyDescent="0.2">
      <c r="A191" s="1">
        <v>40367</v>
      </c>
      <c r="B191">
        <v>189</v>
      </c>
      <c r="C191">
        <f>'weather data'!E191</f>
        <v>22.911111111111111</v>
      </c>
      <c r="D191">
        <f>LAI!F191</f>
        <v>2.7943708690155979</v>
      </c>
      <c r="E191">
        <f>0.5*C191*(1-EXP(-'user input'!$C$19*D191))</f>
        <v>9.5926567934279205</v>
      </c>
      <c r="F191">
        <f>E191*'user input'!$C$21</f>
        <v>374.1136149436889</v>
      </c>
    </row>
    <row r="192" spans="1:6" x14ac:dyDescent="0.2">
      <c r="A192" s="1">
        <v>40368</v>
      </c>
      <c r="B192">
        <v>190</v>
      </c>
      <c r="C192">
        <f>'weather data'!E192</f>
        <v>22.133333333333333</v>
      </c>
      <c r="D192">
        <f>LAI!F192</f>
        <v>2.8064461426134542</v>
      </c>
      <c r="E192">
        <f>0.5*C192*(1-EXP(-'user input'!$C$19*D192))</f>
        <v>9.2810789848523072</v>
      </c>
      <c r="F192">
        <f>E192*'user input'!$C$21</f>
        <v>361.96208040924</v>
      </c>
    </row>
    <row r="193" spans="1:6" x14ac:dyDescent="0.2">
      <c r="A193" s="1">
        <v>40369</v>
      </c>
      <c r="B193">
        <v>191</v>
      </c>
      <c r="C193">
        <f>'weather data'!E193</f>
        <v>23.479999999999993</v>
      </c>
      <c r="D193">
        <f>LAI!F193</f>
        <v>2.816213092699468</v>
      </c>
      <c r="E193">
        <f>0.5*C193*(1-EXP(-'user input'!$C$19*D193))</f>
        <v>9.8577585935862473</v>
      </c>
      <c r="F193">
        <f>E193*'user input'!$C$21</f>
        <v>384.45258514986364</v>
      </c>
    </row>
    <row r="194" spans="1:6" x14ac:dyDescent="0.2">
      <c r="A194" s="1">
        <v>40370</v>
      </c>
      <c r="B194">
        <v>192</v>
      </c>
      <c r="C194">
        <f>'weather data'!E194</f>
        <v>23.637777777777778</v>
      </c>
      <c r="D194">
        <f>LAI!F194</f>
        <v>2.8243218333773452</v>
      </c>
      <c r="E194">
        <f>0.5*C194*(1-EXP(-'user input'!$C$19*D194))</f>
        <v>9.9339605319813682</v>
      </c>
      <c r="F194">
        <f>E194*'user input'!$C$21</f>
        <v>387.42446074727337</v>
      </c>
    </row>
    <row r="195" spans="1:6" x14ac:dyDescent="0.2">
      <c r="A195" s="1">
        <v>40371</v>
      </c>
      <c r="B195">
        <v>193</v>
      </c>
      <c r="C195">
        <f>'weather data'!E195</f>
        <v>22.757777777777775</v>
      </c>
      <c r="D195">
        <f>LAI!F195</f>
        <v>2.830660725887443</v>
      </c>
      <c r="E195">
        <f>0.5*C195*(1-EXP(-'user input'!$C$19*D195))</f>
        <v>9.5715955829985173</v>
      </c>
      <c r="F195">
        <f>E195*'user input'!$C$21</f>
        <v>373.29222773694215</v>
      </c>
    </row>
    <row r="196" spans="1:6" x14ac:dyDescent="0.2">
      <c r="A196" s="1">
        <v>40372</v>
      </c>
      <c r="B196">
        <v>194</v>
      </c>
      <c r="C196">
        <f>'weather data'!E196</f>
        <v>22.486666666666665</v>
      </c>
      <c r="D196">
        <f>LAI!F196</f>
        <v>2.8356623573986406</v>
      </c>
      <c r="E196">
        <f>0.5*C196*(1-EXP(-'user input'!$C$19*D196))</f>
        <v>9.4633663274771749</v>
      </c>
      <c r="F196">
        <f>E196*'user input'!$C$21</f>
        <v>369.07128677160983</v>
      </c>
    </row>
    <row r="197" spans="1:6" x14ac:dyDescent="0.2">
      <c r="A197" s="1">
        <v>40373</v>
      </c>
      <c r="B197">
        <v>195</v>
      </c>
      <c r="C197">
        <f>'weather data'!E197</f>
        <v>23.213333333333335</v>
      </c>
      <c r="D197">
        <f>LAI!F197</f>
        <v>2.8410193710845615</v>
      </c>
      <c r="E197">
        <f>0.5*C197*(1-EXP(-'user input'!$C$19*D197))</f>
        <v>9.7755663456721766</v>
      </c>
      <c r="F197">
        <f>E197*'user input'!$C$21</f>
        <v>381.24708748121486</v>
      </c>
    </row>
    <row r="198" spans="1:6" x14ac:dyDescent="0.2">
      <c r="A198" s="1">
        <v>40374</v>
      </c>
      <c r="B198">
        <v>196</v>
      </c>
      <c r="C198">
        <f>'weather data'!E198</f>
        <v>23.213333333333335</v>
      </c>
      <c r="D198">
        <f>LAI!F198</f>
        <v>2.8455780035972129</v>
      </c>
      <c r="E198">
        <f>0.5*C198*(1-EXP(-'user input'!$C$19*D198))</f>
        <v>9.7809840687975314</v>
      </c>
      <c r="F198">
        <f>E198*'user input'!$C$21</f>
        <v>381.45837868310372</v>
      </c>
    </row>
    <row r="199" spans="1:6" x14ac:dyDescent="0.2">
      <c r="A199" s="1">
        <v>40375</v>
      </c>
      <c r="B199">
        <v>197</v>
      </c>
      <c r="C199">
        <f>'weather data'!E199</f>
        <v>24.926666666666669</v>
      </c>
      <c r="D199">
        <f>LAI!F199</f>
        <v>2.8486525760180812</v>
      </c>
      <c r="E199">
        <f>0.5*C199*(1-EXP(-'user input'!$C$19*D199))</f>
        <v>10.506814427111303</v>
      </c>
      <c r="F199">
        <f>E199*'user input'!$C$21</f>
        <v>409.76576265734082</v>
      </c>
    </row>
    <row r="200" spans="1:6" x14ac:dyDescent="0.2">
      <c r="A200" s="1">
        <v>40376</v>
      </c>
      <c r="B200">
        <v>198</v>
      </c>
      <c r="C200">
        <f>'weather data'!E200</f>
        <v>22.395555555555553</v>
      </c>
      <c r="D200">
        <f>LAI!F200</f>
        <v>2.8517685212190398</v>
      </c>
      <c r="E200">
        <f>0.5*C200*(1-EXP(-'user input'!$C$19*D200))</f>
        <v>9.4434849876362303</v>
      </c>
      <c r="F200">
        <f>E200*'user input'!$C$21</f>
        <v>368.295914517813</v>
      </c>
    </row>
    <row r="201" spans="1:6" x14ac:dyDescent="0.2">
      <c r="A201" s="1">
        <v>40377</v>
      </c>
      <c r="B201">
        <v>199</v>
      </c>
      <c r="C201">
        <f>'weather data'!E201</f>
        <v>20.604444444444447</v>
      </c>
      <c r="D201">
        <f>LAI!F201</f>
        <v>2.8544263641548366</v>
      </c>
      <c r="E201">
        <f>0.5*C201*(1-EXP(-'user input'!$C$19*D201))</f>
        <v>8.6910169986832599</v>
      </c>
      <c r="F201">
        <f>E201*'user input'!$C$21</f>
        <v>338.94966294864713</v>
      </c>
    </row>
    <row r="202" spans="1:6" x14ac:dyDescent="0.2">
      <c r="A202" s="1">
        <v>40378</v>
      </c>
      <c r="B202">
        <v>200</v>
      </c>
      <c r="C202">
        <f>'weather data'!E202</f>
        <v>19.959999999999997</v>
      </c>
      <c r="D202">
        <f>LAI!F202</f>
        <v>2.8564200669201787</v>
      </c>
      <c r="E202">
        <f>0.5*C202*(1-EXP(-'user input'!$C$19*D202))</f>
        <v>8.4212097388175593</v>
      </c>
      <c r="F202">
        <f>E202*'user input'!$C$21</f>
        <v>328.42717981388483</v>
      </c>
    </row>
    <row r="203" spans="1:6" x14ac:dyDescent="0.2">
      <c r="A203" s="1">
        <v>40379</v>
      </c>
      <c r="B203">
        <v>201</v>
      </c>
      <c r="C203">
        <f>'weather data'!E203</f>
        <v>21.315555555555552</v>
      </c>
      <c r="D203">
        <f>LAI!F203</f>
        <v>2.8579933836908196</v>
      </c>
      <c r="E203">
        <f>0.5*C203*(1-EXP(-'user input'!$C$19*D203))</f>
        <v>8.9948259479152615</v>
      </c>
      <c r="F203">
        <f>E203*'user input'!$C$21</f>
        <v>350.79821196869517</v>
      </c>
    </row>
    <row r="204" spans="1:6" x14ac:dyDescent="0.2">
      <c r="A204" s="1">
        <v>40380</v>
      </c>
      <c r="B204">
        <v>202</v>
      </c>
      <c r="C204">
        <f>'weather data'!E204</f>
        <v>21.008888888888883</v>
      </c>
      <c r="D204">
        <f>LAI!F204</f>
        <v>2.859405196854063</v>
      </c>
      <c r="E204">
        <f>0.5*C204*(1-EXP(-'user input'!$C$19*D204))</f>
        <v>8.8669208944927718</v>
      </c>
      <c r="F204">
        <f>E204*'user input'!$C$21</f>
        <v>345.80991488521812</v>
      </c>
    </row>
    <row r="205" spans="1:6" x14ac:dyDescent="0.2">
      <c r="A205" s="1">
        <v>40381</v>
      </c>
      <c r="B205">
        <v>203</v>
      </c>
      <c r="C205">
        <f>'weather data'!E205</f>
        <v>22.064444444444447</v>
      </c>
      <c r="D205">
        <f>LAI!F205</f>
        <v>2.8605445578779274</v>
      </c>
      <c r="E205">
        <f>0.5*C205*(1-EXP(-'user input'!$C$19*D205))</f>
        <v>9.3136972972940306</v>
      </c>
      <c r="F205">
        <f>E205*'user input'!$C$21</f>
        <v>363.23419459446717</v>
      </c>
    </row>
    <row r="206" spans="1:6" x14ac:dyDescent="0.2">
      <c r="A206" s="1">
        <v>40382</v>
      </c>
      <c r="B206">
        <v>204</v>
      </c>
      <c r="C206">
        <f>'weather data'!E206</f>
        <v>21.877777777777776</v>
      </c>
      <c r="D206">
        <f>LAI!F206</f>
        <v>2.8615078636527613</v>
      </c>
      <c r="E206">
        <f>0.5*C206*(1-EXP(-'user input'!$C$19*D206))</f>
        <v>9.2359694138610493</v>
      </c>
      <c r="F206">
        <f>E206*'user input'!$C$21</f>
        <v>360.20280714058094</v>
      </c>
    </row>
    <row r="207" spans="1:6" x14ac:dyDescent="0.2">
      <c r="A207" s="1">
        <v>40383</v>
      </c>
      <c r="B207">
        <v>205</v>
      </c>
      <c r="C207">
        <f>'weather data'!E207</f>
        <v>23.522222222222226</v>
      </c>
      <c r="D207">
        <f>LAI!F207</f>
        <v>2.8623865400768285</v>
      </c>
      <c r="E207">
        <f>0.5*C207*(1-EXP(-'user input'!$C$19*D207))</f>
        <v>9.931237006495671</v>
      </c>
      <c r="F207">
        <f>E207*'user input'!$C$21</f>
        <v>387.31824325333116</v>
      </c>
    </row>
    <row r="208" spans="1:6" x14ac:dyDescent="0.2">
      <c r="A208" s="1">
        <v>40384</v>
      </c>
      <c r="B208">
        <v>206</v>
      </c>
      <c r="C208">
        <f>'weather data'!E208</f>
        <v>21.008888888888887</v>
      </c>
      <c r="D208">
        <f>LAI!F208</f>
        <v>2.8630539495400962</v>
      </c>
      <c r="E208">
        <f>0.5*C208*(1-EXP(-'user input'!$C$19*D208))</f>
        <v>8.8707999896636895</v>
      </c>
      <c r="F208">
        <f>E208*'user input'!$C$21</f>
        <v>345.96119959688389</v>
      </c>
    </row>
    <row r="209" spans="1:6" x14ac:dyDescent="0.2">
      <c r="A209" s="1">
        <v>40385</v>
      </c>
      <c r="B209">
        <v>207</v>
      </c>
      <c r="C209">
        <f>'weather data'!E209</f>
        <v>20.684444444444445</v>
      </c>
      <c r="D209">
        <f>LAI!F209</f>
        <v>2.8635526063130357</v>
      </c>
      <c r="E209">
        <f>0.5*C209*(1-EXP(-'user input'!$C$19*D209))</f>
        <v>8.7343277096119021</v>
      </c>
      <c r="F209">
        <f>E209*'user input'!$C$21</f>
        <v>340.63878067486417</v>
      </c>
    </row>
    <row r="210" spans="1:6" x14ac:dyDescent="0.2">
      <c r="A210" s="1">
        <v>40386</v>
      </c>
      <c r="B210">
        <v>208</v>
      </c>
      <c r="C210">
        <f>'weather data'!E210</f>
        <v>21.106666666666669</v>
      </c>
      <c r="D210">
        <f>LAI!F210</f>
        <v>2.8640361462066095</v>
      </c>
      <c r="E210">
        <f>0.5*C210*(1-EXP(-'user input'!$C$19*D210))</f>
        <v>8.9131331937026328</v>
      </c>
      <c r="F210">
        <f>E210*'user input'!$C$21</f>
        <v>347.61219455440266</v>
      </c>
    </row>
    <row r="211" spans="1:6" x14ac:dyDescent="0.2">
      <c r="A211" s="1">
        <v>40387</v>
      </c>
      <c r="B211">
        <v>209</v>
      </c>
      <c r="C211">
        <f>'weather data'!E211</f>
        <v>20.757777777777772</v>
      </c>
      <c r="D211">
        <f>LAI!F211</f>
        <v>2.8645246104079289</v>
      </c>
      <c r="E211">
        <f>0.5*C211*(1-EXP(-'user input'!$C$19*D211))</f>
        <v>8.7663129994739979</v>
      </c>
      <c r="F211">
        <f>E211*'user input'!$C$21</f>
        <v>341.88620697948591</v>
      </c>
    </row>
    <row r="212" spans="1:6" x14ac:dyDescent="0.2">
      <c r="A212" s="1">
        <v>40388</v>
      </c>
      <c r="B212">
        <v>210</v>
      </c>
      <c r="C212">
        <f>'weather data'!E212</f>
        <v>21.942222222222224</v>
      </c>
      <c r="D212">
        <f>LAI!F212</f>
        <v>2.864838684875298</v>
      </c>
      <c r="E212">
        <f>0.5*C212*(1-EXP(-'user input'!$C$19*D212))</f>
        <v>9.2668691567459422</v>
      </c>
      <c r="F212">
        <f>E212*'user input'!$C$21</f>
        <v>361.40789711309174</v>
      </c>
    </row>
    <row r="213" spans="1:6" x14ac:dyDescent="0.2">
      <c r="A213" s="1">
        <v>40389</v>
      </c>
      <c r="B213">
        <v>211</v>
      </c>
      <c r="C213">
        <f>'weather data'!E213</f>
        <v>21.31999999999999</v>
      </c>
      <c r="D213">
        <f>LAI!F213</f>
        <v>2.8651111125316966</v>
      </c>
      <c r="E213">
        <f>0.5*C213*(1-EXP(-'user input'!$C$19*D213))</f>
        <v>9.0043789494094195</v>
      </c>
      <c r="F213">
        <f>E213*'user input'!$C$21</f>
        <v>351.17077902696735</v>
      </c>
    </row>
    <row r="214" spans="1:6" x14ac:dyDescent="0.2">
      <c r="A214" s="1">
        <v>40390</v>
      </c>
      <c r="B214">
        <v>212</v>
      </c>
      <c r="C214">
        <f>'weather data'!E214</f>
        <v>21.69777777777778</v>
      </c>
      <c r="D214">
        <f>LAI!F214</f>
        <v>2.8653258696802473</v>
      </c>
      <c r="E214">
        <f>0.5*C214*(1-EXP(-'user input'!$C$19*D214))</f>
        <v>9.164166403913276</v>
      </c>
      <c r="F214">
        <f>E214*'user input'!$C$21</f>
        <v>357.40248975261778</v>
      </c>
    </row>
    <row r="215" spans="1:6" x14ac:dyDescent="0.2">
      <c r="A215" s="1">
        <v>40391</v>
      </c>
      <c r="B215">
        <v>213</v>
      </c>
      <c r="C215">
        <f>'weather data'!E215</f>
        <v>21.27999999999999</v>
      </c>
      <c r="D215">
        <f>LAI!F215</f>
        <v>2.8655619684937674</v>
      </c>
      <c r="E215">
        <f>0.5*C215*(1-EXP(-'user input'!$C$19*D215))</f>
        <v>8.9879693893231032</v>
      </c>
      <c r="F215">
        <f>E215*'user input'!$C$21</f>
        <v>350.53080618360104</v>
      </c>
    </row>
    <row r="216" spans="1:6" x14ac:dyDescent="0.2">
      <c r="A216" s="1">
        <v>40392</v>
      </c>
      <c r="B216">
        <v>214</v>
      </c>
      <c r="C216">
        <f>'weather data'!E216</f>
        <v>22.631111111111117</v>
      </c>
      <c r="D216">
        <f>LAI!F216</f>
        <v>2.8657666972048661</v>
      </c>
      <c r="E216">
        <f>0.5*C216*(1-EXP(-'user input'!$C$19*D216))</f>
        <v>9.5588678968697725</v>
      </c>
      <c r="F216">
        <f>E216*'user input'!$C$21</f>
        <v>372.79584797792114</v>
      </c>
    </row>
    <row r="217" spans="1:6" x14ac:dyDescent="0.2">
      <c r="A217" s="1">
        <v>40393</v>
      </c>
      <c r="B217">
        <v>215</v>
      </c>
      <c r="C217">
        <f>'weather data'!E217</f>
        <v>21.322222222222216</v>
      </c>
      <c r="D217">
        <f>LAI!F217</f>
        <v>2.8659402818588764</v>
      </c>
      <c r="E217">
        <f>0.5*C217*(1-EXP(-'user input'!$C$19*D217))</f>
        <v>9.0062096583292686</v>
      </c>
      <c r="F217">
        <f>E217*'user input'!$C$21</f>
        <v>351.24217667484146</v>
      </c>
    </row>
    <row r="218" spans="1:6" x14ac:dyDescent="0.2">
      <c r="A218" s="1">
        <v>40394</v>
      </c>
      <c r="B218">
        <v>216</v>
      </c>
      <c r="C218">
        <f>'weather data'!E218</f>
        <v>19.813333333333325</v>
      </c>
      <c r="D218">
        <f>LAI!F218</f>
        <v>2.8661070410212015</v>
      </c>
      <c r="E218">
        <f>0.5*C218*(1-EXP(-'user input'!$C$19*D218))</f>
        <v>8.3690426871713459</v>
      </c>
      <c r="F218">
        <f>E218*'user input'!$C$21</f>
        <v>326.39266479968251</v>
      </c>
    </row>
    <row r="219" spans="1:6" x14ac:dyDescent="0.2">
      <c r="A219" s="1">
        <v>40395</v>
      </c>
      <c r="B219">
        <v>217</v>
      </c>
      <c r="C219">
        <f>'weather data'!E219</f>
        <v>19.868888888888886</v>
      </c>
      <c r="D219">
        <f>LAI!F219</f>
        <v>2.8662359860977369</v>
      </c>
      <c r="E219">
        <f>0.5*C219*(1-EXP(-'user input'!$C$19*D219))</f>
        <v>8.3926382781503257</v>
      </c>
      <c r="F219">
        <f>E219*'user input'!$C$21</f>
        <v>327.31289284786271</v>
      </c>
    </row>
    <row r="220" spans="1:6" x14ac:dyDescent="0.2">
      <c r="A220" s="1">
        <v>40396</v>
      </c>
      <c r="B220">
        <v>218</v>
      </c>
      <c r="C220">
        <f>'weather data'!E220</f>
        <v>20.691111111111113</v>
      </c>
      <c r="D220">
        <f>LAI!F220</f>
        <v>2.8663245277205509</v>
      </c>
      <c r="E220">
        <f>0.5*C220*(1-EXP(-'user input'!$C$19*D220))</f>
        <v>8.7400381598713359</v>
      </c>
      <c r="F220">
        <f>E220*'user input'!$C$21</f>
        <v>340.86148823498212</v>
      </c>
    </row>
    <row r="221" spans="1:6" x14ac:dyDescent="0.2">
      <c r="A221" s="1">
        <v>40397</v>
      </c>
      <c r="B221">
        <v>219</v>
      </c>
      <c r="C221">
        <f>'weather data'!E221</f>
        <v>21.084444444444447</v>
      </c>
      <c r="D221">
        <f>LAI!F221</f>
        <v>2.8663980025375366</v>
      </c>
      <c r="E221">
        <f>0.5*C221*(1-EXP(-'user input'!$C$19*D221))</f>
        <v>8.9062624377437505</v>
      </c>
      <c r="F221">
        <f>E221*'user input'!$C$21</f>
        <v>347.34423507200626</v>
      </c>
    </row>
    <row r="222" spans="1:6" x14ac:dyDescent="0.2">
      <c r="A222" s="1">
        <v>40398</v>
      </c>
      <c r="B222">
        <v>220</v>
      </c>
      <c r="C222">
        <f>'weather data'!E222</f>
        <v>20.291111111111103</v>
      </c>
      <c r="D222">
        <f>LAI!F222</f>
        <v>2.8664789960762436</v>
      </c>
      <c r="E222">
        <f>0.5*C222*(1-EXP(-'user input'!$C$19*D222))</f>
        <v>8.5712340555021651</v>
      </c>
      <c r="F222">
        <f>E222*'user input'!$C$21</f>
        <v>334.27812816458442</v>
      </c>
    </row>
    <row r="223" spans="1:6" x14ac:dyDescent="0.2">
      <c r="A223" s="1">
        <v>40399</v>
      </c>
      <c r="B223">
        <v>221</v>
      </c>
      <c r="C223">
        <f>'weather data'!E223</f>
        <v>20.335555555555551</v>
      </c>
      <c r="D223">
        <f>LAI!F223</f>
        <v>2.8665523072680412</v>
      </c>
      <c r="E223">
        <f>0.5*C223*(1-EXP(-'user input'!$C$19*D223))</f>
        <v>8.5900831599571426</v>
      </c>
      <c r="F223">
        <f>E223*'user input'!$C$21</f>
        <v>335.01324323832858</v>
      </c>
    </row>
    <row r="224" spans="1:6" x14ac:dyDescent="0.2">
      <c r="A224" s="1">
        <v>40400</v>
      </c>
      <c r="B224">
        <v>222</v>
      </c>
      <c r="C224">
        <f>'weather data'!E224</f>
        <v>20.286666666666665</v>
      </c>
      <c r="D224">
        <f>LAI!F224</f>
        <v>2.8666164124445208</v>
      </c>
      <c r="E224">
        <f>0.5*C224*(1-EXP(-'user input'!$C$19*D224))</f>
        <v>8.569497245633519</v>
      </c>
      <c r="F224">
        <f>E224*'user input'!$C$21</f>
        <v>334.21039257970722</v>
      </c>
    </row>
    <row r="225" spans="1:6" x14ac:dyDescent="0.2">
      <c r="A225" s="1">
        <v>40401</v>
      </c>
      <c r="B225">
        <v>223</v>
      </c>
      <c r="C225">
        <f>'weather data'!E225</f>
        <v>19.695555555555561</v>
      </c>
      <c r="D225">
        <f>LAI!F225</f>
        <v>2.8666692553455109</v>
      </c>
      <c r="E225">
        <f>0.5*C225*(1-EXP(-'user input'!$C$19*D225))</f>
        <v>8.3198524696419422</v>
      </c>
      <c r="F225">
        <f>E225*'user input'!$C$21</f>
        <v>324.47424631603576</v>
      </c>
    </row>
    <row r="226" spans="1:6" x14ac:dyDescent="0.2">
      <c r="A226" s="1">
        <v>40402</v>
      </c>
      <c r="B226">
        <v>224</v>
      </c>
      <c r="C226">
        <f>'weather data'!E226</f>
        <v>19.864444444444441</v>
      </c>
      <c r="D226">
        <f>LAI!F226</f>
        <v>2.8667121334569083</v>
      </c>
      <c r="E226">
        <f>0.5*C226*(1-EXP(-'user input'!$C$19*D226))</f>
        <v>8.391237942378357</v>
      </c>
      <c r="F226">
        <f>E226*'user input'!$C$21</f>
        <v>327.25827975275593</v>
      </c>
    </row>
    <row r="227" spans="1:6" x14ac:dyDescent="0.2">
      <c r="A227" s="1">
        <v>40403</v>
      </c>
      <c r="B227">
        <v>225</v>
      </c>
      <c r="C227">
        <f>'weather data'!E227</f>
        <v>19.211111111111116</v>
      </c>
      <c r="D227">
        <f>LAI!F227</f>
        <v>2.6666666666666643</v>
      </c>
      <c r="E227">
        <f>0.5*C227*(1-EXP(-'user input'!$C$19*D227))</f>
        <v>7.9083072404824675</v>
      </c>
      <c r="F227">
        <f>E227*'user input'!$C$21</f>
        <v>308.42398237881622</v>
      </c>
    </row>
    <row r="228" spans="1:6" x14ac:dyDescent="0.2">
      <c r="A228" s="1">
        <v>40404</v>
      </c>
      <c r="B228">
        <v>226</v>
      </c>
      <c r="C228">
        <f>'weather data'!E228</f>
        <v>19.971111111111117</v>
      </c>
      <c r="D228">
        <f>LAI!F228</f>
        <v>2.3402777777777724</v>
      </c>
      <c r="E228">
        <f>0.5*C228*(1-EXP(-'user input'!$C$19*D228))</f>
        <v>7.804172622182131</v>
      </c>
      <c r="F228">
        <f>E228*'user input'!$C$21</f>
        <v>304.36273226510309</v>
      </c>
    </row>
    <row r="229" spans="1:6" x14ac:dyDescent="0.2">
      <c r="A229" s="1">
        <v>40405</v>
      </c>
      <c r="B229">
        <v>227</v>
      </c>
      <c r="C229">
        <f>'weather data'!E229</f>
        <v>19.895555555555553</v>
      </c>
      <c r="D229">
        <f>LAI!F229</f>
        <v>1.9999999999999933</v>
      </c>
      <c r="E229">
        <f>0.5*C229*(1-EXP(-'user input'!$C$19*D229))</f>
        <v>7.2366920632960809</v>
      </c>
      <c r="F229">
        <f>E229*'user input'!$C$21</f>
        <v>282.23099046854713</v>
      </c>
    </row>
    <row r="230" spans="1:6" x14ac:dyDescent="0.2">
      <c r="A230" s="1">
        <v>40406</v>
      </c>
      <c r="B230">
        <v>228</v>
      </c>
      <c r="C230">
        <f>'weather data'!E230</f>
        <v>19.86</v>
      </c>
      <c r="D230">
        <f>LAI!F230</f>
        <v>1.7569444444444406</v>
      </c>
      <c r="E230">
        <f>0.5*C230*(1-EXP(-'user input'!$C$19*D230))</f>
        <v>6.760586391703022</v>
      </c>
      <c r="F230">
        <f>E230*'user input'!$C$21</f>
        <v>263.66286927641784</v>
      </c>
    </row>
    <row r="231" spans="1:6" x14ac:dyDescent="0.2">
      <c r="A231" s="1">
        <v>40407</v>
      </c>
      <c r="B231">
        <v>229</v>
      </c>
      <c r="C231">
        <f>'weather data'!E231</f>
        <v>19.584444444444447</v>
      </c>
      <c r="D231">
        <f>LAI!F231</f>
        <v>1.5069444444444415</v>
      </c>
      <c r="E231">
        <f>0.5*C231*(1-EXP(-'user input'!$C$19*D231))</f>
        <v>6.1153055841351875</v>
      </c>
      <c r="F231">
        <f>E231*'user input'!$C$21</f>
        <v>238.49691778127232</v>
      </c>
    </row>
    <row r="232" spans="1:6" x14ac:dyDescent="0.2">
      <c r="A232" s="1">
        <v>40408</v>
      </c>
      <c r="B232">
        <v>230</v>
      </c>
      <c r="C232">
        <f>'weather data'!E232</f>
        <v>18.513333333333335</v>
      </c>
      <c r="D232">
        <f>LAI!F232</f>
        <v>1.2986111111111089</v>
      </c>
      <c r="E232">
        <f>0.5*C232*(1-EXP(-'user input'!$C$19*D232))</f>
        <v>5.2768060791194387</v>
      </c>
      <c r="F232">
        <f>E232*'user input'!$C$21</f>
        <v>205.79543708565811</v>
      </c>
    </row>
    <row r="233" spans="1:6" x14ac:dyDescent="0.2">
      <c r="A233" s="1">
        <v>40409</v>
      </c>
      <c r="B233">
        <v>231</v>
      </c>
      <c r="C233">
        <f>'weather data'!E233</f>
        <v>18.513333333333335</v>
      </c>
      <c r="D233">
        <f>LAI!F233</f>
        <v>1.0138888888888866</v>
      </c>
      <c r="E233">
        <f>0.5*C233*(1-EXP(-'user input'!$C$19*D233))</f>
        <v>4.4676924624865491</v>
      </c>
      <c r="F233">
        <f>E233*'user input'!$C$21</f>
        <v>174.24000603697542</v>
      </c>
    </row>
    <row r="234" spans="1:6" x14ac:dyDescent="0.2">
      <c r="A234" s="1">
        <v>40410</v>
      </c>
      <c r="B234">
        <v>232</v>
      </c>
      <c r="C234">
        <f>'weather data'!E234</f>
        <v>20.05777777777778</v>
      </c>
      <c r="D234">
        <f>LAI!F234</f>
        <v>0.68055555555555447</v>
      </c>
      <c r="E234">
        <f>0.5*C234*(1-EXP(-'user input'!$C$19*D234))</f>
        <v>3.5851515368726479</v>
      </c>
      <c r="F234">
        <f>E234*'user input'!$C$21</f>
        <v>139.82090993803325</v>
      </c>
    </row>
    <row r="235" spans="1:6" x14ac:dyDescent="0.2">
      <c r="A235" s="1">
        <v>40411</v>
      </c>
      <c r="B235">
        <v>233</v>
      </c>
      <c r="C235">
        <f>'weather data'!E235</f>
        <v>18.846666666666664</v>
      </c>
      <c r="D235">
        <f>LAI!F235</f>
        <v>0.30555555555555569</v>
      </c>
      <c r="E235">
        <f>0.5*C235*(1-EXP(-'user input'!$C$19*D235))</f>
        <v>1.6974375742775165</v>
      </c>
      <c r="F235">
        <f>E235*'user input'!$C$21</f>
        <v>66.200065396823149</v>
      </c>
    </row>
    <row r="236" spans="1:6" x14ac:dyDescent="0.2">
      <c r="A236" s="1">
        <v>40412</v>
      </c>
      <c r="B236">
        <v>234</v>
      </c>
      <c r="C236">
        <f>'weather data'!E236</f>
        <v>16.657777777777788</v>
      </c>
      <c r="D236">
        <f>LAI!F236</f>
        <v>0</v>
      </c>
      <c r="E236">
        <f>0.5*C236*(1-EXP(-'user input'!$C$19*D236))</f>
        <v>0</v>
      </c>
      <c r="F236">
        <f>E236*'user input'!$C$21</f>
        <v>0</v>
      </c>
    </row>
    <row r="237" spans="1:6" x14ac:dyDescent="0.2">
      <c r="A237" s="1">
        <v>40413</v>
      </c>
      <c r="B237">
        <v>235</v>
      </c>
      <c r="C237">
        <f>'weather data'!E237</f>
        <v>17.182222222222222</v>
      </c>
      <c r="D237">
        <f>LAI!F237</f>
        <v>0</v>
      </c>
      <c r="E237">
        <f>0.5*C237*(1-EXP(-'user input'!$C$19*D237))</f>
        <v>0</v>
      </c>
      <c r="F237">
        <f>E237*'user input'!$C$21</f>
        <v>0</v>
      </c>
    </row>
    <row r="238" spans="1:6" x14ac:dyDescent="0.2">
      <c r="A238" s="1">
        <v>40414</v>
      </c>
      <c r="B238">
        <v>236</v>
      </c>
      <c r="C238">
        <f>'weather data'!E238</f>
        <v>17.515555555555554</v>
      </c>
      <c r="D238">
        <f>LAI!F238</f>
        <v>0</v>
      </c>
      <c r="E238">
        <f>0.5*C238*(1-EXP(-'user input'!$C$19*D238))</f>
        <v>0</v>
      </c>
      <c r="F238">
        <f>E238*'user input'!$C$21</f>
        <v>0</v>
      </c>
    </row>
    <row r="239" spans="1:6" x14ac:dyDescent="0.2">
      <c r="A239" s="1">
        <v>40415</v>
      </c>
      <c r="B239">
        <v>237</v>
      </c>
      <c r="C239">
        <f>'weather data'!E239</f>
        <v>17.753333333333327</v>
      </c>
      <c r="D239">
        <f>LAI!F239</f>
        <v>0</v>
      </c>
      <c r="E239">
        <f>0.5*C239*(1-EXP(-'user input'!$C$19*D239))</f>
        <v>0</v>
      </c>
      <c r="F239">
        <f>E239*'user input'!$C$21</f>
        <v>0</v>
      </c>
    </row>
    <row r="240" spans="1:6" x14ac:dyDescent="0.2">
      <c r="A240" s="1">
        <v>40416</v>
      </c>
      <c r="B240">
        <v>238</v>
      </c>
      <c r="C240">
        <f>'weather data'!E240</f>
        <v>17.366666666666664</v>
      </c>
      <c r="D240">
        <f>LAI!F240</f>
        <v>0</v>
      </c>
      <c r="E240">
        <f>0.5*C240*(1-EXP(-'user input'!$C$19*D240))</f>
        <v>0</v>
      </c>
      <c r="F240">
        <f>E240*'user input'!$C$21</f>
        <v>0</v>
      </c>
    </row>
    <row r="241" spans="1:6" x14ac:dyDescent="0.2">
      <c r="A241" s="1">
        <v>40417</v>
      </c>
      <c r="B241">
        <v>239</v>
      </c>
      <c r="C241">
        <f>'weather data'!E241</f>
        <v>17.388888888888886</v>
      </c>
      <c r="D241">
        <f>LAI!F241</f>
        <v>0</v>
      </c>
      <c r="E241">
        <f>0.5*C241*(1-EXP(-'user input'!$C$19*D241))</f>
        <v>0</v>
      </c>
      <c r="F241">
        <f>E241*'user input'!$C$21</f>
        <v>0</v>
      </c>
    </row>
    <row r="242" spans="1:6" x14ac:dyDescent="0.2">
      <c r="A242" s="1">
        <v>40418</v>
      </c>
      <c r="B242">
        <v>240</v>
      </c>
      <c r="C242">
        <f>'weather data'!E242</f>
        <v>18.282222222222217</v>
      </c>
      <c r="D242">
        <f>LAI!F242</f>
        <v>0</v>
      </c>
      <c r="E242">
        <f>0.5*C242*(1-EXP(-'user input'!$C$19*D242))</f>
        <v>0</v>
      </c>
      <c r="F242">
        <f>E242*'user input'!$C$21</f>
        <v>0</v>
      </c>
    </row>
    <row r="243" spans="1:6" x14ac:dyDescent="0.2">
      <c r="A243" s="1">
        <v>40419</v>
      </c>
      <c r="B243">
        <v>241</v>
      </c>
      <c r="C243">
        <f>'weather data'!E243</f>
        <v>19.166666666666675</v>
      </c>
      <c r="D243">
        <f>LAI!F243</f>
        <v>0</v>
      </c>
      <c r="E243">
        <f>0.5*C243*(1-EXP(-'user input'!$C$19*D243))</f>
        <v>0</v>
      </c>
      <c r="F243">
        <f>E243*'user input'!$C$21</f>
        <v>0</v>
      </c>
    </row>
    <row r="244" spans="1:6" x14ac:dyDescent="0.2">
      <c r="A244" s="1">
        <v>40420</v>
      </c>
      <c r="B244">
        <v>242</v>
      </c>
      <c r="C244">
        <f>'weather data'!E244</f>
        <v>17.893333333333331</v>
      </c>
      <c r="D244">
        <f>LAI!F244</f>
        <v>0</v>
      </c>
      <c r="E244">
        <f>0.5*C244*(1-EXP(-'user input'!$C$19*D244))</f>
        <v>0</v>
      </c>
      <c r="F244">
        <f>E244*'user input'!$C$21</f>
        <v>0</v>
      </c>
    </row>
    <row r="245" spans="1:6" x14ac:dyDescent="0.2">
      <c r="A245" s="1">
        <v>40421</v>
      </c>
      <c r="B245">
        <v>243</v>
      </c>
      <c r="C245">
        <f>'weather data'!E245</f>
        <v>18.108888888888892</v>
      </c>
      <c r="D245">
        <f>LAI!F245</f>
        <v>0</v>
      </c>
      <c r="E245">
        <f>0.5*C245*(1-EXP(-'user input'!$C$19*D245))</f>
        <v>0</v>
      </c>
      <c r="F245">
        <f>E245*'user input'!$C$21</f>
        <v>0</v>
      </c>
    </row>
    <row r="246" spans="1:6" x14ac:dyDescent="0.2">
      <c r="A246" s="1">
        <v>40422</v>
      </c>
      <c r="B246">
        <v>244</v>
      </c>
      <c r="C246">
        <f>'weather data'!E246</f>
        <v>18.124444444444446</v>
      </c>
      <c r="D246">
        <f>LAI!F246</f>
        <v>0</v>
      </c>
      <c r="E246">
        <f>0.5*C246*(1-EXP(-'user input'!$C$19*D246))</f>
        <v>0</v>
      </c>
      <c r="F246">
        <f>E246*'user input'!$C$21</f>
        <v>0</v>
      </c>
    </row>
    <row r="247" spans="1:6" x14ac:dyDescent="0.2">
      <c r="A247" s="1">
        <v>40423</v>
      </c>
      <c r="B247">
        <v>245</v>
      </c>
      <c r="C247">
        <f>'weather data'!E247</f>
        <v>17.782222222222217</v>
      </c>
      <c r="D247">
        <f>LAI!F247</f>
        <v>0</v>
      </c>
      <c r="E247">
        <f>0.5*C247*(1-EXP(-'user input'!$C$19*D247))</f>
        <v>0</v>
      </c>
      <c r="F247">
        <f>E247*'user input'!$C$21</f>
        <v>0</v>
      </c>
    </row>
    <row r="248" spans="1:6" x14ac:dyDescent="0.2">
      <c r="A248" s="1">
        <v>40424</v>
      </c>
      <c r="B248">
        <v>246</v>
      </c>
      <c r="C248">
        <f>'weather data'!E248</f>
        <v>18.233333333333341</v>
      </c>
      <c r="D248">
        <f>LAI!F248</f>
        <v>0</v>
      </c>
      <c r="E248">
        <f>0.5*C248*(1-EXP(-'user input'!$C$19*D248))</f>
        <v>0</v>
      </c>
      <c r="F248">
        <f>E248*'user input'!$C$21</f>
        <v>0</v>
      </c>
    </row>
    <row r="249" spans="1:6" x14ac:dyDescent="0.2">
      <c r="A249" s="1">
        <v>40425</v>
      </c>
      <c r="B249">
        <v>247</v>
      </c>
      <c r="C249">
        <f>'weather data'!E249</f>
        <v>17.279999999999994</v>
      </c>
      <c r="D249">
        <f>LAI!F249</f>
        <v>0</v>
      </c>
      <c r="E249">
        <f>0.5*C249*(1-EXP(-'user input'!$C$19*D249))</f>
        <v>0</v>
      </c>
      <c r="F249">
        <f>E249*'user input'!$C$21</f>
        <v>0</v>
      </c>
    </row>
    <row r="250" spans="1:6" x14ac:dyDescent="0.2">
      <c r="A250" s="1">
        <v>40426</v>
      </c>
      <c r="B250">
        <v>248</v>
      </c>
      <c r="C250">
        <f>'weather data'!E250</f>
        <v>17.504444444444449</v>
      </c>
      <c r="D250">
        <f>LAI!F250</f>
        <v>0</v>
      </c>
      <c r="E250">
        <f>0.5*C250*(1-EXP(-'user input'!$C$19*D250))</f>
        <v>0</v>
      </c>
      <c r="F250">
        <f>E250*'user input'!$C$21</f>
        <v>0</v>
      </c>
    </row>
    <row r="251" spans="1:6" x14ac:dyDescent="0.2">
      <c r="A251" s="1">
        <v>40427</v>
      </c>
      <c r="B251">
        <v>249</v>
      </c>
      <c r="C251">
        <f>'weather data'!E251</f>
        <v>17.331111111111102</v>
      </c>
      <c r="D251">
        <f>LAI!F251</f>
        <v>0</v>
      </c>
      <c r="E251">
        <f>0.5*C251*(1-EXP(-'user input'!$C$19*D251))</f>
        <v>0</v>
      </c>
      <c r="F251">
        <f>E251*'user input'!$C$21</f>
        <v>0</v>
      </c>
    </row>
    <row r="252" spans="1:6" x14ac:dyDescent="0.2">
      <c r="A252" s="1">
        <v>40428</v>
      </c>
      <c r="B252">
        <v>250</v>
      </c>
      <c r="C252">
        <f>'weather data'!E252</f>
        <v>16.582222222222228</v>
      </c>
      <c r="D252">
        <f>LAI!F252</f>
        <v>0</v>
      </c>
      <c r="E252">
        <f>0.5*C252*(1-EXP(-'user input'!$C$19*D252))</f>
        <v>0</v>
      </c>
      <c r="F252">
        <f>E252*'user input'!$C$21</f>
        <v>0</v>
      </c>
    </row>
    <row r="253" spans="1:6" x14ac:dyDescent="0.2">
      <c r="A253" s="1">
        <v>40429</v>
      </c>
      <c r="B253">
        <v>251</v>
      </c>
      <c r="C253">
        <f>'weather data'!E253</f>
        <v>15.802222222222218</v>
      </c>
      <c r="D253">
        <f>LAI!F253</f>
        <v>0</v>
      </c>
      <c r="E253">
        <f>0.5*C253*(1-EXP(-'user input'!$C$19*D253))</f>
        <v>0</v>
      </c>
      <c r="F253">
        <f>E253*'user input'!$C$21</f>
        <v>0</v>
      </c>
    </row>
    <row r="254" spans="1:6" x14ac:dyDescent="0.2">
      <c r="A254" s="1">
        <v>40430</v>
      </c>
      <c r="B254">
        <v>252</v>
      </c>
      <c r="C254">
        <f>'weather data'!E254</f>
        <v>16.022222222222219</v>
      </c>
      <c r="D254">
        <f>LAI!F254</f>
        <v>0</v>
      </c>
      <c r="E254">
        <f>0.5*C254*(1-EXP(-'user input'!$C$19*D254))</f>
        <v>0</v>
      </c>
      <c r="F254">
        <f>E254*'user input'!$C$21</f>
        <v>0</v>
      </c>
    </row>
    <row r="255" spans="1:6" x14ac:dyDescent="0.2">
      <c r="A255" s="1">
        <v>40431</v>
      </c>
      <c r="B255">
        <v>253</v>
      </c>
      <c r="C255">
        <f>'weather data'!E255</f>
        <v>15.893333333333333</v>
      </c>
      <c r="D255">
        <f>LAI!F255</f>
        <v>0</v>
      </c>
      <c r="E255">
        <f>0.5*C255*(1-EXP(-'user input'!$C$19*D255))</f>
        <v>0</v>
      </c>
      <c r="F255">
        <f>E255*'user input'!$C$21</f>
        <v>0</v>
      </c>
    </row>
    <row r="256" spans="1:6" x14ac:dyDescent="0.2">
      <c r="A256" s="1">
        <v>40432</v>
      </c>
      <c r="B256">
        <v>254</v>
      </c>
      <c r="C256">
        <f>'weather data'!E256</f>
        <v>17.87555555555555</v>
      </c>
      <c r="D256">
        <f>LAI!F256</f>
        <v>0</v>
      </c>
      <c r="E256">
        <f>0.5*C256*(1-EXP(-'user input'!$C$19*D256))</f>
        <v>0</v>
      </c>
      <c r="F256">
        <f>E256*'user input'!$C$21</f>
        <v>0</v>
      </c>
    </row>
    <row r="257" spans="1:6" x14ac:dyDescent="0.2">
      <c r="A257" s="1">
        <v>40433</v>
      </c>
      <c r="B257">
        <v>255</v>
      </c>
      <c r="C257">
        <f>'weather data'!E257</f>
        <v>15.27777777777778</v>
      </c>
      <c r="D257">
        <f>LAI!F257</f>
        <v>0</v>
      </c>
      <c r="E257">
        <f>0.5*C257*(1-EXP(-'user input'!$C$19*D257))</f>
        <v>0</v>
      </c>
      <c r="F257">
        <f>E257*'user input'!$C$21</f>
        <v>0</v>
      </c>
    </row>
    <row r="258" spans="1:6" x14ac:dyDescent="0.2">
      <c r="A258" s="1">
        <v>40434</v>
      </c>
      <c r="B258">
        <v>256</v>
      </c>
      <c r="C258">
        <f>'weather data'!E258</f>
        <v>14.684444444444448</v>
      </c>
      <c r="D258">
        <f>LAI!F258</f>
        <v>0</v>
      </c>
      <c r="E258">
        <f>0.5*C258*(1-EXP(-'user input'!$C$19*D258))</f>
        <v>0</v>
      </c>
      <c r="F258">
        <f>E258*'user input'!$C$21</f>
        <v>0</v>
      </c>
    </row>
    <row r="259" spans="1:6" x14ac:dyDescent="0.2">
      <c r="A259" s="1">
        <v>40435</v>
      </c>
      <c r="B259">
        <v>257</v>
      </c>
      <c r="C259">
        <f>'weather data'!E259</f>
        <v>14.008888888888889</v>
      </c>
      <c r="D259">
        <f>LAI!F259</f>
        <v>0</v>
      </c>
      <c r="E259">
        <f>0.5*C259*(1-EXP(-'user input'!$C$19*D259))</f>
        <v>0</v>
      </c>
      <c r="F259">
        <f>E259*'user input'!$C$21</f>
        <v>0</v>
      </c>
    </row>
    <row r="260" spans="1:6" x14ac:dyDescent="0.2">
      <c r="A260" s="1">
        <v>40436</v>
      </c>
      <c r="B260">
        <v>258</v>
      </c>
      <c r="C260">
        <f>'weather data'!E260</f>
        <v>14.540000000000001</v>
      </c>
      <c r="D260">
        <f>LAI!F260</f>
        <v>0</v>
      </c>
      <c r="E260">
        <f>0.5*C260*(1-EXP(-'user input'!$C$19*D260))</f>
        <v>0</v>
      </c>
      <c r="F260">
        <f>E260*'user input'!$C$21</f>
        <v>0</v>
      </c>
    </row>
    <row r="261" spans="1:6" x14ac:dyDescent="0.2">
      <c r="A261" s="1">
        <v>40437</v>
      </c>
      <c r="B261">
        <v>259</v>
      </c>
      <c r="C261">
        <f>'weather data'!E261</f>
        <v>14.833333333333339</v>
      </c>
      <c r="D261">
        <f>LAI!F261</f>
        <v>0</v>
      </c>
      <c r="E261">
        <f>0.5*C261*(1-EXP(-'user input'!$C$19*D261))</f>
        <v>0</v>
      </c>
      <c r="F261">
        <f>E261*'user input'!$C$21</f>
        <v>0</v>
      </c>
    </row>
    <row r="262" spans="1:6" x14ac:dyDescent="0.2">
      <c r="A262" s="1">
        <v>40438</v>
      </c>
      <c r="B262">
        <v>260</v>
      </c>
      <c r="C262">
        <f>'weather data'!E262</f>
        <v>14.604444444444445</v>
      </c>
      <c r="D262">
        <f>LAI!F262</f>
        <v>0</v>
      </c>
      <c r="E262">
        <f>0.5*C262*(1-EXP(-'user input'!$C$19*D262))</f>
        <v>0</v>
      </c>
      <c r="F262">
        <f>E262*'user input'!$C$21</f>
        <v>0</v>
      </c>
    </row>
    <row r="263" spans="1:6" x14ac:dyDescent="0.2">
      <c r="A263" s="1">
        <v>40439</v>
      </c>
      <c r="B263">
        <v>261</v>
      </c>
      <c r="C263">
        <f>'weather data'!E263</f>
        <v>14.57555555555556</v>
      </c>
      <c r="D263">
        <f>LAI!F263</f>
        <v>0</v>
      </c>
      <c r="E263">
        <f>0.5*C263*(1-EXP(-'user input'!$C$19*D263))</f>
        <v>0</v>
      </c>
      <c r="F263">
        <f>E263*'user input'!$C$21</f>
        <v>0</v>
      </c>
    </row>
    <row r="264" spans="1:6" x14ac:dyDescent="0.2">
      <c r="A264" s="1">
        <v>40440</v>
      </c>
      <c r="B264">
        <v>262</v>
      </c>
      <c r="C264">
        <f>'weather data'!E264</f>
        <v>13.008888888888889</v>
      </c>
      <c r="D264">
        <f>LAI!F264</f>
        <v>0</v>
      </c>
      <c r="E264">
        <f>0.5*C264*(1-EXP(-'user input'!$C$19*D264))</f>
        <v>0</v>
      </c>
      <c r="F264">
        <f>E264*'user input'!$C$21</f>
        <v>0</v>
      </c>
    </row>
    <row r="265" spans="1:6" x14ac:dyDescent="0.2">
      <c r="A265" s="1">
        <v>40441</v>
      </c>
      <c r="B265">
        <v>263</v>
      </c>
      <c r="C265">
        <f>'weather data'!E265</f>
        <v>13.331111111111113</v>
      </c>
      <c r="D265">
        <f>LAI!F265</f>
        <v>0</v>
      </c>
      <c r="E265">
        <f>0.5*C265*(1-EXP(-'user input'!$C$19*D265))</f>
        <v>0</v>
      </c>
      <c r="F265">
        <f>E265*'user input'!$C$21</f>
        <v>0</v>
      </c>
    </row>
    <row r="266" spans="1:6" x14ac:dyDescent="0.2">
      <c r="A266" s="1">
        <v>40442</v>
      </c>
      <c r="B266">
        <v>264</v>
      </c>
      <c r="C266">
        <f>'weather data'!E266</f>
        <v>13.533333333333333</v>
      </c>
      <c r="D266">
        <f>LAI!F266</f>
        <v>0</v>
      </c>
      <c r="E266">
        <f>0.5*C266*(1-EXP(-'user input'!$C$19*D266))</f>
        <v>0</v>
      </c>
      <c r="F266">
        <f>E266*'user input'!$C$21</f>
        <v>0</v>
      </c>
    </row>
    <row r="267" spans="1:6" x14ac:dyDescent="0.2">
      <c r="A267" s="1">
        <v>40443</v>
      </c>
      <c r="B267">
        <v>265</v>
      </c>
      <c r="C267">
        <f>'weather data'!E267</f>
        <v>13.317777777777776</v>
      </c>
      <c r="D267">
        <f>LAI!F267</f>
        <v>0</v>
      </c>
      <c r="E267">
        <f>0.5*C267*(1-EXP(-'user input'!$C$19*D267))</f>
        <v>0</v>
      </c>
      <c r="F267">
        <f>E267*'user input'!$C$21</f>
        <v>0</v>
      </c>
    </row>
    <row r="268" spans="1:6" x14ac:dyDescent="0.2">
      <c r="A268" s="1">
        <v>40444</v>
      </c>
      <c r="B268">
        <v>266</v>
      </c>
      <c r="C268">
        <f>'weather data'!E268</f>
        <v>13.562222222222227</v>
      </c>
      <c r="D268">
        <f>LAI!F268</f>
        <v>0</v>
      </c>
      <c r="E268">
        <f>0.5*C268*(1-EXP(-'user input'!$C$19*D268))</f>
        <v>0</v>
      </c>
      <c r="F268">
        <f>E268*'user input'!$C$21</f>
        <v>0</v>
      </c>
    </row>
    <row r="269" spans="1:6" x14ac:dyDescent="0.2">
      <c r="A269" s="1">
        <v>40445</v>
      </c>
      <c r="B269">
        <v>267</v>
      </c>
      <c r="C269">
        <f>'weather data'!E269</f>
        <v>13.764444444444443</v>
      </c>
      <c r="D269">
        <f>LAI!F269</f>
        <v>0</v>
      </c>
      <c r="E269">
        <f>0.5*C269*(1-EXP(-'user input'!$C$19*D269))</f>
        <v>0</v>
      </c>
      <c r="F269">
        <f>E269*'user input'!$C$21</f>
        <v>0</v>
      </c>
    </row>
    <row r="270" spans="1:6" x14ac:dyDescent="0.2">
      <c r="A270" s="1">
        <v>40446</v>
      </c>
      <c r="B270">
        <v>268</v>
      </c>
      <c r="C270">
        <f>'weather data'!E270</f>
        <v>13.388888888888891</v>
      </c>
      <c r="D270">
        <f>LAI!F270</f>
        <v>0</v>
      </c>
      <c r="E270">
        <f>0.5*C270*(1-EXP(-'user input'!$C$19*D270))</f>
        <v>0</v>
      </c>
      <c r="F270">
        <f>E270*'user input'!$C$21</f>
        <v>0</v>
      </c>
    </row>
    <row r="271" spans="1:6" x14ac:dyDescent="0.2">
      <c r="A271" s="1">
        <v>40447</v>
      </c>
      <c r="B271">
        <v>269</v>
      </c>
      <c r="C271">
        <f>'weather data'!E271</f>
        <v>13.502222222222223</v>
      </c>
      <c r="D271">
        <f>LAI!F271</f>
        <v>0</v>
      </c>
      <c r="E271">
        <f>0.5*C271*(1-EXP(-'user input'!$C$19*D271))</f>
        <v>0</v>
      </c>
      <c r="F271">
        <f>E271*'user input'!$C$21</f>
        <v>0</v>
      </c>
    </row>
    <row r="272" spans="1:6" x14ac:dyDescent="0.2">
      <c r="A272" s="1">
        <v>40448</v>
      </c>
      <c r="B272">
        <v>270</v>
      </c>
      <c r="C272">
        <f>'weather data'!E272</f>
        <v>14.011111111111109</v>
      </c>
      <c r="D272">
        <f>LAI!F272</f>
        <v>0</v>
      </c>
      <c r="E272">
        <f>0.5*C272*(1-EXP(-'user input'!$C$19*D272))</f>
        <v>0</v>
      </c>
      <c r="F272">
        <f>E272*'user input'!$C$21</f>
        <v>0</v>
      </c>
    </row>
    <row r="273" spans="1:6" x14ac:dyDescent="0.2">
      <c r="A273" s="1">
        <v>40449</v>
      </c>
      <c r="B273">
        <v>271</v>
      </c>
      <c r="C273">
        <f>'weather data'!E273</f>
        <v>12.597777777777782</v>
      </c>
      <c r="D273">
        <f>LAI!F273</f>
        <v>0</v>
      </c>
      <c r="E273">
        <f>0.5*C273*(1-EXP(-'user input'!$C$19*D273))</f>
        <v>0</v>
      </c>
      <c r="F273">
        <f>E273*'user input'!$C$21</f>
        <v>0</v>
      </c>
    </row>
    <row r="274" spans="1:6" x14ac:dyDescent="0.2">
      <c r="A274" s="1">
        <v>40450</v>
      </c>
      <c r="B274">
        <v>272</v>
      </c>
      <c r="C274">
        <f>'weather data'!E274</f>
        <v>13.12666666666667</v>
      </c>
      <c r="D274">
        <f>LAI!F274</f>
        <v>0</v>
      </c>
      <c r="E274">
        <f>0.5*C274*(1-EXP(-'user input'!$C$19*D274))</f>
        <v>0</v>
      </c>
      <c r="F274">
        <f>E274*'user input'!$C$21</f>
        <v>0</v>
      </c>
    </row>
    <row r="275" spans="1:6" x14ac:dyDescent="0.2">
      <c r="A275" s="1">
        <v>40451</v>
      </c>
      <c r="B275">
        <v>273</v>
      </c>
      <c r="C275">
        <f>'weather data'!E275</f>
        <v>13.026666666666667</v>
      </c>
      <c r="D275">
        <f>LAI!F275</f>
        <v>0</v>
      </c>
      <c r="E275">
        <f>0.5*C275*(1-EXP(-'user input'!$C$19*D275))</f>
        <v>0</v>
      </c>
      <c r="F275">
        <f>E275*'user input'!$C$21</f>
        <v>0</v>
      </c>
    </row>
    <row r="276" spans="1:6" x14ac:dyDescent="0.2">
      <c r="A276" s="1">
        <v>40452</v>
      </c>
      <c r="B276">
        <v>274</v>
      </c>
      <c r="C276">
        <f>'weather data'!E276</f>
        <v>13.155555555555559</v>
      </c>
      <c r="D276">
        <f>LAI!F276</f>
        <v>0</v>
      </c>
      <c r="E276">
        <f>0.5*C276*(1-EXP(-'user input'!$C$19*D276))</f>
        <v>0</v>
      </c>
      <c r="F276">
        <f>E276*'user input'!$C$21</f>
        <v>0</v>
      </c>
    </row>
    <row r="277" spans="1:6" x14ac:dyDescent="0.2">
      <c r="A277" s="1">
        <v>40453</v>
      </c>
      <c r="B277">
        <v>275</v>
      </c>
      <c r="C277">
        <f>'weather data'!E277</f>
        <v>13.037777777777777</v>
      </c>
      <c r="D277">
        <f>LAI!F277</f>
        <v>0</v>
      </c>
      <c r="E277">
        <f>0.5*C277*(1-EXP(-'user input'!$C$19*D277))</f>
        <v>0</v>
      </c>
      <c r="F277">
        <f>E277*'user input'!$C$21</f>
        <v>0</v>
      </c>
    </row>
    <row r="278" spans="1:6" x14ac:dyDescent="0.2">
      <c r="A278" s="1">
        <v>40454</v>
      </c>
      <c r="B278">
        <v>276</v>
      </c>
      <c r="C278">
        <f>'weather data'!E278</f>
        <v>12.082222222222223</v>
      </c>
      <c r="D278">
        <f>LAI!F278</f>
        <v>0</v>
      </c>
      <c r="E278">
        <f>0.5*C278*(1-EXP(-'user input'!$C$19*D278))</f>
        <v>0</v>
      </c>
      <c r="F278">
        <f>E278*'user input'!$C$21</f>
        <v>0</v>
      </c>
    </row>
    <row r="279" spans="1:6" x14ac:dyDescent="0.2">
      <c r="A279" s="1">
        <v>40455</v>
      </c>
      <c r="B279">
        <v>277</v>
      </c>
      <c r="C279">
        <f>'weather data'!E279</f>
        <v>12.068888888888893</v>
      </c>
      <c r="D279">
        <f>LAI!F279</f>
        <v>0</v>
      </c>
      <c r="E279">
        <f>0.5*C279*(1-EXP(-'user input'!$C$19*D279))</f>
        <v>0</v>
      </c>
      <c r="F279">
        <f>E279*'user input'!$C$21</f>
        <v>0</v>
      </c>
    </row>
    <row r="280" spans="1:6" x14ac:dyDescent="0.2">
      <c r="A280" s="1">
        <v>40456</v>
      </c>
      <c r="B280">
        <v>278</v>
      </c>
      <c r="C280">
        <f>'weather data'!E280</f>
        <v>12.471111111111115</v>
      </c>
      <c r="D280">
        <f>LAI!F280</f>
        <v>0</v>
      </c>
      <c r="E280">
        <f>0.5*C280*(1-EXP(-'user input'!$C$19*D280))</f>
        <v>0</v>
      </c>
      <c r="F280">
        <f>E280*'user input'!$C$21</f>
        <v>0</v>
      </c>
    </row>
    <row r="281" spans="1:6" x14ac:dyDescent="0.2">
      <c r="A281" s="1">
        <v>40457</v>
      </c>
      <c r="B281">
        <v>279</v>
      </c>
      <c r="C281">
        <f>'weather data'!E281</f>
        <v>11.631111111111114</v>
      </c>
      <c r="D281">
        <f>LAI!F281</f>
        <v>0</v>
      </c>
      <c r="E281">
        <f>0.5*C281*(1-EXP(-'user input'!$C$19*D281))</f>
        <v>0</v>
      </c>
      <c r="F281">
        <f>E281*'user input'!$C$21</f>
        <v>0</v>
      </c>
    </row>
    <row r="282" spans="1:6" x14ac:dyDescent="0.2">
      <c r="A282" s="1">
        <v>40458</v>
      </c>
      <c r="B282">
        <v>280</v>
      </c>
      <c r="C282">
        <f>'weather data'!E282</f>
        <v>11.757777777777779</v>
      </c>
      <c r="D282">
        <f>LAI!F282</f>
        <v>0</v>
      </c>
      <c r="E282">
        <f>0.5*C282*(1-EXP(-'user input'!$C$19*D282))</f>
        <v>0</v>
      </c>
      <c r="F282">
        <f>E282*'user input'!$C$21</f>
        <v>0</v>
      </c>
    </row>
    <row r="283" spans="1:6" x14ac:dyDescent="0.2">
      <c r="A283" s="1">
        <v>40459</v>
      </c>
      <c r="B283">
        <v>281</v>
      </c>
      <c r="C283">
        <f>'weather data'!E283</f>
        <v>10.711111111111109</v>
      </c>
      <c r="D283">
        <f>LAI!F283</f>
        <v>0</v>
      </c>
      <c r="E283">
        <f>0.5*C283*(1-EXP(-'user input'!$C$19*D283))</f>
        <v>0</v>
      </c>
      <c r="F283">
        <f>E283*'user input'!$C$21</f>
        <v>0</v>
      </c>
    </row>
    <row r="284" spans="1:6" x14ac:dyDescent="0.2">
      <c r="A284" s="1">
        <v>40460</v>
      </c>
      <c r="B284">
        <v>282</v>
      </c>
      <c r="C284">
        <f>'weather data'!E284</f>
        <v>11.008888888888887</v>
      </c>
      <c r="D284">
        <f>LAI!F284</f>
        <v>0</v>
      </c>
      <c r="E284">
        <f>0.5*C284*(1-EXP(-'user input'!$C$19*D284))</f>
        <v>0</v>
      </c>
      <c r="F284">
        <f>E284*'user input'!$C$21</f>
        <v>0</v>
      </c>
    </row>
    <row r="285" spans="1:6" x14ac:dyDescent="0.2">
      <c r="A285" s="1">
        <v>40461</v>
      </c>
      <c r="B285">
        <v>283</v>
      </c>
      <c r="C285">
        <f>'weather data'!E285</f>
        <v>11.120000000000003</v>
      </c>
      <c r="D285">
        <f>LAI!F285</f>
        <v>0</v>
      </c>
      <c r="E285">
        <f>0.5*C285*(1-EXP(-'user input'!$C$19*D285))</f>
        <v>0</v>
      </c>
      <c r="F285">
        <f>E285*'user input'!$C$21</f>
        <v>0</v>
      </c>
    </row>
    <row r="286" spans="1:6" x14ac:dyDescent="0.2">
      <c r="A286" s="1">
        <v>40462</v>
      </c>
      <c r="B286">
        <v>284</v>
      </c>
      <c r="C286">
        <f>'weather data'!E286</f>
        <v>11.48</v>
      </c>
      <c r="D286">
        <f>LAI!F286</f>
        <v>0</v>
      </c>
      <c r="E286">
        <f>0.5*C286*(1-EXP(-'user input'!$C$19*D286))</f>
        <v>0</v>
      </c>
      <c r="F286">
        <f>E286*'user input'!$C$21</f>
        <v>0</v>
      </c>
    </row>
    <row r="287" spans="1:6" x14ac:dyDescent="0.2">
      <c r="A287" s="1">
        <v>40463</v>
      </c>
      <c r="B287">
        <v>285</v>
      </c>
      <c r="C287">
        <f>'weather data'!E287</f>
        <v>10.637777777777782</v>
      </c>
      <c r="D287">
        <f>LAI!F287</f>
        <v>0</v>
      </c>
      <c r="E287">
        <f>0.5*C287*(1-EXP(-'user input'!$C$19*D287))</f>
        <v>0</v>
      </c>
      <c r="F287">
        <f>E287*'user input'!$C$21</f>
        <v>0</v>
      </c>
    </row>
    <row r="288" spans="1:6" x14ac:dyDescent="0.2">
      <c r="A288" s="1">
        <v>40464</v>
      </c>
      <c r="B288">
        <v>286</v>
      </c>
      <c r="C288">
        <f>'weather data'!E288</f>
        <v>10.895555555555555</v>
      </c>
      <c r="D288">
        <f>LAI!F288</f>
        <v>0</v>
      </c>
      <c r="E288">
        <f>0.5*C288*(1-EXP(-'user input'!$C$19*D288))</f>
        <v>0</v>
      </c>
      <c r="F288">
        <f>E288*'user input'!$C$21</f>
        <v>0</v>
      </c>
    </row>
    <row r="289" spans="1:6" x14ac:dyDescent="0.2">
      <c r="A289" s="1">
        <v>40465</v>
      </c>
      <c r="B289">
        <v>287</v>
      </c>
      <c r="C289">
        <f>'weather data'!E289</f>
        <v>10.784444444444448</v>
      </c>
      <c r="D289">
        <f>LAI!F289</f>
        <v>0</v>
      </c>
      <c r="E289">
        <f>0.5*C289*(1-EXP(-'user input'!$C$19*D289))</f>
        <v>0</v>
      </c>
      <c r="F289">
        <f>E289*'user input'!$C$21</f>
        <v>0</v>
      </c>
    </row>
    <row r="290" spans="1:6" x14ac:dyDescent="0.2">
      <c r="A290" s="1">
        <v>40466</v>
      </c>
      <c r="B290">
        <v>288</v>
      </c>
      <c r="C290">
        <f>'weather data'!E290</f>
        <v>10.637777777777782</v>
      </c>
      <c r="D290">
        <f>LAI!F290</f>
        <v>0</v>
      </c>
      <c r="E290">
        <f>0.5*C290*(1-EXP(-'user input'!$C$19*D290))</f>
        <v>0</v>
      </c>
      <c r="F290">
        <f>E290*'user input'!$C$21</f>
        <v>0</v>
      </c>
    </row>
    <row r="291" spans="1:6" x14ac:dyDescent="0.2">
      <c r="A291" s="1">
        <v>40467</v>
      </c>
      <c r="B291">
        <v>289</v>
      </c>
      <c r="C291">
        <f>'weather data'!E291</f>
        <v>10.64666666666667</v>
      </c>
      <c r="D291">
        <f>LAI!F291</f>
        <v>0</v>
      </c>
      <c r="E291">
        <f>0.5*C291*(1-EXP(-'user input'!$C$19*D291))</f>
        <v>0</v>
      </c>
      <c r="F291">
        <f>E291*'user input'!$C$21</f>
        <v>0</v>
      </c>
    </row>
    <row r="292" spans="1:6" x14ac:dyDescent="0.2">
      <c r="A292" s="1">
        <v>40468</v>
      </c>
      <c r="B292">
        <v>290</v>
      </c>
      <c r="C292">
        <f>'weather data'!E292</f>
        <v>10.311111111111112</v>
      </c>
      <c r="D292">
        <f>LAI!F292</f>
        <v>0</v>
      </c>
      <c r="E292">
        <f>0.5*C292*(1-EXP(-'user input'!$C$19*D292))</f>
        <v>0</v>
      </c>
      <c r="F292">
        <f>E292*'user input'!$C$21</f>
        <v>0</v>
      </c>
    </row>
    <row r="293" spans="1:6" x14ac:dyDescent="0.2">
      <c r="A293" s="1">
        <v>40469</v>
      </c>
      <c r="B293">
        <v>291</v>
      </c>
      <c r="C293">
        <f>'weather data'!E293</f>
        <v>9.4244444444444415</v>
      </c>
      <c r="D293">
        <f>LAI!F293</f>
        <v>0</v>
      </c>
      <c r="E293">
        <f>0.5*C293*(1-EXP(-'user input'!$C$19*D293))</f>
        <v>0</v>
      </c>
      <c r="F293">
        <f>E293*'user input'!$C$21</f>
        <v>0</v>
      </c>
    </row>
    <row r="294" spans="1:6" x14ac:dyDescent="0.2">
      <c r="A294" s="1">
        <v>40470</v>
      </c>
      <c r="B294">
        <v>292</v>
      </c>
      <c r="C294">
        <f>'weather data'!E294</f>
        <v>9.5977777777777806</v>
      </c>
      <c r="D294">
        <f>LAI!F294</f>
        <v>0</v>
      </c>
      <c r="E294">
        <f>0.5*C294*(1-EXP(-'user input'!$C$19*D294))</f>
        <v>0</v>
      </c>
      <c r="F294">
        <f>E294*'user input'!$C$21</f>
        <v>0</v>
      </c>
    </row>
    <row r="295" spans="1:6" x14ac:dyDescent="0.2">
      <c r="A295" s="1">
        <v>40471</v>
      </c>
      <c r="B295">
        <v>293</v>
      </c>
      <c r="C295">
        <f>'weather data'!E295</f>
        <v>9.0800000000000036</v>
      </c>
      <c r="D295">
        <f>LAI!F295</f>
        <v>0</v>
      </c>
      <c r="E295">
        <f>0.5*C295*(1-EXP(-'user input'!$C$19*D295))</f>
        <v>0</v>
      </c>
      <c r="F295">
        <f>E295*'user input'!$C$21</f>
        <v>0</v>
      </c>
    </row>
    <row r="296" spans="1:6" x14ac:dyDescent="0.2">
      <c r="A296" s="1">
        <v>40472</v>
      </c>
      <c r="B296">
        <v>294</v>
      </c>
      <c r="C296">
        <f>'weather data'!E296</f>
        <v>8.8311111111111114</v>
      </c>
      <c r="D296">
        <f>LAI!F296</f>
        <v>0</v>
      </c>
      <c r="E296">
        <f>0.5*C296*(1-EXP(-'user input'!$C$19*D296))</f>
        <v>0</v>
      </c>
      <c r="F296">
        <f>E296*'user input'!$C$21</f>
        <v>0</v>
      </c>
    </row>
    <row r="297" spans="1:6" x14ac:dyDescent="0.2">
      <c r="A297" s="1">
        <v>40473</v>
      </c>
      <c r="B297">
        <v>295</v>
      </c>
      <c r="C297">
        <f>'weather data'!E297</f>
        <v>8.6733333333333285</v>
      </c>
      <c r="D297">
        <f>LAI!F297</f>
        <v>0</v>
      </c>
      <c r="E297">
        <f>0.5*C297*(1-EXP(-'user input'!$C$19*D297))</f>
        <v>0</v>
      </c>
      <c r="F297">
        <f>E297*'user input'!$C$21</f>
        <v>0</v>
      </c>
    </row>
    <row r="298" spans="1:6" x14ac:dyDescent="0.2">
      <c r="A298" s="1">
        <v>40474</v>
      </c>
      <c r="B298">
        <v>296</v>
      </c>
      <c r="C298">
        <f>'weather data'!E298</f>
        <v>7.8955555555555543</v>
      </c>
      <c r="D298">
        <f>LAI!F298</f>
        <v>0</v>
      </c>
      <c r="E298">
        <f>0.5*C298*(1-EXP(-'user input'!$C$19*D298))</f>
        <v>0</v>
      </c>
      <c r="F298">
        <f>E298*'user input'!$C$21</f>
        <v>0</v>
      </c>
    </row>
    <row r="299" spans="1:6" x14ac:dyDescent="0.2">
      <c r="A299" s="1">
        <v>40475</v>
      </c>
      <c r="B299">
        <v>297</v>
      </c>
      <c r="C299">
        <f>'weather data'!E299</f>
        <v>8.4711111111111119</v>
      </c>
      <c r="D299">
        <f>LAI!F299</f>
        <v>0</v>
      </c>
      <c r="E299">
        <f>0.5*C299*(1-EXP(-'user input'!$C$19*D299))</f>
        <v>0</v>
      </c>
      <c r="F299">
        <f>E299*'user input'!$C$21</f>
        <v>0</v>
      </c>
    </row>
    <row r="300" spans="1:6" x14ac:dyDescent="0.2">
      <c r="A300" s="1">
        <v>40476</v>
      </c>
      <c r="B300">
        <v>298</v>
      </c>
      <c r="C300">
        <f>'weather data'!E300</f>
        <v>8.9599999999999991</v>
      </c>
      <c r="D300">
        <f>LAI!F300</f>
        <v>0</v>
      </c>
      <c r="E300">
        <f>0.5*C300*(1-EXP(-'user input'!$C$19*D300))</f>
        <v>0</v>
      </c>
      <c r="F300">
        <f>E300*'user input'!$C$21</f>
        <v>0</v>
      </c>
    </row>
    <row r="301" spans="1:6" x14ac:dyDescent="0.2">
      <c r="A301" s="1">
        <v>40477</v>
      </c>
      <c r="B301">
        <v>299</v>
      </c>
      <c r="C301">
        <f>'weather data'!E301</f>
        <v>9.0155555555555544</v>
      </c>
      <c r="D301">
        <f>LAI!F301</f>
        <v>0</v>
      </c>
      <c r="E301">
        <f>0.5*C301*(1-EXP(-'user input'!$C$19*D301))</f>
        <v>0</v>
      </c>
      <c r="F301">
        <f>E301*'user input'!$C$21</f>
        <v>0</v>
      </c>
    </row>
    <row r="302" spans="1:6" x14ac:dyDescent="0.2">
      <c r="A302" s="1">
        <v>40478</v>
      </c>
      <c r="B302">
        <v>300</v>
      </c>
      <c r="C302">
        <f>'weather data'!E302</f>
        <v>8.5622222222222231</v>
      </c>
      <c r="D302">
        <f>LAI!F302</f>
        <v>0</v>
      </c>
      <c r="E302">
        <f>0.5*C302*(1-EXP(-'user input'!$C$19*D302))</f>
        <v>0</v>
      </c>
      <c r="F302">
        <f>E302*'user input'!$C$21</f>
        <v>0</v>
      </c>
    </row>
    <row r="303" spans="1:6" x14ac:dyDescent="0.2">
      <c r="A303" s="1">
        <v>40479</v>
      </c>
      <c r="B303">
        <v>301</v>
      </c>
      <c r="C303">
        <f>'weather data'!E303</f>
        <v>9.3444444444444468</v>
      </c>
      <c r="D303">
        <f>LAI!F303</f>
        <v>0</v>
      </c>
      <c r="E303">
        <f>0.5*C303*(1-EXP(-'user input'!$C$19*D303))</f>
        <v>0</v>
      </c>
      <c r="F303">
        <f>E303*'user input'!$C$21</f>
        <v>0</v>
      </c>
    </row>
    <row r="304" spans="1:6" x14ac:dyDescent="0.2">
      <c r="A304" s="1">
        <v>40480</v>
      </c>
      <c r="B304">
        <v>302</v>
      </c>
      <c r="C304">
        <f>'weather data'!E304</f>
        <v>8.6866666666666656</v>
      </c>
      <c r="D304">
        <f>LAI!F304</f>
        <v>0</v>
      </c>
      <c r="E304">
        <f>0.5*C304*(1-EXP(-'user input'!$C$19*D304))</f>
        <v>0</v>
      </c>
      <c r="F304">
        <f>E304*'user input'!$C$21</f>
        <v>0</v>
      </c>
    </row>
    <row r="305" spans="1:6" x14ac:dyDescent="0.2">
      <c r="A305" s="1">
        <v>40481</v>
      </c>
      <c r="B305">
        <v>303</v>
      </c>
      <c r="C305">
        <f>'weather data'!E305</f>
        <v>8.1999999999999975</v>
      </c>
      <c r="D305">
        <f>LAI!F305</f>
        <v>0</v>
      </c>
      <c r="E305">
        <f>0.5*C305*(1-EXP(-'user input'!$C$19*D305))</f>
        <v>0</v>
      </c>
      <c r="F305">
        <f>E305*'user input'!$C$21</f>
        <v>0</v>
      </c>
    </row>
    <row r="306" spans="1:6" x14ac:dyDescent="0.2">
      <c r="A306" s="1">
        <v>40482</v>
      </c>
      <c r="B306">
        <v>304</v>
      </c>
      <c r="C306">
        <f>'weather data'!E306</f>
        <v>7.120000000000001</v>
      </c>
      <c r="D306">
        <f>LAI!F306</f>
        <v>0</v>
      </c>
      <c r="E306">
        <f>0.5*C306*(1-EXP(-'user input'!$C$19*D306))</f>
        <v>0</v>
      </c>
      <c r="F306">
        <f>E306*'user input'!$C$21</f>
        <v>0</v>
      </c>
    </row>
    <row r="307" spans="1:6" x14ac:dyDescent="0.2">
      <c r="A307" s="1">
        <v>40483</v>
      </c>
      <c r="B307">
        <v>305</v>
      </c>
      <c r="C307">
        <f>'weather data'!E307</f>
        <v>6.913333333333334</v>
      </c>
      <c r="D307">
        <f>LAI!F307</f>
        <v>0</v>
      </c>
      <c r="E307">
        <f>0.5*C307*(1-EXP(-'user input'!$C$19*D307))</f>
        <v>0</v>
      </c>
      <c r="F307">
        <f>E307*'user input'!$C$21</f>
        <v>0</v>
      </c>
    </row>
    <row r="308" spans="1:6" x14ac:dyDescent="0.2">
      <c r="A308" s="1">
        <v>40484</v>
      </c>
      <c r="B308">
        <v>306</v>
      </c>
      <c r="C308">
        <f>'weather data'!E308</f>
        <v>7.6555555555555559</v>
      </c>
      <c r="D308">
        <f>LAI!F308</f>
        <v>0</v>
      </c>
      <c r="E308">
        <f>0.5*C308*(1-EXP(-'user input'!$C$19*D308))</f>
        <v>0</v>
      </c>
      <c r="F308">
        <f>E308*'user input'!$C$21</f>
        <v>0</v>
      </c>
    </row>
    <row r="309" spans="1:6" x14ac:dyDescent="0.2">
      <c r="A309" s="1">
        <v>40485</v>
      </c>
      <c r="B309">
        <v>307</v>
      </c>
      <c r="C309">
        <f>'weather data'!E309</f>
        <v>7.1822222222222205</v>
      </c>
      <c r="D309">
        <f>LAI!F309</f>
        <v>0</v>
      </c>
      <c r="E309">
        <f>0.5*C309*(1-EXP(-'user input'!$C$19*D309))</f>
        <v>0</v>
      </c>
      <c r="F309">
        <f>E309*'user input'!$C$21</f>
        <v>0</v>
      </c>
    </row>
    <row r="310" spans="1:6" x14ac:dyDescent="0.2">
      <c r="A310" s="1">
        <v>40486</v>
      </c>
      <c r="B310">
        <v>308</v>
      </c>
      <c r="C310">
        <f>'weather data'!E310</f>
        <v>7.5955555555555545</v>
      </c>
      <c r="D310">
        <f>LAI!F310</f>
        <v>0</v>
      </c>
      <c r="E310">
        <f>0.5*C310*(1-EXP(-'user input'!$C$19*D310))</f>
        <v>0</v>
      </c>
      <c r="F310">
        <f>E310*'user input'!$C$21</f>
        <v>0</v>
      </c>
    </row>
    <row r="311" spans="1:6" x14ac:dyDescent="0.2">
      <c r="A311" s="1">
        <v>40487</v>
      </c>
      <c r="B311">
        <v>309</v>
      </c>
      <c r="C311">
        <f>'weather data'!E311</f>
        <v>6.7955555555555573</v>
      </c>
      <c r="D311">
        <f>LAI!F311</f>
        <v>0</v>
      </c>
      <c r="E311">
        <f>0.5*C311*(1-EXP(-'user input'!$C$19*D311))</f>
        <v>0</v>
      </c>
      <c r="F311">
        <f>E311*'user input'!$C$21</f>
        <v>0</v>
      </c>
    </row>
    <row r="312" spans="1:6" x14ac:dyDescent="0.2">
      <c r="A312" s="1">
        <v>40488</v>
      </c>
      <c r="B312">
        <v>310</v>
      </c>
      <c r="C312">
        <f>'weather data'!E312</f>
        <v>6.6288888888888904</v>
      </c>
      <c r="D312">
        <f>LAI!F312</f>
        <v>0</v>
      </c>
      <c r="E312">
        <f>0.5*C312*(1-EXP(-'user input'!$C$19*D312))</f>
        <v>0</v>
      </c>
      <c r="F312">
        <f>E312*'user input'!$C$21</f>
        <v>0</v>
      </c>
    </row>
    <row r="313" spans="1:6" x14ac:dyDescent="0.2">
      <c r="A313" s="1">
        <v>40489</v>
      </c>
      <c r="B313">
        <v>311</v>
      </c>
      <c r="C313">
        <f>'weather data'!E313</f>
        <v>7.4622222222222225</v>
      </c>
      <c r="D313">
        <f>LAI!F313</f>
        <v>0</v>
      </c>
      <c r="E313">
        <f>0.5*C313*(1-EXP(-'user input'!$C$19*D313))</f>
        <v>0</v>
      </c>
      <c r="F313">
        <f>E313*'user input'!$C$21</f>
        <v>0</v>
      </c>
    </row>
    <row r="314" spans="1:6" x14ac:dyDescent="0.2">
      <c r="A314" s="1">
        <v>40490</v>
      </c>
      <c r="B314">
        <v>312</v>
      </c>
      <c r="C314">
        <f>'weather data'!E314</f>
        <v>6.4088888888888897</v>
      </c>
      <c r="D314">
        <f>LAI!F314</f>
        <v>0</v>
      </c>
      <c r="E314">
        <f>0.5*C314*(1-EXP(-'user input'!$C$19*D314))</f>
        <v>0</v>
      </c>
      <c r="F314">
        <f>E314*'user input'!$C$21</f>
        <v>0</v>
      </c>
    </row>
    <row r="315" spans="1:6" x14ac:dyDescent="0.2">
      <c r="A315" s="1">
        <v>40491</v>
      </c>
      <c r="B315">
        <v>313</v>
      </c>
      <c r="C315">
        <f>'weather data'!E315</f>
        <v>6.8622222222222238</v>
      </c>
      <c r="D315">
        <f>LAI!F315</f>
        <v>0</v>
      </c>
      <c r="E315">
        <f>0.5*C315*(1-EXP(-'user input'!$C$19*D315))</f>
        <v>0</v>
      </c>
      <c r="F315">
        <f>E315*'user input'!$C$21</f>
        <v>0</v>
      </c>
    </row>
    <row r="316" spans="1:6" x14ac:dyDescent="0.2">
      <c r="A316" s="1">
        <v>40492</v>
      </c>
      <c r="B316">
        <v>314</v>
      </c>
      <c r="C316">
        <f>'weather data'!E316</f>
        <v>6.8200000000000012</v>
      </c>
      <c r="D316">
        <f>LAI!F316</f>
        <v>0</v>
      </c>
      <c r="E316">
        <f>0.5*C316*(1-EXP(-'user input'!$C$19*D316))</f>
        <v>0</v>
      </c>
      <c r="F316">
        <f>E316*'user input'!$C$21</f>
        <v>0</v>
      </c>
    </row>
    <row r="317" spans="1:6" x14ac:dyDescent="0.2">
      <c r="A317" s="1">
        <v>40493</v>
      </c>
      <c r="B317">
        <v>315</v>
      </c>
      <c r="C317">
        <f>'weather data'!E317</f>
        <v>7.075555555555554</v>
      </c>
      <c r="D317">
        <f>LAI!F317</f>
        <v>0</v>
      </c>
      <c r="E317">
        <f>0.5*C317*(1-EXP(-'user input'!$C$19*D317))</f>
        <v>0</v>
      </c>
      <c r="F317">
        <f>E317*'user input'!$C$21</f>
        <v>0</v>
      </c>
    </row>
    <row r="318" spans="1:6" x14ac:dyDescent="0.2">
      <c r="A318" s="1">
        <v>40494</v>
      </c>
      <c r="B318">
        <v>316</v>
      </c>
      <c r="C318">
        <f>'weather data'!E318</f>
        <v>6.7977777777777781</v>
      </c>
      <c r="D318">
        <f>LAI!F318</f>
        <v>0</v>
      </c>
      <c r="E318">
        <f>0.5*C318*(1-EXP(-'user input'!$C$19*D318))</f>
        <v>0</v>
      </c>
      <c r="F318">
        <f>E318*'user input'!$C$21</f>
        <v>0</v>
      </c>
    </row>
    <row r="319" spans="1:6" x14ac:dyDescent="0.2">
      <c r="A319" s="1">
        <v>40495</v>
      </c>
      <c r="B319">
        <v>317</v>
      </c>
      <c r="C319">
        <f>'weather data'!E319</f>
        <v>6.2888888888888914</v>
      </c>
      <c r="D319">
        <f>LAI!F319</f>
        <v>0</v>
      </c>
      <c r="E319">
        <f>0.5*C319*(1-EXP(-'user input'!$C$19*D319))</f>
        <v>0</v>
      </c>
      <c r="F319">
        <f>E319*'user input'!$C$21</f>
        <v>0</v>
      </c>
    </row>
    <row r="320" spans="1:6" x14ac:dyDescent="0.2">
      <c r="A320" s="1">
        <v>40496</v>
      </c>
      <c r="B320">
        <v>318</v>
      </c>
      <c r="C320">
        <f>'weather data'!E320</f>
        <v>6.3822222222222242</v>
      </c>
      <c r="D320">
        <f>LAI!F320</f>
        <v>0</v>
      </c>
      <c r="E320">
        <f>0.5*C320*(1-EXP(-'user input'!$C$19*D320))</f>
        <v>0</v>
      </c>
      <c r="F320">
        <f>E320*'user input'!$C$21</f>
        <v>0</v>
      </c>
    </row>
    <row r="321" spans="1:6" x14ac:dyDescent="0.2">
      <c r="A321" s="1">
        <v>40497</v>
      </c>
      <c r="B321">
        <v>319</v>
      </c>
      <c r="C321">
        <f>'weather data'!E321</f>
        <v>5.5888888888888895</v>
      </c>
      <c r="D321">
        <f>LAI!F321</f>
        <v>0</v>
      </c>
      <c r="E321">
        <f>0.5*C321*(1-EXP(-'user input'!$C$19*D321))</f>
        <v>0</v>
      </c>
      <c r="F321">
        <f>E321*'user input'!$C$21</f>
        <v>0</v>
      </c>
    </row>
    <row r="322" spans="1:6" x14ac:dyDescent="0.2">
      <c r="A322" s="1">
        <v>40498</v>
      </c>
      <c r="B322">
        <v>320</v>
      </c>
      <c r="C322">
        <f>'weather data'!E322</f>
        <v>6.2133333333333303</v>
      </c>
      <c r="D322">
        <f>LAI!F322</f>
        <v>0</v>
      </c>
      <c r="E322">
        <f>0.5*C322*(1-EXP(-'user input'!$C$19*D322))</f>
        <v>0</v>
      </c>
      <c r="F322">
        <f>E322*'user input'!$C$21</f>
        <v>0</v>
      </c>
    </row>
    <row r="323" spans="1:6" x14ac:dyDescent="0.2">
      <c r="A323" s="1">
        <v>40499</v>
      </c>
      <c r="B323">
        <v>321</v>
      </c>
      <c r="C323">
        <f>'weather data'!E323</f>
        <v>6.3666666666666654</v>
      </c>
      <c r="D323">
        <f>LAI!F323</f>
        <v>0</v>
      </c>
      <c r="E323">
        <f>0.5*C323*(1-EXP(-'user input'!$C$19*D323))</f>
        <v>0</v>
      </c>
      <c r="F323">
        <f>E323*'user input'!$C$21</f>
        <v>0</v>
      </c>
    </row>
    <row r="324" spans="1:6" x14ac:dyDescent="0.2">
      <c r="A324" s="1">
        <v>40500</v>
      </c>
      <c r="B324">
        <v>322</v>
      </c>
      <c r="C324">
        <f>'weather data'!E324</f>
        <v>6.0955555555555545</v>
      </c>
      <c r="D324">
        <f>LAI!F324</f>
        <v>0</v>
      </c>
      <c r="E324">
        <f>0.5*C324*(1-EXP(-'user input'!$C$19*D324))</f>
        <v>0</v>
      </c>
      <c r="F324">
        <f>E324*'user input'!$C$21</f>
        <v>0</v>
      </c>
    </row>
    <row r="325" spans="1:6" x14ac:dyDescent="0.2">
      <c r="A325" s="1">
        <v>40501</v>
      </c>
      <c r="B325">
        <v>323</v>
      </c>
      <c r="C325">
        <f>'weather data'!E325</f>
        <v>5.8177777777777795</v>
      </c>
      <c r="D325">
        <f>LAI!F325</f>
        <v>0</v>
      </c>
      <c r="E325">
        <f>0.5*C325*(1-EXP(-'user input'!$C$19*D325))</f>
        <v>0</v>
      </c>
      <c r="F325">
        <f>E325*'user input'!$C$21</f>
        <v>0</v>
      </c>
    </row>
    <row r="326" spans="1:6" x14ac:dyDescent="0.2">
      <c r="A326" s="1">
        <v>40502</v>
      </c>
      <c r="B326">
        <v>324</v>
      </c>
      <c r="C326">
        <f>'weather data'!E326</f>
        <v>5.0466666666666669</v>
      </c>
      <c r="D326">
        <f>LAI!F326</f>
        <v>0</v>
      </c>
      <c r="E326">
        <f>0.5*C326*(1-EXP(-'user input'!$C$19*D326))</f>
        <v>0</v>
      </c>
      <c r="F326">
        <f>E326*'user input'!$C$21</f>
        <v>0</v>
      </c>
    </row>
    <row r="327" spans="1:6" x14ac:dyDescent="0.2">
      <c r="A327" s="1">
        <v>40503</v>
      </c>
      <c r="B327">
        <v>325</v>
      </c>
      <c r="C327">
        <f>'weather data'!E327</f>
        <v>6.0044444444444434</v>
      </c>
      <c r="D327">
        <f>LAI!F327</f>
        <v>0</v>
      </c>
      <c r="E327">
        <f>0.5*C327*(1-EXP(-'user input'!$C$19*D327))</f>
        <v>0</v>
      </c>
      <c r="F327">
        <f>E327*'user input'!$C$21</f>
        <v>0</v>
      </c>
    </row>
    <row r="328" spans="1:6" x14ac:dyDescent="0.2">
      <c r="A328" s="1">
        <v>40504</v>
      </c>
      <c r="B328">
        <v>326</v>
      </c>
      <c r="C328">
        <f>'weather data'!E328</f>
        <v>6.1799999999999979</v>
      </c>
      <c r="D328">
        <f>LAI!F328</f>
        <v>0</v>
      </c>
      <c r="E328">
        <f>0.5*C328*(1-EXP(-'user input'!$C$19*D328))</f>
        <v>0</v>
      </c>
      <c r="F328">
        <f>E328*'user input'!$C$21</f>
        <v>0</v>
      </c>
    </row>
    <row r="329" spans="1:6" x14ac:dyDescent="0.2">
      <c r="A329" s="1">
        <v>40505</v>
      </c>
      <c r="B329">
        <v>327</v>
      </c>
      <c r="C329">
        <f>'weather data'!E329</f>
        <v>5.3200000000000021</v>
      </c>
      <c r="D329">
        <f>LAI!F329</f>
        <v>0</v>
      </c>
      <c r="E329">
        <f>0.5*C329*(1-EXP(-'user input'!$C$19*D329))</f>
        <v>0</v>
      </c>
      <c r="F329">
        <f>E329*'user input'!$C$21</f>
        <v>0</v>
      </c>
    </row>
    <row r="330" spans="1:6" x14ac:dyDescent="0.2">
      <c r="A330" s="1">
        <v>40506</v>
      </c>
      <c r="B330">
        <v>328</v>
      </c>
      <c r="C330">
        <f>'weather data'!E330</f>
        <v>5.6422222222222205</v>
      </c>
      <c r="D330">
        <f>LAI!F330</f>
        <v>0</v>
      </c>
      <c r="E330">
        <f>0.5*C330*(1-EXP(-'user input'!$C$19*D330))</f>
        <v>0</v>
      </c>
      <c r="F330">
        <f>E330*'user input'!$C$21</f>
        <v>0</v>
      </c>
    </row>
    <row r="331" spans="1:6" x14ac:dyDescent="0.2">
      <c r="A331" s="1">
        <v>40507</v>
      </c>
      <c r="B331">
        <v>329</v>
      </c>
      <c r="C331">
        <f>'weather data'!E331</f>
        <v>5.8155555555555578</v>
      </c>
      <c r="D331">
        <f>LAI!F331</f>
        <v>0</v>
      </c>
      <c r="E331">
        <f>0.5*C331*(1-EXP(-'user input'!$C$19*D331))</f>
        <v>0</v>
      </c>
      <c r="F331">
        <f>E331*'user input'!$C$21</f>
        <v>0</v>
      </c>
    </row>
    <row r="332" spans="1:6" x14ac:dyDescent="0.2">
      <c r="A332" s="1">
        <v>40508</v>
      </c>
      <c r="B332">
        <v>330</v>
      </c>
      <c r="C332">
        <f>'weather data'!E332</f>
        <v>4.8911111111111119</v>
      </c>
      <c r="D332">
        <f>LAI!F332</f>
        <v>0</v>
      </c>
      <c r="E332">
        <f>0.5*C332*(1-EXP(-'user input'!$C$19*D332))</f>
        <v>0</v>
      </c>
      <c r="F332">
        <f>E332*'user input'!$C$21</f>
        <v>0</v>
      </c>
    </row>
    <row r="333" spans="1:6" x14ac:dyDescent="0.2">
      <c r="A333" s="1">
        <v>40509</v>
      </c>
      <c r="B333">
        <v>331</v>
      </c>
      <c r="C333">
        <f>'weather data'!E333</f>
        <v>4.6599999999999984</v>
      </c>
      <c r="D333">
        <f>LAI!F333</f>
        <v>0</v>
      </c>
      <c r="E333">
        <f>0.5*C333*(1-EXP(-'user input'!$C$19*D333))</f>
        <v>0</v>
      </c>
      <c r="F333">
        <f>E333*'user input'!$C$21</f>
        <v>0</v>
      </c>
    </row>
    <row r="334" spans="1:6" x14ac:dyDescent="0.2">
      <c r="A334" s="1">
        <v>40510</v>
      </c>
      <c r="B334">
        <v>332</v>
      </c>
      <c r="C334">
        <f>'weather data'!E334</f>
        <v>5.6022222222222222</v>
      </c>
      <c r="D334">
        <f>LAI!F334</f>
        <v>0</v>
      </c>
      <c r="E334">
        <f>0.5*C334*(1-EXP(-'user input'!$C$19*D334))</f>
        <v>0</v>
      </c>
      <c r="F334">
        <f>E334*'user input'!$C$21</f>
        <v>0</v>
      </c>
    </row>
    <row r="335" spans="1:6" x14ac:dyDescent="0.2">
      <c r="A335" s="1">
        <v>40511</v>
      </c>
      <c r="B335">
        <v>333</v>
      </c>
      <c r="C335">
        <f>'weather data'!E335</f>
        <v>5.1000000000000005</v>
      </c>
      <c r="D335">
        <f>LAI!F335</f>
        <v>0</v>
      </c>
      <c r="E335">
        <f>0.5*C335*(1-EXP(-'user input'!$C$19*D335))</f>
        <v>0</v>
      </c>
      <c r="F335">
        <f>E335*'user input'!$C$21</f>
        <v>0</v>
      </c>
    </row>
    <row r="336" spans="1:6" x14ac:dyDescent="0.2">
      <c r="A336" s="1">
        <v>40512</v>
      </c>
      <c r="B336">
        <v>334</v>
      </c>
      <c r="C336">
        <f>'weather data'!E336</f>
        <v>5.0266666666666673</v>
      </c>
      <c r="D336">
        <f>LAI!F336</f>
        <v>0</v>
      </c>
      <c r="E336">
        <f>0.5*C336*(1-EXP(-'user input'!$C$19*D336))</f>
        <v>0</v>
      </c>
      <c r="F336">
        <f>E336*'user input'!$C$21</f>
        <v>0</v>
      </c>
    </row>
    <row r="337" spans="1:6" x14ac:dyDescent="0.2">
      <c r="A337" s="1">
        <v>40513</v>
      </c>
      <c r="B337">
        <v>335</v>
      </c>
      <c r="C337">
        <f>'weather data'!E337</f>
        <v>5.1866666666666648</v>
      </c>
      <c r="D337">
        <f>LAI!F337</f>
        <v>0</v>
      </c>
      <c r="E337">
        <f>0.5*C337*(1-EXP(-'user input'!$C$19*D337))</f>
        <v>0</v>
      </c>
      <c r="F337">
        <f>E337*'user input'!$C$21</f>
        <v>0</v>
      </c>
    </row>
    <row r="338" spans="1:6" x14ac:dyDescent="0.2">
      <c r="A338" s="1">
        <v>40514</v>
      </c>
      <c r="B338">
        <v>336</v>
      </c>
      <c r="C338">
        <f>'weather data'!E338</f>
        <v>5.5222222222222221</v>
      </c>
      <c r="D338">
        <f>LAI!F338</f>
        <v>0</v>
      </c>
      <c r="E338">
        <f>0.5*C338*(1-EXP(-'user input'!$C$19*D338))</f>
        <v>0</v>
      </c>
      <c r="F338">
        <f>E338*'user input'!$C$21</f>
        <v>0</v>
      </c>
    </row>
    <row r="339" spans="1:6" x14ac:dyDescent="0.2">
      <c r="A339" s="1">
        <v>40515</v>
      </c>
      <c r="B339">
        <v>337</v>
      </c>
      <c r="C339">
        <f>'weather data'!E339</f>
        <v>4.9666666666666659</v>
      </c>
      <c r="D339">
        <f>LAI!F339</f>
        <v>0</v>
      </c>
      <c r="E339">
        <f>0.5*C339*(1-EXP(-'user input'!$C$19*D339))</f>
        <v>0</v>
      </c>
      <c r="F339">
        <f>E339*'user input'!$C$21</f>
        <v>0</v>
      </c>
    </row>
    <row r="340" spans="1:6" x14ac:dyDescent="0.2">
      <c r="A340" s="1">
        <v>40516</v>
      </c>
      <c r="B340">
        <v>338</v>
      </c>
      <c r="C340">
        <f>'weather data'!E340</f>
        <v>5.1911111111111108</v>
      </c>
      <c r="D340">
        <f>LAI!F340</f>
        <v>0</v>
      </c>
      <c r="E340">
        <f>0.5*C340*(1-EXP(-'user input'!$C$19*D340))</f>
        <v>0</v>
      </c>
      <c r="F340">
        <f>E340*'user input'!$C$21</f>
        <v>0</v>
      </c>
    </row>
    <row r="341" spans="1:6" x14ac:dyDescent="0.2">
      <c r="A341" s="1">
        <v>40517</v>
      </c>
      <c r="B341">
        <v>339</v>
      </c>
      <c r="C341">
        <f>'weather data'!E341</f>
        <v>5.08</v>
      </c>
      <c r="D341">
        <f>LAI!F341</f>
        <v>0</v>
      </c>
      <c r="E341">
        <f>0.5*C341*(1-EXP(-'user input'!$C$19*D341))</f>
        <v>0</v>
      </c>
      <c r="F341">
        <f>E341*'user input'!$C$21</f>
        <v>0</v>
      </c>
    </row>
    <row r="342" spans="1:6" x14ac:dyDescent="0.2">
      <c r="A342" s="1">
        <v>40518</v>
      </c>
      <c r="B342">
        <v>340</v>
      </c>
      <c r="C342">
        <f>'weather data'!E342</f>
        <v>5.3800000000000008</v>
      </c>
      <c r="D342">
        <f>LAI!F342</f>
        <v>0</v>
      </c>
      <c r="E342">
        <f>0.5*C342*(1-EXP(-'user input'!$C$19*D342))</f>
        <v>0</v>
      </c>
      <c r="F342">
        <f>E342*'user input'!$C$21</f>
        <v>0</v>
      </c>
    </row>
    <row r="343" spans="1:6" x14ac:dyDescent="0.2">
      <c r="A343" s="1">
        <v>40519</v>
      </c>
      <c r="B343">
        <v>341</v>
      </c>
      <c r="C343">
        <f>'weather data'!E343</f>
        <v>5.1688888888888878</v>
      </c>
      <c r="D343">
        <f>LAI!F343</f>
        <v>0</v>
      </c>
      <c r="E343">
        <f>0.5*C343*(1-EXP(-'user input'!$C$19*D343))</f>
        <v>0</v>
      </c>
      <c r="F343">
        <f>E343*'user input'!$C$21</f>
        <v>0</v>
      </c>
    </row>
    <row r="344" spans="1:6" x14ac:dyDescent="0.2">
      <c r="A344" s="1">
        <v>40520</v>
      </c>
      <c r="B344">
        <v>342</v>
      </c>
      <c r="C344">
        <f>'weather data'!E344</f>
        <v>5.0244444444444447</v>
      </c>
      <c r="D344">
        <f>LAI!F344</f>
        <v>0</v>
      </c>
      <c r="E344">
        <f>0.5*C344*(1-EXP(-'user input'!$C$19*D344))</f>
        <v>0</v>
      </c>
      <c r="F344">
        <f>E344*'user input'!$C$21</f>
        <v>0</v>
      </c>
    </row>
    <row r="345" spans="1:6" x14ac:dyDescent="0.2">
      <c r="A345" s="1">
        <v>40521</v>
      </c>
      <c r="B345">
        <v>343</v>
      </c>
      <c r="C345">
        <f>'weather data'!E345</f>
        <v>4.9955555555555549</v>
      </c>
      <c r="D345">
        <f>LAI!F345</f>
        <v>0</v>
      </c>
      <c r="E345">
        <f>0.5*C345*(1-EXP(-'user input'!$C$19*D345))</f>
        <v>0</v>
      </c>
      <c r="F345">
        <f>E345*'user input'!$C$21</f>
        <v>0</v>
      </c>
    </row>
    <row r="346" spans="1:6" x14ac:dyDescent="0.2">
      <c r="A346" s="1">
        <v>40522</v>
      </c>
      <c r="B346">
        <v>344</v>
      </c>
      <c r="C346">
        <f>'weather data'!E346</f>
        <v>4.9866666666666664</v>
      </c>
      <c r="D346">
        <f>LAI!F346</f>
        <v>0</v>
      </c>
      <c r="E346">
        <f>0.5*C346*(1-EXP(-'user input'!$C$19*D346))</f>
        <v>0</v>
      </c>
      <c r="F346">
        <f>E346*'user input'!$C$21</f>
        <v>0</v>
      </c>
    </row>
    <row r="347" spans="1:6" x14ac:dyDescent="0.2">
      <c r="A347" s="1">
        <v>40523</v>
      </c>
      <c r="B347">
        <v>345</v>
      </c>
      <c r="C347">
        <f>'weather data'!E347</f>
        <v>5.0311111111111106</v>
      </c>
      <c r="D347">
        <f>LAI!F347</f>
        <v>0</v>
      </c>
      <c r="E347">
        <f>0.5*C347*(1-EXP(-'user input'!$C$19*D347))</f>
        <v>0</v>
      </c>
      <c r="F347">
        <f>E347*'user input'!$C$21</f>
        <v>0</v>
      </c>
    </row>
    <row r="348" spans="1:6" x14ac:dyDescent="0.2">
      <c r="A348" s="1">
        <v>40524</v>
      </c>
      <c r="B348">
        <v>346</v>
      </c>
      <c r="C348">
        <f>'weather data'!E348</f>
        <v>4.826666666666668</v>
      </c>
      <c r="D348">
        <f>LAI!F348</f>
        <v>0</v>
      </c>
      <c r="E348">
        <f>0.5*C348*(1-EXP(-'user input'!$C$19*D348))</f>
        <v>0</v>
      </c>
      <c r="F348">
        <f>E348*'user input'!$C$21</f>
        <v>0</v>
      </c>
    </row>
    <row r="349" spans="1:6" x14ac:dyDescent="0.2">
      <c r="A349" s="1">
        <v>40525</v>
      </c>
      <c r="B349">
        <v>347</v>
      </c>
      <c r="C349">
        <f>'weather data'!E349</f>
        <v>5.126666666666666</v>
      </c>
      <c r="D349">
        <f>LAI!F349</f>
        <v>0</v>
      </c>
      <c r="E349">
        <f>0.5*C349*(1-EXP(-'user input'!$C$19*D349))</f>
        <v>0</v>
      </c>
      <c r="F349">
        <f>E349*'user input'!$C$21</f>
        <v>0</v>
      </c>
    </row>
    <row r="350" spans="1:6" x14ac:dyDescent="0.2">
      <c r="A350" s="1">
        <v>40526</v>
      </c>
      <c r="B350">
        <v>348</v>
      </c>
      <c r="C350">
        <f>'weather data'!E350</f>
        <v>4.9755555555555553</v>
      </c>
      <c r="D350">
        <f>LAI!F350</f>
        <v>0</v>
      </c>
      <c r="E350">
        <f>0.5*C350*(1-EXP(-'user input'!$C$19*D350))</f>
        <v>0</v>
      </c>
      <c r="F350">
        <f>E350*'user input'!$C$21</f>
        <v>0</v>
      </c>
    </row>
    <row r="351" spans="1:6" x14ac:dyDescent="0.2">
      <c r="A351" s="1">
        <v>40527</v>
      </c>
      <c r="B351">
        <v>349</v>
      </c>
      <c r="C351">
        <f>'weather data'!E351</f>
        <v>4.8177777777777795</v>
      </c>
      <c r="D351">
        <f>LAI!F351</f>
        <v>0</v>
      </c>
      <c r="E351">
        <f>0.5*C351*(1-EXP(-'user input'!$C$19*D351))</f>
        <v>0</v>
      </c>
      <c r="F351">
        <f>E351*'user input'!$C$21</f>
        <v>0</v>
      </c>
    </row>
    <row r="352" spans="1:6" x14ac:dyDescent="0.2">
      <c r="A352" s="1">
        <v>40528</v>
      </c>
      <c r="B352">
        <v>350</v>
      </c>
      <c r="C352">
        <f>'weather data'!E352</f>
        <v>5.1622222222222209</v>
      </c>
      <c r="D352">
        <f>LAI!F352</f>
        <v>0</v>
      </c>
      <c r="E352">
        <f>0.5*C352*(1-EXP(-'user input'!$C$19*D352))</f>
        <v>0</v>
      </c>
      <c r="F352">
        <f>E352*'user input'!$C$21</f>
        <v>0</v>
      </c>
    </row>
    <row r="353" spans="1:6" x14ac:dyDescent="0.2">
      <c r="A353" s="1">
        <v>40529</v>
      </c>
      <c r="B353">
        <v>351</v>
      </c>
      <c r="C353">
        <f>'weather data'!E353</f>
        <v>5.1977777777777758</v>
      </c>
      <c r="D353">
        <f>LAI!F353</f>
        <v>0</v>
      </c>
      <c r="E353">
        <f>0.5*C353*(1-EXP(-'user input'!$C$19*D353))</f>
        <v>0</v>
      </c>
      <c r="F353">
        <f>E353*'user input'!$C$21</f>
        <v>0</v>
      </c>
    </row>
    <row r="354" spans="1:6" x14ac:dyDescent="0.2">
      <c r="A354" s="1">
        <v>40530</v>
      </c>
      <c r="B354">
        <v>352</v>
      </c>
      <c r="C354">
        <f>'weather data'!E354</f>
        <v>5.0222222222222221</v>
      </c>
      <c r="D354">
        <f>LAI!F354</f>
        <v>0</v>
      </c>
      <c r="E354">
        <f>0.5*C354*(1-EXP(-'user input'!$C$19*D354))</f>
        <v>0</v>
      </c>
      <c r="F354">
        <f>E354*'user input'!$C$21</f>
        <v>0</v>
      </c>
    </row>
    <row r="355" spans="1:6" x14ac:dyDescent="0.2">
      <c r="A355" s="1">
        <v>40531</v>
      </c>
      <c r="B355">
        <v>353</v>
      </c>
      <c r="C355">
        <f>'weather data'!E355</f>
        <v>4.9799999999999986</v>
      </c>
      <c r="D355">
        <f>LAI!F355</f>
        <v>0</v>
      </c>
      <c r="E355">
        <f>0.5*C355*(1-EXP(-'user input'!$C$19*D355))</f>
        <v>0</v>
      </c>
      <c r="F355">
        <f>E355*'user input'!$C$21</f>
        <v>0</v>
      </c>
    </row>
    <row r="356" spans="1:6" x14ac:dyDescent="0.2">
      <c r="A356" s="1">
        <v>40532</v>
      </c>
      <c r="B356">
        <v>354</v>
      </c>
      <c r="C356">
        <f>'weather data'!E356</f>
        <v>5.408888888888888</v>
      </c>
      <c r="D356">
        <f>LAI!F356</f>
        <v>0</v>
      </c>
      <c r="E356">
        <f>0.5*C356*(1-EXP(-'user input'!$C$19*D356))</f>
        <v>0</v>
      </c>
      <c r="F356">
        <f>E356*'user input'!$C$21</f>
        <v>0</v>
      </c>
    </row>
    <row r="357" spans="1:6" x14ac:dyDescent="0.2">
      <c r="A357" s="1">
        <v>40533</v>
      </c>
      <c r="B357">
        <v>355</v>
      </c>
      <c r="C357">
        <f>'weather data'!E357</f>
        <v>5.52</v>
      </c>
      <c r="D357">
        <f>LAI!F357</f>
        <v>0</v>
      </c>
      <c r="E357">
        <f>0.5*C357*(1-EXP(-'user input'!$C$19*D357))</f>
        <v>0</v>
      </c>
      <c r="F357">
        <f>E357*'user input'!$C$21</f>
        <v>0</v>
      </c>
    </row>
    <row r="358" spans="1:6" x14ac:dyDescent="0.2">
      <c r="A358" s="1">
        <v>40534</v>
      </c>
      <c r="B358">
        <v>356</v>
      </c>
      <c r="C358">
        <f>'weather data'!E358</f>
        <v>4.9644444444444442</v>
      </c>
      <c r="D358">
        <f>LAI!F358</f>
        <v>0</v>
      </c>
      <c r="E358">
        <f>0.5*C358*(1-EXP(-'user input'!$C$19*D358))</f>
        <v>0</v>
      </c>
      <c r="F358">
        <f>E358*'user input'!$C$21</f>
        <v>0</v>
      </c>
    </row>
    <row r="359" spans="1:6" x14ac:dyDescent="0.2">
      <c r="A359" s="1">
        <v>40535</v>
      </c>
      <c r="B359">
        <v>357</v>
      </c>
      <c r="C359">
        <f>'weather data'!E359</f>
        <v>4.83777777777778</v>
      </c>
      <c r="D359">
        <f>LAI!F359</f>
        <v>0</v>
      </c>
      <c r="E359">
        <f>0.5*C359*(1-EXP(-'user input'!$C$19*D359))</f>
        <v>0</v>
      </c>
      <c r="F359">
        <f>E359*'user input'!$C$21</f>
        <v>0</v>
      </c>
    </row>
    <row r="360" spans="1:6" x14ac:dyDescent="0.2">
      <c r="A360" s="1">
        <v>40536</v>
      </c>
      <c r="B360">
        <v>358</v>
      </c>
      <c r="C360">
        <f>'weather data'!E360</f>
        <v>5.028888888888889</v>
      </c>
      <c r="D360">
        <f>LAI!F360</f>
        <v>0</v>
      </c>
      <c r="E360">
        <f>0.5*C360*(1-EXP(-'user input'!$C$19*D360))</f>
        <v>0</v>
      </c>
      <c r="F360">
        <f>E360*'user input'!$C$21</f>
        <v>0</v>
      </c>
    </row>
    <row r="361" spans="1:6" x14ac:dyDescent="0.2">
      <c r="A361" s="1">
        <v>40537</v>
      </c>
      <c r="B361">
        <v>359</v>
      </c>
      <c r="C361">
        <f>'weather data'!E361</f>
        <v>5.6022222222222213</v>
      </c>
      <c r="D361">
        <f>LAI!F361</f>
        <v>0</v>
      </c>
      <c r="E361">
        <f>0.5*C361*(1-EXP(-'user input'!$C$19*D361))</f>
        <v>0</v>
      </c>
      <c r="F361">
        <f>E361*'user input'!$C$21</f>
        <v>0</v>
      </c>
    </row>
    <row r="362" spans="1:6" x14ac:dyDescent="0.2">
      <c r="A362" s="1">
        <v>40538</v>
      </c>
      <c r="B362">
        <v>360</v>
      </c>
      <c r="C362">
        <f>'weather data'!E362</f>
        <v>5.1066666666666656</v>
      </c>
      <c r="D362">
        <f>LAI!F362</f>
        <v>0</v>
      </c>
      <c r="E362">
        <f>0.5*C362*(1-EXP(-'user input'!$C$19*D362))</f>
        <v>0</v>
      </c>
      <c r="F362">
        <f>E362*'user input'!$C$21</f>
        <v>0</v>
      </c>
    </row>
    <row r="363" spans="1:6" x14ac:dyDescent="0.2">
      <c r="A363" s="1">
        <v>40539</v>
      </c>
      <c r="B363">
        <v>361</v>
      </c>
      <c r="C363">
        <f>'weather data'!E363</f>
        <v>5.1711111111111112</v>
      </c>
      <c r="D363">
        <f>LAI!F363</f>
        <v>0</v>
      </c>
      <c r="E363">
        <f>0.5*C363*(1-EXP(-'user input'!$C$19*D363))</f>
        <v>0</v>
      </c>
      <c r="F363">
        <f>E363*'user input'!$C$21</f>
        <v>0</v>
      </c>
    </row>
    <row r="364" spans="1:6" x14ac:dyDescent="0.2">
      <c r="A364" s="1">
        <v>40540</v>
      </c>
      <c r="B364">
        <v>362</v>
      </c>
      <c r="C364">
        <f>'weather data'!E364</f>
        <v>4.5044444444444451</v>
      </c>
      <c r="D364">
        <f>LAI!F364</f>
        <v>0</v>
      </c>
      <c r="E364">
        <f>0.5*C364*(1-EXP(-'user input'!$C$19*D364))</f>
        <v>0</v>
      </c>
      <c r="F364">
        <f>E364*'user input'!$C$21</f>
        <v>0</v>
      </c>
    </row>
    <row r="365" spans="1:6" x14ac:dyDescent="0.2">
      <c r="A365" s="1">
        <v>40541</v>
      </c>
      <c r="B365">
        <v>363</v>
      </c>
      <c r="C365">
        <f>'weather data'!E365</f>
        <v>5.0888888888888868</v>
      </c>
      <c r="D365">
        <f>LAI!F365</f>
        <v>0</v>
      </c>
      <c r="E365">
        <f>0.5*C365*(1-EXP(-'user input'!$C$19*D365))</f>
        <v>0</v>
      </c>
      <c r="F365">
        <f>E365*'user input'!$C$21</f>
        <v>0</v>
      </c>
    </row>
    <row r="366" spans="1:6" x14ac:dyDescent="0.2">
      <c r="A366" s="1">
        <v>40542</v>
      </c>
      <c r="B366">
        <v>364</v>
      </c>
      <c r="C366">
        <f>'weather data'!E366</f>
        <v>4.8688888888888897</v>
      </c>
      <c r="D366">
        <f>LAI!F366</f>
        <v>0</v>
      </c>
      <c r="E366">
        <f>0.5*C366*(1-EXP(-'user input'!$C$19*D366))</f>
        <v>0</v>
      </c>
      <c r="F366">
        <f>E366*'user input'!$C$21</f>
        <v>0</v>
      </c>
    </row>
    <row r="367" spans="1:6" x14ac:dyDescent="0.2">
      <c r="A367" s="1">
        <v>40543</v>
      </c>
      <c r="B367">
        <v>365</v>
      </c>
      <c r="C367">
        <f>'weather data'!E367</f>
        <v>5.3977777777777805</v>
      </c>
      <c r="D367">
        <f>LAI!F367</f>
        <v>0</v>
      </c>
      <c r="E367">
        <f>0.5*C367*(1-EXP(-'user input'!$C$19*D367))</f>
        <v>0</v>
      </c>
      <c r="F367">
        <f>E367*'user input'!$C$21</f>
        <v>0</v>
      </c>
    </row>
    <row r="368" spans="1:6" x14ac:dyDescent="0.2">
      <c r="A368" s="1">
        <v>40544</v>
      </c>
      <c r="B368">
        <v>1</v>
      </c>
      <c r="C368">
        <f>'weather data'!E368</f>
        <v>4.9911111111111106</v>
      </c>
      <c r="D368">
        <f>LAI!F368</f>
        <v>0</v>
      </c>
      <c r="E368">
        <f>0.5*C368*(1-EXP(-'user input'!$C$19*D368))</f>
        <v>0</v>
      </c>
      <c r="F368">
        <f>E368*'user input'!$C$21</f>
        <v>0</v>
      </c>
    </row>
    <row r="369" spans="1:6" x14ac:dyDescent="0.2">
      <c r="A369" s="1">
        <v>40545</v>
      </c>
      <c r="B369">
        <v>2</v>
      </c>
      <c r="C369">
        <f>'weather data'!E369</f>
        <v>5.0022222222222226</v>
      </c>
      <c r="D369">
        <f>LAI!F369</f>
        <v>0</v>
      </c>
      <c r="E369">
        <f>0.5*C369*(1-EXP(-'user input'!$C$19*D369))</f>
        <v>0</v>
      </c>
      <c r="F369">
        <f>E369*'user input'!$C$21</f>
        <v>0</v>
      </c>
    </row>
    <row r="370" spans="1:6" x14ac:dyDescent="0.2">
      <c r="A370" s="1">
        <v>40546</v>
      </c>
      <c r="B370">
        <v>3</v>
      </c>
      <c r="C370">
        <f>'weather data'!E370</f>
        <v>5.4333333333333336</v>
      </c>
      <c r="D370">
        <f>LAI!F370</f>
        <v>0</v>
      </c>
      <c r="E370">
        <f>0.5*C370*(1-EXP(-'user input'!$C$19*D370))</f>
        <v>0</v>
      </c>
      <c r="F370">
        <f>E370*'user input'!$C$21</f>
        <v>0</v>
      </c>
    </row>
    <row r="371" spans="1:6" x14ac:dyDescent="0.2">
      <c r="A371" s="1">
        <v>40547</v>
      </c>
      <c r="B371">
        <v>4</v>
      </c>
      <c r="C371">
        <f>'weather data'!E371</f>
        <v>5.8600000000000012</v>
      </c>
      <c r="D371">
        <f>LAI!F371</f>
        <v>0</v>
      </c>
      <c r="E371">
        <f>0.5*C371*(1-EXP(-'user input'!$C$19*D371))</f>
        <v>0</v>
      </c>
      <c r="F371">
        <f>E371*'user input'!$C$21</f>
        <v>0</v>
      </c>
    </row>
    <row r="372" spans="1:6" x14ac:dyDescent="0.2">
      <c r="A372" s="1">
        <v>40548</v>
      </c>
      <c r="B372">
        <v>5</v>
      </c>
      <c r="C372">
        <f>'weather data'!E372</f>
        <v>5.8844444444444459</v>
      </c>
      <c r="D372">
        <f>LAI!F372</f>
        <v>0</v>
      </c>
      <c r="E372">
        <f>0.5*C372*(1-EXP(-'user input'!$C$19*D372))</f>
        <v>0</v>
      </c>
      <c r="F372">
        <f>E372*'user input'!$C$21</f>
        <v>0</v>
      </c>
    </row>
    <row r="373" spans="1:6" x14ac:dyDescent="0.2">
      <c r="A373" s="1">
        <v>40549</v>
      </c>
      <c r="B373">
        <v>6</v>
      </c>
      <c r="C373">
        <f>'weather data'!E373</f>
        <v>5.9622222222222225</v>
      </c>
      <c r="D373">
        <f>LAI!F373</f>
        <v>0</v>
      </c>
      <c r="E373">
        <f>0.5*C373*(1-EXP(-'user input'!$C$19*D373))</f>
        <v>0</v>
      </c>
      <c r="F373">
        <f>E373*'user input'!$C$21</f>
        <v>0</v>
      </c>
    </row>
    <row r="374" spans="1:6" x14ac:dyDescent="0.2">
      <c r="A374" s="1">
        <v>40550</v>
      </c>
      <c r="B374">
        <v>7</v>
      </c>
      <c r="C374">
        <f>'weather data'!E374</f>
        <v>6.1066666666666682</v>
      </c>
      <c r="D374">
        <f>LAI!F374</f>
        <v>0</v>
      </c>
      <c r="E374">
        <f>0.5*C374*(1-EXP(-'user input'!$C$19*D374))</f>
        <v>0</v>
      </c>
      <c r="F374">
        <f>E374*'user input'!$C$21</f>
        <v>0</v>
      </c>
    </row>
    <row r="375" spans="1:6" x14ac:dyDescent="0.2">
      <c r="A375" s="1">
        <v>40551</v>
      </c>
      <c r="B375">
        <v>8</v>
      </c>
      <c r="C375">
        <f>'weather data'!E375</f>
        <v>6.2755555555555587</v>
      </c>
      <c r="D375">
        <f>LAI!F375</f>
        <v>0</v>
      </c>
      <c r="E375">
        <f>0.5*C375*(1-EXP(-'user input'!$C$19*D375))</f>
        <v>0</v>
      </c>
      <c r="F375">
        <f>E375*'user input'!$C$21</f>
        <v>0</v>
      </c>
    </row>
    <row r="376" spans="1:6" x14ac:dyDescent="0.2">
      <c r="A376" s="1">
        <v>40552</v>
      </c>
      <c r="B376">
        <v>9</v>
      </c>
      <c r="C376">
        <f>'weather data'!E376</f>
        <v>6.2377777777777776</v>
      </c>
      <c r="D376">
        <f>LAI!F376</f>
        <v>0</v>
      </c>
      <c r="E376">
        <f>0.5*C376*(1-EXP(-'user input'!$C$19*D376))</f>
        <v>0</v>
      </c>
      <c r="F376">
        <f>E376*'user input'!$C$21</f>
        <v>0</v>
      </c>
    </row>
    <row r="377" spans="1:6" x14ac:dyDescent="0.2">
      <c r="A377" s="1">
        <v>40553</v>
      </c>
      <c r="B377">
        <v>10</v>
      </c>
      <c r="C377">
        <f>'weather data'!E377</f>
        <v>6.6755555555555537</v>
      </c>
      <c r="D377">
        <f>LAI!F377</f>
        <v>0</v>
      </c>
      <c r="E377">
        <f>0.5*C377*(1-EXP(-'user input'!$C$19*D377))</f>
        <v>0</v>
      </c>
      <c r="F377">
        <f>E377*'user input'!$C$21</f>
        <v>0</v>
      </c>
    </row>
    <row r="378" spans="1:6" x14ac:dyDescent="0.2">
      <c r="A378" s="1">
        <v>40554</v>
      </c>
      <c r="B378">
        <v>11</v>
      </c>
      <c r="C378">
        <f>'weather data'!E378</f>
        <v>5.9155555555555575</v>
      </c>
      <c r="D378">
        <f>LAI!F378</f>
        <v>0</v>
      </c>
      <c r="E378">
        <f>0.5*C378*(1-EXP(-'user input'!$C$19*D378))</f>
        <v>0</v>
      </c>
      <c r="F378">
        <f>E378*'user input'!$C$21</f>
        <v>0</v>
      </c>
    </row>
    <row r="379" spans="1:6" x14ac:dyDescent="0.2">
      <c r="A379" s="1">
        <v>40555</v>
      </c>
      <c r="B379">
        <v>12</v>
      </c>
      <c r="C379">
        <f>'weather data'!E379</f>
        <v>5.7666666666666666</v>
      </c>
      <c r="D379">
        <f>LAI!F379</f>
        <v>0</v>
      </c>
      <c r="E379">
        <f>0.5*C379*(1-EXP(-'user input'!$C$19*D379))</f>
        <v>0</v>
      </c>
      <c r="F379">
        <f>E379*'user input'!$C$21</f>
        <v>0</v>
      </c>
    </row>
    <row r="380" spans="1:6" x14ac:dyDescent="0.2">
      <c r="A380" s="1">
        <v>40556</v>
      </c>
      <c r="B380">
        <v>13</v>
      </c>
      <c r="C380">
        <f>'weather data'!E380</f>
        <v>6.44</v>
      </c>
      <c r="D380">
        <f>LAI!F380</f>
        <v>0</v>
      </c>
      <c r="E380">
        <f>0.5*C380*(1-EXP(-'user input'!$C$19*D380))</f>
        <v>0</v>
      </c>
      <c r="F380">
        <f>E380*'user input'!$C$21</f>
        <v>0</v>
      </c>
    </row>
    <row r="381" spans="1:6" x14ac:dyDescent="0.2">
      <c r="A381" s="1">
        <v>40557</v>
      </c>
      <c r="B381">
        <v>14</v>
      </c>
      <c r="C381">
        <f>'weather data'!E381</f>
        <v>6.0333333333333332</v>
      </c>
      <c r="D381">
        <f>LAI!F381</f>
        <v>0</v>
      </c>
      <c r="E381">
        <f>0.5*C381*(1-EXP(-'user input'!$C$19*D381))</f>
        <v>0</v>
      </c>
      <c r="F381">
        <f>E381*'user input'!$C$21</f>
        <v>0</v>
      </c>
    </row>
    <row r="382" spans="1:6" x14ac:dyDescent="0.2">
      <c r="A382" s="1">
        <v>40558</v>
      </c>
      <c r="B382">
        <v>15</v>
      </c>
      <c r="C382">
        <f>'weather data'!E382</f>
        <v>6.6888888888888864</v>
      </c>
      <c r="D382">
        <f>LAI!F382</f>
        <v>0</v>
      </c>
      <c r="E382">
        <f>0.5*C382*(1-EXP(-'user input'!$C$19*D382))</f>
        <v>0</v>
      </c>
      <c r="F382">
        <f>E382*'user input'!$C$21</f>
        <v>0</v>
      </c>
    </row>
    <row r="383" spans="1:6" x14ac:dyDescent="0.2">
      <c r="A383" s="1">
        <v>40559</v>
      </c>
      <c r="B383">
        <v>16</v>
      </c>
      <c r="C383">
        <f>'weather data'!E383</f>
        <v>6.5733333333333333</v>
      </c>
      <c r="D383">
        <f>LAI!F383</f>
        <v>0</v>
      </c>
      <c r="E383">
        <f>0.5*C383*(1-EXP(-'user input'!$C$19*D383))</f>
        <v>0</v>
      </c>
      <c r="F383">
        <f>E383*'user input'!$C$21</f>
        <v>0</v>
      </c>
    </row>
    <row r="384" spans="1:6" x14ac:dyDescent="0.2">
      <c r="A384" s="1">
        <v>40560</v>
      </c>
      <c r="B384">
        <v>17</v>
      </c>
      <c r="C384">
        <f>'weather data'!E384</f>
        <v>6.46</v>
      </c>
      <c r="D384">
        <f>LAI!F384</f>
        <v>0</v>
      </c>
      <c r="E384">
        <f>0.5*C384*(1-EXP(-'user input'!$C$19*D384))</f>
        <v>0</v>
      </c>
      <c r="F384">
        <f>E384*'user input'!$C$21</f>
        <v>0</v>
      </c>
    </row>
    <row r="385" spans="1:6" x14ac:dyDescent="0.2">
      <c r="A385" s="1">
        <v>40561</v>
      </c>
      <c r="B385">
        <v>18</v>
      </c>
      <c r="C385">
        <f>'weather data'!E385</f>
        <v>6.8355555555555547</v>
      </c>
      <c r="D385">
        <f>LAI!F385</f>
        <v>0</v>
      </c>
      <c r="E385">
        <f>0.5*C385*(1-EXP(-'user input'!$C$19*D385))</f>
        <v>0</v>
      </c>
      <c r="F385">
        <f>E385*'user input'!$C$21</f>
        <v>0</v>
      </c>
    </row>
    <row r="386" spans="1:6" x14ac:dyDescent="0.2">
      <c r="A386" s="1">
        <v>40562</v>
      </c>
      <c r="B386">
        <v>19</v>
      </c>
      <c r="C386">
        <f>'weather data'!E386</f>
        <v>6.5555555555555554</v>
      </c>
      <c r="D386">
        <f>LAI!F386</f>
        <v>0</v>
      </c>
      <c r="E386">
        <f>0.5*C386*(1-EXP(-'user input'!$C$19*D386))</f>
        <v>0</v>
      </c>
      <c r="F386">
        <f>E386*'user input'!$C$21</f>
        <v>0</v>
      </c>
    </row>
    <row r="387" spans="1:6" x14ac:dyDescent="0.2">
      <c r="A387" s="1">
        <v>40563</v>
      </c>
      <c r="B387">
        <v>20</v>
      </c>
      <c r="C387">
        <f>'weather data'!E387</f>
        <v>6.5533333333333337</v>
      </c>
      <c r="D387">
        <f>LAI!F387</f>
        <v>0</v>
      </c>
      <c r="E387">
        <f>0.5*C387*(1-EXP(-'user input'!$C$19*D387))</f>
        <v>0</v>
      </c>
      <c r="F387">
        <f>E387*'user input'!$C$21</f>
        <v>0</v>
      </c>
    </row>
    <row r="388" spans="1:6" x14ac:dyDescent="0.2">
      <c r="A388" s="1">
        <v>40564</v>
      </c>
      <c r="B388">
        <v>21</v>
      </c>
      <c r="C388">
        <f>'weather data'!E388</f>
        <v>6.5222222222222221</v>
      </c>
      <c r="D388">
        <f>LAI!F388</f>
        <v>0</v>
      </c>
      <c r="E388">
        <f>0.5*C388*(1-EXP(-'user input'!$C$19*D388))</f>
        <v>0</v>
      </c>
      <c r="F388">
        <f>E388*'user input'!$C$21</f>
        <v>0</v>
      </c>
    </row>
    <row r="389" spans="1:6" x14ac:dyDescent="0.2">
      <c r="A389" s="1">
        <v>40565</v>
      </c>
      <c r="B389">
        <v>22</v>
      </c>
      <c r="C389">
        <f>'weather data'!E389</f>
        <v>6.1199999999999992</v>
      </c>
      <c r="D389">
        <f>LAI!F389</f>
        <v>0</v>
      </c>
      <c r="E389">
        <f>0.5*C389*(1-EXP(-'user input'!$C$19*D389))</f>
        <v>0</v>
      </c>
      <c r="F389">
        <f>E389*'user input'!$C$21</f>
        <v>0</v>
      </c>
    </row>
    <row r="390" spans="1:6" x14ac:dyDescent="0.2">
      <c r="A390" s="1">
        <v>40566</v>
      </c>
      <c r="B390">
        <v>23</v>
      </c>
      <c r="C390">
        <f>'weather data'!E390</f>
        <v>7.2466666666666661</v>
      </c>
      <c r="D390">
        <f>LAI!F390</f>
        <v>0</v>
      </c>
      <c r="E390">
        <f>0.5*C390*(1-EXP(-'user input'!$C$19*D390))</f>
        <v>0</v>
      </c>
      <c r="F390">
        <f>E390*'user input'!$C$21</f>
        <v>0</v>
      </c>
    </row>
    <row r="391" spans="1:6" x14ac:dyDescent="0.2">
      <c r="A391" s="1">
        <v>40567</v>
      </c>
      <c r="B391">
        <v>24</v>
      </c>
      <c r="C391">
        <f>'weather data'!E391</f>
        <v>6.8688888888888879</v>
      </c>
      <c r="D391">
        <f>LAI!F391</f>
        <v>0</v>
      </c>
      <c r="E391">
        <f>0.5*C391*(1-EXP(-'user input'!$C$19*D391))</f>
        <v>0</v>
      </c>
      <c r="F391">
        <f>E391*'user input'!$C$21</f>
        <v>0</v>
      </c>
    </row>
    <row r="392" spans="1:6" x14ac:dyDescent="0.2">
      <c r="A392" s="1">
        <v>40568</v>
      </c>
      <c r="B392">
        <v>25</v>
      </c>
      <c r="C392">
        <f>'weather data'!E392</f>
        <v>7.0244444444444447</v>
      </c>
      <c r="D392">
        <f>LAI!F392</f>
        <v>0</v>
      </c>
      <c r="E392">
        <f>0.5*C392*(1-EXP(-'user input'!$C$19*D392))</f>
        <v>0</v>
      </c>
      <c r="F392">
        <f>E392*'user input'!$C$21</f>
        <v>0</v>
      </c>
    </row>
    <row r="393" spans="1:6" x14ac:dyDescent="0.2">
      <c r="A393" s="1">
        <v>40569</v>
      </c>
      <c r="B393">
        <v>26</v>
      </c>
      <c r="C393">
        <f>'weather data'!E393</f>
        <v>7.3288888888888888</v>
      </c>
      <c r="D393">
        <f>LAI!F393</f>
        <v>0</v>
      </c>
      <c r="E393">
        <f>0.5*C393*(1-EXP(-'user input'!$C$19*D393))</f>
        <v>0</v>
      </c>
      <c r="F393">
        <f>E393*'user input'!$C$21</f>
        <v>0</v>
      </c>
    </row>
    <row r="394" spans="1:6" x14ac:dyDescent="0.2">
      <c r="A394" s="1">
        <v>40570</v>
      </c>
      <c r="B394">
        <v>27</v>
      </c>
      <c r="C394">
        <f>'weather data'!E394</f>
        <v>7.4177777777777756</v>
      </c>
      <c r="D394">
        <f>LAI!F394</f>
        <v>0</v>
      </c>
      <c r="E394">
        <f>0.5*C394*(1-EXP(-'user input'!$C$19*D394))</f>
        <v>0</v>
      </c>
      <c r="F394">
        <f>E394*'user input'!$C$21</f>
        <v>0</v>
      </c>
    </row>
    <row r="395" spans="1:6" x14ac:dyDescent="0.2">
      <c r="A395" s="1">
        <v>40571</v>
      </c>
      <c r="B395">
        <v>28</v>
      </c>
      <c r="C395">
        <f>'weather data'!E395</f>
        <v>7.677777777777778</v>
      </c>
      <c r="D395">
        <f>LAI!F395</f>
        <v>0</v>
      </c>
      <c r="E395">
        <f>0.5*C395*(1-EXP(-'user input'!$C$19*D395))</f>
        <v>0</v>
      </c>
      <c r="F395">
        <f>E395*'user input'!$C$21</f>
        <v>0</v>
      </c>
    </row>
    <row r="396" spans="1:6" x14ac:dyDescent="0.2">
      <c r="A396" s="1">
        <v>40572</v>
      </c>
      <c r="B396">
        <v>29</v>
      </c>
      <c r="C396">
        <f>'weather data'!E396</f>
        <v>7.3044444444444458</v>
      </c>
      <c r="D396">
        <f>LAI!F396</f>
        <v>0</v>
      </c>
      <c r="E396">
        <f>0.5*C396*(1-EXP(-'user input'!$C$19*D396))</f>
        <v>0</v>
      </c>
      <c r="F396">
        <f>E396*'user input'!$C$21</f>
        <v>0</v>
      </c>
    </row>
    <row r="397" spans="1:6" x14ac:dyDescent="0.2">
      <c r="A397" s="1">
        <v>40573</v>
      </c>
      <c r="B397">
        <v>30</v>
      </c>
      <c r="C397">
        <f>'weather data'!E397</f>
        <v>8</v>
      </c>
      <c r="D397">
        <f>LAI!F397</f>
        <v>0</v>
      </c>
      <c r="E397">
        <f>0.5*C397*(1-EXP(-'user input'!$C$19*D397))</f>
        <v>0</v>
      </c>
      <c r="F397">
        <f>E397*'user input'!$C$21</f>
        <v>0</v>
      </c>
    </row>
    <row r="398" spans="1:6" x14ac:dyDescent="0.2">
      <c r="A398" s="1">
        <v>40574</v>
      </c>
      <c r="B398">
        <v>31</v>
      </c>
      <c r="C398">
        <f>'weather data'!E398</f>
        <v>7.6400000000000041</v>
      </c>
      <c r="D398">
        <f>LAI!F398</f>
        <v>0</v>
      </c>
      <c r="E398">
        <f>0.5*C398*(1-EXP(-'user input'!$C$19*D398))</f>
        <v>0</v>
      </c>
      <c r="F398">
        <f>E398*'user input'!$C$21</f>
        <v>0</v>
      </c>
    </row>
    <row r="399" spans="1:6" x14ac:dyDescent="0.2">
      <c r="A399" s="1">
        <v>40575</v>
      </c>
      <c r="B399">
        <v>32</v>
      </c>
      <c r="C399">
        <f>'weather data'!E399</f>
        <v>7.5244444444444474</v>
      </c>
      <c r="D399">
        <f>LAI!F399</f>
        <v>0</v>
      </c>
      <c r="E399">
        <f>0.5*C399*(1-EXP(-'user input'!$C$19*D399))</f>
        <v>0</v>
      </c>
      <c r="F399">
        <f>E399*'user input'!$C$21</f>
        <v>0</v>
      </c>
    </row>
    <row r="400" spans="1:6" x14ac:dyDescent="0.2">
      <c r="A400" s="1">
        <v>40576</v>
      </c>
      <c r="B400">
        <v>33</v>
      </c>
      <c r="C400">
        <f>'weather data'!E400</f>
        <v>7.8222222222222237</v>
      </c>
      <c r="D400">
        <f>LAI!F400</f>
        <v>0</v>
      </c>
      <c r="E400">
        <f>0.5*C400*(1-EXP(-'user input'!$C$19*D400))</f>
        <v>0</v>
      </c>
      <c r="F400">
        <f>E400*'user input'!$C$21</f>
        <v>0</v>
      </c>
    </row>
    <row r="401" spans="1:6" x14ac:dyDescent="0.2">
      <c r="A401" s="1">
        <v>40577</v>
      </c>
      <c r="B401">
        <v>34</v>
      </c>
      <c r="C401">
        <f>'weather data'!E401</f>
        <v>7.9933333333333367</v>
      </c>
      <c r="D401">
        <f>LAI!F401</f>
        <v>0</v>
      </c>
      <c r="E401">
        <f>0.5*C401*(1-EXP(-'user input'!$C$19*D401))</f>
        <v>0</v>
      </c>
      <c r="F401">
        <f>E401*'user input'!$C$21</f>
        <v>0</v>
      </c>
    </row>
    <row r="402" spans="1:6" x14ac:dyDescent="0.2">
      <c r="A402" s="1">
        <v>40578</v>
      </c>
      <c r="B402">
        <v>35</v>
      </c>
      <c r="C402">
        <f>'weather data'!E402</f>
        <v>8.8044444444444458</v>
      </c>
      <c r="D402">
        <f>LAI!F402</f>
        <v>0</v>
      </c>
      <c r="E402">
        <f>0.5*C402*(1-EXP(-'user input'!$C$19*D402))</f>
        <v>0</v>
      </c>
      <c r="F402">
        <f>E402*'user input'!$C$21</f>
        <v>0</v>
      </c>
    </row>
    <row r="403" spans="1:6" x14ac:dyDescent="0.2">
      <c r="A403" s="1">
        <v>40579</v>
      </c>
      <c r="B403">
        <v>36</v>
      </c>
      <c r="C403">
        <f>'weather data'!E403</f>
        <v>8.4622222222222199</v>
      </c>
      <c r="D403">
        <f>LAI!F403</f>
        <v>0</v>
      </c>
      <c r="E403">
        <f>0.5*C403*(1-EXP(-'user input'!$C$19*D403))</f>
        <v>0</v>
      </c>
      <c r="F403">
        <f>E403*'user input'!$C$21</f>
        <v>0</v>
      </c>
    </row>
    <row r="404" spans="1:6" x14ac:dyDescent="0.2">
      <c r="A404" s="1">
        <v>40580</v>
      </c>
      <c r="B404">
        <v>37</v>
      </c>
      <c r="C404">
        <f>'weather data'!E404</f>
        <v>8.9911111111111115</v>
      </c>
      <c r="D404">
        <f>LAI!F404</f>
        <v>0</v>
      </c>
      <c r="E404">
        <f>0.5*C404*(1-EXP(-'user input'!$C$19*D404))</f>
        <v>0</v>
      </c>
      <c r="F404">
        <f>E404*'user input'!$C$21</f>
        <v>0</v>
      </c>
    </row>
    <row r="405" spans="1:6" x14ac:dyDescent="0.2">
      <c r="A405" s="1">
        <v>40581</v>
      </c>
      <c r="B405">
        <v>38</v>
      </c>
      <c r="C405">
        <f>'weather data'!E405</f>
        <v>9.43333333333333</v>
      </c>
      <c r="D405">
        <f>LAI!F405</f>
        <v>0</v>
      </c>
      <c r="E405">
        <f>0.5*C405*(1-EXP(-'user input'!$C$19*D405))</f>
        <v>0</v>
      </c>
      <c r="F405">
        <f>E405*'user input'!$C$21</f>
        <v>0</v>
      </c>
    </row>
    <row r="406" spans="1:6" x14ac:dyDescent="0.2">
      <c r="A406" s="1">
        <v>40582</v>
      </c>
      <c r="B406">
        <v>39</v>
      </c>
      <c r="C406">
        <f>'weather data'!E406</f>
        <v>9.0800000000000036</v>
      </c>
      <c r="D406">
        <f>LAI!F406</f>
        <v>0</v>
      </c>
      <c r="E406">
        <f>0.5*C406*(1-EXP(-'user input'!$C$19*D406))</f>
        <v>0</v>
      </c>
      <c r="F406">
        <f>E406*'user input'!$C$21</f>
        <v>0</v>
      </c>
    </row>
    <row r="407" spans="1:6" x14ac:dyDescent="0.2">
      <c r="A407" s="1">
        <v>40583</v>
      </c>
      <c r="B407">
        <v>40</v>
      </c>
      <c r="C407">
        <f>'weather data'!E407</f>
        <v>9.9822222222222212</v>
      </c>
      <c r="D407">
        <f>LAI!F407</f>
        <v>0</v>
      </c>
      <c r="E407">
        <f>0.5*C407*(1-EXP(-'user input'!$C$19*D407))</f>
        <v>0</v>
      </c>
      <c r="F407">
        <f>E407*'user input'!$C$21</f>
        <v>0</v>
      </c>
    </row>
    <row r="408" spans="1:6" x14ac:dyDescent="0.2">
      <c r="A408" s="1">
        <v>40584</v>
      </c>
      <c r="B408">
        <v>41</v>
      </c>
      <c r="C408">
        <f>'weather data'!E408</f>
        <v>8.9066666666666627</v>
      </c>
      <c r="D408">
        <f>LAI!F408</f>
        <v>0</v>
      </c>
      <c r="E408">
        <f>0.5*C408*(1-EXP(-'user input'!$C$19*D408))</f>
        <v>0</v>
      </c>
      <c r="F408">
        <f>E408*'user input'!$C$21</f>
        <v>0</v>
      </c>
    </row>
    <row r="409" spans="1:6" x14ac:dyDescent="0.2">
      <c r="A409" s="1">
        <v>40585</v>
      </c>
      <c r="B409">
        <v>42</v>
      </c>
      <c r="C409">
        <f>'weather data'!E409</f>
        <v>9.7333333333333325</v>
      </c>
      <c r="D409">
        <f>LAI!F409</f>
        <v>0</v>
      </c>
      <c r="E409">
        <f>0.5*C409*(1-EXP(-'user input'!$C$19*D409))</f>
        <v>0</v>
      </c>
      <c r="F409">
        <f>E409*'user input'!$C$21</f>
        <v>0</v>
      </c>
    </row>
    <row r="410" spans="1:6" x14ac:dyDescent="0.2">
      <c r="A410" s="1">
        <v>40586</v>
      </c>
      <c r="B410">
        <v>43</v>
      </c>
      <c r="C410">
        <f>'weather data'!E410</f>
        <v>10.073333333333336</v>
      </c>
      <c r="D410">
        <f>LAI!F410</f>
        <v>0</v>
      </c>
      <c r="E410">
        <f>0.5*C410*(1-EXP(-'user input'!$C$19*D410))</f>
        <v>0</v>
      </c>
      <c r="F410">
        <f>E410*'user input'!$C$21</f>
        <v>0</v>
      </c>
    </row>
    <row r="411" spans="1:6" x14ac:dyDescent="0.2">
      <c r="A411" s="1">
        <v>40587</v>
      </c>
      <c r="B411">
        <v>44</v>
      </c>
      <c r="C411">
        <f>'weather data'!E411</f>
        <v>8.4711111111111101</v>
      </c>
      <c r="D411">
        <f>LAI!F411</f>
        <v>0</v>
      </c>
      <c r="E411">
        <f>0.5*C411*(1-EXP(-'user input'!$C$19*D411))</f>
        <v>0</v>
      </c>
      <c r="F411">
        <f>E411*'user input'!$C$21</f>
        <v>0</v>
      </c>
    </row>
    <row r="412" spans="1:6" x14ac:dyDescent="0.2">
      <c r="A412" s="1">
        <v>40588</v>
      </c>
      <c r="B412">
        <v>45</v>
      </c>
      <c r="C412">
        <f>'weather data'!E412</f>
        <v>9.2622222222222241</v>
      </c>
      <c r="D412">
        <f>LAI!F412</f>
        <v>0</v>
      </c>
      <c r="E412">
        <f>0.5*C412*(1-EXP(-'user input'!$C$19*D412))</f>
        <v>0</v>
      </c>
      <c r="F412">
        <f>E412*'user input'!$C$21</f>
        <v>0</v>
      </c>
    </row>
    <row r="413" spans="1:6" x14ac:dyDescent="0.2">
      <c r="A413" s="1">
        <v>40589</v>
      </c>
      <c r="B413">
        <v>46</v>
      </c>
      <c r="C413">
        <f>'weather data'!E413</f>
        <v>9.7844444444444445</v>
      </c>
      <c r="D413">
        <f>LAI!F413</f>
        <v>0</v>
      </c>
      <c r="E413">
        <f>0.5*C413*(1-EXP(-'user input'!$C$19*D413))</f>
        <v>0</v>
      </c>
      <c r="F413">
        <f>E413*'user input'!$C$21</f>
        <v>0</v>
      </c>
    </row>
    <row r="414" spans="1:6" x14ac:dyDescent="0.2">
      <c r="A414" s="1">
        <v>40590</v>
      </c>
      <c r="B414">
        <v>47</v>
      </c>
      <c r="C414">
        <f>'weather data'!E414</f>
        <v>10.419999999999996</v>
      </c>
      <c r="D414">
        <f>LAI!F414</f>
        <v>0</v>
      </c>
      <c r="E414">
        <f>0.5*C414*(1-EXP(-'user input'!$C$19*D414))</f>
        <v>0</v>
      </c>
      <c r="F414">
        <f>E414*'user input'!$C$21</f>
        <v>0</v>
      </c>
    </row>
    <row r="415" spans="1:6" x14ac:dyDescent="0.2">
      <c r="A415" s="1">
        <v>40591</v>
      </c>
      <c r="B415">
        <v>48</v>
      </c>
      <c r="C415">
        <f>'weather data'!E415</f>
        <v>10.89111111111111</v>
      </c>
      <c r="D415">
        <f>LAI!F415</f>
        <v>0</v>
      </c>
      <c r="E415">
        <f>0.5*C415*(1-EXP(-'user input'!$C$19*D415))</f>
        <v>0</v>
      </c>
      <c r="F415">
        <f>E415*'user input'!$C$21</f>
        <v>0</v>
      </c>
    </row>
    <row r="416" spans="1:6" x14ac:dyDescent="0.2">
      <c r="A416" s="1">
        <v>40592</v>
      </c>
      <c r="B416">
        <v>49</v>
      </c>
      <c r="C416">
        <f>'weather data'!E416</f>
        <v>8.7977777777777799</v>
      </c>
      <c r="D416">
        <f>LAI!F416</f>
        <v>0</v>
      </c>
      <c r="E416">
        <f>0.5*C416*(1-EXP(-'user input'!$C$19*D416))</f>
        <v>0</v>
      </c>
      <c r="F416">
        <f>E416*'user input'!$C$21</f>
        <v>0</v>
      </c>
    </row>
    <row r="417" spans="1:6" x14ac:dyDescent="0.2">
      <c r="A417" s="1">
        <v>40593</v>
      </c>
      <c r="B417">
        <v>50</v>
      </c>
      <c r="C417">
        <f>'weather data'!E417</f>
        <v>9.6266666666666687</v>
      </c>
      <c r="D417">
        <f>LAI!F417</f>
        <v>0</v>
      </c>
      <c r="E417">
        <f>0.5*C417*(1-EXP(-'user input'!$C$19*D417))</f>
        <v>0</v>
      </c>
      <c r="F417">
        <f>E417*'user input'!$C$21</f>
        <v>0</v>
      </c>
    </row>
    <row r="418" spans="1:6" x14ac:dyDescent="0.2">
      <c r="A418" s="1">
        <v>40594</v>
      </c>
      <c r="B418">
        <v>51</v>
      </c>
      <c r="C418">
        <f>'weather data'!E418</f>
        <v>10.488888888888887</v>
      </c>
      <c r="D418">
        <f>LAI!F418</f>
        <v>0</v>
      </c>
      <c r="E418">
        <f>0.5*C418*(1-EXP(-'user input'!$C$19*D418))</f>
        <v>0</v>
      </c>
      <c r="F418">
        <f>E418*'user input'!$C$21</f>
        <v>0</v>
      </c>
    </row>
    <row r="419" spans="1:6" x14ac:dyDescent="0.2">
      <c r="A419" s="1">
        <v>40595</v>
      </c>
      <c r="B419">
        <v>52</v>
      </c>
      <c r="C419">
        <f>'weather data'!E419</f>
        <v>10.06</v>
      </c>
      <c r="D419">
        <f>LAI!F419</f>
        <v>0</v>
      </c>
      <c r="E419">
        <f>0.5*C419*(1-EXP(-'user input'!$C$19*D419))</f>
        <v>0</v>
      </c>
      <c r="F419">
        <f>E419*'user input'!$C$21</f>
        <v>0</v>
      </c>
    </row>
    <row r="420" spans="1:6" x14ac:dyDescent="0.2">
      <c r="A420" s="1">
        <v>40596</v>
      </c>
      <c r="B420">
        <v>53</v>
      </c>
      <c r="C420">
        <f>'weather data'!E420</f>
        <v>10.406666666666665</v>
      </c>
      <c r="D420">
        <f>LAI!F420</f>
        <v>0</v>
      </c>
      <c r="E420">
        <f>0.5*C420*(1-EXP(-'user input'!$C$19*D420))</f>
        <v>0</v>
      </c>
      <c r="F420">
        <f>E420*'user input'!$C$21</f>
        <v>0</v>
      </c>
    </row>
    <row r="421" spans="1:6" x14ac:dyDescent="0.2">
      <c r="A421" s="1">
        <v>40597</v>
      </c>
      <c r="B421">
        <v>54</v>
      </c>
      <c r="C421">
        <f>'weather data'!E421</f>
        <v>10.113333333333337</v>
      </c>
      <c r="D421">
        <f>LAI!F421</f>
        <v>0</v>
      </c>
      <c r="E421">
        <f>0.5*C421*(1-EXP(-'user input'!$C$19*D421))</f>
        <v>0</v>
      </c>
      <c r="F421">
        <f>E421*'user input'!$C$21</f>
        <v>0</v>
      </c>
    </row>
    <row r="422" spans="1:6" x14ac:dyDescent="0.2">
      <c r="A422" s="1">
        <v>40598</v>
      </c>
      <c r="B422">
        <v>55</v>
      </c>
      <c r="C422">
        <f>'weather data'!E422</f>
        <v>10.037777777777777</v>
      </c>
      <c r="D422">
        <f>LAI!F422</f>
        <v>0</v>
      </c>
      <c r="E422">
        <f>0.5*C422*(1-EXP(-'user input'!$C$19*D422))</f>
        <v>0</v>
      </c>
      <c r="F422">
        <f>E422*'user input'!$C$21</f>
        <v>0</v>
      </c>
    </row>
    <row r="423" spans="1:6" x14ac:dyDescent="0.2">
      <c r="A423" s="1">
        <v>40599</v>
      </c>
      <c r="B423">
        <v>56</v>
      </c>
      <c r="C423">
        <f>'weather data'!E423</f>
        <v>11.8</v>
      </c>
      <c r="D423">
        <f>LAI!F423</f>
        <v>0</v>
      </c>
      <c r="E423">
        <f>0.5*C423*(1-EXP(-'user input'!$C$19*D423))</f>
        <v>0</v>
      </c>
      <c r="F423">
        <f>E423*'user input'!$C$21</f>
        <v>0</v>
      </c>
    </row>
    <row r="424" spans="1:6" x14ac:dyDescent="0.2">
      <c r="A424" s="1">
        <v>40600</v>
      </c>
      <c r="B424">
        <v>57</v>
      </c>
      <c r="C424">
        <f>'weather data'!E424</f>
        <v>11.313333333333336</v>
      </c>
      <c r="D424">
        <f>LAI!F424</f>
        <v>0</v>
      </c>
      <c r="E424">
        <f>0.5*C424*(1-EXP(-'user input'!$C$19*D424))</f>
        <v>0</v>
      </c>
      <c r="F424">
        <f>E424*'user input'!$C$21</f>
        <v>0</v>
      </c>
    </row>
    <row r="425" spans="1:6" x14ac:dyDescent="0.2">
      <c r="A425" s="1">
        <v>40601</v>
      </c>
      <c r="B425">
        <v>58</v>
      </c>
      <c r="C425">
        <f>'weather data'!E425</f>
        <v>11.128888888888891</v>
      </c>
      <c r="D425">
        <f>LAI!F425</f>
        <v>0</v>
      </c>
      <c r="E425">
        <f>0.5*C425*(1-EXP(-'user input'!$C$19*D425))</f>
        <v>0</v>
      </c>
      <c r="F425">
        <f>E425*'user input'!$C$21</f>
        <v>0</v>
      </c>
    </row>
    <row r="426" spans="1:6" x14ac:dyDescent="0.2">
      <c r="A426" s="1">
        <v>40602</v>
      </c>
      <c r="B426">
        <v>59</v>
      </c>
      <c r="C426">
        <f>'weather data'!E426</f>
        <v>11.87555555555555</v>
      </c>
      <c r="D426">
        <f>LAI!F426</f>
        <v>0</v>
      </c>
      <c r="E426">
        <f>0.5*C426*(1-EXP(-'user input'!$C$19*D426))</f>
        <v>0</v>
      </c>
      <c r="F426">
        <f>E426*'user input'!$C$21</f>
        <v>0</v>
      </c>
    </row>
    <row r="427" spans="1:6" x14ac:dyDescent="0.2">
      <c r="A427" s="1">
        <v>40603</v>
      </c>
      <c r="B427">
        <v>60</v>
      </c>
      <c r="C427">
        <f>'weather data'!E427</f>
        <v>11.59555555555556</v>
      </c>
      <c r="D427">
        <f>LAI!F427</f>
        <v>0</v>
      </c>
      <c r="E427">
        <f>0.5*C427*(1-EXP(-'user input'!$C$19*D427))</f>
        <v>0</v>
      </c>
      <c r="F427">
        <f>E427*'user input'!$C$21</f>
        <v>0</v>
      </c>
    </row>
    <row r="428" spans="1:6" x14ac:dyDescent="0.2">
      <c r="A428" s="1">
        <v>40604</v>
      </c>
      <c r="B428">
        <v>61</v>
      </c>
      <c r="C428">
        <f>'weather data'!E428</f>
        <v>11.271111111111111</v>
      </c>
      <c r="D428">
        <f>LAI!F428</f>
        <v>0</v>
      </c>
      <c r="E428">
        <f>0.5*C428*(1-EXP(-'user input'!$C$19*D428))</f>
        <v>0</v>
      </c>
      <c r="F428">
        <f>E428*'user input'!$C$21</f>
        <v>0</v>
      </c>
    </row>
    <row r="429" spans="1:6" x14ac:dyDescent="0.2">
      <c r="A429" s="1">
        <v>40605</v>
      </c>
      <c r="B429">
        <v>62</v>
      </c>
      <c r="C429">
        <f>'weather data'!E429</f>
        <v>11.388888888888886</v>
      </c>
      <c r="D429">
        <f>LAI!F429</f>
        <v>0</v>
      </c>
      <c r="E429">
        <f>0.5*C429*(1-EXP(-'user input'!$C$19*D429))</f>
        <v>0</v>
      </c>
      <c r="F429">
        <f>E429*'user input'!$C$21</f>
        <v>0</v>
      </c>
    </row>
    <row r="430" spans="1:6" x14ac:dyDescent="0.2">
      <c r="A430" s="1">
        <v>40606</v>
      </c>
      <c r="B430">
        <v>63</v>
      </c>
      <c r="C430">
        <f>'weather data'!E430</f>
        <v>10.191111111111111</v>
      </c>
      <c r="D430">
        <f>LAI!F430</f>
        <v>0</v>
      </c>
      <c r="E430">
        <f>0.5*C430*(1-EXP(-'user input'!$C$19*D430))</f>
        <v>0</v>
      </c>
      <c r="F430">
        <f>E430*'user input'!$C$21</f>
        <v>0</v>
      </c>
    </row>
    <row r="431" spans="1:6" x14ac:dyDescent="0.2">
      <c r="A431" s="1">
        <v>40607</v>
      </c>
      <c r="B431">
        <v>64</v>
      </c>
      <c r="C431">
        <f>'weather data'!E431</f>
        <v>11.199999999999996</v>
      </c>
      <c r="D431">
        <f>LAI!F431</f>
        <v>0</v>
      </c>
      <c r="E431">
        <f>0.5*C431*(1-EXP(-'user input'!$C$19*D431))</f>
        <v>0</v>
      </c>
      <c r="F431">
        <f>E431*'user input'!$C$21</f>
        <v>0</v>
      </c>
    </row>
    <row r="432" spans="1:6" x14ac:dyDescent="0.2">
      <c r="A432" s="1">
        <v>40608</v>
      </c>
      <c r="B432">
        <v>65</v>
      </c>
      <c r="C432">
        <f>'weather data'!E432</f>
        <v>12.780000000000003</v>
      </c>
      <c r="D432">
        <f>LAI!F432</f>
        <v>0</v>
      </c>
      <c r="E432">
        <f>0.5*C432*(1-EXP(-'user input'!$C$19*D432))</f>
        <v>0</v>
      </c>
      <c r="F432">
        <f>E432*'user input'!$C$21</f>
        <v>0</v>
      </c>
    </row>
    <row r="433" spans="1:6" x14ac:dyDescent="0.2">
      <c r="A433" s="1">
        <v>40609</v>
      </c>
      <c r="B433">
        <v>66</v>
      </c>
      <c r="C433">
        <f>'weather data'!E433</f>
        <v>13.068888888888889</v>
      </c>
      <c r="D433">
        <f>LAI!F433</f>
        <v>0</v>
      </c>
      <c r="E433">
        <f>0.5*C433*(1-EXP(-'user input'!$C$19*D433))</f>
        <v>0</v>
      </c>
      <c r="F433">
        <f>E433*'user input'!$C$21</f>
        <v>0</v>
      </c>
    </row>
    <row r="434" spans="1:6" x14ac:dyDescent="0.2">
      <c r="A434" s="1">
        <v>40610</v>
      </c>
      <c r="B434">
        <v>67</v>
      </c>
      <c r="C434">
        <f>'weather data'!E434</f>
        <v>11.393333333333333</v>
      </c>
      <c r="D434">
        <f>LAI!F434</f>
        <v>0</v>
      </c>
      <c r="E434">
        <f>0.5*C434*(1-EXP(-'user input'!$C$19*D434))</f>
        <v>0</v>
      </c>
      <c r="F434">
        <f>E434*'user input'!$C$21</f>
        <v>0</v>
      </c>
    </row>
    <row r="435" spans="1:6" x14ac:dyDescent="0.2">
      <c r="A435" s="1">
        <v>40611</v>
      </c>
      <c r="B435">
        <v>68</v>
      </c>
      <c r="C435">
        <f>'weather data'!E435</f>
        <v>12.291111111111112</v>
      </c>
      <c r="D435">
        <f>LAI!F435</f>
        <v>0</v>
      </c>
      <c r="E435">
        <f>0.5*C435*(1-EXP(-'user input'!$C$19*D435))</f>
        <v>0</v>
      </c>
      <c r="F435">
        <f>E435*'user input'!$C$21</f>
        <v>0</v>
      </c>
    </row>
    <row r="436" spans="1:6" x14ac:dyDescent="0.2">
      <c r="A436" s="1">
        <v>40612</v>
      </c>
      <c r="B436">
        <v>69</v>
      </c>
      <c r="C436">
        <f>'weather data'!E436</f>
        <v>13.813333333333336</v>
      </c>
      <c r="D436">
        <f>LAI!F436</f>
        <v>0</v>
      </c>
      <c r="E436">
        <f>0.5*C436*(1-EXP(-'user input'!$C$19*D436))</f>
        <v>0</v>
      </c>
      <c r="F436">
        <f>E436*'user input'!$C$21</f>
        <v>0</v>
      </c>
    </row>
    <row r="437" spans="1:6" x14ac:dyDescent="0.2">
      <c r="A437" s="1">
        <v>40613</v>
      </c>
      <c r="B437">
        <v>70</v>
      </c>
      <c r="C437">
        <f>'weather data'!E437</f>
        <v>12.808888888888891</v>
      </c>
      <c r="D437">
        <f>LAI!F437</f>
        <v>0</v>
      </c>
      <c r="E437">
        <f>0.5*C437*(1-EXP(-'user input'!$C$19*D437))</f>
        <v>0</v>
      </c>
      <c r="F437">
        <f>E437*'user input'!$C$21</f>
        <v>0</v>
      </c>
    </row>
    <row r="438" spans="1:6" x14ac:dyDescent="0.2">
      <c r="A438" s="1">
        <v>40614</v>
      </c>
      <c r="B438">
        <v>71</v>
      </c>
      <c r="C438">
        <f>'weather data'!E438</f>
        <v>12.691111111111107</v>
      </c>
      <c r="D438">
        <f>LAI!F438</f>
        <v>0</v>
      </c>
      <c r="E438">
        <f>0.5*C438*(1-EXP(-'user input'!$C$19*D438))</f>
        <v>0</v>
      </c>
      <c r="F438">
        <f>E438*'user input'!$C$21</f>
        <v>0</v>
      </c>
    </row>
    <row r="439" spans="1:6" x14ac:dyDescent="0.2">
      <c r="A439" s="1">
        <v>40615</v>
      </c>
      <c r="B439">
        <v>72</v>
      </c>
      <c r="C439">
        <f>'weather data'!E439</f>
        <v>11.371111111111109</v>
      </c>
      <c r="D439">
        <f>LAI!F439</f>
        <v>0</v>
      </c>
      <c r="E439">
        <f>0.5*C439*(1-EXP(-'user input'!$C$19*D439))</f>
        <v>0</v>
      </c>
      <c r="F439">
        <f>E439*'user input'!$C$21</f>
        <v>0</v>
      </c>
    </row>
    <row r="440" spans="1:6" x14ac:dyDescent="0.2">
      <c r="A440" s="1">
        <v>40616</v>
      </c>
      <c r="B440">
        <v>73</v>
      </c>
      <c r="C440">
        <f>'weather data'!E440</f>
        <v>13.164444444444442</v>
      </c>
      <c r="D440">
        <f>LAI!F440</f>
        <v>0</v>
      </c>
      <c r="E440">
        <f>0.5*C440*(1-EXP(-'user input'!$C$19*D440))</f>
        <v>0</v>
      </c>
      <c r="F440">
        <f>E440*'user input'!$C$21</f>
        <v>0</v>
      </c>
    </row>
    <row r="441" spans="1:6" x14ac:dyDescent="0.2">
      <c r="A441" s="1">
        <v>40617</v>
      </c>
      <c r="B441">
        <v>74</v>
      </c>
      <c r="C441">
        <f>'weather data'!E441</f>
        <v>12.719999999999995</v>
      </c>
      <c r="D441">
        <f>LAI!F441</f>
        <v>0</v>
      </c>
      <c r="E441">
        <f>0.5*C441*(1-EXP(-'user input'!$C$19*D441))</f>
        <v>0</v>
      </c>
      <c r="F441">
        <f>E441*'user input'!$C$21</f>
        <v>0</v>
      </c>
    </row>
    <row r="442" spans="1:6" x14ac:dyDescent="0.2">
      <c r="A442" s="1">
        <v>40618</v>
      </c>
      <c r="B442">
        <v>75</v>
      </c>
      <c r="C442">
        <f>'weather data'!E442</f>
        <v>14.366666666666664</v>
      </c>
      <c r="D442">
        <f>LAI!F442</f>
        <v>0</v>
      </c>
      <c r="E442">
        <f>0.5*C442*(1-EXP(-'user input'!$C$19*D442))</f>
        <v>0</v>
      </c>
      <c r="F442">
        <f>E442*'user input'!$C$21</f>
        <v>0</v>
      </c>
    </row>
    <row r="443" spans="1:6" x14ac:dyDescent="0.2">
      <c r="A443" s="1">
        <v>40619</v>
      </c>
      <c r="B443">
        <v>76</v>
      </c>
      <c r="C443">
        <f>'weather data'!E443</f>
        <v>13.237777777777776</v>
      </c>
      <c r="D443">
        <f>LAI!F443</f>
        <v>0</v>
      </c>
      <c r="E443">
        <f>0.5*C443*(1-EXP(-'user input'!$C$19*D443))</f>
        <v>0</v>
      </c>
      <c r="F443">
        <f>E443*'user input'!$C$21</f>
        <v>0</v>
      </c>
    </row>
    <row r="444" spans="1:6" x14ac:dyDescent="0.2">
      <c r="A444" s="1">
        <v>40620</v>
      </c>
      <c r="B444">
        <v>77</v>
      </c>
      <c r="C444">
        <f>'weather data'!E444</f>
        <v>12.584444444444451</v>
      </c>
      <c r="D444">
        <f>LAI!F444</f>
        <v>0</v>
      </c>
      <c r="E444">
        <f>0.5*C444*(1-EXP(-'user input'!$C$19*D444))</f>
        <v>0</v>
      </c>
      <c r="F444">
        <f>E444*'user input'!$C$21</f>
        <v>0</v>
      </c>
    </row>
    <row r="445" spans="1:6" x14ac:dyDescent="0.2">
      <c r="A445" s="1">
        <v>40621</v>
      </c>
      <c r="B445">
        <v>78</v>
      </c>
      <c r="C445">
        <f>'weather data'!E445</f>
        <v>12.284444444444446</v>
      </c>
      <c r="D445">
        <f>LAI!F445</f>
        <v>0</v>
      </c>
      <c r="E445">
        <f>0.5*C445*(1-EXP(-'user input'!$C$19*D445))</f>
        <v>0</v>
      </c>
      <c r="F445">
        <f>E445*'user input'!$C$21</f>
        <v>0</v>
      </c>
    </row>
    <row r="446" spans="1:6" x14ac:dyDescent="0.2">
      <c r="A446" s="1">
        <v>40622</v>
      </c>
      <c r="B446">
        <v>79</v>
      </c>
      <c r="C446">
        <f>'weather data'!E446</f>
        <v>13.337777777777776</v>
      </c>
      <c r="D446">
        <f>LAI!F446</f>
        <v>0</v>
      </c>
      <c r="E446">
        <f>0.5*C446*(1-EXP(-'user input'!$C$19*D446))</f>
        <v>0</v>
      </c>
      <c r="F446">
        <f>E446*'user input'!$C$21</f>
        <v>0</v>
      </c>
    </row>
    <row r="447" spans="1:6" x14ac:dyDescent="0.2">
      <c r="A447" s="1">
        <v>40623</v>
      </c>
      <c r="B447">
        <v>80</v>
      </c>
      <c r="C447">
        <f>'weather data'!E447</f>
        <v>15</v>
      </c>
      <c r="D447">
        <f>LAI!F447</f>
        <v>0</v>
      </c>
      <c r="E447">
        <f>0.5*C447*(1-EXP(-'user input'!$C$19*D447))</f>
        <v>0</v>
      </c>
      <c r="F447">
        <f>E447*'user input'!$C$21</f>
        <v>0</v>
      </c>
    </row>
    <row r="448" spans="1:6" x14ac:dyDescent="0.2">
      <c r="A448" s="1">
        <v>40624</v>
      </c>
      <c r="B448">
        <v>81</v>
      </c>
      <c r="C448">
        <f>'weather data'!E448</f>
        <v>14.926666666666668</v>
      </c>
      <c r="D448">
        <f>LAI!F448</f>
        <v>0</v>
      </c>
      <c r="E448">
        <f>0.5*C448*(1-EXP(-'user input'!$C$19*D448))</f>
        <v>0</v>
      </c>
      <c r="F448">
        <f>E448*'user input'!$C$21</f>
        <v>0</v>
      </c>
    </row>
    <row r="449" spans="1:6" x14ac:dyDescent="0.2">
      <c r="A449" s="1">
        <v>40625</v>
      </c>
      <c r="B449">
        <v>82</v>
      </c>
      <c r="C449">
        <f>'weather data'!E449</f>
        <v>16.43333333333333</v>
      </c>
      <c r="D449">
        <f>LAI!F449</f>
        <v>0</v>
      </c>
      <c r="E449">
        <f>0.5*C449*(1-EXP(-'user input'!$C$19*D449))</f>
        <v>0</v>
      </c>
      <c r="F449">
        <f>E449*'user input'!$C$21</f>
        <v>0</v>
      </c>
    </row>
    <row r="450" spans="1:6" x14ac:dyDescent="0.2">
      <c r="A450" s="1">
        <v>40626</v>
      </c>
      <c r="B450">
        <v>83</v>
      </c>
      <c r="C450">
        <f>'weather data'!E450</f>
        <v>14.304444444444442</v>
      </c>
      <c r="D450">
        <f>LAI!F450</f>
        <v>0</v>
      </c>
      <c r="E450">
        <f>0.5*C450*(1-EXP(-'user input'!$C$19*D450))</f>
        <v>0</v>
      </c>
      <c r="F450">
        <f>E450*'user input'!$C$21</f>
        <v>0</v>
      </c>
    </row>
    <row r="451" spans="1:6" x14ac:dyDescent="0.2">
      <c r="A451" s="1">
        <v>40627</v>
      </c>
      <c r="B451">
        <v>84</v>
      </c>
      <c r="C451">
        <f>'weather data'!E451</f>
        <v>14.604444444444443</v>
      </c>
      <c r="D451">
        <f>LAI!F451</f>
        <v>0</v>
      </c>
      <c r="E451">
        <f>0.5*C451*(1-EXP(-'user input'!$C$19*D451))</f>
        <v>0</v>
      </c>
      <c r="F451">
        <f>E451*'user input'!$C$21</f>
        <v>0</v>
      </c>
    </row>
    <row r="452" spans="1:6" x14ac:dyDescent="0.2">
      <c r="A452" s="1">
        <v>40628</v>
      </c>
      <c r="B452">
        <v>85</v>
      </c>
      <c r="C452">
        <f>'weather data'!E452</f>
        <v>15.69777777777778</v>
      </c>
      <c r="D452">
        <f>LAI!F452</f>
        <v>0</v>
      </c>
      <c r="E452">
        <f>0.5*C452*(1-EXP(-'user input'!$C$19*D452))</f>
        <v>0</v>
      </c>
      <c r="F452">
        <f>E452*'user input'!$C$21</f>
        <v>0</v>
      </c>
    </row>
    <row r="453" spans="1:6" x14ac:dyDescent="0.2">
      <c r="A453" s="1">
        <v>40629</v>
      </c>
      <c r="B453">
        <v>86</v>
      </c>
      <c r="C453">
        <f>'weather data'!E453</f>
        <v>14.977777777777776</v>
      </c>
      <c r="D453">
        <f>LAI!F453</f>
        <v>0</v>
      </c>
      <c r="E453">
        <f>0.5*C453*(1-EXP(-'user input'!$C$19*D453))</f>
        <v>0</v>
      </c>
      <c r="F453">
        <f>E453*'user input'!$C$21</f>
        <v>0</v>
      </c>
    </row>
    <row r="454" spans="1:6" x14ac:dyDescent="0.2">
      <c r="A454" s="1">
        <v>40630</v>
      </c>
      <c r="B454">
        <v>87</v>
      </c>
      <c r="C454">
        <f>'weather data'!E454</f>
        <v>12.684444444444447</v>
      </c>
      <c r="D454">
        <f>LAI!F454</f>
        <v>0</v>
      </c>
      <c r="E454">
        <f>0.5*C454*(1-EXP(-'user input'!$C$19*D454))</f>
        <v>0</v>
      </c>
      <c r="F454">
        <f>E454*'user input'!$C$21</f>
        <v>0</v>
      </c>
    </row>
    <row r="455" spans="1:6" x14ac:dyDescent="0.2">
      <c r="A455" s="1">
        <v>40631</v>
      </c>
      <c r="B455">
        <v>88</v>
      </c>
      <c r="C455">
        <f>'weather data'!E455</f>
        <v>14.022222222222222</v>
      </c>
      <c r="D455">
        <f>LAI!F455</f>
        <v>0</v>
      </c>
      <c r="E455">
        <f>0.5*C455*(1-EXP(-'user input'!$C$19*D455))</f>
        <v>0</v>
      </c>
      <c r="F455">
        <f>E455*'user input'!$C$21</f>
        <v>0</v>
      </c>
    </row>
    <row r="456" spans="1:6" x14ac:dyDescent="0.2">
      <c r="A456" s="1">
        <v>40632</v>
      </c>
      <c r="B456">
        <v>89</v>
      </c>
      <c r="C456">
        <f>'weather data'!E456</f>
        <v>15.895555555555557</v>
      </c>
      <c r="D456">
        <f>LAI!F456</f>
        <v>0</v>
      </c>
      <c r="E456">
        <f>0.5*C456*(1-EXP(-'user input'!$C$19*D456))</f>
        <v>0</v>
      </c>
      <c r="F456">
        <f>E456*'user input'!$C$21</f>
        <v>0</v>
      </c>
    </row>
    <row r="457" spans="1:6" x14ac:dyDescent="0.2">
      <c r="A457" s="1">
        <v>40633</v>
      </c>
      <c r="B457">
        <v>90</v>
      </c>
      <c r="C457">
        <f>'weather data'!E457</f>
        <v>14.608888888888893</v>
      </c>
      <c r="D457">
        <f>LAI!F457</f>
        <v>0</v>
      </c>
      <c r="E457">
        <f>0.5*C457*(1-EXP(-'user input'!$C$19*D457))</f>
        <v>0</v>
      </c>
      <c r="F457">
        <f>E457*'user input'!$C$21</f>
        <v>0</v>
      </c>
    </row>
    <row r="458" spans="1:6" x14ac:dyDescent="0.2">
      <c r="A458" s="1">
        <v>40634</v>
      </c>
      <c r="B458">
        <v>91</v>
      </c>
      <c r="C458">
        <f>'weather data'!E458</f>
        <v>13.344444444444447</v>
      </c>
      <c r="D458">
        <f>LAI!F458</f>
        <v>0</v>
      </c>
      <c r="E458">
        <f>0.5*C458*(1-EXP(-'user input'!$C$19*D458))</f>
        <v>0</v>
      </c>
      <c r="F458">
        <f>E458*'user input'!$C$21</f>
        <v>0</v>
      </c>
    </row>
    <row r="459" spans="1:6" x14ac:dyDescent="0.2">
      <c r="A459" s="1">
        <v>40635</v>
      </c>
      <c r="B459">
        <v>92</v>
      </c>
      <c r="C459">
        <f>'weather data'!E459</f>
        <v>14.593333333333337</v>
      </c>
      <c r="D459">
        <f>LAI!F459</f>
        <v>0</v>
      </c>
      <c r="E459">
        <f>0.5*C459*(1-EXP(-'user input'!$C$19*D459))</f>
        <v>0</v>
      </c>
      <c r="F459">
        <f>E459*'user input'!$C$21</f>
        <v>0</v>
      </c>
    </row>
    <row r="460" spans="1:6" x14ac:dyDescent="0.2">
      <c r="A460" s="1">
        <v>40636</v>
      </c>
      <c r="B460">
        <v>93</v>
      </c>
      <c r="C460">
        <f>'weather data'!E460</f>
        <v>13.820000000000002</v>
      </c>
      <c r="D460">
        <f>LAI!F460</f>
        <v>0</v>
      </c>
      <c r="E460">
        <f>0.5*C460*(1-EXP(-'user input'!$C$19*D460))</f>
        <v>0</v>
      </c>
      <c r="F460">
        <f>E460*'user input'!$C$21</f>
        <v>0</v>
      </c>
    </row>
    <row r="461" spans="1:6" x14ac:dyDescent="0.2">
      <c r="A461" s="1">
        <v>40637</v>
      </c>
      <c r="B461">
        <v>94</v>
      </c>
      <c r="C461">
        <f>'weather data'!E461</f>
        <v>15.273333333333332</v>
      </c>
      <c r="D461">
        <f>LAI!F461</f>
        <v>0</v>
      </c>
      <c r="E461">
        <f>0.5*C461*(1-EXP(-'user input'!$C$19*D461))</f>
        <v>0</v>
      </c>
      <c r="F461">
        <f>E461*'user input'!$C$21</f>
        <v>0</v>
      </c>
    </row>
    <row r="462" spans="1:6" x14ac:dyDescent="0.2">
      <c r="A462" s="1">
        <v>40638</v>
      </c>
      <c r="B462">
        <v>95</v>
      </c>
      <c r="C462">
        <f>'weather data'!E462</f>
        <v>14.677777777777782</v>
      </c>
      <c r="D462">
        <f>LAI!F462</f>
        <v>0</v>
      </c>
      <c r="E462">
        <f>0.5*C462*(1-EXP(-'user input'!$C$19*D462))</f>
        <v>0</v>
      </c>
      <c r="F462">
        <f>E462*'user input'!$C$21</f>
        <v>0</v>
      </c>
    </row>
    <row r="463" spans="1:6" x14ac:dyDescent="0.2">
      <c r="A463" s="1">
        <v>40639</v>
      </c>
      <c r="B463">
        <v>96</v>
      </c>
      <c r="C463">
        <f>'weather data'!E463</f>
        <v>17.008888888888887</v>
      </c>
      <c r="D463">
        <f>LAI!F463</f>
        <v>0</v>
      </c>
      <c r="E463">
        <f>0.5*C463*(1-EXP(-'user input'!$C$19*D463))</f>
        <v>0</v>
      </c>
      <c r="F463">
        <f>E463*'user input'!$C$21</f>
        <v>0</v>
      </c>
    </row>
    <row r="464" spans="1:6" x14ac:dyDescent="0.2">
      <c r="A464" s="1">
        <v>40640</v>
      </c>
      <c r="B464">
        <v>97</v>
      </c>
      <c r="C464">
        <f>'weather data'!E464</f>
        <v>16.526666666666664</v>
      </c>
      <c r="D464">
        <f>LAI!F464</f>
        <v>0</v>
      </c>
      <c r="E464">
        <f>0.5*C464*(1-EXP(-'user input'!$C$19*D464))</f>
        <v>0</v>
      </c>
      <c r="F464">
        <f>E464*'user input'!$C$21</f>
        <v>0</v>
      </c>
    </row>
    <row r="465" spans="1:6" x14ac:dyDescent="0.2">
      <c r="A465" s="1">
        <v>40641</v>
      </c>
      <c r="B465">
        <v>98</v>
      </c>
      <c r="C465">
        <f>'weather data'!E465</f>
        <v>14.875555555555552</v>
      </c>
      <c r="D465">
        <f>LAI!F465</f>
        <v>0</v>
      </c>
      <c r="E465">
        <f>0.5*C465*(1-EXP(-'user input'!$C$19*D465))</f>
        <v>0</v>
      </c>
      <c r="F465">
        <f>E465*'user input'!$C$21</f>
        <v>0</v>
      </c>
    </row>
    <row r="466" spans="1:6" x14ac:dyDescent="0.2">
      <c r="A466" s="1">
        <v>40642</v>
      </c>
      <c r="B466">
        <v>99</v>
      </c>
      <c r="C466">
        <f>'weather data'!E466</f>
        <v>17.475555555555555</v>
      </c>
      <c r="D466">
        <f>LAI!F466</f>
        <v>0</v>
      </c>
      <c r="E466">
        <f>0.5*C466*(1-EXP(-'user input'!$C$19*D466))</f>
        <v>0</v>
      </c>
      <c r="F466">
        <f>E466*'user input'!$C$21</f>
        <v>0</v>
      </c>
    </row>
    <row r="467" spans="1:6" x14ac:dyDescent="0.2">
      <c r="A467" s="1">
        <v>40643</v>
      </c>
      <c r="B467">
        <v>100</v>
      </c>
      <c r="C467">
        <f>'weather data'!E467</f>
        <v>17.055555555555557</v>
      </c>
      <c r="D467">
        <f>LAI!F467</f>
        <v>0</v>
      </c>
      <c r="E467">
        <f>0.5*C467*(1-EXP(-'user input'!$C$19*D467))</f>
        <v>0</v>
      </c>
      <c r="F467">
        <f>E467*'user input'!$C$21</f>
        <v>0</v>
      </c>
    </row>
    <row r="468" spans="1:6" x14ac:dyDescent="0.2">
      <c r="A468" s="1">
        <v>40644</v>
      </c>
      <c r="B468">
        <v>101</v>
      </c>
      <c r="C468">
        <f>'weather data'!E468</f>
        <v>15.882222222222218</v>
      </c>
      <c r="D468">
        <f>LAI!F468</f>
        <v>0</v>
      </c>
      <c r="E468">
        <f>0.5*C468*(1-EXP(-'user input'!$C$19*D468))</f>
        <v>0</v>
      </c>
      <c r="F468">
        <f>E468*'user input'!$C$21</f>
        <v>0</v>
      </c>
    </row>
    <row r="469" spans="1:6" x14ac:dyDescent="0.2">
      <c r="A469" s="1">
        <v>40645</v>
      </c>
      <c r="B469">
        <v>102</v>
      </c>
      <c r="C469">
        <f>'weather data'!E469</f>
        <v>15.497777777777774</v>
      </c>
      <c r="D469">
        <f>LAI!F469</f>
        <v>0</v>
      </c>
      <c r="E469">
        <f>0.5*C469*(1-EXP(-'user input'!$C$19*D469))</f>
        <v>0</v>
      </c>
      <c r="F469">
        <f>E469*'user input'!$C$21</f>
        <v>0</v>
      </c>
    </row>
    <row r="470" spans="1:6" x14ac:dyDescent="0.2">
      <c r="A470" s="1">
        <v>40646</v>
      </c>
      <c r="B470">
        <v>103</v>
      </c>
      <c r="C470">
        <f>'weather data'!E470</f>
        <v>18.066666666666666</v>
      </c>
      <c r="D470">
        <f>LAI!F470</f>
        <v>0</v>
      </c>
      <c r="E470">
        <f>0.5*C470*(1-EXP(-'user input'!$C$19*D470))</f>
        <v>0</v>
      </c>
      <c r="F470">
        <f>E470*'user input'!$C$21</f>
        <v>0</v>
      </c>
    </row>
    <row r="471" spans="1:6" x14ac:dyDescent="0.2">
      <c r="A471" s="1">
        <v>40647</v>
      </c>
      <c r="B471">
        <v>104</v>
      </c>
      <c r="C471">
        <f>'weather data'!E471</f>
        <v>17.306666666666665</v>
      </c>
      <c r="D471">
        <f>LAI!F471</f>
        <v>0</v>
      </c>
      <c r="E471">
        <f>0.5*C471*(1-EXP(-'user input'!$C$19*D471))</f>
        <v>0</v>
      </c>
      <c r="F471">
        <f>E471*'user input'!$C$21</f>
        <v>0</v>
      </c>
    </row>
    <row r="472" spans="1:6" x14ac:dyDescent="0.2">
      <c r="A472" s="1">
        <v>40648</v>
      </c>
      <c r="B472">
        <v>105</v>
      </c>
      <c r="C472">
        <f>'weather data'!E472</f>
        <v>18.091111111111108</v>
      </c>
      <c r="D472">
        <f>LAI!F472</f>
        <v>0</v>
      </c>
      <c r="E472">
        <f>0.5*C472*(1-EXP(-'user input'!$C$19*D472))</f>
        <v>0</v>
      </c>
      <c r="F472">
        <f>E472*'user input'!$C$21</f>
        <v>0</v>
      </c>
    </row>
    <row r="473" spans="1:6" x14ac:dyDescent="0.2">
      <c r="A473" s="1">
        <v>40649</v>
      </c>
      <c r="B473">
        <v>106</v>
      </c>
      <c r="C473">
        <f>'weather data'!E473</f>
        <v>15.755555555555551</v>
      </c>
      <c r="D473">
        <f>LAI!F473</f>
        <v>0</v>
      </c>
      <c r="E473">
        <f>0.5*C473*(1-EXP(-'user input'!$C$19*D473))</f>
        <v>0</v>
      </c>
      <c r="F473">
        <f>E473*'user input'!$C$21</f>
        <v>0</v>
      </c>
    </row>
    <row r="474" spans="1:6" x14ac:dyDescent="0.2">
      <c r="A474" s="1">
        <v>40650</v>
      </c>
      <c r="B474">
        <v>107</v>
      </c>
      <c r="C474">
        <f>'weather data'!E474</f>
        <v>18.606666666666669</v>
      </c>
      <c r="D474">
        <f>LAI!F474</f>
        <v>0</v>
      </c>
      <c r="E474">
        <f>0.5*C474*(1-EXP(-'user input'!$C$19*D474))</f>
        <v>0</v>
      </c>
      <c r="F474">
        <f>E474*'user input'!$C$21</f>
        <v>0</v>
      </c>
    </row>
    <row r="475" spans="1:6" x14ac:dyDescent="0.2">
      <c r="A475" s="1">
        <v>40651</v>
      </c>
      <c r="B475">
        <v>108</v>
      </c>
      <c r="C475">
        <f>'weather data'!E475</f>
        <v>17.028888888888886</v>
      </c>
      <c r="D475">
        <f>LAI!F475</f>
        <v>0</v>
      </c>
      <c r="E475">
        <f>0.5*C475*(1-EXP(-'user input'!$C$19*D475))</f>
        <v>0</v>
      </c>
      <c r="F475">
        <f>E475*'user input'!$C$21</f>
        <v>0</v>
      </c>
    </row>
    <row r="476" spans="1:6" x14ac:dyDescent="0.2">
      <c r="A476" s="1">
        <v>40652</v>
      </c>
      <c r="B476">
        <v>109</v>
      </c>
      <c r="C476">
        <f>'weather data'!E476</f>
        <v>16.00888888888889</v>
      </c>
      <c r="D476">
        <f>LAI!F476</f>
        <v>0</v>
      </c>
      <c r="E476">
        <f>0.5*C476*(1-EXP(-'user input'!$C$19*D476))</f>
        <v>0</v>
      </c>
      <c r="F476">
        <f>E476*'user input'!$C$21</f>
        <v>0</v>
      </c>
    </row>
    <row r="477" spans="1:6" x14ac:dyDescent="0.2">
      <c r="A477" s="1">
        <v>40653</v>
      </c>
      <c r="B477">
        <v>110</v>
      </c>
      <c r="C477">
        <f>'weather data'!E477</f>
        <v>14.822222222222214</v>
      </c>
      <c r="D477">
        <f>LAI!F477</f>
        <v>0</v>
      </c>
      <c r="E477">
        <f>0.5*C477*(1-EXP(-'user input'!$C$19*D477))</f>
        <v>0</v>
      </c>
      <c r="F477">
        <f>E477*'user input'!$C$21</f>
        <v>0</v>
      </c>
    </row>
    <row r="478" spans="1:6" x14ac:dyDescent="0.2">
      <c r="A478" s="1">
        <v>40654</v>
      </c>
      <c r="B478">
        <v>111</v>
      </c>
      <c r="C478">
        <f>'weather data'!E478</f>
        <v>16.506666666666668</v>
      </c>
      <c r="D478">
        <f>LAI!F478</f>
        <v>0</v>
      </c>
      <c r="E478">
        <f>0.5*C478*(1-EXP(-'user input'!$C$19*D478))</f>
        <v>0</v>
      </c>
      <c r="F478">
        <f>E478*'user input'!$C$21</f>
        <v>0</v>
      </c>
    </row>
    <row r="479" spans="1:6" x14ac:dyDescent="0.2">
      <c r="A479" s="1">
        <v>40655</v>
      </c>
      <c r="B479">
        <v>112</v>
      </c>
      <c r="C479">
        <f>'weather data'!E479</f>
        <v>16.88</v>
      </c>
      <c r="D479">
        <f>LAI!F479</f>
        <v>0</v>
      </c>
      <c r="E479">
        <f>0.5*C479*(1-EXP(-'user input'!$C$19*D479))</f>
        <v>0</v>
      </c>
      <c r="F479">
        <f>E479*'user input'!$C$21</f>
        <v>0</v>
      </c>
    </row>
    <row r="480" spans="1:6" x14ac:dyDescent="0.2">
      <c r="A480" s="1">
        <v>40656</v>
      </c>
      <c r="B480">
        <v>113</v>
      </c>
      <c r="C480">
        <f>'weather data'!E480</f>
        <v>17.740000000000009</v>
      </c>
      <c r="D480">
        <f>LAI!F480</f>
        <v>0</v>
      </c>
      <c r="E480">
        <f>0.5*C480*(1-EXP(-'user input'!$C$19*D480))</f>
        <v>0</v>
      </c>
      <c r="F480">
        <f>E480*'user input'!$C$21</f>
        <v>0</v>
      </c>
    </row>
    <row r="481" spans="1:6" x14ac:dyDescent="0.2">
      <c r="A481" s="1">
        <v>40657</v>
      </c>
      <c r="B481">
        <v>114</v>
      </c>
      <c r="C481">
        <f>'weather data'!E481</f>
        <v>19.917777777777768</v>
      </c>
      <c r="D481">
        <f>LAI!F481</f>
        <v>0</v>
      </c>
      <c r="E481">
        <f>0.5*C481*(1-EXP(-'user input'!$C$19*D481))</f>
        <v>0</v>
      </c>
      <c r="F481">
        <f>E481*'user input'!$C$21</f>
        <v>0</v>
      </c>
    </row>
    <row r="482" spans="1:6" x14ac:dyDescent="0.2">
      <c r="A482" s="1">
        <v>40658</v>
      </c>
      <c r="B482">
        <v>115</v>
      </c>
      <c r="C482">
        <f>'weather data'!E482</f>
        <v>19.82888888888888</v>
      </c>
      <c r="D482">
        <f>LAI!F482</f>
        <v>0</v>
      </c>
      <c r="E482">
        <f>0.5*C482*(1-EXP(-'user input'!$C$19*D482))</f>
        <v>0</v>
      </c>
      <c r="F482">
        <f>E482*'user input'!$C$21</f>
        <v>0</v>
      </c>
    </row>
    <row r="483" spans="1:6" x14ac:dyDescent="0.2">
      <c r="A483" s="1">
        <v>40659</v>
      </c>
      <c r="B483">
        <v>116</v>
      </c>
      <c r="C483">
        <f>'weather data'!E483</f>
        <v>19.919999999999998</v>
      </c>
      <c r="D483">
        <f>LAI!F483</f>
        <v>0</v>
      </c>
      <c r="E483">
        <f>0.5*C483*(1-EXP(-'user input'!$C$19*D483))</f>
        <v>0</v>
      </c>
      <c r="F483">
        <f>E483*'user input'!$C$21</f>
        <v>0</v>
      </c>
    </row>
    <row r="484" spans="1:6" x14ac:dyDescent="0.2">
      <c r="A484" s="1">
        <v>40660</v>
      </c>
      <c r="B484">
        <v>117</v>
      </c>
      <c r="C484">
        <f>'weather data'!E484</f>
        <v>18.355555555555554</v>
      </c>
      <c r="D484">
        <f>LAI!F484</f>
        <v>0</v>
      </c>
      <c r="E484">
        <f>0.5*C484*(1-EXP(-'user input'!$C$19*D484))</f>
        <v>0</v>
      </c>
      <c r="F484">
        <f>E484*'user input'!$C$21</f>
        <v>0</v>
      </c>
    </row>
    <row r="485" spans="1:6" x14ac:dyDescent="0.2">
      <c r="A485" s="1">
        <v>40661</v>
      </c>
      <c r="B485">
        <v>118</v>
      </c>
      <c r="C485">
        <f>'weather data'!E485</f>
        <v>18.562222222222225</v>
      </c>
      <c r="D485">
        <f>LAI!F485</f>
        <v>0</v>
      </c>
      <c r="E485">
        <f>0.5*C485*(1-EXP(-'user input'!$C$19*D485))</f>
        <v>0</v>
      </c>
      <c r="F485">
        <f>E485*'user input'!$C$21</f>
        <v>0</v>
      </c>
    </row>
    <row r="486" spans="1:6" x14ac:dyDescent="0.2">
      <c r="A486" s="1">
        <v>40662</v>
      </c>
      <c r="B486">
        <v>119</v>
      </c>
      <c r="C486">
        <f>'weather data'!E486</f>
        <v>18.202222222222229</v>
      </c>
      <c r="D486">
        <f>LAI!F486</f>
        <v>0</v>
      </c>
      <c r="E486">
        <f>0.5*C486*(1-EXP(-'user input'!$C$19*D486))</f>
        <v>0</v>
      </c>
      <c r="F486">
        <f>E486*'user input'!$C$21</f>
        <v>0</v>
      </c>
    </row>
    <row r="487" spans="1:6" x14ac:dyDescent="0.2">
      <c r="A487" s="1">
        <v>40663</v>
      </c>
      <c r="B487">
        <v>120</v>
      </c>
      <c r="C487">
        <f>'weather data'!E487</f>
        <v>17.571111111111119</v>
      </c>
      <c r="D487">
        <f>LAI!F487</f>
        <v>0</v>
      </c>
      <c r="E487">
        <f>0.5*C487*(1-EXP(-'user input'!$C$19*D487))</f>
        <v>0</v>
      </c>
      <c r="F487">
        <f>E487*'user input'!$C$21</f>
        <v>0</v>
      </c>
    </row>
    <row r="488" spans="1:6" x14ac:dyDescent="0.2">
      <c r="A488" s="1">
        <v>40664</v>
      </c>
      <c r="B488">
        <v>121</v>
      </c>
      <c r="C488">
        <f>'weather data'!E488</f>
        <v>19.524444444444448</v>
      </c>
      <c r="D488">
        <f>LAI!F488</f>
        <v>6.5922621530458867E-4</v>
      </c>
      <c r="E488">
        <f>0.5*C488*(1-EXP(-'user input'!$C$19*D488))</f>
        <v>4.1821872341204951E-3</v>
      </c>
      <c r="F488">
        <f>E488*'user input'!$C$21</f>
        <v>0.16310530213069932</v>
      </c>
    </row>
    <row r="489" spans="1:6" x14ac:dyDescent="0.2">
      <c r="A489" s="1">
        <v>40665</v>
      </c>
      <c r="B489">
        <v>122</v>
      </c>
      <c r="C489">
        <f>'weather data'!E489</f>
        <v>19.262222222222217</v>
      </c>
      <c r="D489">
        <f>LAI!F489</f>
        <v>7.331296256728305E-4</v>
      </c>
      <c r="E489">
        <f>0.5*C489*(1-EXP(-'user input'!$C$19*D489))</f>
        <v>4.5884610081479982E-3</v>
      </c>
      <c r="F489">
        <f>E489*'user input'!$C$21</f>
        <v>0.17894997931777193</v>
      </c>
    </row>
    <row r="490" spans="1:6" x14ac:dyDescent="0.2">
      <c r="A490" s="1">
        <v>40666</v>
      </c>
      <c r="B490">
        <v>123</v>
      </c>
      <c r="C490">
        <f>'weather data'!E490</f>
        <v>21.293333333333326</v>
      </c>
      <c r="D490">
        <f>LAI!F490</f>
        <v>8.0792265836393258E-4</v>
      </c>
      <c r="E490">
        <f>0.5*C490*(1-EXP(-'user input'!$C$19*D490))</f>
        <v>5.5896262796117056E-3</v>
      </c>
      <c r="F490">
        <f>E490*'user input'!$C$21</f>
        <v>0.21799542490485652</v>
      </c>
    </row>
    <row r="491" spans="1:6" x14ac:dyDescent="0.2">
      <c r="A491" s="1">
        <v>40667</v>
      </c>
      <c r="B491">
        <v>124</v>
      </c>
      <c r="C491">
        <f>'weather data'!E491</f>
        <v>20.195555555555561</v>
      </c>
      <c r="D491">
        <f>LAI!F491</f>
        <v>8.0792265836393258E-4</v>
      </c>
      <c r="E491">
        <f>0.5*C491*(1-EXP(-'user input'!$C$19*D491))</f>
        <v>5.3014531025997926E-3</v>
      </c>
      <c r="F491">
        <f>E491*'user input'!$C$21</f>
        <v>0.20675667100139192</v>
      </c>
    </row>
    <row r="492" spans="1:6" x14ac:dyDescent="0.2">
      <c r="A492" s="1">
        <v>40668</v>
      </c>
      <c r="B492">
        <v>125</v>
      </c>
      <c r="C492">
        <f>'weather data'!E492</f>
        <v>19.100000000000005</v>
      </c>
      <c r="D492">
        <f>LAI!F492</f>
        <v>1.275821986974888E-3</v>
      </c>
      <c r="E492">
        <f>0.5*C492*(1-EXP(-'user input'!$C$19*D492))</f>
        <v>7.9163820648179856E-3</v>
      </c>
      <c r="F492">
        <f>E492*'user input'!$C$21</f>
        <v>0.30873890052790143</v>
      </c>
    </row>
    <row r="493" spans="1:6" x14ac:dyDescent="0.2">
      <c r="A493" s="1">
        <v>40669</v>
      </c>
      <c r="B493">
        <v>126</v>
      </c>
      <c r="C493">
        <f>'weather data'!E493</f>
        <v>20.082222222222224</v>
      </c>
      <c r="D493">
        <f>LAI!F493</f>
        <v>1.6066001947828311E-3</v>
      </c>
      <c r="E493">
        <f>0.5*C493*(1-EXP(-'user input'!$C$19*D493))</f>
        <v>1.0480359972854748E-2</v>
      </c>
      <c r="F493">
        <f>E493*'user input'!$C$21</f>
        <v>0.4087340389413352</v>
      </c>
    </row>
    <row r="494" spans="1:6" x14ac:dyDescent="0.2">
      <c r="A494" s="1">
        <v>40670</v>
      </c>
      <c r="B494">
        <v>127</v>
      </c>
      <c r="C494">
        <f>'weather data'!E494</f>
        <v>17.606666666666673</v>
      </c>
      <c r="D494">
        <f>LAI!F494</f>
        <v>2.409210205927638E-3</v>
      </c>
      <c r="E494">
        <f>0.5*C494*(1-EXP(-'user input'!$C$19*D494))</f>
        <v>1.3775113696313072E-2</v>
      </c>
      <c r="F494">
        <f>E494*'user input'!$C$21</f>
        <v>0.53722943415620983</v>
      </c>
    </row>
    <row r="495" spans="1:6" x14ac:dyDescent="0.2">
      <c r="A495" s="1">
        <v>40671</v>
      </c>
      <c r="B495">
        <v>128</v>
      </c>
      <c r="C495">
        <f>'weather data'!E495</f>
        <v>18.580000000000002</v>
      </c>
      <c r="D495">
        <f>LAI!F495</f>
        <v>3.1948627282375307E-3</v>
      </c>
      <c r="E495">
        <f>0.5*C495*(1-EXP(-'user input'!$C$19*D495))</f>
        <v>1.9272160788334661E-2</v>
      </c>
      <c r="F495">
        <f>E495*'user input'!$C$21</f>
        <v>0.75161427074505183</v>
      </c>
    </row>
    <row r="496" spans="1:6" x14ac:dyDescent="0.2">
      <c r="A496" s="1">
        <v>40672</v>
      </c>
      <c r="B496">
        <v>129</v>
      </c>
      <c r="C496">
        <f>'weather data'!E496</f>
        <v>20.891111111111112</v>
      </c>
      <c r="D496">
        <f>LAI!F496</f>
        <v>4.3379106297771189E-3</v>
      </c>
      <c r="E496">
        <f>0.5*C496*(1-EXP(-'user input'!$C$19*D496))</f>
        <v>2.9411242139591832E-2</v>
      </c>
      <c r="F496">
        <f>E496*'user input'!$C$21</f>
        <v>1.1470384434440815</v>
      </c>
    </row>
    <row r="497" spans="1:6" x14ac:dyDescent="0.2">
      <c r="A497" s="1">
        <v>40673</v>
      </c>
      <c r="B497">
        <v>130</v>
      </c>
      <c r="C497">
        <f>'weather data'!E497</f>
        <v>21.2911111111111</v>
      </c>
      <c r="D497">
        <f>LAI!F497</f>
        <v>5.4272063213688538E-3</v>
      </c>
      <c r="E497">
        <f>0.5*C497*(1-EXP(-'user input'!$C$19*D497))</f>
        <v>3.7487995384063222E-2</v>
      </c>
      <c r="F497">
        <f>E497*'user input'!$C$21</f>
        <v>1.4620318199784657</v>
      </c>
    </row>
    <row r="498" spans="1:6" x14ac:dyDescent="0.2">
      <c r="A498" s="1">
        <v>40674</v>
      </c>
      <c r="B498">
        <v>131</v>
      </c>
      <c r="C498">
        <f>'weather data'!E498</f>
        <v>17.644444444444446</v>
      </c>
      <c r="D498">
        <f>LAI!F498</f>
        <v>8.4112376685634063E-3</v>
      </c>
      <c r="E498">
        <f>0.5*C498*(1-EXP(-'user input'!$C$19*D498))</f>
        <v>4.8102160719793445E-2</v>
      </c>
      <c r="F498">
        <f>E498*'user input'!$C$21</f>
        <v>1.8759842680719443</v>
      </c>
    </row>
    <row r="499" spans="1:6" x14ac:dyDescent="0.2">
      <c r="A499" s="1">
        <v>40675</v>
      </c>
      <c r="B499">
        <v>132</v>
      </c>
      <c r="C499">
        <f>'weather data'!E499</f>
        <v>19.975555555555552</v>
      </c>
      <c r="D499">
        <f>LAI!F499</f>
        <v>1.1821001014406432E-2</v>
      </c>
      <c r="E499">
        <f>0.5*C499*(1-EXP(-'user input'!$C$19*D499))</f>
        <v>7.6448517340769767E-2</v>
      </c>
      <c r="F499">
        <f>E499*'user input'!$C$21</f>
        <v>2.9814921762900211</v>
      </c>
    </row>
    <row r="500" spans="1:6" x14ac:dyDescent="0.2">
      <c r="A500" s="1">
        <v>40676</v>
      </c>
      <c r="B500">
        <v>133</v>
      </c>
      <c r="C500">
        <f>'weather data'!E500</f>
        <v>19.571111111111115</v>
      </c>
      <c r="D500">
        <f>LAI!F500</f>
        <v>1.6192020656639858E-2</v>
      </c>
      <c r="E500">
        <f>0.5*C500*(1-EXP(-'user input'!$C$19*D500))</f>
        <v>0.1024510616240548</v>
      </c>
      <c r="F500">
        <f>E500*'user input'!$C$21</f>
        <v>3.9955914033381372</v>
      </c>
    </row>
    <row r="501" spans="1:6" x14ac:dyDescent="0.2">
      <c r="A501" s="1">
        <v>40677</v>
      </c>
      <c r="B501">
        <v>134</v>
      </c>
      <c r="C501">
        <f>'weather data'!E501</f>
        <v>18.477777777777774</v>
      </c>
      <c r="D501">
        <f>LAI!F501</f>
        <v>1.7768948491317871E-2</v>
      </c>
      <c r="E501">
        <f>0.5*C501*(1-EXP(-'user input'!$C$19*D501))</f>
        <v>0.10609361124817251</v>
      </c>
      <c r="F501">
        <f>E501*'user input'!$C$21</f>
        <v>4.1376508386787281</v>
      </c>
    </row>
    <row r="502" spans="1:6" x14ac:dyDescent="0.2">
      <c r="A502" s="1">
        <v>40678</v>
      </c>
      <c r="B502">
        <v>135</v>
      </c>
      <c r="C502">
        <f>'weather data'!E502</f>
        <v>19.902222222222221</v>
      </c>
      <c r="D502">
        <f>LAI!F502</f>
        <v>1.9446482989918766E-2</v>
      </c>
      <c r="E502">
        <f>0.5*C502*(1-EXP(-'user input'!$C$19*D502))</f>
        <v>0.12499254295800979</v>
      </c>
      <c r="F502">
        <f>E502*'user input'!$C$21</f>
        <v>4.8747091753623817</v>
      </c>
    </row>
    <row r="503" spans="1:6" x14ac:dyDescent="0.2">
      <c r="A503" s="1">
        <v>40679</v>
      </c>
      <c r="B503">
        <v>136</v>
      </c>
      <c r="C503">
        <f>'weather data'!E503</f>
        <v>20.839999999999996</v>
      </c>
      <c r="D503">
        <f>LAI!F503</f>
        <v>2.1230022381947555E-2</v>
      </c>
      <c r="E503">
        <f>0.5*C503*(1-EXP(-'user input'!$C$19*D503))</f>
        <v>0.14280336690058981</v>
      </c>
      <c r="F503">
        <f>E503*'user input'!$C$21</f>
        <v>5.5693313091230028</v>
      </c>
    </row>
    <row r="504" spans="1:6" x14ac:dyDescent="0.2">
      <c r="A504" s="1">
        <v>40680</v>
      </c>
      <c r="B504">
        <v>137</v>
      </c>
      <c r="C504">
        <f>'weather data'!E504</f>
        <v>20.335555555555548</v>
      </c>
      <c r="D504">
        <f>LAI!F504</f>
        <v>2.297533406574823E-2</v>
      </c>
      <c r="E504">
        <f>0.5*C504*(1-EXP(-'user input'!$C$19*D504))</f>
        <v>0.15071705635577987</v>
      </c>
      <c r="F504">
        <f>E504*'user input'!$C$21</f>
        <v>5.8779651978754144</v>
      </c>
    </row>
    <row r="505" spans="1:6" x14ac:dyDescent="0.2">
      <c r="A505" s="1">
        <v>40681</v>
      </c>
      <c r="B505">
        <v>138</v>
      </c>
      <c r="C505">
        <f>'weather data'!E505</f>
        <v>19.555555555555557</v>
      </c>
      <c r="D505">
        <f>LAI!F505</f>
        <v>2.5297839721971235E-2</v>
      </c>
      <c r="E505">
        <f>0.5*C505*(1-EXP(-'user input'!$C$19*D505))</f>
        <v>0.15946712610315278</v>
      </c>
      <c r="F505">
        <f>E505*'user input'!$C$21</f>
        <v>6.2192179180229585</v>
      </c>
    </row>
    <row r="506" spans="1:6" x14ac:dyDescent="0.2">
      <c r="A506" s="1">
        <v>40682</v>
      </c>
      <c r="B506">
        <v>139</v>
      </c>
      <c r="C506">
        <f>'weather data'!E506</f>
        <v>21.506666666666671</v>
      </c>
      <c r="D506">
        <f>LAI!F506</f>
        <v>2.6603514367740583E-2</v>
      </c>
      <c r="E506">
        <f>0.5*C506*(1-EXP(-'user input'!$C$19*D506))</f>
        <v>0.18435117735507298</v>
      </c>
      <c r="F506">
        <f>E506*'user input'!$C$21</f>
        <v>7.189695916847846</v>
      </c>
    </row>
    <row r="507" spans="1:6" x14ac:dyDescent="0.2">
      <c r="A507" s="1">
        <v>40683</v>
      </c>
      <c r="B507">
        <v>140</v>
      </c>
      <c r="C507">
        <f>'weather data'!E507</f>
        <v>22.404444444444444</v>
      </c>
      <c r="D507">
        <f>LAI!F507</f>
        <v>3.0449013562094961E-2</v>
      </c>
      <c r="E507">
        <f>0.5*C507*(1-EXP(-'user input'!$C$19*D507))</f>
        <v>0.21953314988217373</v>
      </c>
      <c r="F507">
        <f>E507*'user input'!$C$21</f>
        <v>8.561792845404776</v>
      </c>
    </row>
    <row r="508" spans="1:6" x14ac:dyDescent="0.2">
      <c r="A508" s="1">
        <v>40684</v>
      </c>
      <c r="B508">
        <v>141</v>
      </c>
      <c r="C508">
        <f>'weather data'!E508</f>
        <v>22.526666666666674</v>
      </c>
      <c r="D508">
        <f>LAI!F508</f>
        <v>3.6344168372684532E-2</v>
      </c>
      <c r="E508">
        <f>0.5*C508*(1-EXP(-'user input'!$C$19*D508))</f>
        <v>0.2629633991207509</v>
      </c>
      <c r="F508">
        <f>E508*'user input'!$C$21</f>
        <v>10.255572565709285</v>
      </c>
    </row>
    <row r="509" spans="1:6" x14ac:dyDescent="0.2">
      <c r="A509" s="1">
        <v>40685</v>
      </c>
      <c r="B509">
        <v>142</v>
      </c>
      <c r="C509">
        <f>'weather data'!E509</f>
        <v>20.664444444444445</v>
      </c>
      <c r="D509">
        <f>LAI!F509</f>
        <v>4.4283218243527801E-2</v>
      </c>
      <c r="E509">
        <f>0.5*C509*(1-EXP(-'user input'!$C$19*D509))</f>
        <v>0.29316416063241946</v>
      </c>
      <c r="F509">
        <f>E509*'user input'!$C$21</f>
        <v>11.433402264664359</v>
      </c>
    </row>
    <row r="510" spans="1:6" x14ac:dyDescent="0.2">
      <c r="A510" s="1">
        <v>40686</v>
      </c>
      <c r="B510">
        <v>143</v>
      </c>
      <c r="C510">
        <f>'weather data'!E510</f>
        <v>19.966666666666665</v>
      </c>
      <c r="D510">
        <f>LAI!F510</f>
        <v>5.5243018163741386E-2</v>
      </c>
      <c r="E510">
        <f>0.5*C510*(1-EXP(-'user input'!$C$19*D510))</f>
        <v>0.35212133816480201</v>
      </c>
      <c r="F510">
        <f>E510*'user input'!$C$21</f>
        <v>13.732732188427278</v>
      </c>
    </row>
    <row r="511" spans="1:6" x14ac:dyDescent="0.2">
      <c r="A511" s="1">
        <v>40687</v>
      </c>
      <c r="B511">
        <v>144</v>
      </c>
      <c r="C511">
        <f>'weather data'!E511</f>
        <v>21.091111111111118</v>
      </c>
      <c r="D511">
        <f>LAI!F511</f>
        <v>6.2919520060255599E-2</v>
      </c>
      <c r="E511">
        <f>0.5*C511*(1-EXP(-'user input'!$C$19*D511))</f>
        <v>0.42258849422146172</v>
      </c>
      <c r="F511">
        <f>E511*'user input'!$C$21</f>
        <v>16.480951274637007</v>
      </c>
    </row>
    <row r="512" spans="1:6" x14ac:dyDescent="0.2">
      <c r="A512" s="1">
        <v>40688</v>
      </c>
      <c r="B512">
        <v>145</v>
      </c>
      <c r="C512">
        <f>'weather data'!E512</f>
        <v>21.435555555555553</v>
      </c>
      <c r="D512">
        <f>LAI!F512</f>
        <v>6.8267880590468261E-2</v>
      </c>
      <c r="E512">
        <f>0.5*C512*(1-EXP(-'user input'!$C$19*D512))</f>
        <v>0.46519435657037367</v>
      </c>
      <c r="F512">
        <f>E512*'user input'!$C$21</f>
        <v>18.142579906244574</v>
      </c>
    </row>
    <row r="513" spans="1:6" x14ac:dyDescent="0.2">
      <c r="A513" s="1">
        <v>40689</v>
      </c>
      <c r="B513">
        <v>146</v>
      </c>
      <c r="C513">
        <f>'weather data'!E513</f>
        <v>22.319999999999986</v>
      </c>
      <c r="D513">
        <f>LAI!F513</f>
        <v>6.861400335188983E-2</v>
      </c>
      <c r="E513">
        <f>0.5*C513*(1-EXP(-'user input'!$C$19*D513))</f>
        <v>0.48679009372474846</v>
      </c>
      <c r="F513">
        <f>E513*'user input'!$C$21</f>
        <v>18.984813655265189</v>
      </c>
    </row>
    <row r="514" spans="1:6" x14ac:dyDescent="0.2">
      <c r="A514" s="1">
        <v>40690</v>
      </c>
      <c r="B514">
        <v>147</v>
      </c>
      <c r="C514">
        <f>'weather data'!E514</f>
        <v>21.086666666666666</v>
      </c>
      <c r="D514">
        <f>LAI!F514</f>
        <v>7.324496597761293E-2</v>
      </c>
      <c r="E514">
        <f>0.5*C514*(1-EXP(-'user input'!$C$19*D514))</f>
        <v>0.49019838758340312</v>
      </c>
      <c r="F514">
        <f>E514*'user input'!$C$21</f>
        <v>19.117737115752721</v>
      </c>
    </row>
    <row r="515" spans="1:6" x14ac:dyDescent="0.2">
      <c r="A515" s="1">
        <v>40691</v>
      </c>
      <c r="B515">
        <v>148</v>
      </c>
      <c r="C515">
        <f>'weather data'!E515</f>
        <v>19.986666666666665</v>
      </c>
      <c r="D515">
        <f>LAI!F515</f>
        <v>7.8513972997143452E-2</v>
      </c>
      <c r="E515">
        <f>0.5*C515*(1-EXP(-'user input'!$C$19*D515))</f>
        <v>0.49720547594668402</v>
      </c>
      <c r="F515">
        <f>E515*'user input'!$C$21</f>
        <v>19.391013561920676</v>
      </c>
    </row>
    <row r="516" spans="1:6" x14ac:dyDescent="0.2">
      <c r="A516" s="1">
        <v>40692</v>
      </c>
      <c r="B516">
        <v>149</v>
      </c>
      <c r="C516">
        <f>'weather data'!E516</f>
        <v>20.988888888888894</v>
      </c>
      <c r="D516">
        <f>LAI!F516</f>
        <v>8.6576053873253331E-2</v>
      </c>
      <c r="E516">
        <f>0.5*C516*(1-EXP(-'user input'!$C$19*D516))</f>
        <v>0.57425933257205053</v>
      </c>
      <c r="F516">
        <f>E516*'user input'!$C$21</f>
        <v>22.396113970309969</v>
      </c>
    </row>
    <row r="517" spans="1:6" x14ac:dyDescent="0.2">
      <c r="A517" s="1">
        <v>40693</v>
      </c>
      <c r="B517">
        <v>150</v>
      </c>
      <c r="C517">
        <f>'weather data'!E517</f>
        <v>21.175555555555562</v>
      </c>
      <c r="D517">
        <f>LAI!F517</f>
        <v>9.7137237758134584E-2</v>
      </c>
      <c r="E517">
        <f>0.5*C517*(1-EXP(-'user input'!$C$19*D517))</f>
        <v>0.64783671372574003</v>
      </c>
      <c r="F517">
        <f>E517*'user input'!$C$21</f>
        <v>25.265631835303861</v>
      </c>
    </row>
    <row r="518" spans="1:6" x14ac:dyDescent="0.2">
      <c r="A518" s="1">
        <v>40694</v>
      </c>
      <c r="B518">
        <v>151</v>
      </c>
      <c r="C518">
        <f>'weather data'!E518</f>
        <v>21.524444444444448</v>
      </c>
      <c r="D518">
        <f>LAI!F518</f>
        <v>0.11981470801876866</v>
      </c>
      <c r="E518">
        <f>0.5*C518*(1-EXP(-'user input'!$C$19*D518))</f>
        <v>0.80635050523910567</v>
      </c>
      <c r="F518">
        <f>E518*'user input'!$C$21</f>
        <v>31.447669704325122</v>
      </c>
    </row>
    <row r="519" spans="1:6" x14ac:dyDescent="0.2">
      <c r="A519" s="1">
        <v>40695</v>
      </c>
      <c r="B519">
        <v>152</v>
      </c>
      <c r="C519">
        <f>'weather data'!E519</f>
        <v>22.935555555555549</v>
      </c>
      <c r="D519">
        <f>LAI!F519</f>
        <v>0.14034709394851752</v>
      </c>
      <c r="E519">
        <f>0.5*C519*(1-EXP(-'user input'!$C$19*D519))</f>
        <v>0.99985550754795527</v>
      </c>
      <c r="F519">
        <f>E519*'user input'!$C$21</f>
        <v>38.994364794370256</v>
      </c>
    </row>
    <row r="520" spans="1:6" x14ac:dyDescent="0.2">
      <c r="A520" s="1">
        <v>40696</v>
      </c>
      <c r="B520">
        <v>153</v>
      </c>
      <c r="C520">
        <f>'weather data'!E520</f>
        <v>22.097777777777782</v>
      </c>
      <c r="D520">
        <f>LAI!F520</f>
        <v>0.16019817134264966</v>
      </c>
      <c r="E520">
        <f>0.5*C520*(1-EXP(-'user input'!$C$19*D520))</f>
        <v>1.0926332753813897</v>
      </c>
      <c r="F520">
        <f>E520*'user input'!$C$21</f>
        <v>42.6126977398742</v>
      </c>
    </row>
    <row r="521" spans="1:6" x14ac:dyDescent="0.2">
      <c r="A521" s="1">
        <v>40697</v>
      </c>
      <c r="B521">
        <v>154</v>
      </c>
      <c r="C521">
        <f>'weather data'!E521</f>
        <v>23.393333333333331</v>
      </c>
      <c r="D521">
        <f>LAI!F521</f>
        <v>0.1807764464360295</v>
      </c>
      <c r="E521">
        <f>0.5*C521*(1-EXP(-'user input'!$C$19*D521))</f>
        <v>1.2967352586392842</v>
      </c>
      <c r="F521">
        <f>E521*'user input'!$C$21</f>
        <v>50.57267508693208</v>
      </c>
    </row>
    <row r="522" spans="1:6" x14ac:dyDescent="0.2">
      <c r="A522" s="1">
        <v>40698</v>
      </c>
      <c r="B522">
        <v>155</v>
      </c>
      <c r="C522">
        <f>'weather data'!E522</f>
        <v>22.279999999999998</v>
      </c>
      <c r="D522">
        <f>LAI!F522</f>
        <v>0.22665230882738885</v>
      </c>
      <c r="E522">
        <f>0.5*C522*(1-EXP(-'user input'!$C$19*D522))</f>
        <v>1.5260205326981835</v>
      </c>
      <c r="F522">
        <f>E522*'user input'!$C$21</f>
        <v>59.514800775229155</v>
      </c>
    </row>
    <row r="523" spans="1:6" x14ac:dyDescent="0.2">
      <c r="A523" s="1">
        <v>40699</v>
      </c>
      <c r="B523">
        <v>156</v>
      </c>
      <c r="C523">
        <f>'weather data'!E523</f>
        <v>21.313333333333325</v>
      </c>
      <c r="D523">
        <f>LAI!F523</f>
        <v>0.26751697382416395</v>
      </c>
      <c r="E523">
        <f>0.5*C523*(1-EXP(-'user input'!$C$19*D523))</f>
        <v>1.7008821214201775</v>
      </c>
      <c r="F523">
        <f>E523*'user input'!$C$21</f>
        <v>66.334402735386917</v>
      </c>
    </row>
    <row r="524" spans="1:6" x14ac:dyDescent="0.2">
      <c r="A524" s="1">
        <v>40700</v>
      </c>
      <c r="B524">
        <v>157</v>
      </c>
      <c r="C524">
        <f>'weather data'!E524</f>
        <v>22.002222222222226</v>
      </c>
      <c r="D524">
        <f>LAI!F524</f>
        <v>0.3214819385731511</v>
      </c>
      <c r="E524">
        <f>0.5*C524*(1-EXP(-'user input'!$C$19*D524))</f>
        <v>2.0745340130013545</v>
      </c>
      <c r="F524">
        <f>E524*'user input'!$C$21</f>
        <v>80.906826507052827</v>
      </c>
    </row>
    <row r="525" spans="1:6" x14ac:dyDescent="0.2">
      <c r="A525" s="1">
        <v>40701</v>
      </c>
      <c r="B525">
        <v>158</v>
      </c>
      <c r="C525">
        <f>'weather data'!E525</f>
        <v>22.086666666666659</v>
      </c>
      <c r="D525">
        <f>LAI!F525</f>
        <v>0.38515084073457539</v>
      </c>
      <c r="E525">
        <f>0.5*C525*(1-EXP(-'user input'!$C$19*D525))</f>
        <v>2.4457695582007455</v>
      </c>
      <c r="F525">
        <f>E525*'user input'!$C$21</f>
        <v>95.385012769829075</v>
      </c>
    </row>
    <row r="526" spans="1:6" x14ac:dyDescent="0.2">
      <c r="A526" s="1">
        <v>40702</v>
      </c>
      <c r="B526">
        <v>159</v>
      </c>
      <c r="C526">
        <f>'weather data'!E526</f>
        <v>23.813333333333325</v>
      </c>
      <c r="D526">
        <f>LAI!F526</f>
        <v>0.47619550765453172</v>
      </c>
      <c r="E526">
        <f>0.5*C526*(1-EXP(-'user input'!$C$19*D526))</f>
        <v>3.1696272972297281</v>
      </c>
      <c r="F526">
        <f>E526*'user input'!$C$21</f>
        <v>123.61546459195939</v>
      </c>
    </row>
    <row r="527" spans="1:6" x14ac:dyDescent="0.2">
      <c r="A527" s="1">
        <v>40703</v>
      </c>
      <c r="B527">
        <v>160</v>
      </c>
      <c r="C527">
        <f>'weather data'!E527</f>
        <v>21.76222222222221</v>
      </c>
      <c r="D527">
        <f>LAI!F527</f>
        <v>0.55933561931269082</v>
      </c>
      <c r="E527">
        <f>0.5*C527*(1-EXP(-'user input'!$C$19*D527))</f>
        <v>3.3166568259660463</v>
      </c>
      <c r="F527">
        <f>E527*'user input'!$C$21</f>
        <v>129.34961621267581</v>
      </c>
    </row>
    <row r="528" spans="1:6" x14ac:dyDescent="0.2">
      <c r="A528" s="1">
        <v>40704</v>
      </c>
      <c r="B528">
        <v>161</v>
      </c>
      <c r="C528">
        <f>'weather data'!E528</f>
        <v>23.468888888888888</v>
      </c>
      <c r="D528">
        <f>LAI!F528</f>
        <v>0.58210134707284622</v>
      </c>
      <c r="E528">
        <f>0.5*C528*(1-EXP(-'user input'!$C$19*D528))</f>
        <v>3.6965865968426925</v>
      </c>
      <c r="F528">
        <f>E528*'user input'!$C$21</f>
        <v>144.16687727686502</v>
      </c>
    </row>
    <row r="529" spans="1:6" x14ac:dyDescent="0.2">
      <c r="A529" s="1">
        <v>40705</v>
      </c>
      <c r="B529">
        <v>162</v>
      </c>
      <c r="C529">
        <f>'weather data'!E529</f>
        <v>20.566666666666666</v>
      </c>
      <c r="D529">
        <f>LAI!F529</f>
        <v>0.60549401689964633</v>
      </c>
      <c r="E529">
        <f>0.5*C529*(1-EXP(-'user input'!$C$19*D529))</f>
        <v>3.3457509734393356</v>
      </c>
      <c r="F529">
        <f>E529*'user input'!$C$21</f>
        <v>130.4842879641341</v>
      </c>
    </row>
    <row r="530" spans="1:6" x14ac:dyDescent="0.2">
      <c r="A530" s="1">
        <v>40706</v>
      </c>
      <c r="B530">
        <v>163</v>
      </c>
      <c r="C530">
        <f>'weather data'!E530</f>
        <v>21.984444444444435</v>
      </c>
      <c r="D530">
        <f>LAI!F530</f>
        <v>0.63357543809245975</v>
      </c>
      <c r="E530">
        <f>0.5*C530*(1-EXP(-'user input'!$C$19*D530))</f>
        <v>3.7105253838815555</v>
      </c>
      <c r="F530">
        <f>E530*'user input'!$C$21</f>
        <v>144.71048997138067</v>
      </c>
    </row>
    <row r="531" spans="1:6" x14ac:dyDescent="0.2">
      <c r="A531" s="1">
        <v>40707</v>
      </c>
      <c r="B531">
        <v>164</v>
      </c>
      <c r="C531">
        <f>'weather data'!E531</f>
        <v>23.388888888888882</v>
      </c>
      <c r="D531">
        <f>LAI!F531</f>
        <v>0.6815413890942702</v>
      </c>
      <c r="E531">
        <f>0.5*C531*(1-EXP(-'user input'!$C$19*D531))</f>
        <v>4.1853716728916801</v>
      </c>
      <c r="F531">
        <f>E531*'user input'!$C$21</f>
        <v>163.22949524277553</v>
      </c>
    </row>
    <row r="532" spans="1:6" x14ac:dyDescent="0.2">
      <c r="A532" s="1">
        <v>40708</v>
      </c>
      <c r="B532">
        <v>165</v>
      </c>
      <c r="C532">
        <f>'weather data'!E532</f>
        <v>21.657777777777785</v>
      </c>
      <c r="D532">
        <f>LAI!F532</f>
        <v>0.73621865683226562</v>
      </c>
      <c r="E532">
        <f>0.5*C532*(1-EXP(-'user input'!$C$19*D532))</f>
        <v>4.1183763450573228</v>
      </c>
      <c r="F532">
        <f>E532*'user input'!$C$21</f>
        <v>160.6166774572356</v>
      </c>
    </row>
    <row r="533" spans="1:6" x14ac:dyDescent="0.2">
      <c r="A533" s="1">
        <v>40709</v>
      </c>
      <c r="B533">
        <v>166</v>
      </c>
      <c r="C533">
        <f>'weather data'!E533</f>
        <v>20.875555555555547</v>
      </c>
      <c r="D533">
        <f>LAI!F533</f>
        <v>0.80521140046156381</v>
      </c>
      <c r="E533">
        <f>0.5*C533*(1-EXP(-'user input'!$C$19*D533))</f>
        <v>4.2532893357954338</v>
      </c>
      <c r="F533">
        <f>E533*'user input'!$C$21</f>
        <v>165.87828409602193</v>
      </c>
    </row>
    <row r="534" spans="1:6" x14ac:dyDescent="0.2">
      <c r="A534" s="1">
        <v>40710</v>
      </c>
      <c r="B534">
        <v>167</v>
      </c>
      <c r="C534">
        <f>'weather data'!E534</f>
        <v>21.88</v>
      </c>
      <c r="D534">
        <f>LAI!F534</f>
        <v>0.84830123361587573</v>
      </c>
      <c r="E534">
        <f>0.5*C534*(1-EXP(-'user input'!$C$19*D534))</f>
        <v>4.6369729940292865</v>
      </c>
      <c r="F534">
        <f>E534*'user input'!$C$21</f>
        <v>180.84194676714216</v>
      </c>
    </row>
    <row r="535" spans="1:6" x14ac:dyDescent="0.2">
      <c r="A535" s="1">
        <v>40711</v>
      </c>
      <c r="B535">
        <v>168</v>
      </c>
      <c r="C535">
        <f>'weather data'!E535</f>
        <v>23.36666666666666</v>
      </c>
      <c r="D535">
        <f>LAI!F535</f>
        <v>0.94315289457416707</v>
      </c>
      <c r="E535">
        <f>0.5*C535*(1-EXP(-'user input'!$C$19*D535))</f>
        <v>5.3545124570291547</v>
      </c>
      <c r="F535">
        <f>E535*'user input'!$C$21</f>
        <v>208.82598582413704</v>
      </c>
    </row>
    <row r="536" spans="1:6" x14ac:dyDescent="0.2">
      <c r="A536" s="1">
        <v>40712</v>
      </c>
      <c r="B536">
        <v>169</v>
      </c>
      <c r="C536">
        <f>'weather data'!E536</f>
        <v>21.613333333333337</v>
      </c>
      <c r="D536">
        <f>LAI!F536</f>
        <v>1.0615332057328255</v>
      </c>
      <c r="E536">
        <f>0.5*C536*(1-EXP(-'user input'!$C$19*D536))</f>
        <v>5.3862827628096825</v>
      </c>
      <c r="F536">
        <f>E536*'user input'!$C$21</f>
        <v>210.06502774957761</v>
      </c>
    </row>
    <row r="537" spans="1:6" x14ac:dyDescent="0.2">
      <c r="A537" s="1">
        <v>40713</v>
      </c>
      <c r="B537">
        <v>170</v>
      </c>
      <c r="C537">
        <f>'weather data'!E537</f>
        <v>23.11333333333333</v>
      </c>
      <c r="D537">
        <f>LAI!F537</f>
        <v>1.1796102020807289</v>
      </c>
      <c r="E537">
        <f>0.5*C537*(1-EXP(-'user input'!$C$19*D537))</f>
        <v>6.1883422149044272</v>
      </c>
      <c r="F537">
        <f>E537*'user input'!$C$21</f>
        <v>241.34534638127266</v>
      </c>
    </row>
    <row r="538" spans="1:6" x14ac:dyDescent="0.2">
      <c r="A538" s="1">
        <v>40714</v>
      </c>
      <c r="B538">
        <v>171</v>
      </c>
      <c r="C538">
        <f>'weather data'!E538</f>
        <v>23.373333333333328</v>
      </c>
      <c r="D538">
        <f>LAI!F538</f>
        <v>1.2982635079170244</v>
      </c>
      <c r="E538">
        <f>0.5*C538*(1-EXP(-'user input'!$C$19*D538))</f>
        <v>6.6609035286370961</v>
      </c>
      <c r="F538">
        <f>E538*'user input'!$C$21</f>
        <v>259.77523761684677</v>
      </c>
    </row>
    <row r="539" spans="1:6" x14ac:dyDescent="0.2">
      <c r="A539" s="1">
        <v>40715</v>
      </c>
      <c r="B539">
        <v>172</v>
      </c>
      <c r="C539">
        <f>'weather data'!E539</f>
        <v>22.980000000000004</v>
      </c>
      <c r="D539">
        <f>LAI!F539</f>
        <v>1.4014737069519858</v>
      </c>
      <c r="E539">
        <f>0.5*C539*(1-EXP(-'user input'!$C$19*D539))</f>
        <v>6.8694248793192196</v>
      </c>
      <c r="F539">
        <f>E539*'user input'!$C$21</f>
        <v>267.90757029344957</v>
      </c>
    </row>
    <row r="540" spans="1:6" x14ac:dyDescent="0.2">
      <c r="A540" s="1">
        <v>40716</v>
      </c>
      <c r="B540">
        <v>173</v>
      </c>
      <c r="C540">
        <f>'weather data'!E540</f>
        <v>22.42444444444444</v>
      </c>
      <c r="D540">
        <f>LAI!F540</f>
        <v>1.5509734512854183</v>
      </c>
      <c r="E540">
        <f>0.5*C540*(1-EXP(-'user input'!$C$19*D540))</f>
        <v>7.1208856382991215</v>
      </c>
      <c r="F540">
        <f>E540*'user input'!$C$21</f>
        <v>277.71453989366574</v>
      </c>
    </row>
    <row r="541" spans="1:6" x14ac:dyDescent="0.2">
      <c r="A541" s="1">
        <v>40717</v>
      </c>
      <c r="B541">
        <v>174</v>
      </c>
      <c r="C541">
        <f>'weather data'!E541</f>
        <v>22.90444444444444</v>
      </c>
      <c r="D541">
        <f>LAI!F541</f>
        <v>1.6562170106204233</v>
      </c>
      <c r="E541">
        <f>0.5*C541*(1-EXP(-'user input'!$C$19*D541))</f>
        <v>7.5496232480968093</v>
      </c>
      <c r="F541">
        <f>E541*'user input'!$C$21</f>
        <v>294.43530667577556</v>
      </c>
    </row>
    <row r="542" spans="1:6" x14ac:dyDescent="0.2">
      <c r="A542" s="1">
        <v>40718</v>
      </c>
      <c r="B542">
        <v>175</v>
      </c>
      <c r="C542">
        <f>'weather data'!E542</f>
        <v>23.068888888888885</v>
      </c>
      <c r="D542">
        <f>LAI!F542</f>
        <v>1.7122910586214437</v>
      </c>
      <c r="E542">
        <f>0.5*C542*(1-EXP(-'user input'!$C$19*D542))</f>
        <v>7.7445106905236667</v>
      </c>
      <c r="F542">
        <f>E542*'user input'!$C$21</f>
        <v>302.03591693042301</v>
      </c>
    </row>
    <row r="543" spans="1:6" x14ac:dyDescent="0.2">
      <c r="A543" s="1">
        <v>40719</v>
      </c>
      <c r="B543">
        <v>176</v>
      </c>
      <c r="C543">
        <f>'weather data'!E543</f>
        <v>23.437777777777779</v>
      </c>
      <c r="D543">
        <f>LAI!F543</f>
        <v>1.784029858338944</v>
      </c>
      <c r="E543">
        <f>0.5*C543*(1-EXP(-'user input'!$C$19*D543))</f>
        <v>8.0437807159974746</v>
      </c>
      <c r="F543">
        <f>E543*'user input'!$C$21</f>
        <v>313.7074479239015</v>
      </c>
    </row>
    <row r="544" spans="1:6" x14ac:dyDescent="0.2">
      <c r="A544" s="1">
        <v>40720</v>
      </c>
      <c r="B544">
        <v>177</v>
      </c>
      <c r="C544">
        <f>'weather data'!E544</f>
        <v>24.166666666666679</v>
      </c>
      <c r="D544">
        <f>LAI!F544</f>
        <v>1.8674568325095902</v>
      </c>
      <c r="E544">
        <f>0.5*C544*(1-EXP(-'user input'!$C$19*D544))</f>
        <v>8.4939509432874694</v>
      </c>
      <c r="F544">
        <f>E544*'user input'!$C$21</f>
        <v>331.26408678821133</v>
      </c>
    </row>
    <row r="545" spans="1:6" x14ac:dyDescent="0.2">
      <c r="A545" s="1">
        <v>40721</v>
      </c>
      <c r="B545">
        <v>178</v>
      </c>
      <c r="C545">
        <f>'weather data'!E545</f>
        <v>24.371111111111112</v>
      </c>
      <c r="D545">
        <f>LAI!F545</f>
        <v>1.9886071139866497</v>
      </c>
      <c r="E545">
        <f>0.5*C545*(1-EXP(-'user input'!$C$19*D545))</f>
        <v>8.8399200730969181</v>
      </c>
      <c r="F545">
        <f>E545*'user input'!$C$21</f>
        <v>344.75688285077979</v>
      </c>
    </row>
    <row r="546" spans="1:6" x14ac:dyDescent="0.2">
      <c r="A546" s="1">
        <v>40722</v>
      </c>
      <c r="B546">
        <v>179</v>
      </c>
      <c r="C546">
        <f>'weather data'!E546</f>
        <v>22.171111111111113</v>
      </c>
      <c r="D546">
        <f>LAI!F546</f>
        <v>2.0809579151000852</v>
      </c>
      <c r="E546">
        <f>0.5*C546*(1-EXP(-'user input'!$C$19*D546))</f>
        <v>8.2192603842915073</v>
      </c>
      <c r="F546">
        <f>E546*'user input'!$C$21</f>
        <v>320.55115498736876</v>
      </c>
    </row>
    <row r="547" spans="1:6" x14ac:dyDescent="0.2">
      <c r="A547" s="1">
        <v>40723</v>
      </c>
      <c r="B547">
        <v>180</v>
      </c>
      <c r="C547">
        <f>'weather data'!E547</f>
        <v>22.31111111111111</v>
      </c>
      <c r="D547">
        <f>LAI!F547</f>
        <v>2.1521203016857973</v>
      </c>
      <c r="E547">
        <f>0.5*C547*(1-EXP(-'user input'!$C$19*D547))</f>
        <v>8.4015416932088502</v>
      </c>
      <c r="F547">
        <f>E547*'user input'!$C$21</f>
        <v>327.66012603514514</v>
      </c>
    </row>
    <row r="548" spans="1:6" x14ac:dyDescent="0.2">
      <c r="A548" s="1">
        <v>40724</v>
      </c>
      <c r="B548">
        <v>181</v>
      </c>
      <c r="C548">
        <f>'weather data'!E548</f>
        <v>25.455555555555552</v>
      </c>
      <c r="D548">
        <f>LAI!F548</f>
        <v>2.2339222936445058</v>
      </c>
      <c r="E548">
        <f>0.5*C548*(1-EXP(-'user input'!$C$19*D548))</f>
        <v>9.748331886527609</v>
      </c>
      <c r="F548">
        <f>E548*'user input'!$C$21</f>
        <v>380.18494357457678</v>
      </c>
    </row>
    <row r="549" spans="1:6" x14ac:dyDescent="0.2">
      <c r="A549" s="1">
        <v>40725</v>
      </c>
      <c r="B549">
        <v>182</v>
      </c>
      <c r="C549">
        <f>'weather data'!E549</f>
        <v>25.371111111111109</v>
      </c>
      <c r="D549">
        <f>LAI!F549</f>
        <v>2.3486416981266394</v>
      </c>
      <c r="E549">
        <f>0.5*C549*(1-EXP(-'user input'!$C$19*D549))</f>
        <v>9.9293721888669975</v>
      </c>
      <c r="F549">
        <f>E549*'user input'!$C$21</f>
        <v>387.24551536581288</v>
      </c>
    </row>
    <row r="550" spans="1:6" x14ac:dyDescent="0.2">
      <c r="A550" s="1">
        <v>40726</v>
      </c>
      <c r="B550">
        <v>183</v>
      </c>
      <c r="C550">
        <f>'weather data'!E550</f>
        <v>23.746666666666659</v>
      </c>
      <c r="D550">
        <f>LAI!F550</f>
        <v>2.4461703873165574</v>
      </c>
      <c r="E550">
        <f>0.5*C550*(1-EXP(-'user input'!$C$19*D550))</f>
        <v>9.4520826028455449</v>
      </c>
      <c r="F550">
        <f>E550*'user input'!$C$21</f>
        <v>368.63122151097627</v>
      </c>
    </row>
    <row r="551" spans="1:6" x14ac:dyDescent="0.2">
      <c r="A551" s="1">
        <v>40727</v>
      </c>
      <c r="B551">
        <v>184</v>
      </c>
      <c r="C551">
        <f>'weather data'!E551</f>
        <v>22.228888888888893</v>
      </c>
      <c r="D551">
        <f>LAI!F551</f>
        <v>2.5085816631021531</v>
      </c>
      <c r="E551">
        <f>0.5*C551*(1-EXP(-'user input'!$C$19*D551))</f>
        <v>8.9380545711777959</v>
      </c>
      <c r="F551">
        <f>E551*'user input'!$C$21</f>
        <v>348.58412827593406</v>
      </c>
    </row>
    <row r="552" spans="1:6" x14ac:dyDescent="0.2">
      <c r="A552" s="1">
        <v>40728</v>
      </c>
      <c r="B552">
        <v>185</v>
      </c>
      <c r="C552">
        <f>'weather data'!E552</f>
        <v>22.664444444444449</v>
      </c>
      <c r="D552">
        <f>LAI!F552</f>
        <v>2.5618922281217515</v>
      </c>
      <c r="E552">
        <f>0.5*C552*(1-EXP(-'user input'!$C$19*D552))</f>
        <v>9.1887645846704284</v>
      </c>
      <c r="F552">
        <f>E552*'user input'!$C$21</f>
        <v>358.36181880214673</v>
      </c>
    </row>
    <row r="553" spans="1:6" x14ac:dyDescent="0.2">
      <c r="A553" s="1">
        <v>40729</v>
      </c>
      <c r="B553">
        <v>186</v>
      </c>
      <c r="C553">
        <f>'weather data'!E553</f>
        <v>24.606666666666666</v>
      </c>
      <c r="D553">
        <f>LAI!F553</f>
        <v>2.6112226536724021</v>
      </c>
      <c r="E553">
        <f>0.5*C553*(1-EXP(-'user input'!$C$19*D553))</f>
        <v>10.049628389962598</v>
      </c>
      <c r="F553">
        <f>E553*'user input'!$C$21</f>
        <v>391.93550720854131</v>
      </c>
    </row>
    <row r="554" spans="1:6" x14ac:dyDescent="0.2">
      <c r="A554" s="1">
        <v>40730</v>
      </c>
      <c r="B554">
        <v>187</v>
      </c>
      <c r="C554">
        <f>'weather data'!E554</f>
        <v>23.071111111111112</v>
      </c>
      <c r="D554">
        <f>LAI!F554</f>
        <v>2.657466665573367</v>
      </c>
      <c r="E554">
        <f>0.5*C554*(1-EXP(-'user input'!$C$19*D554))</f>
        <v>9.4850615951094603</v>
      </c>
      <c r="F554">
        <f>E554*'user input'!$C$21</f>
        <v>369.91740220926897</v>
      </c>
    </row>
    <row r="555" spans="1:6" x14ac:dyDescent="0.2">
      <c r="A555" s="1">
        <v>40731</v>
      </c>
      <c r="B555">
        <v>188</v>
      </c>
      <c r="C555">
        <f>'weather data'!E555</f>
        <v>23.468888888888888</v>
      </c>
      <c r="D555">
        <f>LAI!F555</f>
        <v>2.6913710374398963</v>
      </c>
      <c r="E555">
        <f>0.5*C555*(1-EXP(-'user input'!$C$19*D555))</f>
        <v>9.6940618999517945</v>
      </c>
      <c r="F555">
        <f>E555*'user input'!$C$21</f>
        <v>378.06841409812</v>
      </c>
    </row>
    <row r="556" spans="1:6" x14ac:dyDescent="0.2">
      <c r="A556" s="1">
        <v>40732</v>
      </c>
      <c r="B556">
        <v>189</v>
      </c>
      <c r="C556">
        <f>'weather data'!E556</f>
        <v>22.911111111111111</v>
      </c>
      <c r="D556">
        <f>LAI!F556</f>
        <v>2.7186292612335397</v>
      </c>
      <c r="E556">
        <f>0.5*C556*(1-EXP(-'user input'!$C$19*D556))</f>
        <v>9.4986473259971138</v>
      </c>
      <c r="F556">
        <f>E556*'user input'!$C$21</f>
        <v>370.44724571388741</v>
      </c>
    </row>
    <row r="557" spans="1:6" x14ac:dyDescent="0.2">
      <c r="A557" s="1">
        <v>40733</v>
      </c>
      <c r="B557">
        <v>190</v>
      </c>
      <c r="C557">
        <f>'weather data'!E557</f>
        <v>22.133333333333333</v>
      </c>
      <c r="D557">
        <f>LAI!F557</f>
        <v>2.743645926646618</v>
      </c>
      <c r="E557">
        <f>0.5*C557*(1-EXP(-'user input'!$C$19*D557))</f>
        <v>9.2066829467868239</v>
      </c>
      <c r="F557">
        <f>E557*'user input'!$C$21</f>
        <v>359.06063492468616</v>
      </c>
    </row>
    <row r="558" spans="1:6" x14ac:dyDescent="0.2">
      <c r="A558" s="1">
        <v>40734</v>
      </c>
      <c r="B558">
        <v>191</v>
      </c>
      <c r="C558">
        <f>'weather data'!E558</f>
        <v>23.479999999999993</v>
      </c>
      <c r="D558">
        <f>LAI!F558</f>
        <v>2.7672272952211294</v>
      </c>
      <c r="E558">
        <f>0.5*C558*(1-EXP(-'user input'!$C$19*D558))</f>
        <v>9.79686223231454</v>
      </c>
      <c r="F558">
        <f>E558*'user input'!$C$21</f>
        <v>382.07762706026705</v>
      </c>
    </row>
    <row r="559" spans="1:6" x14ac:dyDescent="0.2">
      <c r="A559" s="1">
        <v>40735</v>
      </c>
      <c r="B559">
        <v>192</v>
      </c>
      <c r="C559">
        <f>'weather data'!E559</f>
        <v>23.637777777777778</v>
      </c>
      <c r="D559">
        <f>LAI!F559</f>
        <v>2.787119161467543</v>
      </c>
      <c r="E559">
        <f>0.5*C559*(1-EXP(-'user input'!$C$19*D559))</f>
        <v>9.8878241094585544</v>
      </c>
      <c r="F559">
        <f>E559*'user input'!$C$21</f>
        <v>385.62514026888363</v>
      </c>
    </row>
    <row r="560" spans="1:6" x14ac:dyDescent="0.2">
      <c r="A560" s="1">
        <v>40736</v>
      </c>
      <c r="B560">
        <v>193</v>
      </c>
      <c r="C560">
        <f>'weather data'!E560</f>
        <v>22.757777777777775</v>
      </c>
      <c r="D560">
        <f>LAI!F560</f>
        <v>2.8010686410734404</v>
      </c>
      <c r="E560">
        <f>0.5*C560*(1-EXP(-'user input'!$C$19*D560))</f>
        <v>9.5364960732601549</v>
      </c>
      <c r="F560">
        <f>E560*'user input'!$C$21</f>
        <v>371.92334685714604</v>
      </c>
    </row>
    <row r="561" spans="1:6" x14ac:dyDescent="0.2">
      <c r="A561" s="1">
        <v>40737</v>
      </c>
      <c r="B561">
        <v>194</v>
      </c>
      <c r="C561">
        <f>'weather data'!E561</f>
        <v>22.486666666666665</v>
      </c>
      <c r="D561">
        <f>LAI!F561</f>
        <v>2.8102928051160347</v>
      </c>
      <c r="E561">
        <f>0.5*C561*(1-EXP(-'user input'!$C$19*D561))</f>
        <v>9.4337709532590086</v>
      </c>
      <c r="F561">
        <f>E561*'user input'!$C$21</f>
        <v>367.91706717710133</v>
      </c>
    </row>
    <row r="562" spans="1:6" x14ac:dyDescent="0.2">
      <c r="A562" s="1">
        <v>40738</v>
      </c>
      <c r="B562">
        <v>195</v>
      </c>
      <c r="C562">
        <f>'weather data'!E562</f>
        <v>23.213333333333335</v>
      </c>
      <c r="D562">
        <f>LAI!F562</f>
        <v>2.8160466090007943</v>
      </c>
      <c r="E562">
        <f>0.5*C562*(1-EXP(-'user input'!$C$19*D562))</f>
        <v>9.745600837910235</v>
      </c>
      <c r="F562">
        <f>E562*'user input'!$C$21</f>
        <v>380.07843267849915</v>
      </c>
    </row>
    <row r="563" spans="1:6" x14ac:dyDescent="0.2">
      <c r="A563" s="1">
        <v>40739</v>
      </c>
      <c r="B563">
        <v>196</v>
      </c>
      <c r="C563">
        <f>'weather data'!E563</f>
        <v>23.213333333333335</v>
      </c>
      <c r="D563">
        <f>LAI!F563</f>
        <v>2.822907097769654</v>
      </c>
      <c r="E563">
        <f>0.5*C563*(1-EXP(-'user input'!$C$19*D563))</f>
        <v>9.7538814450498279</v>
      </c>
      <c r="F563">
        <f>E563*'user input'!$C$21</f>
        <v>380.40137635694327</v>
      </c>
    </row>
    <row r="564" spans="1:6" x14ac:dyDescent="0.2">
      <c r="A564" s="1">
        <v>40740</v>
      </c>
      <c r="B564">
        <v>197</v>
      </c>
      <c r="C564">
        <f>'weather data'!E564</f>
        <v>24.926666666666669</v>
      </c>
      <c r="D564">
        <f>LAI!F564</f>
        <v>2.8306475182300637</v>
      </c>
      <c r="E564">
        <f>0.5*C564*(1-EXP(-'user input'!$C$19*D564))</f>
        <v>10.483782210289643</v>
      </c>
      <c r="F564">
        <f>E564*'user input'!$C$21</f>
        <v>408.86750620129607</v>
      </c>
    </row>
    <row r="565" spans="1:6" x14ac:dyDescent="0.2">
      <c r="A565" s="1">
        <v>40741</v>
      </c>
      <c r="B565">
        <v>198</v>
      </c>
      <c r="C565">
        <f>'weather data'!E565</f>
        <v>22.395555555555553</v>
      </c>
      <c r="D565">
        <f>LAI!F565</f>
        <v>2.8374248256636538</v>
      </c>
      <c r="E565">
        <f>0.5*C565*(1-EXP(-'user input'!$C$19*D565))</f>
        <v>9.4270525263447649</v>
      </c>
      <c r="F565">
        <f>E565*'user input'!$C$21</f>
        <v>367.65504852744584</v>
      </c>
    </row>
    <row r="566" spans="1:6" x14ac:dyDescent="0.2">
      <c r="A566" s="1">
        <v>40742</v>
      </c>
      <c r="B566">
        <v>199</v>
      </c>
      <c r="C566">
        <f>'weather data'!E566</f>
        <v>20.604444444444447</v>
      </c>
      <c r="D566">
        <f>LAI!F566</f>
        <v>2.8432531814515047</v>
      </c>
      <c r="E566">
        <f>0.5*C566*(1-EXP(-'user input'!$C$19*D566))</f>
        <v>8.6792729154795261</v>
      </c>
      <c r="F566">
        <f>E566*'user input'!$C$21</f>
        <v>338.49164370370153</v>
      </c>
    </row>
    <row r="567" spans="1:6" x14ac:dyDescent="0.2">
      <c r="A567" s="1">
        <v>40743</v>
      </c>
      <c r="B567">
        <v>200</v>
      </c>
      <c r="C567">
        <f>'weather data'!E567</f>
        <v>19.959999999999997</v>
      </c>
      <c r="D567">
        <f>LAI!F567</f>
        <v>2.8478290278126752</v>
      </c>
      <c r="E567">
        <f>0.5*C567*(1-EXP(-'user input'!$C$19*D567))</f>
        <v>8.4124808313638901</v>
      </c>
      <c r="F567">
        <f>E567*'user input'!$C$21</f>
        <v>328.08675242319174</v>
      </c>
    </row>
    <row r="568" spans="1:6" x14ac:dyDescent="0.2">
      <c r="A568" s="1">
        <v>40744</v>
      </c>
      <c r="B568">
        <v>201</v>
      </c>
      <c r="C568">
        <f>'weather data'!E568</f>
        <v>21.315555555555552</v>
      </c>
      <c r="D568">
        <f>LAI!F568</f>
        <v>2.8514461446062964</v>
      </c>
      <c r="E568">
        <f>0.5*C568*(1-EXP(-'user input'!$C$19*D568))</f>
        <v>8.9877338345559679</v>
      </c>
      <c r="F568">
        <f>E568*'user input'!$C$21</f>
        <v>350.52161954768275</v>
      </c>
    </row>
    <row r="569" spans="1:6" x14ac:dyDescent="0.2">
      <c r="A569" s="1">
        <v>40745</v>
      </c>
      <c r="B569">
        <v>202</v>
      </c>
      <c r="C569">
        <f>'weather data'!E569</f>
        <v>21.008888888888883</v>
      </c>
      <c r="D569">
        <f>LAI!F569</f>
        <v>2.8545544017619955</v>
      </c>
      <c r="E569">
        <f>0.5*C569*(1-EXP(-'user input'!$C$19*D569))</f>
        <v>8.8617496069191368</v>
      </c>
      <c r="F569">
        <f>E569*'user input'!$C$21</f>
        <v>345.60823466984635</v>
      </c>
    </row>
    <row r="570" spans="1:6" x14ac:dyDescent="0.2">
      <c r="A570" s="1">
        <v>40746</v>
      </c>
      <c r="B570">
        <v>203</v>
      </c>
      <c r="C570">
        <f>'weather data'!E570</f>
        <v>22.064444444444447</v>
      </c>
      <c r="D570">
        <f>LAI!F570</f>
        <v>2.8567023484606886</v>
      </c>
      <c r="E570">
        <f>0.5*C570*(1-EXP(-'user input'!$C$19*D570))</f>
        <v>9.3094000272261521</v>
      </c>
      <c r="F570">
        <f>E570*'user input'!$C$21</f>
        <v>363.06660106181994</v>
      </c>
    </row>
    <row r="571" spans="1:6" x14ac:dyDescent="0.2">
      <c r="A571" s="1">
        <v>40747</v>
      </c>
      <c r="B571">
        <v>204</v>
      </c>
      <c r="C571">
        <f>'weather data'!E571</f>
        <v>21.877777777777776</v>
      </c>
      <c r="D571">
        <f>LAI!F571</f>
        <v>2.8585411717529912</v>
      </c>
      <c r="E571">
        <f>0.5*C571*(1-EXP(-'user input'!$C$19*D571))</f>
        <v>9.2326824213258814</v>
      </c>
      <c r="F571">
        <f>E571*'user input'!$C$21</f>
        <v>360.07461443170939</v>
      </c>
    </row>
    <row r="572" spans="1:6" x14ac:dyDescent="0.2">
      <c r="A572" s="1">
        <v>40748</v>
      </c>
      <c r="B572">
        <v>205</v>
      </c>
      <c r="C572">
        <f>'weather data'!E572</f>
        <v>23.522222222222226</v>
      </c>
      <c r="D572">
        <f>LAI!F572</f>
        <v>2.8600790608897673</v>
      </c>
      <c r="E572">
        <f>0.5*C572*(1-EXP(-'user input'!$C$19*D572))</f>
        <v>9.9284903895707437</v>
      </c>
      <c r="F572">
        <f>E572*'user input'!$C$21</f>
        <v>387.21112519325902</v>
      </c>
    </row>
    <row r="573" spans="1:6" x14ac:dyDescent="0.2">
      <c r="A573" s="1">
        <v>40749</v>
      </c>
      <c r="B573">
        <v>206</v>
      </c>
      <c r="C573">
        <f>'weather data'!E573</f>
        <v>21.008888888888887</v>
      </c>
      <c r="D573">
        <f>LAI!F573</f>
        <v>2.8611077234641376</v>
      </c>
      <c r="E573">
        <f>0.5*C573*(1-EXP(-'user input'!$C$19*D573))</f>
        <v>8.868732044982039</v>
      </c>
      <c r="F573">
        <f>E573*'user input'!$C$21</f>
        <v>345.88054975429952</v>
      </c>
    </row>
    <row r="574" spans="1:6" x14ac:dyDescent="0.2">
      <c r="A574" s="1">
        <v>40750</v>
      </c>
      <c r="B574">
        <v>207</v>
      </c>
      <c r="C574">
        <f>'weather data'!E574</f>
        <v>20.684444444444445</v>
      </c>
      <c r="D574">
        <f>LAI!F574</f>
        <v>2.8620968382892973</v>
      </c>
      <c r="E574">
        <f>0.5*C574*(1-EXP(-'user input'!$C$19*D574))</f>
        <v>8.7328055206193582</v>
      </c>
      <c r="F574">
        <f>E574*'user input'!$C$21</f>
        <v>340.57941530415496</v>
      </c>
    </row>
    <row r="575" spans="1:6" x14ac:dyDescent="0.2">
      <c r="A575" s="1">
        <v>40751</v>
      </c>
      <c r="B575">
        <v>208</v>
      </c>
      <c r="C575">
        <f>'weather data'!E575</f>
        <v>21.106666666666669</v>
      </c>
      <c r="D575">
        <f>LAI!F575</f>
        <v>2.8628946967175155</v>
      </c>
      <c r="E575">
        <f>0.5*C575*(1-EXP(-'user input'!$C$19*D575))</f>
        <v>8.9119158084963619</v>
      </c>
      <c r="F575">
        <f>E575*'user input'!$C$21</f>
        <v>347.5647165313581</v>
      </c>
    </row>
    <row r="576" spans="1:6" x14ac:dyDescent="0.2">
      <c r="A576" s="1">
        <v>40752</v>
      </c>
      <c r="B576">
        <v>209</v>
      </c>
      <c r="C576">
        <f>'weather data'!E576</f>
        <v>20.757777777777772</v>
      </c>
      <c r="D576">
        <f>LAI!F576</f>
        <v>2.8634635294631421</v>
      </c>
      <c r="E576">
        <f>0.5*C576*(1-EXP(-'user input'!$C$19*D576))</f>
        <v>8.7652004180365566</v>
      </c>
      <c r="F576">
        <f>E576*'user input'!$C$21</f>
        <v>341.84281630342571</v>
      </c>
    </row>
    <row r="577" spans="1:6" x14ac:dyDescent="0.2">
      <c r="A577" s="1">
        <v>40753</v>
      </c>
      <c r="B577">
        <v>210</v>
      </c>
      <c r="C577">
        <f>'weather data'!E577</f>
        <v>21.942222222222224</v>
      </c>
      <c r="D577">
        <f>LAI!F577</f>
        <v>2.8640148602667974</v>
      </c>
      <c r="E577">
        <f>0.5*C577*(1-EXP(-'user input'!$C$19*D577))</f>
        <v>9.2659563146611283</v>
      </c>
      <c r="F577">
        <f>E577*'user input'!$C$21</f>
        <v>361.37229627178402</v>
      </c>
    </row>
    <row r="578" spans="1:6" x14ac:dyDescent="0.2">
      <c r="A578" s="1">
        <v>40754</v>
      </c>
      <c r="B578">
        <v>211</v>
      </c>
      <c r="C578">
        <f>'weather data'!E578</f>
        <v>21.31999999999999</v>
      </c>
      <c r="D578">
        <f>LAI!F578</f>
        <v>2.8645242223984213</v>
      </c>
      <c r="E578">
        <f>0.5*C578*(1-EXP(-'user input'!$C$19*D578))</f>
        <v>9.0037472449478457</v>
      </c>
      <c r="F578">
        <f>E578*'user input'!$C$21</f>
        <v>351.14614255296601</v>
      </c>
    </row>
    <row r="579" spans="1:6" x14ac:dyDescent="0.2">
      <c r="A579" s="1">
        <v>40755</v>
      </c>
      <c r="B579">
        <v>212</v>
      </c>
      <c r="C579">
        <f>'weather data'!E579</f>
        <v>21.69777777777778</v>
      </c>
      <c r="D579">
        <f>LAI!F579</f>
        <v>2.8649615443713126</v>
      </c>
      <c r="E579">
        <f>0.5*C579*(1-EXP(-'user input'!$C$19*D579))</f>
        <v>9.1637673950943359</v>
      </c>
      <c r="F579">
        <f>E579*'user input'!$C$21</f>
        <v>357.38692840867913</v>
      </c>
    </row>
    <row r="580" spans="1:6" x14ac:dyDescent="0.2">
      <c r="A580" s="1">
        <v>40756</v>
      </c>
      <c r="B580">
        <v>213</v>
      </c>
      <c r="C580">
        <f>'weather data'!E580</f>
        <v>21.27999999999999</v>
      </c>
      <c r="D580">
        <f>LAI!F580</f>
        <v>2.8653491702224065</v>
      </c>
      <c r="E580">
        <f>0.5*C580*(1-EXP(-'user input'!$C$19*D580))</f>
        <v>8.9877408665011362</v>
      </c>
      <c r="F580">
        <f>E580*'user input'!$C$21</f>
        <v>350.52189379354434</v>
      </c>
    </row>
    <row r="581" spans="1:6" x14ac:dyDescent="0.2">
      <c r="A581" s="1">
        <v>40757</v>
      </c>
      <c r="B581">
        <v>214</v>
      </c>
      <c r="C581">
        <f>'weather data'!E581</f>
        <v>22.631111111111117</v>
      </c>
      <c r="D581">
        <f>LAI!F581</f>
        <v>2.8656937884522313</v>
      </c>
      <c r="E581">
        <f>0.5*C581*(1-EXP(-'user input'!$C$19*D581))</f>
        <v>9.5587846442582123</v>
      </c>
      <c r="F581">
        <f>E581*'user input'!$C$21</f>
        <v>372.79260112607028</v>
      </c>
    </row>
    <row r="582" spans="1:6" x14ac:dyDescent="0.2">
      <c r="A582" s="1">
        <v>40758</v>
      </c>
      <c r="B582">
        <v>215</v>
      </c>
      <c r="C582">
        <f>'weather data'!E582</f>
        <v>21.322222222222216</v>
      </c>
      <c r="D582">
        <f>LAI!F582</f>
        <v>2.8659677739895515</v>
      </c>
      <c r="E582">
        <f>0.5*C582*(1-EXP(-'user input'!$C$19*D582))</f>
        <v>9.0062392309635833</v>
      </c>
      <c r="F582">
        <f>E582*'user input'!$C$21</f>
        <v>351.24333000757974</v>
      </c>
    </row>
    <row r="583" spans="1:6" x14ac:dyDescent="0.2">
      <c r="A583" s="1">
        <v>40759</v>
      </c>
      <c r="B583">
        <v>216</v>
      </c>
      <c r="C583">
        <f>'weather data'!E583</f>
        <v>19.813333333333325</v>
      </c>
      <c r="D583">
        <f>LAI!F583</f>
        <v>2.8661602218923576</v>
      </c>
      <c r="E583">
        <f>0.5*C583*(1-EXP(-'user input'!$C$19*D583))</f>
        <v>8.3690958381714697</v>
      </c>
      <c r="F583">
        <f>E583*'user input'!$C$21</f>
        <v>326.39473768868731</v>
      </c>
    </row>
    <row r="584" spans="1:6" x14ac:dyDescent="0.2">
      <c r="A584" s="1">
        <v>40760</v>
      </c>
      <c r="B584">
        <v>217</v>
      </c>
      <c r="C584">
        <f>'weather data'!E584</f>
        <v>19.868888888888886</v>
      </c>
      <c r="D584">
        <f>LAI!F584</f>
        <v>2.8663278180330818</v>
      </c>
      <c r="E584">
        <f>0.5*C584*(1-EXP(-'user input'!$C$19*D584))</f>
        <v>8.3927303069823793</v>
      </c>
      <c r="F584">
        <f>E584*'user input'!$C$21</f>
        <v>327.31648197231277</v>
      </c>
    </row>
    <row r="585" spans="1:6" x14ac:dyDescent="0.2">
      <c r="A585" s="1">
        <v>40761</v>
      </c>
      <c r="B585">
        <v>218</v>
      </c>
      <c r="C585">
        <f>'weather data'!E585</f>
        <v>20.691111111111113</v>
      </c>
      <c r="D585">
        <f>LAI!F585</f>
        <v>2.8664815781496191</v>
      </c>
      <c r="E585">
        <f>0.5*C585*(1-EXP(-'user input'!$C$19*D585))</f>
        <v>8.7402020471834732</v>
      </c>
      <c r="F585">
        <f>E585*'user input'!$C$21</f>
        <v>340.86787984015547</v>
      </c>
    </row>
    <row r="586" spans="1:6" x14ac:dyDescent="0.2">
      <c r="A586" s="1">
        <v>40762</v>
      </c>
      <c r="B586">
        <v>219</v>
      </c>
      <c r="C586">
        <f>'weather data'!E586</f>
        <v>21.084444444444447</v>
      </c>
      <c r="D586">
        <f>LAI!F586</f>
        <v>2.8666176288035921</v>
      </c>
      <c r="E586">
        <f>0.5*C586*(1-EXP(-'user input'!$C$19*D586))</f>
        <v>8.9064959659047283</v>
      </c>
      <c r="F586">
        <f>E586*'user input'!$C$21</f>
        <v>347.35334267028441</v>
      </c>
    </row>
    <row r="587" spans="1:6" x14ac:dyDescent="0.2">
      <c r="A587" s="1">
        <v>40763</v>
      </c>
      <c r="B587">
        <v>220</v>
      </c>
      <c r="C587">
        <f>'weather data'!E587</f>
        <v>20.291111111111103</v>
      </c>
      <c r="D587">
        <f>LAI!F587</f>
        <v>2.8667191929736435</v>
      </c>
      <c r="E587">
        <f>0.5*C587*(1-EXP(-'user input'!$C$19*D587))</f>
        <v>8.5714798319562604</v>
      </c>
      <c r="F587">
        <f>E587*'user input'!$C$21</f>
        <v>334.28771344629416</v>
      </c>
    </row>
    <row r="588" spans="1:6" x14ac:dyDescent="0.2">
      <c r="A588" s="1">
        <v>40764</v>
      </c>
      <c r="B588">
        <v>221</v>
      </c>
      <c r="C588">
        <f>'weather data'!E588</f>
        <v>20.335555555555551</v>
      </c>
      <c r="D588">
        <f>LAI!F588</f>
        <v>2.8667937062811895</v>
      </c>
      <c r="E588">
        <f>0.5*C588*(1-EXP(-'user input'!$C$19*D588))</f>
        <v>8.5903306955867702</v>
      </c>
      <c r="F588">
        <f>E588*'user input'!$C$21</f>
        <v>335.02289712788405</v>
      </c>
    </row>
    <row r="589" spans="1:6" x14ac:dyDescent="0.2">
      <c r="A589" s="1">
        <v>40765</v>
      </c>
      <c r="B589">
        <v>222</v>
      </c>
      <c r="C589">
        <f>'weather data'!E589</f>
        <v>20.286666666666665</v>
      </c>
      <c r="D589">
        <f>LAI!F589</f>
        <v>2.8668450475437806</v>
      </c>
      <c r="E589">
        <f>0.5*C589*(1-EXP(-'user input'!$C$19*D589))</f>
        <v>8.5697311204652724</v>
      </c>
      <c r="F589">
        <f>E589*'user input'!$C$21</f>
        <v>334.21951369814565</v>
      </c>
    </row>
    <row r="590" spans="1:6" x14ac:dyDescent="0.2">
      <c r="A590" s="1">
        <v>40766</v>
      </c>
      <c r="B590">
        <v>223</v>
      </c>
      <c r="C590">
        <f>'weather data'!E590</f>
        <v>19.695555555555561</v>
      </c>
      <c r="D590">
        <f>LAI!F590</f>
        <v>2.8668869864811004</v>
      </c>
      <c r="E590">
        <f>0.5*C590*(1-EXP(-'user input'!$C$19*D590))</f>
        <v>8.3200686943340401</v>
      </c>
      <c r="F590">
        <f>E590*'user input'!$C$21</f>
        <v>324.48267907902755</v>
      </c>
    </row>
    <row r="591" spans="1:6" x14ac:dyDescent="0.2">
      <c r="A591" s="1">
        <v>40767</v>
      </c>
      <c r="B591">
        <v>224</v>
      </c>
      <c r="C591">
        <f>'weather data'!E591</f>
        <v>19.864444444444441</v>
      </c>
      <c r="D591">
        <f>LAI!F591</f>
        <v>2.8669336167843467</v>
      </c>
      <c r="E591">
        <f>0.5*C591*(1-EXP(-'user input'!$C$19*D591))</f>
        <v>8.3914597729219391</v>
      </c>
      <c r="F591">
        <f>E591*'user input'!$C$21</f>
        <v>327.26693114395562</v>
      </c>
    </row>
    <row r="592" spans="1:6" x14ac:dyDescent="0.2">
      <c r="A592" s="1">
        <v>40768</v>
      </c>
      <c r="B592">
        <v>225</v>
      </c>
      <c r="C592">
        <f>'weather data'!E592</f>
        <v>19.211111111111116</v>
      </c>
      <c r="D592">
        <f>LAI!F592</f>
        <v>2.8669759592545203</v>
      </c>
      <c r="E592">
        <f>0.5*C592*(1-EXP(-'user input'!$C$19*D592))</f>
        <v>8.1155091542658546</v>
      </c>
      <c r="F592">
        <f>E592*'user input'!$C$21</f>
        <v>316.50485701636831</v>
      </c>
    </row>
    <row r="593" spans="1:6" x14ac:dyDescent="0.2">
      <c r="A593" s="1">
        <v>40769</v>
      </c>
      <c r="B593">
        <v>226</v>
      </c>
      <c r="C593">
        <f>'weather data'!E593</f>
        <v>19.971111111111117</v>
      </c>
      <c r="D593">
        <f>LAI!F593</f>
        <v>2.8670085308783135</v>
      </c>
      <c r="E593">
        <f>0.5*C593*(1-EXP(-'user input'!$C$19*D593))</f>
        <v>8.436595057915623</v>
      </c>
      <c r="F593">
        <f>E593*'user input'!$C$21</f>
        <v>329.02720725870932</v>
      </c>
    </row>
    <row r="594" spans="1:6" x14ac:dyDescent="0.2">
      <c r="A594" s="1">
        <v>40770</v>
      </c>
      <c r="B594">
        <v>227</v>
      </c>
      <c r="C594">
        <f>'weather data'!E594</f>
        <v>19.895555555555553</v>
      </c>
      <c r="D594">
        <f>LAI!F594</f>
        <v>2.8670377561953075</v>
      </c>
      <c r="E594">
        <f>0.5*C594*(1-EXP(-'user input'!$C$19*D594))</f>
        <v>8.4047066864240279</v>
      </c>
      <c r="F594">
        <f>E594*'user input'!$C$21</f>
        <v>327.78356077053706</v>
      </c>
    </row>
    <row r="595" spans="1:6" x14ac:dyDescent="0.2">
      <c r="A595" s="1">
        <v>40771</v>
      </c>
      <c r="B595">
        <v>228</v>
      </c>
      <c r="C595">
        <f>'weather data'!E595</f>
        <v>19.86</v>
      </c>
      <c r="D595">
        <f>LAI!F595</f>
        <v>2.8670678291070204</v>
      </c>
      <c r="E595">
        <f>0.5*C595*(1-EXP(-'user input'!$C$19*D595))</f>
        <v>8.389716655960564</v>
      </c>
      <c r="F595">
        <f>E595*'user input'!$C$21</f>
        <v>327.19894958246198</v>
      </c>
    </row>
    <row r="596" spans="1:6" x14ac:dyDescent="0.2">
      <c r="A596" s="1">
        <v>40772</v>
      </c>
      <c r="B596">
        <v>229</v>
      </c>
      <c r="C596">
        <f>'weather data'!E596</f>
        <v>19.584444444444447</v>
      </c>
      <c r="D596">
        <f>LAI!F596</f>
        <v>2.9652777777777732</v>
      </c>
      <c r="E596">
        <f>0.5*C596*(1-EXP(-'user input'!$C$19*D596))</f>
        <v>8.3672421001222439</v>
      </c>
      <c r="F596">
        <f>E596*'user input'!$C$21</f>
        <v>326.32244190476752</v>
      </c>
    </row>
    <row r="597" spans="1:6" x14ac:dyDescent="0.2">
      <c r="A597" s="1">
        <v>40773</v>
      </c>
      <c r="B597">
        <v>230</v>
      </c>
      <c r="C597">
        <f>'weather data'!E597</f>
        <v>18.513333333333335</v>
      </c>
      <c r="D597">
        <f>LAI!F597</f>
        <v>2.7083333333333277</v>
      </c>
      <c r="E597">
        <f>0.5*C597*(1-EXP(-'user input'!$C$19*D597))</f>
        <v>7.6647681398023142</v>
      </c>
      <c r="F597">
        <f>E597*'user input'!$C$21</f>
        <v>298.92595745229028</v>
      </c>
    </row>
    <row r="598" spans="1:6" x14ac:dyDescent="0.2">
      <c r="A598" s="1">
        <v>40774</v>
      </c>
      <c r="B598">
        <v>231</v>
      </c>
      <c r="C598">
        <f>'weather data'!E598</f>
        <v>18.513333333333335</v>
      </c>
      <c r="D598">
        <f>LAI!F598</f>
        <v>2.458333333333325</v>
      </c>
      <c r="E598">
        <f>0.5*C598*(1-EXP(-'user input'!$C$19*D598))</f>
        <v>7.3838803215961484</v>
      </c>
      <c r="F598">
        <f>E598*'user input'!$C$21</f>
        <v>287.9713325422498</v>
      </c>
    </row>
    <row r="599" spans="1:6" x14ac:dyDescent="0.2">
      <c r="A599" s="1">
        <v>40775</v>
      </c>
      <c r="B599">
        <v>232</v>
      </c>
      <c r="C599">
        <f>'weather data'!E599</f>
        <v>20.05777777777778</v>
      </c>
      <c r="D599">
        <f>LAI!F599</f>
        <v>2.1736111111111027</v>
      </c>
      <c r="E599">
        <f>0.5*C599*(1-EXP(-'user input'!$C$19*D599))</f>
        <v>7.5873644973987169</v>
      </c>
      <c r="F599">
        <f>E599*'user input'!$C$21</f>
        <v>295.90721539854997</v>
      </c>
    </row>
    <row r="600" spans="1:6" x14ac:dyDescent="0.2">
      <c r="A600" s="1">
        <v>40776</v>
      </c>
      <c r="B600">
        <v>233</v>
      </c>
      <c r="C600">
        <f>'weather data'!E600</f>
        <v>18.846666666666664</v>
      </c>
      <c r="D600">
        <f>LAI!F600</f>
        <v>1.8680555555555505</v>
      </c>
      <c r="E600">
        <f>0.5*C600*(1-EXP(-'user input'!$C$19*D600))</f>
        <v>6.6251993180029682</v>
      </c>
      <c r="F600">
        <f>E600*'user input'!$C$21</f>
        <v>258.38277340211579</v>
      </c>
    </row>
    <row r="601" spans="1:6" x14ac:dyDescent="0.2">
      <c r="A601" s="1">
        <v>40777</v>
      </c>
      <c r="B601">
        <v>234</v>
      </c>
      <c r="C601">
        <f>'weather data'!E601</f>
        <v>16.657777777777788</v>
      </c>
      <c r="D601">
        <f>LAI!F601</f>
        <v>1.6597222222222179</v>
      </c>
      <c r="E601">
        <f>0.5*C601*(1-EXP(-'user input'!$C$19*D601))</f>
        <v>5.4970943704532953</v>
      </c>
      <c r="F601">
        <f>E601*'user input'!$C$21</f>
        <v>214.38668044767851</v>
      </c>
    </row>
    <row r="602" spans="1:6" x14ac:dyDescent="0.2">
      <c r="A602" s="1">
        <v>40778</v>
      </c>
      <c r="B602">
        <v>235</v>
      </c>
      <c r="C602">
        <f>'weather data'!E602</f>
        <v>17.182222222222222</v>
      </c>
      <c r="D602">
        <f>LAI!F602</f>
        <v>1.3749999999999956</v>
      </c>
      <c r="E602">
        <f>0.5*C602*(1-EXP(-'user input'!$C$19*D602))</f>
        <v>5.0763270951045056</v>
      </c>
      <c r="F602">
        <f>E602*'user input'!$C$21</f>
        <v>197.97675670907572</v>
      </c>
    </row>
    <row r="603" spans="1:6" x14ac:dyDescent="0.2">
      <c r="A603" s="1">
        <v>40779</v>
      </c>
      <c r="B603">
        <v>236</v>
      </c>
      <c r="C603">
        <f>'weather data'!E603</f>
        <v>17.515555555555554</v>
      </c>
      <c r="D603">
        <f>LAI!F603</f>
        <v>1.0694444444444398</v>
      </c>
      <c r="E603">
        <f>0.5*C603*(1-EXP(-'user input'!$C$19*D603))</f>
        <v>4.3876016788120333</v>
      </c>
      <c r="F603">
        <f>E603*'user input'!$C$21</f>
        <v>171.11646547366931</v>
      </c>
    </row>
    <row r="604" spans="1:6" x14ac:dyDescent="0.2">
      <c r="A604" s="1">
        <v>40780</v>
      </c>
      <c r="B604">
        <v>237</v>
      </c>
      <c r="C604">
        <f>'weather data'!E604</f>
        <v>17.753333333333327</v>
      </c>
      <c r="D604">
        <f>LAI!F604</f>
        <v>0.78472222222221744</v>
      </c>
      <c r="E604">
        <f>0.5*C604*(1-EXP(-'user input'!$C$19*D604))</f>
        <v>3.5466377324937195</v>
      </c>
      <c r="F604">
        <f>E604*'user input'!$C$21</f>
        <v>138.31887156725506</v>
      </c>
    </row>
    <row r="605" spans="1:6" x14ac:dyDescent="0.2">
      <c r="A605" s="1">
        <v>40781</v>
      </c>
      <c r="B605">
        <v>238</v>
      </c>
      <c r="C605">
        <f>'weather data'!E605</f>
        <v>17.366666666666664</v>
      </c>
      <c r="D605">
        <f>LAI!F605</f>
        <v>0.55555555555554814</v>
      </c>
      <c r="E605">
        <f>0.5*C605*(1-EXP(-'user input'!$C$19*D605))</f>
        <v>2.6319047816186969</v>
      </c>
      <c r="F605">
        <f>E605*'user input'!$C$21</f>
        <v>102.64428648312918</v>
      </c>
    </row>
    <row r="606" spans="1:6" x14ac:dyDescent="0.2">
      <c r="A606" s="1">
        <v>40782</v>
      </c>
      <c r="B606">
        <v>239</v>
      </c>
      <c r="C606">
        <f>'weather data'!E606</f>
        <v>17.388888888888886</v>
      </c>
      <c r="D606">
        <f>LAI!F606</f>
        <v>0.31944444444443898</v>
      </c>
      <c r="E606">
        <f>0.5*C606*(1-EXP(-'user input'!$C$19*D606))</f>
        <v>1.6302049715377374</v>
      </c>
      <c r="F606">
        <f>E606*'user input'!$C$21</f>
        <v>63.577993889971758</v>
      </c>
    </row>
    <row r="607" spans="1:6" x14ac:dyDescent="0.2">
      <c r="A607" s="1">
        <v>40783</v>
      </c>
      <c r="B607">
        <v>240</v>
      </c>
      <c r="C607">
        <f>'weather data'!E607</f>
        <v>18.282222222222217</v>
      </c>
      <c r="D607">
        <f>LAI!F607</f>
        <v>9.0277777777773044E-2</v>
      </c>
      <c r="E607">
        <f>0.5*C607*(1-EXP(-'user input'!$C$19*D607))</f>
        <v>0.520970572817402</v>
      </c>
      <c r="F607">
        <f>E607*'user input'!$C$21</f>
        <v>20.317852339878677</v>
      </c>
    </row>
    <row r="608" spans="1:6" x14ac:dyDescent="0.2">
      <c r="A608" s="1">
        <v>40784</v>
      </c>
      <c r="B608">
        <v>241</v>
      </c>
      <c r="C608">
        <f>'weather data'!E608</f>
        <v>19.166666666666675</v>
      </c>
      <c r="D608">
        <f>LAI!F608</f>
        <v>0</v>
      </c>
      <c r="E608">
        <f>0.5*C608*(1-EXP(-'user input'!$C$19*D608))</f>
        <v>0</v>
      </c>
      <c r="F608">
        <f>E608*'user input'!$C$21</f>
        <v>0</v>
      </c>
    </row>
    <row r="609" spans="1:6" x14ac:dyDescent="0.2">
      <c r="A609" s="1">
        <v>40785</v>
      </c>
      <c r="B609">
        <v>242</v>
      </c>
      <c r="C609">
        <f>'weather data'!E609</f>
        <v>17.893333333333331</v>
      </c>
      <c r="D609">
        <f>LAI!F609</f>
        <v>0</v>
      </c>
      <c r="E609">
        <f>0.5*C609*(1-EXP(-'user input'!$C$19*D609))</f>
        <v>0</v>
      </c>
      <c r="F609">
        <f>E609*'user input'!$C$21</f>
        <v>0</v>
      </c>
    </row>
    <row r="610" spans="1:6" x14ac:dyDescent="0.2">
      <c r="A610" s="1">
        <v>40786</v>
      </c>
      <c r="B610">
        <v>243</v>
      </c>
      <c r="C610">
        <f>'weather data'!E610</f>
        <v>18.108888888888892</v>
      </c>
      <c r="D610">
        <f>LAI!F610</f>
        <v>0</v>
      </c>
      <c r="E610">
        <f>0.5*C610*(1-EXP(-'user input'!$C$19*D610))</f>
        <v>0</v>
      </c>
      <c r="F610">
        <f>E610*'user input'!$C$21</f>
        <v>0</v>
      </c>
    </row>
    <row r="611" spans="1:6" x14ac:dyDescent="0.2">
      <c r="A611" s="1">
        <v>40787</v>
      </c>
      <c r="B611">
        <v>244</v>
      </c>
      <c r="C611">
        <f>'weather data'!E611</f>
        <v>18.124444444444446</v>
      </c>
      <c r="D611">
        <f>LAI!F611</f>
        <v>0</v>
      </c>
      <c r="E611">
        <f>0.5*C611*(1-EXP(-'user input'!$C$19*D611))</f>
        <v>0</v>
      </c>
      <c r="F611">
        <f>E611*'user input'!$C$21</f>
        <v>0</v>
      </c>
    </row>
    <row r="612" spans="1:6" x14ac:dyDescent="0.2">
      <c r="A612" s="1">
        <v>40788</v>
      </c>
      <c r="B612">
        <v>245</v>
      </c>
      <c r="C612">
        <f>'weather data'!E612</f>
        <v>17.782222222222217</v>
      </c>
      <c r="D612">
        <f>LAI!F612</f>
        <v>0</v>
      </c>
      <c r="E612">
        <f>0.5*C612*(1-EXP(-'user input'!$C$19*D612))</f>
        <v>0</v>
      </c>
      <c r="F612">
        <f>E612*'user input'!$C$21</f>
        <v>0</v>
      </c>
    </row>
    <row r="613" spans="1:6" x14ac:dyDescent="0.2">
      <c r="A613" s="1">
        <v>40789</v>
      </c>
      <c r="B613">
        <v>246</v>
      </c>
      <c r="C613">
        <f>'weather data'!E613</f>
        <v>18.233333333333341</v>
      </c>
      <c r="D613">
        <f>LAI!F613</f>
        <v>0</v>
      </c>
      <c r="E613">
        <f>0.5*C613*(1-EXP(-'user input'!$C$19*D613))</f>
        <v>0</v>
      </c>
      <c r="F613">
        <f>E613*'user input'!$C$21</f>
        <v>0</v>
      </c>
    </row>
    <row r="614" spans="1:6" x14ac:dyDescent="0.2">
      <c r="A614" s="1">
        <v>40790</v>
      </c>
      <c r="B614">
        <v>247</v>
      </c>
      <c r="C614">
        <f>'weather data'!E614</f>
        <v>17.279999999999994</v>
      </c>
      <c r="D614">
        <f>LAI!F614</f>
        <v>0</v>
      </c>
      <c r="E614">
        <f>0.5*C614*(1-EXP(-'user input'!$C$19*D614))</f>
        <v>0</v>
      </c>
      <c r="F614">
        <f>E614*'user input'!$C$21</f>
        <v>0</v>
      </c>
    </row>
    <row r="615" spans="1:6" x14ac:dyDescent="0.2">
      <c r="A615" s="1">
        <v>40791</v>
      </c>
      <c r="B615">
        <v>248</v>
      </c>
      <c r="C615">
        <f>'weather data'!E615</f>
        <v>17.504444444444449</v>
      </c>
      <c r="D615">
        <f>LAI!F615</f>
        <v>0</v>
      </c>
      <c r="E615">
        <f>0.5*C615*(1-EXP(-'user input'!$C$19*D615))</f>
        <v>0</v>
      </c>
      <c r="F615">
        <f>E615*'user input'!$C$21</f>
        <v>0</v>
      </c>
    </row>
    <row r="616" spans="1:6" x14ac:dyDescent="0.2">
      <c r="A616" s="1">
        <v>40792</v>
      </c>
      <c r="B616">
        <v>249</v>
      </c>
      <c r="C616">
        <f>'weather data'!E616</f>
        <v>17.331111111111102</v>
      </c>
      <c r="D616">
        <f>LAI!F616</f>
        <v>0</v>
      </c>
      <c r="E616">
        <f>0.5*C616*(1-EXP(-'user input'!$C$19*D616))</f>
        <v>0</v>
      </c>
      <c r="F616">
        <f>E616*'user input'!$C$21</f>
        <v>0</v>
      </c>
    </row>
    <row r="617" spans="1:6" x14ac:dyDescent="0.2">
      <c r="A617" s="1">
        <v>40793</v>
      </c>
      <c r="B617">
        <v>250</v>
      </c>
      <c r="C617">
        <f>'weather data'!E617</f>
        <v>16.582222222222228</v>
      </c>
      <c r="D617">
        <f>LAI!F617</f>
        <v>0</v>
      </c>
      <c r="E617">
        <f>0.5*C617*(1-EXP(-'user input'!$C$19*D617))</f>
        <v>0</v>
      </c>
      <c r="F617">
        <f>E617*'user input'!$C$21</f>
        <v>0</v>
      </c>
    </row>
    <row r="618" spans="1:6" x14ac:dyDescent="0.2">
      <c r="A618" s="1">
        <v>40794</v>
      </c>
      <c r="B618">
        <v>251</v>
      </c>
      <c r="C618">
        <f>'weather data'!E618</f>
        <v>15.802222222222218</v>
      </c>
      <c r="D618">
        <f>LAI!F618</f>
        <v>0</v>
      </c>
      <c r="E618">
        <f>0.5*C618*(1-EXP(-'user input'!$C$19*D618))</f>
        <v>0</v>
      </c>
      <c r="F618">
        <f>E618*'user input'!$C$21</f>
        <v>0</v>
      </c>
    </row>
    <row r="619" spans="1:6" x14ac:dyDescent="0.2">
      <c r="A619" s="1">
        <v>40795</v>
      </c>
      <c r="B619">
        <v>252</v>
      </c>
      <c r="C619">
        <f>'weather data'!E619</f>
        <v>16.022222222222219</v>
      </c>
      <c r="D619">
        <f>LAI!F619</f>
        <v>0</v>
      </c>
      <c r="E619">
        <f>0.5*C619*(1-EXP(-'user input'!$C$19*D619))</f>
        <v>0</v>
      </c>
      <c r="F619">
        <f>E619*'user input'!$C$21</f>
        <v>0</v>
      </c>
    </row>
    <row r="620" spans="1:6" x14ac:dyDescent="0.2">
      <c r="A620" s="1">
        <v>40796</v>
      </c>
      <c r="B620">
        <v>253</v>
      </c>
      <c r="C620">
        <f>'weather data'!E620</f>
        <v>15.893333333333333</v>
      </c>
      <c r="D620">
        <f>LAI!F620</f>
        <v>0</v>
      </c>
      <c r="E620">
        <f>0.5*C620*(1-EXP(-'user input'!$C$19*D620))</f>
        <v>0</v>
      </c>
      <c r="F620">
        <f>E620*'user input'!$C$21</f>
        <v>0</v>
      </c>
    </row>
    <row r="621" spans="1:6" x14ac:dyDescent="0.2">
      <c r="A621" s="1">
        <v>40797</v>
      </c>
      <c r="B621">
        <v>254</v>
      </c>
      <c r="C621">
        <f>'weather data'!E621</f>
        <v>17.87555555555555</v>
      </c>
      <c r="D621">
        <f>LAI!F621</f>
        <v>0</v>
      </c>
      <c r="E621">
        <f>0.5*C621*(1-EXP(-'user input'!$C$19*D621))</f>
        <v>0</v>
      </c>
      <c r="F621">
        <f>E621*'user input'!$C$21</f>
        <v>0</v>
      </c>
    </row>
    <row r="622" spans="1:6" x14ac:dyDescent="0.2">
      <c r="A622" s="1">
        <v>40798</v>
      </c>
      <c r="B622">
        <v>255</v>
      </c>
      <c r="C622">
        <f>'weather data'!E622</f>
        <v>15.27777777777778</v>
      </c>
      <c r="D622">
        <f>LAI!F622</f>
        <v>0</v>
      </c>
      <c r="E622">
        <f>0.5*C622*(1-EXP(-'user input'!$C$19*D622))</f>
        <v>0</v>
      </c>
      <c r="F622">
        <f>E622*'user input'!$C$21</f>
        <v>0</v>
      </c>
    </row>
    <row r="623" spans="1:6" x14ac:dyDescent="0.2">
      <c r="A623" s="1">
        <v>40799</v>
      </c>
      <c r="B623">
        <v>256</v>
      </c>
      <c r="C623">
        <f>'weather data'!E623</f>
        <v>14.684444444444448</v>
      </c>
      <c r="D623">
        <f>LAI!F623</f>
        <v>0</v>
      </c>
      <c r="E623">
        <f>0.5*C623*(1-EXP(-'user input'!$C$19*D623))</f>
        <v>0</v>
      </c>
      <c r="F623">
        <f>E623*'user input'!$C$21</f>
        <v>0</v>
      </c>
    </row>
    <row r="624" spans="1:6" x14ac:dyDescent="0.2">
      <c r="A624" s="1">
        <v>40800</v>
      </c>
      <c r="B624">
        <v>257</v>
      </c>
      <c r="C624">
        <f>'weather data'!E624</f>
        <v>14.008888888888889</v>
      </c>
      <c r="D624">
        <f>LAI!F624</f>
        <v>0</v>
      </c>
      <c r="E624">
        <f>0.5*C624*(1-EXP(-'user input'!$C$19*D624))</f>
        <v>0</v>
      </c>
      <c r="F624">
        <f>E624*'user input'!$C$21</f>
        <v>0</v>
      </c>
    </row>
    <row r="625" spans="1:6" x14ac:dyDescent="0.2">
      <c r="A625" s="1">
        <v>40801</v>
      </c>
      <c r="B625">
        <v>258</v>
      </c>
      <c r="C625">
        <f>'weather data'!E625</f>
        <v>14.540000000000001</v>
      </c>
      <c r="D625">
        <f>LAI!F625</f>
        <v>0</v>
      </c>
      <c r="E625">
        <f>0.5*C625*(1-EXP(-'user input'!$C$19*D625))</f>
        <v>0</v>
      </c>
      <c r="F625">
        <f>E625*'user input'!$C$21</f>
        <v>0</v>
      </c>
    </row>
    <row r="626" spans="1:6" x14ac:dyDescent="0.2">
      <c r="A626" s="1">
        <v>40802</v>
      </c>
      <c r="B626">
        <v>259</v>
      </c>
      <c r="C626">
        <f>'weather data'!E626</f>
        <v>14.833333333333339</v>
      </c>
      <c r="D626">
        <f>LAI!F626</f>
        <v>0</v>
      </c>
      <c r="E626">
        <f>0.5*C626*(1-EXP(-'user input'!$C$19*D626))</f>
        <v>0</v>
      </c>
      <c r="F626">
        <f>E626*'user input'!$C$21</f>
        <v>0</v>
      </c>
    </row>
    <row r="627" spans="1:6" x14ac:dyDescent="0.2">
      <c r="A627" s="1">
        <v>40803</v>
      </c>
      <c r="B627">
        <v>260</v>
      </c>
      <c r="C627">
        <f>'weather data'!E627</f>
        <v>14.604444444444445</v>
      </c>
      <c r="D627">
        <f>LAI!F627</f>
        <v>0</v>
      </c>
      <c r="E627">
        <f>0.5*C627*(1-EXP(-'user input'!$C$19*D627))</f>
        <v>0</v>
      </c>
      <c r="F627">
        <f>E627*'user input'!$C$21</f>
        <v>0</v>
      </c>
    </row>
    <row r="628" spans="1:6" x14ac:dyDescent="0.2">
      <c r="A628" s="1">
        <v>40804</v>
      </c>
      <c r="B628">
        <v>261</v>
      </c>
      <c r="C628">
        <f>'weather data'!E628</f>
        <v>14.57555555555556</v>
      </c>
      <c r="D628">
        <f>LAI!F628</f>
        <v>0</v>
      </c>
      <c r="E628">
        <f>0.5*C628*(1-EXP(-'user input'!$C$19*D628))</f>
        <v>0</v>
      </c>
      <c r="F628">
        <f>E628*'user input'!$C$21</f>
        <v>0</v>
      </c>
    </row>
    <row r="629" spans="1:6" x14ac:dyDescent="0.2">
      <c r="A629" s="1">
        <v>40805</v>
      </c>
      <c r="B629">
        <v>262</v>
      </c>
      <c r="C629">
        <f>'weather data'!E629</f>
        <v>13.008888888888889</v>
      </c>
      <c r="D629">
        <f>LAI!F629</f>
        <v>0</v>
      </c>
      <c r="E629">
        <f>0.5*C629*(1-EXP(-'user input'!$C$19*D629))</f>
        <v>0</v>
      </c>
      <c r="F629">
        <f>E629*'user input'!$C$21</f>
        <v>0</v>
      </c>
    </row>
    <row r="630" spans="1:6" x14ac:dyDescent="0.2">
      <c r="A630" s="1">
        <v>40806</v>
      </c>
      <c r="B630">
        <v>263</v>
      </c>
      <c r="C630">
        <f>'weather data'!E630</f>
        <v>13.331111111111113</v>
      </c>
      <c r="D630">
        <f>LAI!F630</f>
        <v>0</v>
      </c>
      <c r="E630">
        <f>0.5*C630*(1-EXP(-'user input'!$C$19*D630))</f>
        <v>0</v>
      </c>
      <c r="F630">
        <f>E630*'user input'!$C$21</f>
        <v>0</v>
      </c>
    </row>
    <row r="631" spans="1:6" x14ac:dyDescent="0.2">
      <c r="A631" s="1">
        <v>40807</v>
      </c>
      <c r="B631">
        <v>264</v>
      </c>
      <c r="C631">
        <f>'weather data'!E631</f>
        <v>13.533333333333333</v>
      </c>
      <c r="D631">
        <f>LAI!F631</f>
        <v>0</v>
      </c>
      <c r="E631">
        <f>0.5*C631*(1-EXP(-'user input'!$C$19*D631))</f>
        <v>0</v>
      </c>
      <c r="F631">
        <f>E631*'user input'!$C$21</f>
        <v>0</v>
      </c>
    </row>
    <row r="632" spans="1:6" x14ac:dyDescent="0.2">
      <c r="A632" s="1">
        <v>40808</v>
      </c>
      <c r="B632">
        <v>265</v>
      </c>
      <c r="C632">
        <f>'weather data'!E632</f>
        <v>13.317777777777776</v>
      </c>
      <c r="D632">
        <f>LAI!F632</f>
        <v>0</v>
      </c>
      <c r="E632">
        <f>0.5*C632*(1-EXP(-'user input'!$C$19*D632))</f>
        <v>0</v>
      </c>
      <c r="F632">
        <f>E632*'user input'!$C$21</f>
        <v>0</v>
      </c>
    </row>
    <row r="633" spans="1:6" x14ac:dyDescent="0.2">
      <c r="A633" s="1">
        <v>40809</v>
      </c>
      <c r="B633">
        <v>266</v>
      </c>
      <c r="C633">
        <f>'weather data'!E633</f>
        <v>13.562222222222227</v>
      </c>
      <c r="D633">
        <f>LAI!F633</f>
        <v>0</v>
      </c>
      <c r="E633">
        <f>0.5*C633*(1-EXP(-'user input'!$C$19*D633))</f>
        <v>0</v>
      </c>
      <c r="F633">
        <f>E633*'user input'!$C$21</f>
        <v>0</v>
      </c>
    </row>
    <row r="634" spans="1:6" x14ac:dyDescent="0.2">
      <c r="A634" s="1">
        <v>40810</v>
      </c>
      <c r="B634">
        <v>267</v>
      </c>
      <c r="C634">
        <f>'weather data'!E634</f>
        <v>13.764444444444443</v>
      </c>
      <c r="D634">
        <f>LAI!F634</f>
        <v>0</v>
      </c>
      <c r="E634">
        <f>0.5*C634*(1-EXP(-'user input'!$C$19*D634))</f>
        <v>0</v>
      </c>
      <c r="F634">
        <f>E634*'user input'!$C$21</f>
        <v>0</v>
      </c>
    </row>
    <row r="635" spans="1:6" x14ac:dyDescent="0.2">
      <c r="A635" s="1">
        <v>40811</v>
      </c>
      <c r="B635">
        <v>268</v>
      </c>
      <c r="C635">
        <f>'weather data'!E635</f>
        <v>13.388888888888891</v>
      </c>
      <c r="D635">
        <f>LAI!F635</f>
        <v>0</v>
      </c>
      <c r="E635">
        <f>0.5*C635*(1-EXP(-'user input'!$C$19*D635))</f>
        <v>0</v>
      </c>
      <c r="F635">
        <f>E635*'user input'!$C$21</f>
        <v>0</v>
      </c>
    </row>
    <row r="636" spans="1:6" x14ac:dyDescent="0.2">
      <c r="A636" s="1">
        <v>40812</v>
      </c>
      <c r="B636">
        <v>269</v>
      </c>
      <c r="C636">
        <f>'weather data'!E636</f>
        <v>13.502222222222223</v>
      </c>
      <c r="D636">
        <f>LAI!F636</f>
        <v>0</v>
      </c>
      <c r="E636">
        <f>0.5*C636*(1-EXP(-'user input'!$C$19*D636))</f>
        <v>0</v>
      </c>
      <c r="F636">
        <f>E636*'user input'!$C$21</f>
        <v>0</v>
      </c>
    </row>
    <row r="637" spans="1:6" x14ac:dyDescent="0.2">
      <c r="A637" s="1">
        <v>40813</v>
      </c>
      <c r="B637">
        <v>270</v>
      </c>
      <c r="C637">
        <f>'weather data'!E637</f>
        <v>14.011111111111109</v>
      </c>
      <c r="D637">
        <f>LAI!F637</f>
        <v>0</v>
      </c>
      <c r="E637">
        <f>0.5*C637*(1-EXP(-'user input'!$C$19*D637))</f>
        <v>0</v>
      </c>
      <c r="F637">
        <f>E637*'user input'!$C$21</f>
        <v>0</v>
      </c>
    </row>
    <row r="638" spans="1:6" x14ac:dyDescent="0.2">
      <c r="A638" s="1">
        <v>40814</v>
      </c>
      <c r="B638">
        <v>271</v>
      </c>
      <c r="C638">
        <f>'weather data'!E638</f>
        <v>12.597777777777782</v>
      </c>
      <c r="D638">
        <f>LAI!F638</f>
        <v>0</v>
      </c>
      <c r="E638">
        <f>0.5*C638*(1-EXP(-'user input'!$C$19*D638))</f>
        <v>0</v>
      </c>
      <c r="F638">
        <f>E638*'user input'!$C$21</f>
        <v>0</v>
      </c>
    </row>
    <row r="639" spans="1:6" x14ac:dyDescent="0.2">
      <c r="A639" s="1">
        <v>40815</v>
      </c>
      <c r="B639">
        <v>272</v>
      </c>
      <c r="C639">
        <f>'weather data'!E639</f>
        <v>13.12666666666667</v>
      </c>
      <c r="D639">
        <f>LAI!F639</f>
        <v>0</v>
      </c>
      <c r="E639">
        <f>0.5*C639*(1-EXP(-'user input'!$C$19*D639))</f>
        <v>0</v>
      </c>
      <c r="F639">
        <f>E639*'user input'!$C$21</f>
        <v>0</v>
      </c>
    </row>
    <row r="640" spans="1:6" x14ac:dyDescent="0.2">
      <c r="A640" s="1">
        <v>40816</v>
      </c>
      <c r="B640">
        <v>273</v>
      </c>
      <c r="C640">
        <f>'weather data'!E640</f>
        <v>13.026666666666667</v>
      </c>
      <c r="D640">
        <f>LAI!F640</f>
        <v>0</v>
      </c>
      <c r="E640">
        <f>0.5*C640*(1-EXP(-'user input'!$C$19*D640))</f>
        <v>0</v>
      </c>
      <c r="F640">
        <f>E640*'user input'!$C$21</f>
        <v>0</v>
      </c>
    </row>
    <row r="641" spans="1:6" x14ac:dyDescent="0.2">
      <c r="A641" s="1">
        <v>40817</v>
      </c>
      <c r="B641">
        <v>274</v>
      </c>
      <c r="C641">
        <f>'weather data'!E641</f>
        <v>13.155555555555559</v>
      </c>
      <c r="D641">
        <f>LAI!F641</f>
        <v>0</v>
      </c>
      <c r="E641">
        <f>0.5*C641*(1-EXP(-'user input'!$C$19*D641))</f>
        <v>0</v>
      </c>
      <c r="F641">
        <f>E641*'user input'!$C$21</f>
        <v>0</v>
      </c>
    </row>
    <row r="642" spans="1:6" x14ac:dyDescent="0.2">
      <c r="A642" s="1">
        <v>40818</v>
      </c>
      <c r="B642">
        <v>275</v>
      </c>
      <c r="C642">
        <f>'weather data'!E642</f>
        <v>13.037777777777777</v>
      </c>
      <c r="D642">
        <f>LAI!F642</f>
        <v>0</v>
      </c>
      <c r="E642">
        <f>0.5*C642*(1-EXP(-'user input'!$C$19*D642))</f>
        <v>0</v>
      </c>
      <c r="F642">
        <f>E642*'user input'!$C$21</f>
        <v>0</v>
      </c>
    </row>
    <row r="643" spans="1:6" x14ac:dyDescent="0.2">
      <c r="A643" s="1">
        <v>40819</v>
      </c>
      <c r="B643">
        <v>276</v>
      </c>
      <c r="C643">
        <f>'weather data'!E643</f>
        <v>12.082222222222223</v>
      </c>
      <c r="D643">
        <f>LAI!F643</f>
        <v>0</v>
      </c>
      <c r="E643">
        <f>0.5*C643*(1-EXP(-'user input'!$C$19*D643))</f>
        <v>0</v>
      </c>
      <c r="F643">
        <f>E643*'user input'!$C$21</f>
        <v>0</v>
      </c>
    </row>
    <row r="644" spans="1:6" x14ac:dyDescent="0.2">
      <c r="A644" s="1">
        <v>40820</v>
      </c>
      <c r="B644">
        <v>277</v>
      </c>
      <c r="C644">
        <f>'weather data'!E644</f>
        <v>12.068888888888893</v>
      </c>
      <c r="D644">
        <f>LAI!F644</f>
        <v>0</v>
      </c>
      <c r="E644">
        <f>0.5*C644*(1-EXP(-'user input'!$C$19*D644))</f>
        <v>0</v>
      </c>
      <c r="F644">
        <f>E644*'user input'!$C$21</f>
        <v>0</v>
      </c>
    </row>
    <row r="645" spans="1:6" x14ac:dyDescent="0.2">
      <c r="A645" s="1">
        <v>40821</v>
      </c>
      <c r="B645">
        <v>278</v>
      </c>
      <c r="C645">
        <f>'weather data'!E645</f>
        <v>12.471111111111115</v>
      </c>
      <c r="D645">
        <f>LAI!F645</f>
        <v>0</v>
      </c>
      <c r="E645">
        <f>0.5*C645*(1-EXP(-'user input'!$C$19*D645))</f>
        <v>0</v>
      </c>
      <c r="F645">
        <f>E645*'user input'!$C$21</f>
        <v>0</v>
      </c>
    </row>
    <row r="646" spans="1:6" x14ac:dyDescent="0.2">
      <c r="A646" s="1">
        <v>40822</v>
      </c>
      <c r="B646">
        <v>279</v>
      </c>
      <c r="C646">
        <f>'weather data'!E646</f>
        <v>11.631111111111114</v>
      </c>
      <c r="D646">
        <f>LAI!F646</f>
        <v>0</v>
      </c>
      <c r="E646">
        <f>0.5*C646*(1-EXP(-'user input'!$C$19*D646))</f>
        <v>0</v>
      </c>
      <c r="F646">
        <f>E646*'user input'!$C$21</f>
        <v>0</v>
      </c>
    </row>
    <row r="647" spans="1:6" x14ac:dyDescent="0.2">
      <c r="A647" s="1">
        <v>40823</v>
      </c>
      <c r="B647">
        <v>280</v>
      </c>
      <c r="C647">
        <f>'weather data'!E647</f>
        <v>11.757777777777779</v>
      </c>
      <c r="D647">
        <f>LAI!F647</f>
        <v>0</v>
      </c>
      <c r="E647">
        <f>0.5*C647*(1-EXP(-'user input'!$C$19*D647))</f>
        <v>0</v>
      </c>
      <c r="F647">
        <f>E647*'user input'!$C$21</f>
        <v>0</v>
      </c>
    </row>
    <row r="648" spans="1:6" x14ac:dyDescent="0.2">
      <c r="A648" s="1">
        <v>40824</v>
      </c>
      <c r="B648">
        <v>281</v>
      </c>
      <c r="C648">
        <f>'weather data'!E648</f>
        <v>10.711111111111109</v>
      </c>
      <c r="D648">
        <f>LAI!F648</f>
        <v>0</v>
      </c>
      <c r="E648">
        <f>0.5*C648*(1-EXP(-'user input'!$C$19*D648))</f>
        <v>0</v>
      </c>
      <c r="F648">
        <f>E648*'user input'!$C$21</f>
        <v>0</v>
      </c>
    </row>
    <row r="649" spans="1:6" x14ac:dyDescent="0.2">
      <c r="A649" s="1">
        <v>40825</v>
      </c>
      <c r="B649">
        <v>282</v>
      </c>
      <c r="C649">
        <f>'weather data'!E649</f>
        <v>11.008888888888887</v>
      </c>
      <c r="D649">
        <f>LAI!F649</f>
        <v>0</v>
      </c>
      <c r="E649">
        <f>0.5*C649*(1-EXP(-'user input'!$C$19*D649))</f>
        <v>0</v>
      </c>
      <c r="F649">
        <f>E649*'user input'!$C$21</f>
        <v>0</v>
      </c>
    </row>
    <row r="650" spans="1:6" x14ac:dyDescent="0.2">
      <c r="A650" s="1">
        <v>40826</v>
      </c>
      <c r="B650">
        <v>283</v>
      </c>
      <c r="C650">
        <f>'weather data'!E650</f>
        <v>11.120000000000003</v>
      </c>
      <c r="D650">
        <f>LAI!F650</f>
        <v>0</v>
      </c>
      <c r="E650">
        <f>0.5*C650*(1-EXP(-'user input'!$C$19*D650))</f>
        <v>0</v>
      </c>
      <c r="F650">
        <f>E650*'user input'!$C$21</f>
        <v>0</v>
      </c>
    </row>
    <row r="651" spans="1:6" x14ac:dyDescent="0.2">
      <c r="A651" s="1">
        <v>40827</v>
      </c>
      <c r="B651">
        <v>284</v>
      </c>
      <c r="C651">
        <f>'weather data'!E651</f>
        <v>11.48</v>
      </c>
      <c r="D651">
        <f>LAI!F651</f>
        <v>0</v>
      </c>
      <c r="E651">
        <f>0.5*C651*(1-EXP(-'user input'!$C$19*D651))</f>
        <v>0</v>
      </c>
      <c r="F651">
        <f>E651*'user input'!$C$21</f>
        <v>0</v>
      </c>
    </row>
    <row r="652" spans="1:6" x14ac:dyDescent="0.2">
      <c r="A652" s="1">
        <v>40828</v>
      </c>
      <c r="B652">
        <v>285</v>
      </c>
      <c r="C652">
        <f>'weather data'!E652</f>
        <v>10.637777777777782</v>
      </c>
      <c r="D652">
        <f>LAI!F652</f>
        <v>0</v>
      </c>
      <c r="E652">
        <f>0.5*C652*(1-EXP(-'user input'!$C$19*D652))</f>
        <v>0</v>
      </c>
      <c r="F652">
        <f>E652*'user input'!$C$21</f>
        <v>0</v>
      </c>
    </row>
    <row r="653" spans="1:6" x14ac:dyDescent="0.2">
      <c r="A653" s="1">
        <v>40829</v>
      </c>
      <c r="B653">
        <v>286</v>
      </c>
      <c r="C653">
        <f>'weather data'!E653</f>
        <v>10.895555555555555</v>
      </c>
      <c r="D653">
        <f>LAI!F653</f>
        <v>0</v>
      </c>
      <c r="E653">
        <f>0.5*C653*(1-EXP(-'user input'!$C$19*D653))</f>
        <v>0</v>
      </c>
      <c r="F653">
        <f>E653*'user input'!$C$21</f>
        <v>0</v>
      </c>
    </row>
    <row r="654" spans="1:6" x14ac:dyDescent="0.2">
      <c r="A654" s="1">
        <v>40830</v>
      </c>
      <c r="B654">
        <v>287</v>
      </c>
      <c r="C654">
        <f>'weather data'!E654</f>
        <v>10.784444444444448</v>
      </c>
      <c r="D654">
        <f>LAI!F654</f>
        <v>0</v>
      </c>
      <c r="E654">
        <f>0.5*C654*(1-EXP(-'user input'!$C$19*D654))</f>
        <v>0</v>
      </c>
      <c r="F654">
        <f>E654*'user input'!$C$21</f>
        <v>0</v>
      </c>
    </row>
    <row r="655" spans="1:6" x14ac:dyDescent="0.2">
      <c r="A655" s="1">
        <v>40831</v>
      </c>
      <c r="B655">
        <v>288</v>
      </c>
      <c r="C655">
        <f>'weather data'!E655</f>
        <v>10.637777777777782</v>
      </c>
      <c r="D655">
        <f>LAI!F655</f>
        <v>0</v>
      </c>
      <c r="E655">
        <f>0.5*C655*(1-EXP(-'user input'!$C$19*D655))</f>
        <v>0</v>
      </c>
      <c r="F655">
        <f>E655*'user input'!$C$21</f>
        <v>0</v>
      </c>
    </row>
    <row r="656" spans="1:6" x14ac:dyDescent="0.2">
      <c r="A656" s="1">
        <v>40832</v>
      </c>
      <c r="B656">
        <v>289</v>
      </c>
      <c r="C656">
        <f>'weather data'!E656</f>
        <v>10.64666666666667</v>
      </c>
      <c r="D656">
        <f>LAI!F656</f>
        <v>0</v>
      </c>
      <c r="E656">
        <f>0.5*C656*(1-EXP(-'user input'!$C$19*D656))</f>
        <v>0</v>
      </c>
      <c r="F656">
        <f>E656*'user input'!$C$21</f>
        <v>0</v>
      </c>
    </row>
    <row r="657" spans="1:6" x14ac:dyDescent="0.2">
      <c r="A657" s="1">
        <v>40833</v>
      </c>
      <c r="B657">
        <v>290</v>
      </c>
      <c r="C657">
        <f>'weather data'!E657</f>
        <v>10.311111111111112</v>
      </c>
      <c r="D657">
        <f>LAI!F657</f>
        <v>0</v>
      </c>
      <c r="E657">
        <f>0.5*C657*(1-EXP(-'user input'!$C$19*D657))</f>
        <v>0</v>
      </c>
      <c r="F657">
        <f>E657*'user input'!$C$21</f>
        <v>0</v>
      </c>
    </row>
    <row r="658" spans="1:6" x14ac:dyDescent="0.2">
      <c r="A658" s="1">
        <v>40834</v>
      </c>
      <c r="B658">
        <v>291</v>
      </c>
      <c r="C658">
        <f>'weather data'!E658</f>
        <v>9.4244444444444415</v>
      </c>
      <c r="D658">
        <f>LAI!F658</f>
        <v>0</v>
      </c>
      <c r="E658">
        <f>0.5*C658*(1-EXP(-'user input'!$C$19*D658))</f>
        <v>0</v>
      </c>
      <c r="F658">
        <f>E658*'user input'!$C$21</f>
        <v>0</v>
      </c>
    </row>
    <row r="659" spans="1:6" x14ac:dyDescent="0.2">
      <c r="A659" s="1">
        <v>40835</v>
      </c>
      <c r="B659">
        <v>292</v>
      </c>
      <c r="C659">
        <f>'weather data'!E659</f>
        <v>9.5977777777777806</v>
      </c>
      <c r="D659">
        <f>LAI!F659</f>
        <v>0</v>
      </c>
      <c r="E659">
        <f>0.5*C659*(1-EXP(-'user input'!$C$19*D659))</f>
        <v>0</v>
      </c>
      <c r="F659">
        <f>E659*'user input'!$C$21</f>
        <v>0</v>
      </c>
    </row>
    <row r="660" spans="1:6" x14ac:dyDescent="0.2">
      <c r="A660" s="1">
        <v>40836</v>
      </c>
      <c r="B660">
        <v>293</v>
      </c>
      <c r="C660">
        <f>'weather data'!E660</f>
        <v>9.0800000000000036</v>
      </c>
      <c r="D660">
        <f>LAI!F660</f>
        <v>0</v>
      </c>
      <c r="E660">
        <f>0.5*C660*(1-EXP(-'user input'!$C$19*D660))</f>
        <v>0</v>
      </c>
      <c r="F660">
        <f>E660*'user input'!$C$21</f>
        <v>0</v>
      </c>
    </row>
    <row r="661" spans="1:6" x14ac:dyDescent="0.2">
      <c r="A661" s="1">
        <v>40837</v>
      </c>
      <c r="B661">
        <v>294</v>
      </c>
      <c r="C661">
        <f>'weather data'!E661</f>
        <v>8.8311111111111114</v>
      </c>
      <c r="D661">
        <f>LAI!F661</f>
        <v>0</v>
      </c>
      <c r="E661">
        <f>0.5*C661*(1-EXP(-'user input'!$C$19*D661))</f>
        <v>0</v>
      </c>
      <c r="F661">
        <f>E661*'user input'!$C$21</f>
        <v>0</v>
      </c>
    </row>
    <row r="662" spans="1:6" x14ac:dyDescent="0.2">
      <c r="A662" s="1">
        <v>40838</v>
      </c>
      <c r="B662">
        <v>295</v>
      </c>
      <c r="C662">
        <f>'weather data'!E662</f>
        <v>8.6733333333333285</v>
      </c>
      <c r="D662">
        <f>LAI!F662</f>
        <v>0</v>
      </c>
      <c r="E662">
        <f>0.5*C662*(1-EXP(-'user input'!$C$19*D662))</f>
        <v>0</v>
      </c>
      <c r="F662">
        <f>E662*'user input'!$C$21</f>
        <v>0</v>
      </c>
    </row>
    <row r="663" spans="1:6" x14ac:dyDescent="0.2">
      <c r="A663" s="1">
        <v>40839</v>
      </c>
      <c r="B663">
        <v>296</v>
      </c>
      <c r="C663">
        <f>'weather data'!E663</f>
        <v>7.8955555555555543</v>
      </c>
      <c r="D663">
        <f>LAI!F663</f>
        <v>0</v>
      </c>
      <c r="E663">
        <f>0.5*C663*(1-EXP(-'user input'!$C$19*D663))</f>
        <v>0</v>
      </c>
      <c r="F663">
        <f>E663*'user input'!$C$21</f>
        <v>0</v>
      </c>
    </row>
    <row r="664" spans="1:6" x14ac:dyDescent="0.2">
      <c r="A664" s="1">
        <v>40840</v>
      </c>
      <c r="B664">
        <v>297</v>
      </c>
      <c r="C664">
        <f>'weather data'!E664</f>
        <v>8.4711111111111119</v>
      </c>
      <c r="D664">
        <f>LAI!F664</f>
        <v>0</v>
      </c>
      <c r="E664">
        <f>0.5*C664*(1-EXP(-'user input'!$C$19*D664))</f>
        <v>0</v>
      </c>
      <c r="F664">
        <f>E664*'user input'!$C$21</f>
        <v>0</v>
      </c>
    </row>
    <row r="665" spans="1:6" x14ac:dyDescent="0.2">
      <c r="A665" s="1">
        <v>40841</v>
      </c>
      <c r="B665">
        <v>298</v>
      </c>
      <c r="C665">
        <f>'weather data'!E665</f>
        <v>8.9599999999999991</v>
      </c>
      <c r="D665">
        <f>LAI!F665</f>
        <v>0</v>
      </c>
      <c r="E665">
        <f>0.5*C665*(1-EXP(-'user input'!$C$19*D665))</f>
        <v>0</v>
      </c>
      <c r="F665">
        <f>E665*'user input'!$C$21</f>
        <v>0</v>
      </c>
    </row>
    <row r="666" spans="1:6" x14ac:dyDescent="0.2">
      <c r="A666" s="1">
        <v>40842</v>
      </c>
      <c r="B666">
        <v>299</v>
      </c>
      <c r="C666">
        <f>'weather data'!E666</f>
        <v>9.0155555555555544</v>
      </c>
      <c r="D666">
        <f>LAI!F666</f>
        <v>0</v>
      </c>
      <c r="E666">
        <f>0.5*C666*(1-EXP(-'user input'!$C$19*D666))</f>
        <v>0</v>
      </c>
      <c r="F666">
        <f>E666*'user input'!$C$21</f>
        <v>0</v>
      </c>
    </row>
    <row r="667" spans="1:6" x14ac:dyDescent="0.2">
      <c r="A667" s="1">
        <v>40843</v>
      </c>
      <c r="B667">
        <v>300</v>
      </c>
      <c r="C667">
        <f>'weather data'!E667</f>
        <v>8.5622222222222231</v>
      </c>
      <c r="D667">
        <f>LAI!F667</f>
        <v>0</v>
      </c>
      <c r="E667">
        <f>0.5*C667*(1-EXP(-'user input'!$C$19*D667))</f>
        <v>0</v>
      </c>
      <c r="F667">
        <f>E667*'user input'!$C$21</f>
        <v>0</v>
      </c>
    </row>
    <row r="668" spans="1:6" x14ac:dyDescent="0.2">
      <c r="A668" s="1">
        <v>40844</v>
      </c>
      <c r="B668">
        <v>301</v>
      </c>
      <c r="C668">
        <f>'weather data'!E668</f>
        <v>9.3444444444444468</v>
      </c>
      <c r="D668">
        <f>LAI!F668</f>
        <v>0</v>
      </c>
      <c r="E668">
        <f>0.5*C668*(1-EXP(-'user input'!$C$19*D668))</f>
        <v>0</v>
      </c>
      <c r="F668">
        <f>E668*'user input'!$C$21</f>
        <v>0</v>
      </c>
    </row>
    <row r="669" spans="1:6" x14ac:dyDescent="0.2">
      <c r="A669" s="1">
        <v>40845</v>
      </c>
      <c r="B669">
        <v>302</v>
      </c>
      <c r="C669">
        <f>'weather data'!E669</f>
        <v>8.6866666666666656</v>
      </c>
      <c r="D669">
        <f>LAI!F669</f>
        <v>0</v>
      </c>
      <c r="E669">
        <f>0.5*C669*(1-EXP(-'user input'!$C$19*D669))</f>
        <v>0</v>
      </c>
      <c r="F669">
        <f>E669*'user input'!$C$21</f>
        <v>0</v>
      </c>
    </row>
    <row r="670" spans="1:6" x14ac:dyDescent="0.2">
      <c r="A670" s="1">
        <v>40846</v>
      </c>
      <c r="B670">
        <v>303</v>
      </c>
      <c r="C670">
        <f>'weather data'!E670</f>
        <v>8.1999999999999975</v>
      </c>
      <c r="D670">
        <f>LAI!F670</f>
        <v>0</v>
      </c>
      <c r="E670">
        <f>0.5*C670*(1-EXP(-'user input'!$C$19*D670))</f>
        <v>0</v>
      </c>
      <c r="F670">
        <f>E670*'user input'!$C$21</f>
        <v>0</v>
      </c>
    </row>
    <row r="671" spans="1:6" x14ac:dyDescent="0.2">
      <c r="A671" s="1">
        <v>40847</v>
      </c>
      <c r="B671">
        <v>304</v>
      </c>
      <c r="C671">
        <f>'weather data'!E671</f>
        <v>7.120000000000001</v>
      </c>
      <c r="D671">
        <f>LAI!F671</f>
        <v>0</v>
      </c>
      <c r="E671">
        <f>0.5*C671*(1-EXP(-'user input'!$C$19*D671))</f>
        <v>0</v>
      </c>
      <c r="F671">
        <f>E671*'user input'!$C$21</f>
        <v>0</v>
      </c>
    </row>
    <row r="672" spans="1:6" x14ac:dyDescent="0.2">
      <c r="A672" s="1">
        <v>40848</v>
      </c>
      <c r="B672">
        <v>305</v>
      </c>
      <c r="C672">
        <f>'weather data'!E672</f>
        <v>6.913333333333334</v>
      </c>
      <c r="D672">
        <f>LAI!F672</f>
        <v>0</v>
      </c>
      <c r="E672">
        <f>0.5*C672*(1-EXP(-'user input'!$C$19*D672))</f>
        <v>0</v>
      </c>
      <c r="F672">
        <f>E672*'user input'!$C$21</f>
        <v>0</v>
      </c>
    </row>
    <row r="673" spans="1:6" x14ac:dyDescent="0.2">
      <c r="A673" s="1">
        <v>40849</v>
      </c>
      <c r="B673">
        <v>306</v>
      </c>
      <c r="C673">
        <f>'weather data'!E673</f>
        <v>7.6555555555555559</v>
      </c>
      <c r="D673">
        <f>LAI!F673</f>
        <v>0</v>
      </c>
      <c r="E673">
        <f>0.5*C673*(1-EXP(-'user input'!$C$19*D673))</f>
        <v>0</v>
      </c>
      <c r="F673">
        <f>E673*'user input'!$C$21</f>
        <v>0</v>
      </c>
    </row>
    <row r="674" spans="1:6" x14ac:dyDescent="0.2">
      <c r="A674" s="1">
        <v>40850</v>
      </c>
      <c r="B674">
        <v>307</v>
      </c>
      <c r="C674">
        <f>'weather data'!E674</f>
        <v>7.1822222222222205</v>
      </c>
      <c r="D674">
        <f>LAI!F674</f>
        <v>0</v>
      </c>
      <c r="E674">
        <f>0.5*C674*(1-EXP(-'user input'!$C$19*D674))</f>
        <v>0</v>
      </c>
      <c r="F674">
        <f>E674*'user input'!$C$21</f>
        <v>0</v>
      </c>
    </row>
    <row r="675" spans="1:6" x14ac:dyDescent="0.2">
      <c r="A675" s="1">
        <v>40851</v>
      </c>
      <c r="B675">
        <v>308</v>
      </c>
      <c r="C675">
        <f>'weather data'!E675</f>
        <v>7.5955555555555545</v>
      </c>
      <c r="D675">
        <f>LAI!F675</f>
        <v>0</v>
      </c>
      <c r="E675">
        <f>0.5*C675*(1-EXP(-'user input'!$C$19*D675))</f>
        <v>0</v>
      </c>
      <c r="F675">
        <f>E675*'user input'!$C$21</f>
        <v>0</v>
      </c>
    </row>
    <row r="676" spans="1:6" x14ac:dyDescent="0.2">
      <c r="A676" s="1">
        <v>40852</v>
      </c>
      <c r="B676">
        <v>309</v>
      </c>
      <c r="C676">
        <f>'weather data'!E676</f>
        <v>6.7955555555555573</v>
      </c>
      <c r="D676">
        <f>LAI!F676</f>
        <v>0</v>
      </c>
      <c r="E676">
        <f>0.5*C676*(1-EXP(-'user input'!$C$19*D676))</f>
        <v>0</v>
      </c>
      <c r="F676">
        <f>E676*'user input'!$C$21</f>
        <v>0</v>
      </c>
    </row>
    <row r="677" spans="1:6" x14ac:dyDescent="0.2">
      <c r="A677" s="1">
        <v>40853</v>
      </c>
      <c r="B677">
        <v>310</v>
      </c>
      <c r="C677">
        <f>'weather data'!E677</f>
        <v>6.6288888888888904</v>
      </c>
      <c r="D677">
        <f>LAI!F677</f>
        <v>0</v>
      </c>
      <c r="E677">
        <f>0.5*C677*(1-EXP(-'user input'!$C$19*D677))</f>
        <v>0</v>
      </c>
      <c r="F677">
        <f>E677*'user input'!$C$21</f>
        <v>0</v>
      </c>
    </row>
    <row r="678" spans="1:6" x14ac:dyDescent="0.2">
      <c r="A678" s="1">
        <v>40854</v>
      </c>
      <c r="B678">
        <v>311</v>
      </c>
      <c r="C678">
        <f>'weather data'!E678</f>
        <v>7.4622222222222225</v>
      </c>
      <c r="D678">
        <f>LAI!F678</f>
        <v>0</v>
      </c>
      <c r="E678">
        <f>0.5*C678*(1-EXP(-'user input'!$C$19*D678))</f>
        <v>0</v>
      </c>
      <c r="F678">
        <f>E678*'user input'!$C$21</f>
        <v>0</v>
      </c>
    </row>
    <row r="679" spans="1:6" x14ac:dyDescent="0.2">
      <c r="A679" s="1">
        <v>40855</v>
      </c>
      <c r="B679">
        <v>312</v>
      </c>
      <c r="C679">
        <f>'weather data'!E679</f>
        <v>6.4088888888888897</v>
      </c>
      <c r="D679">
        <f>LAI!F679</f>
        <v>0</v>
      </c>
      <c r="E679">
        <f>0.5*C679*(1-EXP(-'user input'!$C$19*D679))</f>
        <v>0</v>
      </c>
      <c r="F679">
        <f>E679*'user input'!$C$21</f>
        <v>0</v>
      </c>
    </row>
    <row r="680" spans="1:6" x14ac:dyDescent="0.2">
      <c r="A680" s="1">
        <v>40856</v>
      </c>
      <c r="B680">
        <v>313</v>
      </c>
      <c r="C680">
        <f>'weather data'!E680</f>
        <v>6.8622222222222238</v>
      </c>
      <c r="D680">
        <f>LAI!F680</f>
        <v>0</v>
      </c>
      <c r="E680">
        <f>0.5*C680*(1-EXP(-'user input'!$C$19*D680))</f>
        <v>0</v>
      </c>
      <c r="F680">
        <f>E680*'user input'!$C$21</f>
        <v>0</v>
      </c>
    </row>
    <row r="681" spans="1:6" x14ac:dyDescent="0.2">
      <c r="A681" s="1">
        <v>40857</v>
      </c>
      <c r="B681">
        <v>314</v>
      </c>
      <c r="C681">
        <f>'weather data'!E681</f>
        <v>6.8200000000000012</v>
      </c>
      <c r="D681">
        <f>LAI!F681</f>
        <v>0</v>
      </c>
      <c r="E681">
        <f>0.5*C681*(1-EXP(-'user input'!$C$19*D681))</f>
        <v>0</v>
      </c>
      <c r="F681">
        <f>E681*'user input'!$C$21</f>
        <v>0</v>
      </c>
    </row>
    <row r="682" spans="1:6" x14ac:dyDescent="0.2">
      <c r="A682" s="1">
        <v>40858</v>
      </c>
      <c r="B682">
        <v>315</v>
      </c>
      <c r="C682">
        <f>'weather data'!E682</f>
        <v>7.075555555555554</v>
      </c>
      <c r="D682">
        <f>LAI!F682</f>
        <v>0</v>
      </c>
      <c r="E682">
        <f>0.5*C682*(1-EXP(-'user input'!$C$19*D682))</f>
        <v>0</v>
      </c>
      <c r="F682">
        <f>E682*'user input'!$C$21</f>
        <v>0</v>
      </c>
    </row>
    <row r="683" spans="1:6" x14ac:dyDescent="0.2">
      <c r="A683" s="1">
        <v>40859</v>
      </c>
      <c r="B683">
        <v>316</v>
      </c>
      <c r="C683">
        <f>'weather data'!E683</f>
        <v>6.7977777777777781</v>
      </c>
      <c r="D683">
        <f>LAI!F683</f>
        <v>0</v>
      </c>
      <c r="E683">
        <f>0.5*C683*(1-EXP(-'user input'!$C$19*D683))</f>
        <v>0</v>
      </c>
      <c r="F683">
        <f>E683*'user input'!$C$21</f>
        <v>0</v>
      </c>
    </row>
    <row r="684" spans="1:6" x14ac:dyDescent="0.2">
      <c r="A684" s="1">
        <v>40860</v>
      </c>
      <c r="B684">
        <v>317</v>
      </c>
      <c r="C684">
        <f>'weather data'!E684</f>
        <v>6.2888888888888914</v>
      </c>
      <c r="D684">
        <f>LAI!F684</f>
        <v>0</v>
      </c>
      <c r="E684">
        <f>0.5*C684*(1-EXP(-'user input'!$C$19*D684))</f>
        <v>0</v>
      </c>
      <c r="F684">
        <f>E684*'user input'!$C$21</f>
        <v>0</v>
      </c>
    </row>
    <row r="685" spans="1:6" x14ac:dyDescent="0.2">
      <c r="A685" s="1">
        <v>40861</v>
      </c>
      <c r="B685">
        <v>318</v>
      </c>
      <c r="C685">
        <f>'weather data'!E685</f>
        <v>6.3822222222222242</v>
      </c>
      <c r="D685">
        <f>LAI!F685</f>
        <v>0</v>
      </c>
      <c r="E685">
        <f>0.5*C685*(1-EXP(-'user input'!$C$19*D685))</f>
        <v>0</v>
      </c>
      <c r="F685">
        <f>E685*'user input'!$C$21</f>
        <v>0</v>
      </c>
    </row>
    <row r="686" spans="1:6" x14ac:dyDescent="0.2">
      <c r="A686" s="1">
        <v>40862</v>
      </c>
      <c r="B686">
        <v>319</v>
      </c>
      <c r="C686">
        <f>'weather data'!E686</f>
        <v>5.5888888888888895</v>
      </c>
      <c r="D686">
        <f>LAI!F686</f>
        <v>0</v>
      </c>
      <c r="E686">
        <f>0.5*C686*(1-EXP(-'user input'!$C$19*D686))</f>
        <v>0</v>
      </c>
      <c r="F686">
        <f>E686*'user input'!$C$21</f>
        <v>0</v>
      </c>
    </row>
    <row r="687" spans="1:6" x14ac:dyDescent="0.2">
      <c r="A687" s="1">
        <v>40863</v>
      </c>
      <c r="B687">
        <v>320</v>
      </c>
      <c r="C687">
        <f>'weather data'!E687</f>
        <v>6.2133333333333303</v>
      </c>
      <c r="D687">
        <f>LAI!F687</f>
        <v>0</v>
      </c>
      <c r="E687">
        <f>0.5*C687*(1-EXP(-'user input'!$C$19*D687))</f>
        <v>0</v>
      </c>
      <c r="F687">
        <f>E687*'user input'!$C$21</f>
        <v>0</v>
      </c>
    </row>
    <row r="688" spans="1:6" x14ac:dyDescent="0.2">
      <c r="A688" s="1">
        <v>40864</v>
      </c>
      <c r="B688">
        <v>321</v>
      </c>
      <c r="C688">
        <f>'weather data'!E688</f>
        <v>6.3666666666666654</v>
      </c>
      <c r="D688">
        <f>LAI!F688</f>
        <v>0</v>
      </c>
      <c r="E688">
        <f>0.5*C688*(1-EXP(-'user input'!$C$19*D688))</f>
        <v>0</v>
      </c>
      <c r="F688">
        <f>E688*'user input'!$C$21</f>
        <v>0</v>
      </c>
    </row>
    <row r="689" spans="1:6" x14ac:dyDescent="0.2">
      <c r="A689" s="1">
        <v>40865</v>
      </c>
      <c r="B689">
        <v>322</v>
      </c>
      <c r="C689">
        <f>'weather data'!E689</f>
        <v>6.0955555555555545</v>
      </c>
      <c r="D689">
        <f>LAI!F689</f>
        <v>0</v>
      </c>
      <c r="E689">
        <f>0.5*C689*(1-EXP(-'user input'!$C$19*D689))</f>
        <v>0</v>
      </c>
      <c r="F689">
        <f>E689*'user input'!$C$21</f>
        <v>0</v>
      </c>
    </row>
    <row r="690" spans="1:6" x14ac:dyDescent="0.2">
      <c r="A690" s="1">
        <v>40866</v>
      </c>
      <c r="B690">
        <v>323</v>
      </c>
      <c r="C690">
        <f>'weather data'!E690</f>
        <v>5.8177777777777795</v>
      </c>
      <c r="D690">
        <f>LAI!F690</f>
        <v>0</v>
      </c>
      <c r="E690">
        <f>0.5*C690*(1-EXP(-'user input'!$C$19*D690))</f>
        <v>0</v>
      </c>
      <c r="F690">
        <f>E690*'user input'!$C$21</f>
        <v>0</v>
      </c>
    </row>
    <row r="691" spans="1:6" x14ac:dyDescent="0.2">
      <c r="A691" s="1">
        <v>40867</v>
      </c>
      <c r="B691">
        <v>324</v>
      </c>
      <c r="C691">
        <f>'weather data'!E691</f>
        <v>5.0466666666666669</v>
      </c>
      <c r="D691">
        <f>LAI!F691</f>
        <v>0</v>
      </c>
      <c r="E691">
        <f>0.5*C691*(1-EXP(-'user input'!$C$19*D691))</f>
        <v>0</v>
      </c>
      <c r="F691">
        <f>E691*'user input'!$C$21</f>
        <v>0</v>
      </c>
    </row>
    <row r="692" spans="1:6" x14ac:dyDescent="0.2">
      <c r="A692" s="1">
        <v>40868</v>
      </c>
      <c r="B692">
        <v>325</v>
      </c>
      <c r="C692">
        <f>'weather data'!E692</f>
        <v>6.0044444444444434</v>
      </c>
      <c r="D692">
        <f>LAI!F692</f>
        <v>0</v>
      </c>
      <c r="E692">
        <f>0.5*C692*(1-EXP(-'user input'!$C$19*D692))</f>
        <v>0</v>
      </c>
      <c r="F692">
        <f>E692*'user input'!$C$21</f>
        <v>0</v>
      </c>
    </row>
    <row r="693" spans="1:6" x14ac:dyDescent="0.2">
      <c r="A693" s="1">
        <v>40869</v>
      </c>
      <c r="B693">
        <v>326</v>
      </c>
      <c r="C693">
        <f>'weather data'!E693</f>
        <v>6.1799999999999979</v>
      </c>
      <c r="D693">
        <f>LAI!F693</f>
        <v>0</v>
      </c>
      <c r="E693">
        <f>0.5*C693*(1-EXP(-'user input'!$C$19*D693))</f>
        <v>0</v>
      </c>
      <c r="F693">
        <f>E693*'user input'!$C$21</f>
        <v>0</v>
      </c>
    </row>
    <row r="694" spans="1:6" x14ac:dyDescent="0.2">
      <c r="A694" s="1">
        <v>40870</v>
      </c>
      <c r="B694">
        <v>327</v>
      </c>
      <c r="C694">
        <f>'weather data'!E694</f>
        <v>5.3200000000000021</v>
      </c>
      <c r="D694">
        <f>LAI!F694</f>
        <v>0</v>
      </c>
      <c r="E694">
        <f>0.5*C694*(1-EXP(-'user input'!$C$19*D694))</f>
        <v>0</v>
      </c>
      <c r="F694">
        <f>E694*'user input'!$C$21</f>
        <v>0</v>
      </c>
    </row>
    <row r="695" spans="1:6" x14ac:dyDescent="0.2">
      <c r="A695" s="1">
        <v>40871</v>
      </c>
      <c r="B695">
        <v>328</v>
      </c>
      <c r="C695">
        <f>'weather data'!E695</f>
        <v>5.6422222222222205</v>
      </c>
      <c r="D695">
        <f>LAI!F695</f>
        <v>0</v>
      </c>
      <c r="E695">
        <f>0.5*C695*(1-EXP(-'user input'!$C$19*D695))</f>
        <v>0</v>
      </c>
      <c r="F695">
        <f>E695*'user input'!$C$21</f>
        <v>0</v>
      </c>
    </row>
    <row r="696" spans="1:6" x14ac:dyDescent="0.2">
      <c r="A696" s="1">
        <v>40872</v>
      </c>
      <c r="B696">
        <v>329</v>
      </c>
      <c r="C696">
        <f>'weather data'!E696</f>
        <v>5.8155555555555578</v>
      </c>
      <c r="D696">
        <f>LAI!F696</f>
        <v>0</v>
      </c>
      <c r="E696">
        <f>0.5*C696*(1-EXP(-'user input'!$C$19*D696))</f>
        <v>0</v>
      </c>
      <c r="F696">
        <f>E696*'user input'!$C$21</f>
        <v>0</v>
      </c>
    </row>
    <row r="697" spans="1:6" x14ac:dyDescent="0.2">
      <c r="A697" s="1">
        <v>40873</v>
      </c>
      <c r="B697">
        <v>330</v>
      </c>
      <c r="C697">
        <f>'weather data'!E697</f>
        <v>4.8911111111111119</v>
      </c>
      <c r="D697">
        <f>LAI!F697</f>
        <v>0</v>
      </c>
      <c r="E697">
        <f>0.5*C697*(1-EXP(-'user input'!$C$19*D697))</f>
        <v>0</v>
      </c>
      <c r="F697">
        <f>E697*'user input'!$C$21</f>
        <v>0</v>
      </c>
    </row>
    <row r="698" spans="1:6" x14ac:dyDescent="0.2">
      <c r="A698" s="1">
        <v>40874</v>
      </c>
      <c r="B698">
        <v>331</v>
      </c>
      <c r="C698">
        <f>'weather data'!E698</f>
        <v>4.6599999999999984</v>
      </c>
      <c r="D698">
        <f>LAI!F698</f>
        <v>0</v>
      </c>
      <c r="E698">
        <f>0.5*C698*(1-EXP(-'user input'!$C$19*D698))</f>
        <v>0</v>
      </c>
      <c r="F698">
        <f>E698*'user input'!$C$21</f>
        <v>0</v>
      </c>
    </row>
    <row r="699" spans="1:6" x14ac:dyDescent="0.2">
      <c r="A699" s="1">
        <v>40875</v>
      </c>
      <c r="B699">
        <v>332</v>
      </c>
      <c r="C699">
        <f>'weather data'!E699</f>
        <v>5.6022222222222222</v>
      </c>
      <c r="D699">
        <f>LAI!F699</f>
        <v>0</v>
      </c>
      <c r="E699">
        <f>0.5*C699*(1-EXP(-'user input'!$C$19*D699))</f>
        <v>0</v>
      </c>
      <c r="F699">
        <f>E699*'user input'!$C$21</f>
        <v>0</v>
      </c>
    </row>
    <row r="700" spans="1:6" x14ac:dyDescent="0.2">
      <c r="A700" s="1">
        <v>40876</v>
      </c>
      <c r="B700">
        <v>333</v>
      </c>
      <c r="C700">
        <f>'weather data'!E700</f>
        <v>5.1000000000000005</v>
      </c>
      <c r="D700">
        <f>LAI!F700</f>
        <v>0</v>
      </c>
      <c r="E700">
        <f>0.5*C700*(1-EXP(-'user input'!$C$19*D700))</f>
        <v>0</v>
      </c>
      <c r="F700">
        <f>E700*'user input'!$C$21</f>
        <v>0</v>
      </c>
    </row>
    <row r="701" spans="1:6" x14ac:dyDescent="0.2">
      <c r="A701" s="1">
        <v>40877</v>
      </c>
      <c r="B701">
        <v>334</v>
      </c>
      <c r="C701">
        <f>'weather data'!E701</f>
        <v>5.0266666666666673</v>
      </c>
      <c r="D701">
        <f>LAI!F701</f>
        <v>0</v>
      </c>
      <c r="E701">
        <f>0.5*C701*(1-EXP(-'user input'!$C$19*D701))</f>
        <v>0</v>
      </c>
      <c r="F701">
        <f>E701*'user input'!$C$21</f>
        <v>0</v>
      </c>
    </row>
    <row r="702" spans="1:6" x14ac:dyDescent="0.2">
      <c r="A702" s="1">
        <v>40878</v>
      </c>
      <c r="B702">
        <v>335</v>
      </c>
      <c r="C702">
        <f>'weather data'!E702</f>
        <v>5.1866666666666648</v>
      </c>
      <c r="D702">
        <f>LAI!F702</f>
        <v>0</v>
      </c>
      <c r="E702">
        <f>0.5*C702*(1-EXP(-'user input'!$C$19*D702))</f>
        <v>0</v>
      </c>
      <c r="F702">
        <f>E702*'user input'!$C$21</f>
        <v>0</v>
      </c>
    </row>
    <row r="703" spans="1:6" x14ac:dyDescent="0.2">
      <c r="A703" s="1">
        <v>40879</v>
      </c>
      <c r="B703">
        <v>336</v>
      </c>
      <c r="C703">
        <f>'weather data'!E703</f>
        <v>5.5222222222222221</v>
      </c>
      <c r="D703">
        <f>LAI!F703</f>
        <v>0</v>
      </c>
      <c r="E703">
        <f>0.5*C703*(1-EXP(-'user input'!$C$19*D703))</f>
        <v>0</v>
      </c>
      <c r="F703">
        <f>E703*'user input'!$C$21</f>
        <v>0</v>
      </c>
    </row>
    <row r="704" spans="1:6" x14ac:dyDescent="0.2">
      <c r="A704" s="1">
        <v>40880</v>
      </c>
      <c r="B704">
        <v>337</v>
      </c>
      <c r="C704">
        <f>'weather data'!E704</f>
        <v>4.9666666666666659</v>
      </c>
      <c r="D704">
        <f>LAI!F704</f>
        <v>0</v>
      </c>
      <c r="E704">
        <f>0.5*C704*(1-EXP(-'user input'!$C$19*D704))</f>
        <v>0</v>
      </c>
      <c r="F704">
        <f>E704*'user input'!$C$21</f>
        <v>0</v>
      </c>
    </row>
    <row r="705" spans="1:6" x14ac:dyDescent="0.2">
      <c r="A705" s="1">
        <v>40881</v>
      </c>
      <c r="B705">
        <v>338</v>
      </c>
      <c r="C705">
        <f>'weather data'!E705</f>
        <v>5.1911111111111108</v>
      </c>
      <c r="D705">
        <f>LAI!F705</f>
        <v>0</v>
      </c>
      <c r="E705">
        <f>0.5*C705*(1-EXP(-'user input'!$C$19*D705))</f>
        <v>0</v>
      </c>
      <c r="F705">
        <f>E705*'user input'!$C$21</f>
        <v>0</v>
      </c>
    </row>
    <row r="706" spans="1:6" x14ac:dyDescent="0.2">
      <c r="A706" s="1">
        <v>40882</v>
      </c>
      <c r="B706">
        <v>339</v>
      </c>
      <c r="C706">
        <f>'weather data'!E706</f>
        <v>5.08</v>
      </c>
      <c r="D706">
        <f>LAI!F706</f>
        <v>0</v>
      </c>
      <c r="E706">
        <f>0.5*C706*(1-EXP(-'user input'!$C$19*D706))</f>
        <v>0</v>
      </c>
      <c r="F706">
        <f>E706*'user input'!$C$21</f>
        <v>0</v>
      </c>
    </row>
    <row r="707" spans="1:6" x14ac:dyDescent="0.2">
      <c r="A707" s="1">
        <v>40883</v>
      </c>
      <c r="B707">
        <v>340</v>
      </c>
      <c r="C707">
        <f>'weather data'!E707</f>
        <v>5.3800000000000008</v>
      </c>
      <c r="D707">
        <f>LAI!F707</f>
        <v>0</v>
      </c>
      <c r="E707">
        <f>0.5*C707*(1-EXP(-'user input'!$C$19*D707))</f>
        <v>0</v>
      </c>
      <c r="F707">
        <f>E707*'user input'!$C$21</f>
        <v>0</v>
      </c>
    </row>
    <row r="708" spans="1:6" x14ac:dyDescent="0.2">
      <c r="A708" s="1">
        <v>40884</v>
      </c>
      <c r="B708">
        <v>341</v>
      </c>
      <c r="C708">
        <f>'weather data'!E708</f>
        <v>5.1688888888888878</v>
      </c>
      <c r="D708">
        <f>LAI!F708</f>
        <v>0</v>
      </c>
      <c r="E708">
        <f>0.5*C708*(1-EXP(-'user input'!$C$19*D708))</f>
        <v>0</v>
      </c>
      <c r="F708">
        <f>E708*'user input'!$C$21</f>
        <v>0</v>
      </c>
    </row>
    <row r="709" spans="1:6" x14ac:dyDescent="0.2">
      <c r="A709" s="1">
        <v>40885</v>
      </c>
      <c r="B709">
        <v>342</v>
      </c>
      <c r="C709">
        <f>'weather data'!E709</f>
        <v>5.0244444444444447</v>
      </c>
      <c r="D709">
        <f>LAI!F709</f>
        <v>0</v>
      </c>
      <c r="E709">
        <f>0.5*C709*(1-EXP(-'user input'!$C$19*D709))</f>
        <v>0</v>
      </c>
      <c r="F709">
        <f>E709*'user input'!$C$21</f>
        <v>0</v>
      </c>
    </row>
    <row r="710" spans="1:6" x14ac:dyDescent="0.2">
      <c r="A710" s="1">
        <v>40886</v>
      </c>
      <c r="B710">
        <v>343</v>
      </c>
      <c r="C710">
        <f>'weather data'!E710</f>
        <v>4.9955555555555549</v>
      </c>
      <c r="D710">
        <f>LAI!F710</f>
        <v>0</v>
      </c>
      <c r="E710">
        <f>0.5*C710*(1-EXP(-'user input'!$C$19*D710))</f>
        <v>0</v>
      </c>
      <c r="F710">
        <f>E710*'user input'!$C$21</f>
        <v>0</v>
      </c>
    </row>
    <row r="711" spans="1:6" x14ac:dyDescent="0.2">
      <c r="A711" s="1">
        <v>40887</v>
      </c>
      <c r="B711">
        <v>344</v>
      </c>
      <c r="C711">
        <f>'weather data'!E711</f>
        <v>4.9866666666666664</v>
      </c>
      <c r="D711">
        <f>LAI!F711</f>
        <v>0</v>
      </c>
      <c r="E711">
        <f>0.5*C711*(1-EXP(-'user input'!$C$19*D711))</f>
        <v>0</v>
      </c>
      <c r="F711">
        <f>E711*'user input'!$C$21</f>
        <v>0</v>
      </c>
    </row>
    <row r="712" spans="1:6" x14ac:dyDescent="0.2">
      <c r="A712" s="1">
        <v>40888</v>
      </c>
      <c r="B712">
        <v>345</v>
      </c>
      <c r="C712">
        <f>'weather data'!E712</f>
        <v>5.0311111111111106</v>
      </c>
      <c r="D712">
        <f>LAI!F712</f>
        <v>0</v>
      </c>
      <c r="E712">
        <f>0.5*C712*(1-EXP(-'user input'!$C$19*D712))</f>
        <v>0</v>
      </c>
      <c r="F712">
        <f>E712*'user input'!$C$21</f>
        <v>0</v>
      </c>
    </row>
    <row r="713" spans="1:6" x14ac:dyDescent="0.2">
      <c r="A713" s="1">
        <v>40889</v>
      </c>
      <c r="B713">
        <v>346</v>
      </c>
      <c r="C713">
        <f>'weather data'!E713</f>
        <v>4.826666666666668</v>
      </c>
      <c r="D713">
        <f>LAI!F713</f>
        <v>0</v>
      </c>
      <c r="E713">
        <f>0.5*C713*(1-EXP(-'user input'!$C$19*D713))</f>
        <v>0</v>
      </c>
      <c r="F713">
        <f>E713*'user input'!$C$21</f>
        <v>0</v>
      </c>
    </row>
    <row r="714" spans="1:6" x14ac:dyDescent="0.2">
      <c r="A714" s="1">
        <v>40890</v>
      </c>
      <c r="B714">
        <v>347</v>
      </c>
      <c r="C714">
        <f>'weather data'!E714</f>
        <v>5.126666666666666</v>
      </c>
      <c r="D714">
        <f>LAI!F714</f>
        <v>0</v>
      </c>
      <c r="E714">
        <f>0.5*C714*(1-EXP(-'user input'!$C$19*D714))</f>
        <v>0</v>
      </c>
      <c r="F714">
        <f>E714*'user input'!$C$21</f>
        <v>0</v>
      </c>
    </row>
    <row r="715" spans="1:6" x14ac:dyDescent="0.2">
      <c r="A715" s="1">
        <v>40891</v>
      </c>
      <c r="B715">
        <v>348</v>
      </c>
      <c r="C715">
        <f>'weather data'!E715</f>
        <v>4.9755555555555553</v>
      </c>
      <c r="D715">
        <f>LAI!F715</f>
        <v>0</v>
      </c>
      <c r="E715">
        <f>0.5*C715*(1-EXP(-'user input'!$C$19*D715))</f>
        <v>0</v>
      </c>
      <c r="F715">
        <f>E715*'user input'!$C$21</f>
        <v>0</v>
      </c>
    </row>
    <row r="716" spans="1:6" x14ac:dyDescent="0.2">
      <c r="A716" s="1">
        <v>40892</v>
      </c>
      <c r="B716">
        <v>349</v>
      </c>
      <c r="C716">
        <f>'weather data'!E716</f>
        <v>4.8177777777777795</v>
      </c>
      <c r="D716">
        <f>LAI!F716</f>
        <v>0</v>
      </c>
      <c r="E716">
        <f>0.5*C716*(1-EXP(-'user input'!$C$19*D716))</f>
        <v>0</v>
      </c>
      <c r="F716">
        <f>E716*'user input'!$C$21</f>
        <v>0</v>
      </c>
    </row>
    <row r="717" spans="1:6" x14ac:dyDescent="0.2">
      <c r="A717" s="1">
        <v>40893</v>
      </c>
      <c r="B717">
        <v>350</v>
      </c>
      <c r="C717">
        <f>'weather data'!E717</f>
        <v>5.1622222222222209</v>
      </c>
      <c r="D717">
        <f>LAI!F717</f>
        <v>0</v>
      </c>
      <c r="E717">
        <f>0.5*C717*(1-EXP(-'user input'!$C$19*D717))</f>
        <v>0</v>
      </c>
      <c r="F717">
        <f>E717*'user input'!$C$21</f>
        <v>0</v>
      </c>
    </row>
    <row r="718" spans="1:6" x14ac:dyDescent="0.2">
      <c r="A718" s="1">
        <v>40894</v>
      </c>
      <c r="B718">
        <v>351</v>
      </c>
      <c r="C718">
        <f>'weather data'!E718</f>
        <v>5.1977777777777758</v>
      </c>
      <c r="D718">
        <f>LAI!F718</f>
        <v>0</v>
      </c>
      <c r="E718">
        <f>0.5*C718*(1-EXP(-'user input'!$C$19*D718))</f>
        <v>0</v>
      </c>
      <c r="F718">
        <f>E718*'user input'!$C$21</f>
        <v>0</v>
      </c>
    </row>
    <row r="719" spans="1:6" x14ac:dyDescent="0.2">
      <c r="A719" s="1">
        <v>40895</v>
      </c>
      <c r="B719">
        <v>352</v>
      </c>
      <c r="C719">
        <f>'weather data'!E719</f>
        <v>5.0222222222222221</v>
      </c>
      <c r="D719">
        <f>LAI!F719</f>
        <v>0</v>
      </c>
      <c r="E719">
        <f>0.5*C719*(1-EXP(-'user input'!$C$19*D719))</f>
        <v>0</v>
      </c>
      <c r="F719">
        <f>E719*'user input'!$C$21</f>
        <v>0</v>
      </c>
    </row>
    <row r="720" spans="1:6" x14ac:dyDescent="0.2">
      <c r="A720" s="1">
        <v>40896</v>
      </c>
      <c r="B720">
        <v>353</v>
      </c>
      <c r="C720">
        <f>'weather data'!E720</f>
        <v>4.9799999999999986</v>
      </c>
      <c r="D720">
        <f>LAI!F720</f>
        <v>0</v>
      </c>
      <c r="E720">
        <f>0.5*C720*(1-EXP(-'user input'!$C$19*D720))</f>
        <v>0</v>
      </c>
      <c r="F720">
        <f>E720*'user input'!$C$21</f>
        <v>0</v>
      </c>
    </row>
    <row r="721" spans="1:6" x14ac:dyDescent="0.2">
      <c r="A721" s="1">
        <v>40897</v>
      </c>
      <c r="B721">
        <v>354</v>
      </c>
      <c r="C721">
        <f>'weather data'!E721</f>
        <v>5.408888888888888</v>
      </c>
      <c r="D721">
        <f>LAI!F721</f>
        <v>0</v>
      </c>
      <c r="E721">
        <f>0.5*C721*(1-EXP(-'user input'!$C$19*D721))</f>
        <v>0</v>
      </c>
      <c r="F721">
        <f>E721*'user input'!$C$21</f>
        <v>0</v>
      </c>
    </row>
    <row r="722" spans="1:6" x14ac:dyDescent="0.2">
      <c r="A722" s="1">
        <v>40898</v>
      </c>
      <c r="B722">
        <v>355</v>
      </c>
      <c r="C722">
        <f>'weather data'!E722</f>
        <v>5.52</v>
      </c>
      <c r="D722">
        <f>LAI!F722</f>
        <v>0</v>
      </c>
      <c r="E722">
        <f>0.5*C722*(1-EXP(-'user input'!$C$19*D722))</f>
        <v>0</v>
      </c>
      <c r="F722">
        <f>E722*'user input'!$C$21</f>
        <v>0</v>
      </c>
    </row>
    <row r="723" spans="1:6" x14ac:dyDescent="0.2">
      <c r="A723" s="1">
        <v>40899</v>
      </c>
      <c r="B723">
        <v>356</v>
      </c>
      <c r="C723">
        <f>'weather data'!E723</f>
        <v>4.9644444444444442</v>
      </c>
      <c r="D723">
        <f>LAI!F723</f>
        <v>0</v>
      </c>
      <c r="E723">
        <f>0.5*C723*(1-EXP(-'user input'!$C$19*D723))</f>
        <v>0</v>
      </c>
      <c r="F723">
        <f>E723*'user input'!$C$21</f>
        <v>0</v>
      </c>
    </row>
    <row r="724" spans="1:6" x14ac:dyDescent="0.2">
      <c r="A724" s="1">
        <v>40900</v>
      </c>
      <c r="B724">
        <v>357</v>
      </c>
      <c r="C724">
        <f>'weather data'!E724</f>
        <v>4.83777777777778</v>
      </c>
      <c r="D724">
        <f>LAI!F724</f>
        <v>0</v>
      </c>
      <c r="E724">
        <f>0.5*C724*(1-EXP(-'user input'!$C$19*D724))</f>
        <v>0</v>
      </c>
      <c r="F724">
        <f>E724*'user input'!$C$21</f>
        <v>0</v>
      </c>
    </row>
    <row r="725" spans="1:6" x14ac:dyDescent="0.2">
      <c r="A725" s="1">
        <v>40901</v>
      </c>
      <c r="B725">
        <v>358</v>
      </c>
      <c r="C725">
        <f>'weather data'!E725</f>
        <v>5.028888888888889</v>
      </c>
      <c r="D725">
        <f>LAI!F725</f>
        <v>0</v>
      </c>
      <c r="E725">
        <f>0.5*C725*(1-EXP(-'user input'!$C$19*D725))</f>
        <v>0</v>
      </c>
      <c r="F725">
        <f>E725*'user input'!$C$21</f>
        <v>0</v>
      </c>
    </row>
    <row r="726" spans="1:6" x14ac:dyDescent="0.2">
      <c r="A726" s="1">
        <v>40902</v>
      </c>
      <c r="B726">
        <v>359</v>
      </c>
      <c r="C726">
        <f>'weather data'!E726</f>
        <v>5.6022222222222213</v>
      </c>
      <c r="D726">
        <f>LAI!F726</f>
        <v>0</v>
      </c>
      <c r="E726">
        <f>0.5*C726*(1-EXP(-'user input'!$C$19*D726))</f>
        <v>0</v>
      </c>
      <c r="F726">
        <f>E726*'user input'!$C$21</f>
        <v>0</v>
      </c>
    </row>
    <row r="727" spans="1:6" x14ac:dyDescent="0.2">
      <c r="A727" s="1">
        <v>40903</v>
      </c>
      <c r="B727">
        <v>360</v>
      </c>
      <c r="C727">
        <f>'weather data'!E727</f>
        <v>5.1066666666666656</v>
      </c>
      <c r="D727">
        <f>LAI!F727</f>
        <v>0</v>
      </c>
      <c r="E727">
        <f>0.5*C727*(1-EXP(-'user input'!$C$19*D727))</f>
        <v>0</v>
      </c>
      <c r="F727">
        <f>E727*'user input'!$C$21</f>
        <v>0</v>
      </c>
    </row>
    <row r="728" spans="1:6" x14ac:dyDescent="0.2">
      <c r="A728" s="1">
        <v>40904</v>
      </c>
      <c r="B728">
        <v>361</v>
      </c>
      <c r="C728">
        <f>'weather data'!E728</f>
        <v>5.1711111111111112</v>
      </c>
      <c r="D728">
        <f>LAI!F728</f>
        <v>0</v>
      </c>
      <c r="E728">
        <f>0.5*C728*(1-EXP(-'user input'!$C$19*D728))</f>
        <v>0</v>
      </c>
      <c r="F728">
        <f>E728*'user input'!$C$21</f>
        <v>0</v>
      </c>
    </row>
    <row r="729" spans="1:6" x14ac:dyDescent="0.2">
      <c r="A729" s="1">
        <v>40905</v>
      </c>
      <c r="B729">
        <v>362</v>
      </c>
      <c r="C729">
        <f>'weather data'!E729</f>
        <v>4.5044444444444451</v>
      </c>
      <c r="D729">
        <f>LAI!F729</f>
        <v>0</v>
      </c>
      <c r="E729">
        <f>0.5*C729*(1-EXP(-'user input'!$C$19*D729))</f>
        <v>0</v>
      </c>
      <c r="F729">
        <f>E729*'user input'!$C$21</f>
        <v>0</v>
      </c>
    </row>
    <row r="730" spans="1:6" x14ac:dyDescent="0.2">
      <c r="A730" s="1">
        <v>40906</v>
      </c>
      <c r="B730">
        <v>363</v>
      </c>
      <c r="C730">
        <f>'weather data'!E730</f>
        <v>5.0888888888888868</v>
      </c>
      <c r="D730">
        <f>LAI!F730</f>
        <v>0</v>
      </c>
      <c r="E730">
        <f>0.5*C730*(1-EXP(-'user input'!$C$19*D730))</f>
        <v>0</v>
      </c>
      <c r="F730">
        <f>E730*'user input'!$C$21</f>
        <v>0</v>
      </c>
    </row>
    <row r="731" spans="1:6" x14ac:dyDescent="0.2">
      <c r="A731" s="1">
        <v>40907</v>
      </c>
      <c r="B731">
        <v>364</v>
      </c>
      <c r="C731">
        <f>'weather data'!E731</f>
        <v>4.8688888888888897</v>
      </c>
      <c r="D731">
        <f>LAI!F731</f>
        <v>0</v>
      </c>
      <c r="E731">
        <f>0.5*C731*(1-EXP(-'user input'!$C$19*D731))</f>
        <v>0</v>
      </c>
      <c r="F731">
        <f>E731*'user input'!$C$21</f>
        <v>0</v>
      </c>
    </row>
    <row r="732" spans="1:6" x14ac:dyDescent="0.2">
      <c r="A732" s="1">
        <v>40908</v>
      </c>
      <c r="B732">
        <v>365</v>
      </c>
      <c r="C732">
        <f>'weather data'!E732</f>
        <v>5.3977777777777805</v>
      </c>
      <c r="D732">
        <f>LAI!F732</f>
        <v>0</v>
      </c>
      <c r="E732">
        <f>0.5*C732*(1-EXP(-'user input'!$C$19*D732))</f>
        <v>0</v>
      </c>
      <c r="F732">
        <f>E732*'user input'!$C$21</f>
        <v>0</v>
      </c>
    </row>
    <row r="733" spans="1:6" x14ac:dyDescent="0.2">
      <c r="A733" s="1">
        <v>40909</v>
      </c>
      <c r="B733">
        <v>1</v>
      </c>
      <c r="C733">
        <f>'weather data'!E733</f>
        <v>4.9911111111111106</v>
      </c>
      <c r="D733">
        <f>LAI!F733</f>
        <v>0</v>
      </c>
      <c r="E733">
        <f>0.5*C733*(1-EXP(-'user input'!$C$19*D733))</f>
        <v>0</v>
      </c>
      <c r="F733">
        <f>E733*'user input'!$C$21</f>
        <v>0</v>
      </c>
    </row>
    <row r="734" spans="1:6" x14ac:dyDescent="0.2">
      <c r="A734" s="1">
        <v>40910</v>
      </c>
      <c r="B734">
        <v>2</v>
      </c>
      <c r="C734">
        <f>'weather data'!E734</f>
        <v>5.0022222222222226</v>
      </c>
      <c r="D734">
        <f>LAI!F734</f>
        <v>0</v>
      </c>
      <c r="E734">
        <f>0.5*C734*(1-EXP(-'user input'!$C$19*D734))</f>
        <v>0</v>
      </c>
      <c r="F734">
        <f>E734*'user input'!$C$21</f>
        <v>0</v>
      </c>
    </row>
    <row r="735" spans="1:6" x14ac:dyDescent="0.2">
      <c r="A735" s="1">
        <v>40911</v>
      </c>
      <c r="B735">
        <v>3</v>
      </c>
      <c r="C735">
        <f>'weather data'!E735</f>
        <v>5.4333333333333336</v>
      </c>
      <c r="D735">
        <f>LAI!F735</f>
        <v>0</v>
      </c>
      <c r="E735">
        <f>0.5*C735*(1-EXP(-'user input'!$C$19*D735))</f>
        <v>0</v>
      </c>
      <c r="F735">
        <f>E735*'user input'!$C$21</f>
        <v>0</v>
      </c>
    </row>
    <row r="736" spans="1:6" x14ac:dyDescent="0.2">
      <c r="A736" s="1">
        <v>40912</v>
      </c>
      <c r="B736">
        <v>4</v>
      </c>
      <c r="C736">
        <f>'weather data'!E736</f>
        <v>5.8600000000000012</v>
      </c>
      <c r="D736">
        <f>LAI!F736</f>
        <v>0</v>
      </c>
      <c r="E736">
        <f>0.5*C736*(1-EXP(-'user input'!$C$19*D736))</f>
        <v>0</v>
      </c>
      <c r="F736">
        <f>E736*'user input'!$C$21</f>
        <v>0</v>
      </c>
    </row>
    <row r="737" spans="1:6" x14ac:dyDescent="0.2">
      <c r="A737" s="1">
        <v>40913</v>
      </c>
      <c r="B737">
        <v>5</v>
      </c>
      <c r="C737">
        <f>'weather data'!E737</f>
        <v>5.8844444444444459</v>
      </c>
      <c r="D737">
        <f>LAI!F737</f>
        <v>0</v>
      </c>
      <c r="E737">
        <f>0.5*C737*(1-EXP(-'user input'!$C$19*D737))</f>
        <v>0</v>
      </c>
      <c r="F737">
        <f>E737*'user input'!$C$21</f>
        <v>0</v>
      </c>
    </row>
    <row r="738" spans="1:6" x14ac:dyDescent="0.2">
      <c r="A738" s="1">
        <v>40914</v>
      </c>
      <c r="B738">
        <v>6</v>
      </c>
      <c r="C738">
        <f>'weather data'!E738</f>
        <v>5.9622222222222225</v>
      </c>
      <c r="D738">
        <f>LAI!F738</f>
        <v>0</v>
      </c>
      <c r="E738">
        <f>0.5*C738*(1-EXP(-'user input'!$C$19*D738))</f>
        <v>0</v>
      </c>
      <c r="F738">
        <f>E738*'user input'!$C$21</f>
        <v>0</v>
      </c>
    </row>
    <row r="739" spans="1:6" x14ac:dyDescent="0.2">
      <c r="A739" s="1">
        <v>40915</v>
      </c>
      <c r="B739">
        <v>7</v>
      </c>
      <c r="C739">
        <f>'weather data'!E739</f>
        <v>6.1066666666666682</v>
      </c>
      <c r="D739">
        <f>LAI!F739</f>
        <v>0</v>
      </c>
      <c r="E739">
        <f>0.5*C739*(1-EXP(-'user input'!$C$19*D739))</f>
        <v>0</v>
      </c>
      <c r="F739">
        <f>E739*'user input'!$C$21</f>
        <v>0</v>
      </c>
    </row>
    <row r="740" spans="1:6" x14ac:dyDescent="0.2">
      <c r="A740" s="1">
        <v>40916</v>
      </c>
      <c r="B740">
        <v>8</v>
      </c>
      <c r="C740">
        <f>'weather data'!E740</f>
        <v>6.2755555555555587</v>
      </c>
      <c r="D740">
        <f>LAI!F740</f>
        <v>0</v>
      </c>
      <c r="E740">
        <f>0.5*C740*(1-EXP(-'user input'!$C$19*D740))</f>
        <v>0</v>
      </c>
      <c r="F740">
        <f>E740*'user input'!$C$21</f>
        <v>0</v>
      </c>
    </row>
    <row r="741" spans="1:6" x14ac:dyDescent="0.2">
      <c r="A741" s="1">
        <v>40917</v>
      </c>
      <c r="B741">
        <v>9</v>
      </c>
      <c r="C741">
        <f>'weather data'!E741</f>
        <v>6.2377777777777776</v>
      </c>
      <c r="D741">
        <f>LAI!F741</f>
        <v>0</v>
      </c>
      <c r="E741">
        <f>0.5*C741*(1-EXP(-'user input'!$C$19*D741))</f>
        <v>0</v>
      </c>
      <c r="F741">
        <f>E741*'user input'!$C$21</f>
        <v>0</v>
      </c>
    </row>
    <row r="742" spans="1:6" x14ac:dyDescent="0.2">
      <c r="A742" s="1">
        <v>40918</v>
      </c>
      <c r="B742">
        <v>10</v>
      </c>
      <c r="C742">
        <f>'weather data'!E742</f>
        <v>6.6755555555555537</v>
      </c>
      <c r="D742">
        <f>LAI!F742</f>
        <v>0</v>
      </c>
      <c r="E742">
        <f>0.5*C742*(1-EXP(-'user input'!$C$19*D742))</f>
        <v>0</v>
      </c>
      <c r="F742">
        <f>E742*'user input'!$C$21</f>
        <v>0</v>
      </c>
    </row>
    <row r="743" spans="1:6" x14ac:dyDescent="0.2">
      <c r="A743" s="1">
        <v>40919</v>
      </c>
      <c r="B743">
        <v>11</v>
      </c>
      <c r="C743">
        <f>'weather data'!E743</f>
        <v>5.9155555555555575</v>
      </c>
      <c r="D743">
        <f>LAI!F743</f>
        <v>0</v>
      </c>
      <c r="E743">
        <f>0.5*C743*(1-EXP(-'user input'!$C$19*D743))</f>
        <v>0</v>
      </c>
      <c r="F743">
        <f>E743*'user input'!$C$21</f>
        <v>0</v>
      </c>
    </row>
    <row r="744" spans="1:6" x14ac:dyDescent="0.2">
      <c r="A744" s="1">
        <v>40920</v>
      </c>
      <c r="B744">
        <v>12</v>
      </c>
      <c r="C744">
        <f>'weather data'!E744</f>
        <v>5.7666666666666666</v>
      </c>
      <c r="D744">
        <f>LAI!F744</f>
        <v>0</v>
      </c>
      <c r="E744">
        <f>0.5*C744*(1-EXP(-'user input'!$C$19*D744))</f>
        <v>0</v>
      </c>
      <c r="F744">
        <f>E744*'user input'!$C$21</f>
        <v>0</v>
      </c>
    </row>
    <row r="745" spans="1:6" x14ac:dyDescent="0.2">
      <c r="A745" s="1">
        <v>40921</v>
      </c>
      <c r="B745">
        <v>13</v>
      </c>
      <c r="C745">
        <f>'weather data'!E745</f>
        <v>6.44</v>
      </c>
      <c r="D745">
        <f>LAI!F745</f>
        <v>0</v>
      </c>
      <c r="E745">
        <f>0.5*C745*(1-EXP(-'user input'!$C$19*D745))</f>
        <v>0</v>
      </c>
      <c r="F745">
        <f>E745*'user input'!$C$21</f>
        <v>0</v>
      </c>
    </row>
    <row r="746" spans="1:6" x14ac:dyDescent="0.2">
      <c r="A746" s="1">
        <v>40922</v>
      </c>
      <c r="B746">
        <v>14</v>
      </c>
      <c r="C746">
        <f>'weather data'!E746</f>
        <v>6.0333333333333332</v>
      </c>
      <c r="D746">
        <f>LAI!F746</f>
        <v>0</v>
      </c>
      <c r="E746">
        <f>0.5*C746*(1-EXP(-'user input'!$C$19*D746))</f>
        <v>0</v>
      </c>
      <c r="F746">
        <f>E746*'user input'!$C$21</f>
        <v>0</v>
      </c>
    </row>
    <row r="747" spans="1:6" x14ac:dyDescent="0.2">
      <c r="A747" s="1">
        <v>40923</v>
      </c>
      <c r="B747">
        <v>15</v>
      </c>
      <c r="C747">
        <f>'weather data'!E747</f>
        <v>6.6888888888888864</v>
      </c>
      <c r="D747">
        <f>LAI!F747</f>
        <v>0</v>
      </c>
      <c r="E747">
        <f>0.5*C747*(1-EXP(-'user input'!$C$19*D747))</f>
        <v>0</v>
      </c>
      <c r="F747">
        <f>E747*'user input'!$C$21</f>
        <v>0</v>
      </c>
    </row>
    <row r="748" spans="1:6" x14ac:dyDescent="0.2">
      <c r="A748" s="1">
        <v>40924</v>
      </c>
      <c r="B748">
        <v>16</v>
      </c>
      <c r="C748">
        <f>'weather data'!E748</f>
        <v>6.5733333333333333</v>
      </c>
      <c r="D748">
        <f>LAI!F748</f>
        <v>0</v>
      </c>
      <c r="E748">
        <f>0.5*C748*(1-EXP(-'user input'!$C$19*D748))</f>
        <v>0</v>
      </c>
      <c r="F748">
        <f>E748*'user input'!$C$21</f>
        <v>0</v>
      </c>
    </row>
    <row r="749" spans="1:6" x14ac:dyDescent="0.2">
      <c r="A749" s="1">
        <v>40925</v>
      </c>
      <c r="B749">
        <v>17</v>
      </c>
      <c r="C749">
        <f>'weather data'!E749</f>
        <v>6.46</v>
      </c>
      <c r="D749">
        <f>LAI!F749</f>
        <v>0</v>
      </c>
      <c r="E749">
        <f>0.5*C749*(1-EXP(-'user input'!$C$19*D749))</f>
        <v>0</v>
      </c>
      <c r="F749">
        <f>E749*'user input'!$C$21</f>
        <v>0</v>
      </c>
    </row>
    <row r="750" spans="1:6" x14ac:dyDescent="0.2">
      <c r="A750" s="1">
        <v>40926</v>
      </c>
      <c r="B750">
        <v>18</v>
      </c>
      <c r="C750">
        <f>'weather data'!E750</f>
        <v>6.8355555555555547</v>
      </c>
      <c r="D750">
        <f>LAI!F750</f>
        <v>0</v>
      </c>
      <c r="E750">
        <f>0.5*C750*(1-EXP(-'user input'!$C$19*D750))</f>
        <v>0</v>
      </c>
      <c r="F750">
        <f>E750*'user input'!$C$21</f>
        <v>0</v>
      </c>
    </row>
    <row r="751" spans="1:6" x14ac:dyDescent="0.2">
      <c r="A751" s="1">
        <v>40927</v>
      </c>
      <c r="B751">
        <v>19</v>
      </c>
      <c r="C751">
        <f>'weather data'!E751</f>
        <v>6.5555555555555554</v>
      </c>
      <c r="D751">
        <f>LAI!F751</f>
        <v>0</v>
      </c>
      <c r="E751">
        <f>0.5*C751*(1-EXP(-'user input'!$C$19*D751))</f>
        <v>0</v>
      </c>
      <c r="F751">
        <f>E751*'user input'!$C$21</f>
        <v>0</v>
      </c>
    </row>
    <row r="752" spans="1:6" x14ac:dyDescent="0.2">
      <c r="A752" s="1">
        <v>40928</v>
      </c>
      <c r="B752">
        <v>20</v>
      </c>
      <c r="C752">
        <f>'weather data'!E752</f>
        <v>6.5533333333333337</v>
      </c>
      <c r="D752">
        <f>LAI!F752</f>
        <v>0</v>
      </c>
      <c r="E752">
        <f>0.5*C752*(1-EXP(-'user input'!$C$19*D752))</f>
        <v>0</v>
      </c>
      <c r="F752">
        <f>E752*'user input'!$C$21</f>
        <v>0</v>
      </c>
    </row>
    <row r="753" spans="1:6" x14ac:dyDescent="0.2">
      <c r="A753" s="1">
        <v>40929</v>
      </c>
      <c r="B753">
        <v>21</v>
      </c>
      <c r="C753">
        <f>'weather data'!E753</f>
        <v>6.5222222222222221</v>
      </c>
      <c r="D753">
        <f>LAI!F753</f>
        <v>0</v>
      </c>
      <c r="E753">
        <f>0.5*C753*(1-EXP(-'user input'!$C$19*D753))</f>
        <v>0</v>
      </c>
      <c r="F753">
        <f>E753*'user input'!$C$21</f>
        <v>0</v>
      </c>
    </row>
    <row r="754" spans="1:6" x14ac:dyDescent="0.2">
      <c r="A754" s="1">
        <v>40930</v>
      </c>
      <c r="B754">
        <v>22</v>
      </c>
      <c r="C754">
        <f>'weather data'!E754</f>
        <v>6.1199999999999992</v>
      </c>
      <c r="D754">
        <f>LAI!F754</f>
        <v>0</v>
      </c>
      <c r="E754">
        <f>0.5*C754*(1-EXP(-'user input'!$C$19*D754))</f>
        <v>0</v>
      </c>
      <c r="F754">
        <f>E754*'user input'!$C$21</f>
        <v>0</v>
      </c>
    </row>
    <row r="755" spans="1:6" x14ac:dyDescent="0.2">
      <c r="A755" s="1">
        <v>40931</v>
      </c>
      <c r="B755">
        <v>23</v>
      </c>
      <c r="C755">
        <f>'weather data'!E755</f>
        <v>7.2466666666666661</v>
      </c>
      <c r="D755">
        <f>LAI!F755</f>
        <v>0</v>
      </c>
      <c r="E755">
        <f>0.5*C755*(1-EXP(-'user input'!$C$19*D755))</f>
        <v>0</v>
      </c>
      <c r="F755">
        <f>E755*'user input'!$C$21</f>
        <v>0</v>
      </c>
    </row>
    <row r="756" spans="1:6" x14ac:dyDescent="0.2">
      <c r="A756" s="1">
        <v>40932</v>
      </c>
      <c r="B756">
        <v>24</v>
      </c>
      <c r="C756">
        <f>'weather data'!E756</f>
        <v>6.8688888888888879</v>
      </c>
      <c r="D756">
        <f>LAI!F756</f>
        <v>0</v>
      </c>
      <c r="E756">
        <f>0.5*C756*(1-EXP(-'user input'!$C$19*D756))</f>
        <v>0</v>
      </c>
      <c r="F756">
        <f>E756*'user input'!$C$21</f>
        <v>0</v>
      </c>
    </row>
    <row r="757" spans="1:6" x14ac:dyDescent="0.2">
      <c r="A757" s="1">
        <v>40933</v>
      </c>
      <c r="B757">
        <v>25</v>
      </c>
      <c r="C757">
        <f>'weather data'!E757</f>
        <v>7.0244444444444447</v>
      </c>
      <c r="D757">
        <f>LAI!F757</f>
        <v>0</v>
      </c>
      <c r="E757">
        <f>0.5*C757*(1-EXP(-'user input'!$C$19*D757))</f>
        <v>0</v>
      </c>
      <c r="F757">
        <f>E757*'user input'!$C$21</f>
        <v>0</v>
      </c>
    </row>
    <row r="758" spans="1:6" x14ac:dyDescent="0.2">
      <c r="A758" s="1">
        <v>40934</v>
      </c>
      <c r="B758">
        <v>26</v>
      </c>
      <c r="C758">
        <f>'weather data'!E758</f>
        <v>7.3288888888888888</v>
      </c>
      <c r="D758">
        <f>LAI!F758</f>
        <v>0</v>
      </c>
      <c r="E758">
        <f>0.5*C758*(1-EXP(-'user input'!$C$19*D758))</f>
        <v>0</v>
      </c>
      <c r="F758">
        <f>E758*'user input'!$C$21</f>
        <v>0</v>
      </c>
    </row>
    <row r="759" spans="1:6" x14ac:dyDescent="0.2">
      <c r="A759" s="1">
        <v>40935</v>
      </c>
      <c r="B759">
        <v>27</v>
      </c>
      <c r="C759">
        <f>'weather data'!E759</f>
        <v>7.4177777777777756</v>
      </c>
      <c r="D759">
        <f>LAI!F759</f>
        <v>0</v>
      </c>
      <c r="E759">
        <f>0.5*C759*(1-EXP(-'user input'!$C$19*D759))</f>
        <v>0</v>
      </c>
      <c r="F759">
        <f>E759*'user input'!$C$21</f>
        <v>0</v>
      </c>
    </row>
    <row r="760" spans="1:6" x14ac:dyDescent="0.2">
      <c r="A760" s="1">
        <v>40936</v>
      </c>
      <c r="B760">
        <v>28</v>
      </c>
      <c r="C760">
        <f>'weather data'!E760</f>
        <v>7.677777777777778</v>
      </c>
      <c r="D760">
        <f>LAI!F760</f>
        <v>0</v>
      </c>
      <c r="E760">
        <f>0.5*C760*(1-EXP(-'user input'!$C$19*D760))</f>
        <v>0</v>
      </c>
      <c r="F760">
        <f>E760*'user input'!$C$21</f>
        <v>0</v>
      </c>
    </row>
    <row r="761" spans="1:6" x14ac:dyDescent="0.2">
      <c r="A761" s="1">
        <v>40937</v>
      </c>
      <c r="B761">
        <v>29</v>
      </c>
      <c r="C761">
        <f>'weather data'!E761</f>
        <v>7.3044444444444458</v>
      </c>
      <c r="D761">
        <f>LAI!F761</f>
        <v>0</v>
      </c>
      <c r="E761">
        <f>0.5*C761*(1-EXP(-'user input'!$C$19*D761))</f>
        <v>0</v>
      </c>
      <c r="F761">
        <f>E761*'user input'!$C$21</f>
        <v>0</v>
      </c>
    </row>
    <row r="762" spans="1:6" x14ac:dyDescent="0.2">
      <c r="A762" s="1">
        <v>40938</v>
      </c>
      <c r="B762">
        <v>30</v>
      </c>
      <c r="C762">
        <f>'weather data'!E762</f>
        <v>8</v>
      </c>
      <c r="D762">
        <f>LAI!F762</f>
        <v>0</v>
      </c>
      <c r="E762">
        <f>0.5*C762*(1-EXP(-'user input'!$C$19*D762))</f>
        <v>0</v>
      </c>
      <c r="F762">
        <f>E762*'user input'!$C$21</f>
        <v>0</v>
      </c>
    </row>
    <row r="763" spans="1:6" x14ac:dyDescent="0.2">
      <c r="A763" s="1">
        <v>40939</v>
      </c>
      <c r="B763">
        <v>31</v>
      </c>
      <c r="C763">
        <f>'weather data'!E763</f>
        <v>7.6400000000000041</v>
      </c>
      <c r="D763">
        <f>LAI!F763</f>
        <v>0</v>
      </c>
      <c r="E763">
        <f>0.5*C763*(1-EXP(-'user input'!$C$19*D763))</f>
        <v>0</v>
      </c>
      <c r="F763">
        <f>E763*'user input'!$C$21</f>
        <v>0</v>
      </c>
    </row>
    <row r="764" spans="1:6" x14ac:dyDescent="0.2">
      <c r="A764" s="1">
        <v>40940</v>
      </c>
      <c r="B764">
        <v>32</v>
      </c>
      <c r="C764">
        <f>'weather data'!E764</f>
        <v>7.5244444444444474</v>
      </c>
      <c r="D764">
        <f>LAI!F764</f>
        <v>0</v>
      </c>
      <c r="E764">
        <f>0.5*C764*(1-EXP(-'user input'!$C$19*D764))</f>
        <v>0</v>
      </c>
      <c r="F764">
        <f>E764*'user input'!$C$21</f>
        <v>0</v>
      </c>
    </row>
    <row r="765" spans="1:6" x14ac:dyDescent="0.2">
      <c r="A765" s="1">
        <v>40941</v>
      </c>
      <c r="B765">
        <v>33</v>
      </c>
      <c r="C765">
        <f>'weather data'!E765</f>
        <v>7.8222222222222237</v>
      </c>
      <c r="D765">
        <f>LAI!F765</f>
        <v>0</v>
      </c>
      <c r="E765">
        <f>0.5*C765*(1-EXP(-'user input'!$C$19*D765))</f>
        <v>0</v>
      </c>
      <c r="F765">
        <f>E765*'user input'!$C$21</f>
        <v>0</v>
      </c>
    </row>
    <row r="766" spans="1:6" x14ac:dyDescent="0.2">
      <c r="A766" s="1">
        <v>40942</v>
      </c>
      <c r="B766">
        <v>34</v>
      </c>
      <c r="C766">
        <f>'weather data'!E766</f>
        <v>7.9933333333333367</v>
      </c>
      <c r="D766">
        <f>LAI!F766</f>
        <v>0</v>
      </c>
      <c r="E766">
        <f>0.5*C766*(1-EXP(-'user input'!$C$19*D766))</f>
        <v>0</v>
      </c>
      <c r="F766">
        <f>E766*'user input'!$C$21</f>
        <v>0</v>
      </c>
    </row>
    <row r="767" spans="1:6" x14ac:dyDescent="0.2">
      <c r="A767" s="1">
        <v>40943</v>
      </c>
      <c r="B767">
        <v>35</v>
      </c>
      <c r="C767">
        <f>'weather data'!E767</f>
        <v>8.8044444444444458</v>
      </c>
      <c r="D767">
        <f>LAI!F767</f>
        <v>0</v>
      </c>
      <c r="E767">
        <f>0.5*C767*(1-EXP(-'user input'!$C$19*D767))</f>
        <v>0</v>
      </c>
      <c r="F767">
        <f>E767*'user input'!$C$21</f>
        <v>0</v>
      </c>
    </row>
    <row r="768" spans="1:6" x14ac:dyDescent="0.2">
      <c r="A768" s="1">
        <v>40944</v>
      </c>
      <c r="B768">
        <v>36</v>
      </c>
      <c r="C768">
        <f>'weather data'!E768</f>
        <v>8.4622222222222199</v>
      </c>
      <c r="D768">
        <f>LAI!F768</f>
        <v>0</v>
      </c>
      <c r="E768">
        <f>0.5*C768*(1-EXP(-'user input'!$C$19*D768))</f>
        <v>0</v>
      </c>
      <c r="F768">
        <f>E768*'user input'!$C$21</f>
        <v>0</v>
      </c>
    </row>
    <row r="769" spans="1:6" x14ac:dyDescent="0.2">
      <c r="A769" s="1">
        <v>40945</v>
      </c>
      <c r="B769">
        <v>37</v>
      </c>
      <c r="C769">
        <f>'weather data'!E769</f>
        <v>8.9911111111111115</v>
      </c>
      <c r="D769">
        <f>LAI!F769</f>
        <v>0</v>
      </c>
      <c r="E769">
        <f>0.5*C769*(1-EXP(-'user input'!$C$19*D769))</f>
        <v>0</v>
      </c>
      <c r="F769">
        <f>E769*'user input'!$C$21</f>
        <v>0</v>
      </c>
    </row>
    <row r="770" spans="1:6" x14ac:dyDescent="0.2">
      <c r="A770" s="1">
        <v>40946</v>
      </c>
      <c r="B770">
        <v>38</v>
      </c>
      <c r="C770">
        <f>'weather data'!E770</f>
        <v>9.43333333333333</v>
      </c>
      <c r="D770">
        <f>LAI!F770</f>
        <v>0</v>
      </c>
      <c r="E770">
        <f>0.5*C770*(1-EXP(-'user input'!$C$19*D770))</f>
        <v>0</v>
      </c>
      <c r="F770">
        <f>E770*'user input'!$C$21</f>
        <v>0</v>
      </c>
    </row>
    <row r="771" spans="1:6" x14ac:dyDescent="0.2">
      <c r="A771" s="1">
        <v>40947</v>
      </c>
      <c r="B771">
        <v>39</v>
      </c>
      <c r="C771">
        <f>'weather data'!E771</f>
        <v>9.0800000000000036</v>
      </c>
      <c r="D771">
        <f>LAI!F771</f>
        <v>0</v>
      </c>
      <c r="E771">
        <f>0.5*C771*(1-EXP(-'user input'!$C$19*D771))</f>
        <v>0</v>
      </c>
      <c r="F771">
        <f>E771*'user input'!$C$21</f>
        <v>0</v>
      </c>
    </row>
    <row r="772" spans="1:6" x14ac:dyDescent="0.2">
      <c r="A772" s="1">
        <v>40948</v>
      </c>
      <c r="B772">
        <v>40</v>
      </c>
      <c r="C772">
        <f>'weather data'!E772</f>
        <v>9.9822222222222212</v>
      </c>
      <c r="D772">
        <f>LAI!F772</f>
        <v>0</v>
      </c>
      <c r="E772">
        <f>0.5*C772*(1-EXP(-'user input'!$C$19*D772))</f>
        <v>0</v>
      </c>
      <c r="F772">
        <f>E772*'user input'!$C$21</f>
        <v>0</v>
      </c>
    </row>
    <row r="773" spans="1:6" x14ac:dyDescent="0.2">
      <c r="A773" s="1">
        <v>40949</v>
      </c>
      <c r="B773">
        <v>41</v>
      </c>
      <c r="C773">
        <f>'weather data'!E773</f>
        <v>8.9066666666666627</v>
      </c>
      <c r="D773">
        <f>LAI!F773</f>
        <v>0</v>
      </c>
      <c r="E773">
        <f>0.5*C773*(1-EXP(-'user input'!$C$19*D773))</f>
        <v>0</v>
      </c>
      <c r="F773">
        <f>E773*'user input'!$C$21</f>
        <v>0</v>
      </c>
    </row>
    <row r="774" spans="1:6" x14ac:dyDescent="0.2">
      <c r="A774" s="1">
        <v>40950</v>
      </c>
      <c r="B774">
        <v>42</v>
      </c>
      <c r="C774">
        <f>'weather data'!E774</f>
        <v>9.7333333333333325</v>
      </c>
      <c r="D774">
        <f>LAI!F774</f>
        <v>0</v>
      </c>
      <c r="E774">
        <f>0.5*C774*(1-EXP(-'user input'!$C$19*D774))</f>
        <v>0</v>
      </c>
      <c r="F774">
        <f>E774*'user input'!$C$21</f>
        <v>0</v>
      </c>
    </row>
    <row r="775" spans="1:6" x14ac:dyDescent="0.2">
      <c r="A775" s="1">
        <v>40951</v>
      </c>
      <c r="B775">
        <v>43</v>
      </c>
      <c r="C775">
        <f>'weather data'!E775</f>
        <v>10.073333333333336</v>
      </c>
      <c r="D775">
        <f>LAI!F775</f>
        <v>0</v>
      </c>
      <c r="E775">
        <f>0.5*C775*(1-EXP(-'user input'!$C$19*D775))</f>
        <v>0</v>
      </c>
      <c r="F775">
        <f>E775*'user input'!$C$21</f>
        <v>0</v>
      </c>
    </row>
    <row r="776" spans="1:6" x14ac:dyDescent="0.2">
      <c r="A776" s="1">
        <v>40952</v>
      </c>
      <c r="B776">
        <v>44</v>
      </c>
      <c r="C776">
        <f>'weather data'!E776</f>
        <v>8.4711111111111101</v>
      </c>
      <c r="D776">
        <f>LAI!F776</f>
        <v>0</v>
      </c>
      <c r="E776">
        <f>0.5*C776*(1-EXP(-'user input'!$C$19*D776))</f>
        <v>0</v>
      </c>
      <c r="F776">
        <f>E776*'user input'!$C$21</f>
        <v>0</v>
      </c>
    </row>
    <row r="777" spans="1:6" x14ac:dyDescent="0.2">
      <c r="A777" s="1">
        <v>40953</v>
      </c>
      <c r="B777">
        <v>45</v>
      </c>
      <c r="C777">
        <f>'weather data'!E777</f>
        <v>9.2622222222222241</v>
      </c>
      <c r="D777">
        <f>LAI!F777</f>
        <v>0</v>
      </c>
      <c r="E777">
        <f>0.5*C777*(1-EXP(-'user input'!$C$19*D777))</f>
        <v>0</v>
      </c>
      <c r="F777">
        <f>E777*'user input'!$C$21</f>
        <v>0</v>
      </c>
    </row>
    <row r="778" spans="1:6" x14ac:dyDescent="0.2">
      <c r="A778" s="1">
        <v>40954</v>
      </c>
      <c r="B778">
        <v>46</v>
      </c>
      <c r="C778">
        <f>'weather data'!E778</f>
        <v>9.7844444444444445</v>
      </c>
      <c r="D778">
        <f>LAI!F778</f>
        <v>0</v>
      </c>
      <c r="E778">
        <f>0.5*C778*(1-EXP(-'user input'!$C$19*D778))</f>
        <v>0</v>
      </c>
      <c r="F778">
        <f>E778*'user input'!$C$21</f>
        <v>0</v>
      </c>
    </row>
    <row r="779" spans="1:6" x14ac:dyDescent="0.2">
      <c r="A779" s="1">
        <v>40955</v>
      </c>
      <c r="B779">
        <v>47</v>
      </c>
      <c r="C779">
        <f>'weather data'!E779</f>
        <v>10.419999999999996</v>
      </c>
      <c r="D779">
        <f>LAI!F779</f>
        <v>0</v>
      </c>
      <c r="E779">
        <f>0.5*C779*(1-EXP(-'user input'!$C$19*D779))</f>
        <v>0</v>
      </c>
      <c r="F779">
        <f>E779*'user input'!$C$21</f>
        <v>0</v>
      </c>
    </row>
    <row r="780" spans="1:6" x14ac:dyDescent="0.2">
      <c r="A780" s="1">
        <v>40956</v>
      </c>
      <c r="B780">
        <v>48</v>
      </c>
      <c r="C780">
        <f>'weather data'!E780</f>
        <v>10.89111111111111</v>
      </c>
      <c r="D780">
        <f>LAI!F780</f>
        <v>0</v>
      </c>
      <c r="E780">
        <f>0.5*C780*(1-EXP(-'user input'!$C$19*D780))</f>
        <v>0</v>
      </c>
      <c r="F780">
        <f>E780*'user input'!$C$21</f>
        <v>0</v>
      </c>
    </row>
    <row r="781" spans="1:6" x14ac:dyDescent="0.2">
      <c r="A781" s="1">
        <v>40957</v>
      </c>
      <c r="B781">
        <v>49</v>
      </c>
      <c r="C781">
        <f>'weather data'!E781</f>
        <v>8.7977777777777799</v>
      </c>
      <c r="D781">
        <f>LAI!F781</f>
        <v>0</v>
      </c>
      <c r="E781">
        <f>0.5*C781*(1-EXP(-'user input'!$C$19*D781))</f>
        <v>0</v>
      </c>
      <c r="F781">
        <f>E781*'user input'!$C$21</f>
        <v>0</v>
      </c>
    </row>
    <row r="782" spans="1:6" x14ac:dyDescent="0.2">
      <c r="A782" s="1">
        <v>40958</v>
      </c>
      <c r="B782">
        <v>50</v>
      </c>
      <c r="C782">
        <f>'weather data'!E782</f>
        <v>9.6266666666666687</v>
      </c>
      <c r="D782">
        <f>LAI!F782</f>
        <v>0</v>
      </c>
      <c r="E782">
        <f>0.5*C782*(1-EXP(-'user input'!$C$19*D782))</f>
        <v>0</v>
      </c>
      <c r="F782">
        <f>E782*'user input'!$C$21</f>
        <v>0</v>
      </c>
    </row>
    <row r="783" spans="1:6" x14ac:dyDescent="0.2">
      <c r="A783" s="1">
        <v>40959</v>
      </c>
      <c r="B783">
        <v>51</v>
      </c>
      <c r="C783">
        <f>'weather data'!E783</f>
        <v>10.488888888888887</v>
      </c>
      <c r="D783">
        <f>LAI!F783</f>
        <v>0</v>
      </c>
      <c r="E783">
        <f>0.5*C783*(1-EXP(-'user input'!$C$19*D783))</f>
        <v>0</v>
      </c>
      <c r="F783">
        <f>E783*'user input'!$C$21</f>
        <v>0</v>
      </c>
    </row>
    <row r="784" spans="1:6" x14ac:dyDescent="0.2">
      <c r="A784" s="1">
        <v>40960</v>
      </c>
      <c r="B784">
        <v>52</v>
      </c>
      <c r="C784">
        <f>'weather data'!E784</f>
        <v>10.06</v>
      </c>
      <c r="D784">
        <f>LAI!F784</f>
        <v>0</v>
      </c>
      <c r="E784">
        <f>0.5*C784*(1-EXP(-'user input'!$C$19*D784))</f>
        <v>0</v>
      </c>
      <c r="F784">
        <f>E784*'user input'!$C$21</f>
        <v>0</v>
      </c>
    </row>
    <row r="785" spans="1:6" x14ac:dyDescent="0.2">
      <c r="A785" s="1">
        <v>40961</v>
      </c>
      <c r="B785">
        <v>53</v>
      </c>
      <c r="C785">
        <f>'weather data'!E785</f>
        <v>10.406666666666665</v>
      </c>
      <c r="D785">
        <f>LAI!F785</f>
        <v>0</v>
      </c>
      <c r="E785">
        <f>0.5*C785*(1-EXP(-'user input'!$C$19*D785))</f>
        <v>0</v>
      </c>
      <c r="F785">
        <f>E785*'user input'!$C$21</f>
        <v>0</v>
      </c>
    </row>
    <row r="786" spans="1:6" x14ac:dyDescent="0.2">
      <c r="A786" s="1">
        <v>40962</v>
      </c>
      <c r="B786">
        <v>54</v>
      </c>
      <c r="C786">
        <f>'weather data'!E786</f>
        <v>10.113333333333337</v>
      </c>
      <c r="D786">
        <f>LAI!F786</f>
        <v>0</v>
      </c>
      <c r="E786">
        <f>0.5*C786*(1-EXP(-'user input'!$C$19*D786))</f>
        <v>0</v>
      </c>
      <c r="F786">
        <f>E786*'user input'!$C$21</f>
        <v>0</v>
      </c>
    </row>
    <row r="787" spans="1:6" x14ac:dyDescent="0.2">
      <c r="A787" s="1">
        <v>40963</v>
      </c>
      <c r="B787">
        <v>55</v>
      </c>
      <c r="C787">
        <f>'weather data'!E787</f>
        <v>10.037777777777777</v>
      </c>
      <c r="D787">
        <f>LAI!F787</f>
        <v>0</v>
      </c>
      <c r="E787">
        <f>0.5*C787*(1-EXP(-'user input'!$C$19*D787))</f>
        <v>0</v>
      </c>
      <c r="F787">
        <f>E787*'user input'!$C$21</f>
        <v>0</v>
      </c>
    </row>
    <row r="788" spans="1:6" x14ac:dyDescent="0.2">
      <c r="A788" s="1">
        <v>40964</v>
      </c>
      <c r="B788">
        <v>56</v>
      </c>
      <c r="C788">
        <f>'weather data'!E788</f>
        <v>11.8</v>
      </c>
      <c r="D788">
        <f>LAI!F788</f>
        <v>0</v>
      </c>
      <c r="E788">
        <f>0.5*C788*(1-EXP(-'user input'!$C$19*D788))</f>
        <v>0</v>
      </c>
      <c r="F788">
        <f>E788*'user input'!$C$21</f>
        <v>0</v>
      </c>
    </row>
    <row r="789" spans="1:6" x14ac:dyDescent="0.2">
      <c r="A789" s="1">
        <v>40965</v>
      </c>
      <c r="B789">
        <v>57</v>
      </c>
      <c r="C789">
        <f>'weather data'!E789</f>
        <v>11.313333333333336</v>
      </c>
      <c r="D789">
        <f>LAI!F789</f>
        <v>0</v>
      </c>
      <c r="E789">
        <f>0.5*C789*(1-EXP(-'user input'!$C$19*D789))</f>
        <v>0</v>
      </c>
      <c r="F789">
        <f>E789*'user input'!$C$21</f>
        <v>0</v>
      </c>
    </row>
    <row r="790" spans="1:6" x14ac:dyDescent="0.2">
      <c r="A790" s="1">
        <v>40966</v>
      </c>
      <c r="B790">
        <v>58</v>
      </c>
      <c r="C790">
        <f>'weather data'!E790</f>
        <v>11.128888888888891</v>
      </c>
      <c r="D790">
        <f>LAI!F790</f>
        <v>0</v>
      </c>
      <c r="E790">
        <f>0.5*C790*(1-EXP(-'user input'!$C$19*D790))</f>
        <v>0</v>
      </c>
      <c r="F790">
        <f>E790*'user input'!$C$21</f>
        <v>0</v>
      </c>
    </row>
    <row r="791" spans="1:6" x14ac:dyDescent="0.2">
      <c r="A791" s="1">
        <v>40967</v>
      </c>
      <c r="B791">
        <v>59</v>
      </c>
      <c r="C791">
        <f>'weather data'!E791</f>
        <v>11.87555555555555</v>
      </c>
      <c r="D791">
        <f>LAI!F791</f>
        <v>0</v>
      </c>
      <c r="E791">
        <f>0.5*C791*(1-EXP(-'user input'!$C$19*D791))</f>
        <v>0</v>
      </c>
      <c r="F791">
        <f>E791*'user input'!$C$21</f>
        <v>0</v>
      </c>
    </row>
    <row r="792" spans="1:6" x14ac:dyDescent="0.2">
      <c r="A792" s="1">
        <v>40968</v>
      </c>
      <c r="B792">
        <v>60</v>
      </c>
      <c r="C792">
        <f>'weather data'!E792</f>
        <v>11.59555555555556</v>
      </c>
      <c r="D792">
        <f>LAI!F792</f>
        <v>0</v>
      </c>
      <c r="E792">
        <f>0.5*C792*(1-EXP(-'user input'!$C$19*D792))</f>
        <v>0</v>
      </c>
      <c r="F792">
        <f>E792*'user input'!$C$21</f>
        <v>0</v>
      </c>
    </row>
    <row r="793" spans="1:6" x14ac:dyDescent="0.2">
      <c r="A793" s="1">
        <v>40969</v>
      </c>
      <c r="B793">
        <v>61</v>
      </c>
      <c r="C793">
        <f>'weather data'!E793</f>
        <v>11.271111111111111</v>
      </c>
      <c r="D793">
        <f>LAI!F793</f>
        <v>0</v>
      </c>
      <c r="E793">
        <f>0.5*C793*(1-EXP(-'user input'!$C$19*D793))</f>
        <v>0</v>
      </c>
      <c r="F793">
        <f>E793*'user input'!$C$21</f>
        <v>0</v>
      </c>
    </row>
    <row r="794" spans="1:6" x14ac:dyDescent="0.2">
      <c r="A794" s="1">
        <v>40970</v>
      </c>
      <c r="B794">
        <v>62</v>
      </c>
      <c r="C794">
        <f>'weather data'!E794</f>
        <v>11.388888888888886</v>
      </c>
      <c r="D794">
        <f>LAI!F794</f>
        <v>0</v>
      </c>
      <c r="E794">
        <f>0.5*C794*(1-EXP(-'user input'!$C$19*D794))</f>
        <v>0</v>
      </c>
      <c r="F794">
        <f>E794*'user input'!$C$21</f>
        <v>0</v>
      </c>
    </row>
    <row r="795" spans="1:6" x14ac:dyDescent="0.2">
      <c r="A795" s="1">
        <v>40971</v>
      </c>
      <c r="B795">
        <v>63</v>
      </c>
      <c r="C795">
        <f>'weather data'!E795</f>
        <v>10.191111111111111</v>
      </c>
      <c r="D795">
        <f>LAI!F795</f>
        <v>0</v>
      </c>
      <c r="E795">
        <f>0.5*C795*(1-EXP(-'user input'!$C$19*D795))</f>
        <v>0</v>
      </c>
      <c r="F795">
        <f>E795*'user input'!$C$21</f>
        <v>0</v>
      </c>
    </row>
    <row r="796" spans="1:6" x14ac:dyDescent="0.2">
      <c r="A796" s="1">
        <v>40972</v>
      </c>
      <c r="B796">
        <v>64</v>
      </c>
      <c r="C796">
        <f>'weather data'!E796</f>
        <v>11.199999999999996</v>
      </c>
      <c r="D796">
        <f>LAI!F796</f>
        <v>0</v>
      </c>
      <c r="E796">
        <f>0.5*C796*(1-EXP(-'user input'!$C$19*D796))</f>
        <v>0</v>
      </c>
      <c r="F796">
        <f>E796*'user input'!$C$21</f>
        <v>0</v>
      </c>
    </row>
    <row r="797" spans="1:6" x14ac:dyDescent="0.2">
      <c r="A797" s="1">
        <v>40973</v>
      </c>
      <c r="B797">
        <v>65</v>
      </c>
      <c r="C797">
        <f>'weather data'!E797</f>
        <v>12.780000000000003</v>
      </c>
      <c r="D797">
        <f>LAI!F797</f>
        <v>0</v>
      </c>
      <c r="E797">
        <f>0.5*C797*(1-EXP(-'user input'!$C$19*D797))</f>
        <v>0</v>
      </c>
      <c r="F797">
        <f>E797*'user input'!$C$21</f>
        <v>0</v>
      </c>
    </row>
    <row r="798" spans="1:6" x14ac:dyDescent="0.2">
      <c r="A798" s="1">
        <v>40974</v>
      </c>
      <c r="B798">
        <v>66</v>
      </c>
      <c r="C798">
        <f>'weather data'!E798</f>
        <v>13.068888888888889</v>
      </c>
      <c r="D798">
        <f>LAI!F798</f>
        <v>0</v>
      </c>
      <c r="E798">
        <f>0.5*C798*(1-EXP(-'user input'!$C$19*D798))</f>
        <v>0</v>
      </c>
      <c r="F798">
        <f>E798*'user input'!$C$21</f>
        <v>0</v>
      </c>
    </row>
    <row r="799" spans="1:6" x14ac:dyDescent="0.2">
      <c r="A799" s="1">
        <v>40975</v>
      </c>
      <c r="B799">
        <v>67</v>
      </c>
      <c r="C799">
        <f>'weather data'!E799</f>
        <v>11.393333333333333</v>
      </c>
      <c r="D799">
        <f>LAI!F799</f>
        <v>0</v>
      </c>
      <c r="E799">
        <f>0.5*C799*(1-EXP(-'user input'!$C$19*D799))</f>
        <v>0</v>
      </c>
      <c r="F799">
        <f>E799*'user input'!$C$21</f>
        <v>0</v>
      </c>
    </row>
    <row r="800" spans="1:6" x14ac:dyDescent="0.2">
      <c r="A800" s="1">
        <v>40976</v>
      </c>
      <c r="B800">
        <v>68</v>
      </c>
      <c r="C800">
        <f>'weather data'!E800</f>
        <v>12.291111111111112</v>
      </c>
      <c r="D800">
        <f>LAI!F800</f>
        <v>0</v>
      </c>
      <c r="E800">
        <f>0.5*C800*(1-EXP(-'user input'!$C$19*D800))</f>
        <v>0</v>
      </c>
      <c r="F800">
        <f>E800*'user input'!$C$21</f>
        <v>0</v>
      </c>
    </row>
    <row r="801" spans="1:6" x14ac:dyDescent="0.2">
      <c r="A801" s="1">
        <v>40977</v>
      </c>
      <c r="B801">
        <v>69</v>
      </c>
      <c r="C801">
        <f>'weather data'!E801</f>
        <v>13.813333333333336</v>
      </c>
      <c r="D801">
        <f>LAI!F801</f>
        <v>0</v>
      </c>
      <c r="E801">
        <f>0.5*C801*(1-EXP(-'user input'!$C$19*D801))</f>
        <v>0</v>
      </c>
      <c r="F801">
        <f>E801*'user input'!$C$21</f>
        <v>0</v>
      </c>
    </row>
    <row r="802" spans="1:6" x14ac:dyDescent="0.2">
      <c r="A802" s="1">
        <v>40978</v>
      </c>
      <c r="B802">
        <v>70</v>
      </c>
      <c r="C802">
        <f>'weather data'!E802</f>
        <v>12.808888888888891</v>
      </c>
      <c r="D802">
        <f>LAI!F802</f>
        <v>0</v>
      </c>
      <c r="E802">
        <f>0.5*C802*(1-EXP(-'user input'!$C$19*D802))</f>
        <v>0</v>
      </c>
      <c r="F802">
        <f>E802*'user input'!$C$21</f>
        <v>0</v>
      </c>
    </row>
    <row r="803" spans="1:6" x14ac:dyDescent="0.2">
      <c r="A803" s="1">
        <v>40979</v>
      </c>
      <c r="B803">
        <v>71</v>
      </c>
      <c r="C803">
        <f>'weather data'!E803</f>
        <v>12.691111111111107</v>
      </c>
      <c r="D803">
        <f>LAI!F803</f>
        <v>0</v>
      </c>
      <c r="E803">
        <f>0.5*C803*(1-EXP(-'user input'!$C$19*D803))</f>
        <v>0</v>
      </c>
      <c r="F803">
        <f>E803*'user input'!$C$21</f>
        <v>0</v>
      </c>
    </row>
    <row r="804" spans="1:6" x14ac:dyDescent="0.2">
      <c r="A804" s="1">
        <v>40980</v>
      </c>
      <c r="B804">
        <v>72</v>
      </c>
      <c r="C804">
        <f>'weather data'!E804</f>
        <v>11.371111111111109</v>
      </c>
      <c r="D804">
        <f>LAI!F804</f>
        <v>0</v>
      </c>
      <c r="E804">
        <f>0.5*C804*(1-EXP(-'user input'!$C$19*D804))</f>
        <v>0</v>
      </c>
      <c r="F804">
        <f>E804*'user input'!$C$21</f>
        <v>0</v>
      </c>
    </row>
    <row r="805" spans="1:6" x14ac:dyDescent="0.2">
      <c r="A805" s="1">
        <v>40981</v>
      </c>
      <c r="B805">
        <v>73</v>
      </c>
      <c r="C805">
        <f>'weather data'!E805</f>
        <v>13.164444444444442</v>
      </c>
      <c r="D805">
        <f>LAI!F805</f>
        <v>0</v>
      </c>
      <c r="E805">
        <f>0.5*C805*(1-EXP(-'user input'!$C$19*D805))</f>
        <v>0</v>
      </c>
      <c r="F805">
        <f>E805*'user input'!$C$21</f>
        <v>0</v>
      </c>
    </row>
    <row r="806" spans="1:6" x14ac:dyDescent="0.2">
      <c r="A806" s="1">
        <v>40982</v>
      </c>
      <c r="B806">
        <v>74</v>
      </c>
      <c r="C806">
        <f>'weather data'!E806</f>
        <v>12.719999999999995</v>
      </c>
      <c r="D806">
        <f>LAI!F806</f>
        <v>0</v>
      </c>
      <c r="E806">
        <f>0.5*C806*(1-EXP(-'user input'!$C$19*D806))</f>
        <v>0</v>
      </c>
      <c r="F806">
        <f>E806*'user input'!$C$21</f>
        <v>0</v>
      </c>
    </row>
    <row r="807" spans="1:6" x14ac:dyDescent="0.2">
      <c r="A807" s="1">
        <v>40983</v>
      </c>
      <c r="B807">
        <v>75</v>
      </c>
      <c r="C807">
        <f>'weather data'!E807</f>
        <v>14.366666666666664</v>
      </c>
      <c r="D807">
        <f>LAI!F807</f>
        <v>0</v>
      </c>
      <c r="E807">
        <f>0.5*C807*(1-EXP(-'user input'!$C$19*D807))</f>
        <v>0</v>
      </c>
      <c r="F807">
        <f>E807*'user input'!$C$21</f>
        <v>0</v>
      </c>
    </row>
    <row r="808" spans="1:6" x14ac:dyDescent="0.2">
      <c r="A808" s="1">
        <v>40984</v>
      </c>
      <c r="B808">
        <v>76</v>
      </c>
      <c r="C808">
        <f>'weather data'!E808</f>
        <v>13.237777777777776</v>
      </c>
      <c r="D808">
        <f>LAI!F808</f>
        <v>0</v>
      </c>
      <c r="E808">
        <f>0.5*C808*(1-EXP(-'user input'!$C$19*D808))</f>
        <v>0</v>
      </c>
      <c r="F808">
        <f>E808*'user input'!$C$21</f>
        <v>0</v>
      </c>
    </row>
    <row r="809" spans="1:6" x14ac:dyDescent="0.2">
      <c r="A809" s="1">
        <v>40985</v>
      </c>
      <c r="B809">
        <v>77</v>
      </c>
      <c r="C809">
        <f>'weather data'!E809</f>
        <v>12.584444444444451</v>
      </c>
      <c r="D809">
        <f>LAI!F809</f>
        <v>0</v>
      </c>
      <c r="E809">
        <f>0.5*C809*(1-EXP(-'user input'!$C$19*D809))</f>
        <v>0</v>
      </c>
      <c r="F809">
        <f>E809*'user input'!$C$21</f>
        <v>0</v>
      </c>
    </row>
    <row r="810" spans="1:6" x14ac:dyDescent="0.2">
      <c r="A810" s="1">
        <v>40986</v>
      </c>
      <c r="B810">
        <v>78</v>
      </c>
      <c r="C810">
        <f>'weather data'!E810</f>
        <v>12.284444444444446</v>
      </c>
      <c r="D810">
        <f>LAI!F810</f>
        <v>0</v>
      </c>
      <c r="E810">
        <f>0.5*C810*(1-EXP(-'user input'!$C$19*D810))</f>
        <v>0</v>
      </c>
      <c r="F810">
        <f>E810*'user input'!$C$21</f>
        <v>0</v>
      </c>
    </row>
    <row r="811" spans="1:6" x14ac:dyDescent="0.2">
      <c r="A811" s="1">
        <v>40987</v>
      </c>
      <c r="B811">
        <v>79</v>
      </c>
      <c r="C811">
        <f>'weather data'!E811</f>
        <v>13.337777777777776</v>
      </c>
      <c r="D811">
        <f>LAI!F811</f>
        <v>0</v>
      </c>
      <c r="E811">
        <f>0.5*C811*(1-EXP(-'user input'!$C$19*D811))</f>
        <v>0</v>
      </c>
      <c r="F811">
        <f>E811*'user input'!$C$21</f>
        <v>0</v>
      </c>
    </row>
    <row r="812" spans="1:6" x14ac:dyDescent="0.2">
      <c r="A812" s="1">
        <v>40988</v>
      </c>
      <c r="B812">
        <v>80</v>
      </c>
      <c r="C812">
        <f>'weather data'!E812</f>
        <v>15</v>
      </c>
      <c r="D812">
        <f>LAI!F812</f>
        <v>0</v>
      </c>
      <c r="E812">
        <f>0.5*C812*(1-EXP(-'user input'!$C$19*D812))</f>
        <v>0</v>
      </c>
      <c r="F812">
        <f>E812*'user input'!$C$21</f>
        <v>0</v>
      </c>
    </row>
    <row r="813" spans="1:6" x14ac:dyDescent="0.2">
      <c r="A813" s="1">
        <v>40989</v>
      </c>
      <c r="B813">
        <v>81</v>
      </c>
      <c r="C813">
        <f>'weather data'!E813</f>
        <v>14.926666666666668</v>
      </c>
      <c r="D813">
        <f>LAI!F813</f>
        <v>0</v>
      </c>
      <c r="E813">
        <f>0.5*C813*(1-EXP(-'user input'!$C$19*D813))</f>
        <v>0</v>
      </c>
      <c r="F813">
        <f>E813*'user input'!$C$21</f>
        <v>0</v>
      </c>
    </row>
    <row r="814" spans="1:6" x14ac:dyDescent="0.2">
      <c r="A814" s="1">
        <v>40990</v>
      </c>
      <c r="B814">
        <v>82</v>
      </c>
      <c r="C814">
        <f>'weather data'!E814</f>
        <v>16.43333333333333</v>
      </c>
      <c r="D814">
        <f>LAI!F814</f>
        <v>0</v>
      </c>
      <c r="E814">
        <f>0.5*C814*(1-EXP(-'user input'!$C$19*D814))</f>
        <v>0</v>
      </c>
      <c r="F814">
        <f>E814*'user input'!$C$21</f>
        <v>0</v>
      </c>
    </row>
    <row r="815" spans="1:6" x14ac:dyDescent="0.2">
      <c r="A815" s="1">
        <v>40991</v>
      </c>
      <c r="B815">
        <v>83</v>
      </c>
      <c r="C815">
        <f>'weather data'!E815</f>
        <v>14.304444444444442</v>
      </c>
      <c r="D815">
        <f>LAI!F815</f>
        <v>0</v>
      </c>
      <c r="E815">
        <f>0.5*C815*(1-EXP(-'user input'!$C$19*D815))</f>
        <v>0</v>
      </c>
      <c r="F815">
        <f>E815*'user input'!$C$21</f>
        <v>0</v>
      </c>
    </row>
    <row r="816" spans="1:6" x14ac:dyDescent="0.2">
      <c r="A816" s="1">
        <v>40992</v>
      </c>
      <c r="B816">
        <v>84</v>
      </c>
      <c r="C816">
        <f>'weather data'!E816</f>
        <v>14.604444444444443</v>
      </c>
      <c r="D816">
        <f>LAI!F816</f>
        <v>0</v>
      </c>
      <c r="E816">
        <f>0.5*C816*(1-EXP(-'user input'!$C$19*D816))</f>
        <v>0</v>
      </c>
      <c r="F816">
        <f>E816*'user input'!$C$21</f>
        <v>0</v>
      </c>
    </row>
    <row r="817" spans="1:6" x14ac:dyDescent="0.2">
      <c r="A817" s="1">
        <v>40993</v>
      </c>
      <c r="B817">
        <v>85</v>
      </c>
      <c r="C817">
        <f>'weather data'!E817</f>
        <v>15.69777777777778</v>
      </c>
      <c r="D817">
        <f>LAI!F817</f>
        <v>0</v>
      </c>
      <c r="E817">
        <f>0.5*C817*(1-EXP(-'user input'!$C$19*D817))</f>
        <v>0</v>
      </c>
      <c r="F817">
        <f>E817*'user input'!$C$21</f>
        <v>0</v>
      </c>
    </row>
    <row r="818" spans="1:6" x14ac:dyDescent="0.2">
      <c r="A818" s="1">
        <v>40994</v>
      </c>
      <c r="B818">
        <v>86</v>
      </c>
      <c r="C818">
        <f>'weather data'!E818</f>
        <v>14.977777777777776</v>
      </c>
      <c r="D818">
        <f>LAI!F818</f>
        <v>0</v>
      </c>
      <c r="E818">
        <f>0.5*C818*(1-EXP(-'user input'!$C$19*D818))</f>
        <v>0</v>
      </c>
      <c r="F818">
        <f>E818*'user input'!$C$21</f>
        <v>0</v>
      </c>
    </row>
    <row r="819" spans="1:6" x14ac:dyDescent="0.2">
      <c r="A819" s="1">
        <v>40995</v>
      </c>
      <c r="B819">
        <v>87</v>
      </c>
      <c r="C819">
        <f>'weather data'!E819</f>
        <v>12.684444444444447</v>
      </c>
      <c r="D819">
        <f>LAI!F819</f>
        <v>0</v>
      </c>
      <c r="E819">
        <f>0.5*C819*(1-EXP(-'user input'!$C$19*D819))</f>
        <v>0</v>
      </c>
      <c r="F819">
        <f>E819*'user input'!$C$21</f>
        <v>0</v>
      </c>
    </row>
    <row r="820" spans="1:6" x14ac:dyDescent="0.2">
      <c r="A820" s="1">
        <v>40996</v>
      </c>
      <c r="B820">
        <v>88</v>
      </c>
      <c r="C820">
        <f>'weather data'!E820</f>
        <v>14.022222222222222</v>
      </c>
      <c r="D820">
        <f>LAI!F820</f>
        <v>0</v>
      </c>
      <c r="E820">
        <f>0.5*C820*(1-EXP(-'user input'!$C$19*D820))</f>
        <v>0</v>
      </c>
      <c r="F820">
        <f>E820*'user input'!$C$21</f>
        <v>0</v>
      </c>
    </row>
    <row r="821" spans="1:6" x14ac:dyDescent="0.2">
      <c r="A821" s="1">
        <v>40997</v>
      </c>
      <c r="B821">
        <v>89</v>
      </c>
      <c r="C821">
        <f>'weather data'!E821</f>
        <v>15.895555555555557</v>
      </c>
      <c r="D821">
        <f>LAI!F821</f>
        <v>0</v>
      </c>
      <c r="E821">
        <f>0.5*C821*(1-EXP(-'user input'!$C$19*D821))</f>
        <v>0</v>
      </c>
      <c r="F821">
        <f>E821*'user input'!$C$21</f>
        <v>0</v>
      </c>
    </row>
    <row r="822" spans="1:6" x14ac:dyDescent="0.2">
      <c r="A822" s="1">
        <v>40998</v>
      </c>
      <c r="B822">
        <v>90</v>
      </c>
      <c r="C822">
        <f>'weather data'!E822</f>
        <v>14.608888888888893</v>
      </c>
      <c r="D822">
        <f>LAI!F822</f>
        <v>0</v>
      </c>
      <c r="E822">
        <f>0.5*C822*(1-EXP(-'user input'!$C$19*D822))</f>
        <v>0</v>
      </c>
      <c r="F822">
        <f>E822*'user input'!$C$21</f>
        <v>0</v>
      </c>
    </row>
    <row r="823" spans="1:6" x14ac:dyDescent="0.2">
      <c r="A823" s="1">
        <v>40999</v>
      </c>
      <c r="B823">
        <v>91</v>
      </c>
      <c r="C823">
        <f>'weather data'!E823</f>
        <v>13.344444444444447</v>
      </c>
      <c r="D823">
        <f>LAI!F823</f>
        <v>0</v>
      </c>
      <c r="E823">
        <f>0.5*C823*(1-EXP(-'user input'!$C$19*D823))</f>
        <v>0</v>
      </c>
      <c r="F823">
        <f>E823*'user input'!$C$21</f>
        <v>0</v>
      </c>
    </row>
    <row r="824" spans="1:6" x14ac:dyDescent="0.2">
      <c r="A824" s="1">
        <v>41000</v>
      </c>
      <c r="B824">
        <v>92</v>
      </c>
      <c r="C824">
        <f>'weather data'!E824</f>
        <v>14.593333333333337</v>
      </c>
      <c r="D824">
        <f>LAI!F824</f>
        <v>0</v>
      </c>
      <c r="E824">
        <f>0.5*C824*(1-EXP(-'user input'!$C$19*D824))</f>
        <v>0</v>
      </c>
      <c r="F824">
        <f>E824*'user input'!$C$21</f>
        <v>0</v>
      </c>
    </row>
    <row r="825" spans="1:6" x14ac:dyDescent="0.2">
      <c r="A825" s="1">
        <v>41001</v>
      </c>
      <c r="B825">
        <v>93</v>
      </c>
      <c r="C825">
        <f>'weather data'!E825</f>
        <v>13.820000000000002</v>
      </c>
      <c r="D825">
        <f>LAI!F825</f>
        <v>0</v>
      </c>
      <c r="E825">
        <f>0.5*C825*(1-EXP(-'user input'!$C$19*D825))</f>
        <v>0</v>
      </c>
      <c r="F825">
        <f>E825*'user input'!$C$21</f>
        <v>0</v>
      </c>
    </row>
    <row r="826" spans="1:6" x14ac:dyDescent="0.2">
      <c r="A826" s="1">
        <v>41002</v>
      </c>
      <c r="B826">
        <v>94</v>
      </c>
      <c r="C826">
        <f>'weather data'!E826</f>
        <v>15.273333333333332</v>
      </c>
      <c r="D826">
        <f>LAI!F826</f>
        <v>0</v>
      </c>
      <c r="E826">
        <f>0.5*C826*(1-EXP(-'user input'!$C$19*D826))</f>
        <v>0</v>
      </c>
      <c r="F826">
        <f>E826*'user input'!$C$21</f>
        <v>0</v>
      </c>
    </row>
    <row r="827" spans="1:6" x14ac:dyDescent="0.2">
      <c r="A827" s="1">
        <v>41003</v>
      </c>
      <c r="B827">
        <v>95</v>
      </c>
      <c r="C827">
        <f>'weather data'!E827</f>
        <v>14.677777777777782</v>
      </c>
      <c r="D827">
        <f>LAI!F827</f>
        <v>0</v>
      </c>
      <c r="E827">
        <f>0.5*C827*(1-EXP(-'user input'!$C$19*D827))</f>
        <v>0</v>
      </c>
      <c r="F827">
        <f>E827*'user input'!$C$21</f>
        <v>0</v>
      </c>
    </row>
    <row r="828" spans="1:6" x14ac:dyDescent="0.2">
      <c r="A828" s="1">
        <v>41004</v>
      </c>
      <c r="B828">
        <v>96</v>
      </c>
      <c r="C828">
        <f>'weather data'!E828</f>
        <v>17.008888888888887</v>
      </c>
      <c r="D828">
        <f>LAI!F828</f>
        <v>0</v>
      </c>
      <c r="E828">
        <f>0.5*C828*(1-EXP(-'user input'!$C$19*D828))</f>
        <v>0</v>
      </c>
      <c r="F828">
        <f>E828*'user input'!$C$21</f>
        <v>0</v>
      </c>
    </row>
    <row r="829" spans="1:6" x14ac:dyDescent="0.2">
      <c r="A829" s="1">
        <v>41005</v>
      </c>
      <c r="B829">
        <v>97</v>
      </c>
      <c r="C829">
        <f>'weather data'!E829</f>
        <v>16.526666666666664</v>
      </c>
      <c r="D829">
        <f>LAI!F829</f>
        <v>0</v>
      </c>
      <c r="E829">
        <f>0.5*C829*(1-EXP(-'user input'!$C$19*D829))</f>
        <v>0</v>
      </c>
      <c r="F829">
        <f>E829*'user input'!$C$21</f>
        <v>0</v>
      </c>
    </row>
    <row r="830" spans="1:6" x14ac:dyDescent="0.2">
      <c r="A830" s="1">
        <v>41006</v>
      </c>
      <c r="B830">
        <v>98</v>
      </c>
      <c r="C830">
        <f>'weather data'!E830</f>
        <v>14.875555555555552</v>
      </c>
      <c r="D830">
        <f>LAI!F830</f>
        <v>0</v>
      </c>
      <c r="E830">
        <f>0.5*C830*(1-EXP(-'user input'!$C$19*D830))</f>
        <v>0</v>
      </c>
      <c r="F830">
        <f>E830*'user input'!$C$21</f>
        <v>0</v>
      </c>
    </row>
    <row r="831" spans="1:6" x14ac:dyDescent="0.2">
      <c r="A831" s="1">
        <v>41007</v>
      </c>
      <c r="B831">
        <v>99</v>
      </c>
      <c r="C831">
        <f>'weather data'!E831</f>
        <v>17.475555555555555</v>
      </c>
      <c r="D831">
        <f>LAI!F831</f>
        <v>0</v>
      </c>
      <c r="E831">
        <f>0.5*C831*(1-EXP(-'user input'!$C$19*D831))</f>
        <v>0</v>
      </c>
      <c r="F831">
        <f>E831*'user input'!$C$21</f>
        <v>0</v>
      </c>
    </row>
    <row r="832" spans="1:6" x14ac:dyDescent="0.2">
      <c r="A832" s="1">
        <v>41008</v>
      </c>
      <c r="B832">
        <v>100</v>
      </c>
      <c r="C832">
        <f>'weather data'!E832</f>
        <v>17.055555555555557</v>
      </c>
      <c r="D832">
        <f>LAI!F832</f>
        <v>0</v>
      </c>
      <c r="E832">
        <f>0.5*C832*(1-EXP(-'user input'!$C$19*D832))</f>
        <v>0</v>
      </c>
      <c r="F832">
        <f>E832*'user input'!$C$21</f>
        <v>0</v>
      </c>
    </row>
    <row r="833" spans="1:6" x14ac:dyDescent="0.2">
      <c r="A833" s="1">
        <v>41009</v>
      </c>
      <c r="B833">
        <v>101</v>
      </c>
      <c r="C833">
        <f>'weather data'!E833</f>
        <v>15.882222222222218</v>
      </c>
      <c r="D833">
        <f>LAI!F833</f>
        <v>0</v>
      </c>
      <c r="E833">
        <f>0.5*C833*(1-EXP(-'user input'!$C$19*D833))</f>
        <v>0</v>
      </c>
      <c r="F833">
        <f>E833*'user input'!$C$21</f>
        <v>0</v>
      </c>
    </row>
    <row r="834" spans="1:6" x14ac:dyDescent="0.2">
      <c r="A834" s="1">
        <v>41010</v>
      </c>
      <c r="B834">
        <v>102</v>
      </c>
      <c r="C834">
        <f>'weather data'!E834</f>
        <v>15.497777777777774</v>
      </c>
      <c r="D834">
        <f>LAI!F834</f>
        <v>0</v>
      </c>
      <c r="E834">
        <f>0.5*C834*(1-EXP(-'user input'!$C$19*D834))</f>
        <v>0</v>
      </c>
      <c r="F834">
        <f>E834*'user input'!$C$21</f>
        <v>0</v>
      </c>
    </row>
    <row r="835" spans="1:6" x14ac:dyDescent="0.2">
      <c r="A835" s="1">
        <v>41011</v>
      </c>
      <c r="B835">
        <v>103</v>
      </c>
      <c r="C835">
        <f>'weather data'!E835</f>
        <v>18.066666666666666</v>
      </c>
      <c r="D835">
        <f>LAI!F835</f>
        <v>0</v>
      </c>
      <c r="E835">
        <f>0.5*C835*(1-EXP(-'user input'!$C$19*D835))</f>
        <v>0</v>
      </c>
      <c r="F835">
        <f>E835*'user input'!$C$21</f>
        <v>0</v>
      </c>
    </row>
    <row r="836" spans="1:6" x14ac:dyDescent="0.2">
      <c r="A836" s="1">
        <v>41012</v>
      </c>
      <c r="B836">
        <v>104</v>
      </c>
      <c r="C836">
        <f>'weather data'!E836</f>
        <v>17.306666666666665</v>
      </c>
      <c r="D836">
        <f>LAI!F836</f>
        <v>0</v>
      </c>
      <c r="E836">
        <f>0.5*C836*(1-EXP(-'user input'!$C$19*D836))</f>
        <v>0</v>
      </c>
      <c r="F836">
        <f>E836*'user input'!$C$21</f>
        <v>0</v>
      </c>
    </row>
    <row r="837" spans="1:6" x14ac:dyDescent="0.2">
      <c r="A837" s="1">
        <v>41013</v>
      </c>
      <c r="B837">
        <v>105</v>
      </c>
      <c r="C837">
        <f>'weather data'!E837</f>
        <v>18.091111111111108</v>
      </c>
      <c r="D837">
        <f>LAI!F837</f>
        <v>0</v>
      </c>
      <c r="E837">
        <f>0.5*C837*(1-EXP(-'user input'!$C$19*D837))</f>
        <v>0</v>
      </c>
      <c r="F837">
        <f>E837*'user input'!$C$21</f>
        <v>0</v>
      </c>
    </row>
    <row r="838" spans="1:6" x14ac:dyDescent="0.2">
      <c r="A838" s="1">
        <v>41014</v>
      </c>
      <c r="B838">
        <v>106</v>
      </c>
      <c r="C838">
        <f>'weather data'!E838</f>
        <v>15.755555555555551</v>
      </c>
      <c r="D838">
        <f>LAI!F838</f>
        <v>0</v>
      </c>
      <c r="E838">
        <f>0.5*C838*(1-EXP(-'user input'!$C$19*D838))</f>
        <v>0</v>
      </c>
      <c r="F838">
        <f>E838*'user input'!$C$21</f>
        <v>0</v>
      </c>
    </row>
    <row r="839" spans="1:6" x14ac:dyDescent="0.2">
      <c r="A839" s="1">
        <v>41015</v>
      </c>
      <c r="B839">
        <v>107</v>
      </c>
      <c r="C839">
        <f>'weather data'!E839</f>
        <v>18.606666666666669</v>
      </c>
      <c r="D839">
        <f>LAI!F839</f>
        <v>0</v>
      </c>
      <c r="E839">
        <f>0.5*C839*(1-EXP(-'user input'!$C$19*D839))</f>
        <v>0</v>
      </c>
      <c r="F839">
        <f>E839*'user input'!$C$21</f>
        <v>0</v>
      </c>
    </row>
    <row r="840" spans="1:6" x14ac:dyDescent="0.2">
      <c r="A840" s="1">
        <v>41016</v>
      </c>
      <c r="B840">
        <v>108</v>
      </c>
      <c r="C840">
        <f>'weather data'!E840</f>
        <v>17.028888888888886</v>
      </c>
      <c r="D840">
        <f>LAI!F840</f>
        <v>0</v>
      </c>
      <c r="E840">
        <f>0.5*C840*(1-EXP(-'user input'!$C$19*D840))</f>
        <v>0</v>
      </c>
      <c r="F840">
        <f>E840*'user input'!$C$21</f>
        <v>0</v>
      </c>
    </row>
    <row r="841" spans="1:6" x14ac:dyDescent="0.2">
      <c r="A841" s="1">
        <v>41017</v>
      </c>
      <c r="B841">
        <v>109</v>
      </c>
      <c r="C841">
        <f>'weather data'!E841</f>
        <v>16.00888888888889</v>
      </c>
      <c r="D841">
        <f>LAI!F841</f>
        <v>0</v>
      </c>
      <c r="E841">
        <f>0.5*C841*(1-EXP(-'user input'!$C$19*D841))</f>
        <v>0</v>
      </c>
      <c r="F841">
        <f>E841*'user input'!$C$21</f>
        <v>0</v>
      </c>
    </row>
    <row r="842" spans="1:6" x14ac:dyDescent="0.2">
      <c r="A842" s="1">
        <v>41018</v>
      </c>
      <c r="B842">
        <v>110</v>
      </c>
      <c r="C842">
        <f>'weather data'!E842</f>
        <v>14.822222222222214</v>
      </c>
      <c r="D842">
        <f>LAI!F842</f>
        <v>0</v>
      </c>
      <c r="E842">
        <f>0.5*C842*(1-EXP(-'user input'!$C$19*D842))</f>
        <v>0</v>
      </c>
      <c r="F842">
        <f>E842*'user input'!$C$21</f>
        <v>0</v>
      </c>
    </row>
    <row r="843" spans="1:6" x14ac:dyDescent="0.2">
      <c r="A843" s="1">
        <v>41019</v>
      </c>
      <c r="B843">
        <v>111</v>
      </c>
      <c r="C843">
        <f>'weather data'!E843</f>
        <v>16.506666666666668</v>
      </c>
      <c r="D843">
        <f>LAI!F843</f>
        <v>0</v>
      </c>
      <c r="E843">
        <f>0.5*C843*(1-EXP(-'user input'!$C$19*D843))</f>
        <v>0</v>
      </c>
      <c r="F843">
        <f>E843*'user input'!$C$21</f>
        <v>0</v>
      </c>
    </row>
    <row r="844" spans="1:6" x14ac:dyDescent="0.2">
      <c r="A844" s="1">
        <v>41020</v>
      </c>
      <c r="B844">
        <v>112</v>
      </c>
      <c r="C844">
        <f>'weather data'!E844</f>
        <v>16.88</v>
      </c>
      <c r="D844">
        <f>LAI!F844</f>
        <v>0</v>
      </c>
      <c r="E844">
        <f>0.5*C844*(1-EXP(-'user input'!$C$19*D844))</f>
        <v>0</v>
      </c>
      <c r="F844">
        <f>E844*'user input'!$C$21</f>
        <v>0</v>
      </c>
    </row>
    <row r="845" spans="1:6" x14ac:dyDescent="0.2">
      <c r="A845" s="1">
        <v>41021</v>
      </c>
      <c r="B845">
        <v>113</v>
      </c>
      <c r="C845">
        <f>'weather data'!E845</f>
        <v>17.740000000000009</v>
      </c>
      <c r="D845">
        <f>LAI!F845</f>
        <v>0</v>
      </c>
      <c r="E845">
        <f>0.5*C845*(1-EXP(-'user input'!$C$19*D845))</f>
        <v>0</v>
      </c>
      <c r="F845">
        <f>E845*'user input'!$C$21</f>
        <v>0</v>
      </c>
    </row>
    <row r="846" spans="1:6" x14ac:dyDescent="0.2">
      <c r="A846" s="1">
        <v>41022</v>
      </c>
      <c r="B846">
        <v>114</v>
      </c>
      <c r="C846">
        <f>'weather data'!E846</f>
        <v>19.917777777777768</v>
      </c>
      <c r="D846">
        <f>LAI!F846</f>
        <v>0</v>
      </c>
      <c r="E846">
        <f>0.5*C846*(1-EXP(-'user input'!$C$19*D846))</f>
        <v>0</v>
      </c>
      <c r="F846">
        <f>E846*'user input'!$C$21</f>
        <v>0</v>
      </c>
    </row>
    <row r="847" spans="1:6" x14ac:dyDescent="0.2">
      <c r="A847" s="1">
        <v>41023</v>
      </c>
      <c r="B847">
        <v>115</v>
      </c>
      <c r="C847">
        <f>'weather data'!E847</f>
        <v>19.82888888888888</v>
      </c>
      <c r="D847">
        <f>LAI!F847</f>
        <v>0</v>
      </c>
      <c r="E847">
        <f>0.5*C847*(1-EXP(-'user input'!$C$19*D847))</f>
        <v>0</v>
      </c>
      <c r="F847">
        <f>E847*'user input'!$C$21</f>
        <v>0</v>
      </c>
    </row>
    <row r="848" spans="1:6" x14ac:dyDescent="0.2">
      <c r="A848" s="1">
        <v>41024</v>
      </c>
      <c r="B848">
        <v>116</v>
      </c>
      <c r="C848">
        <f>'weather data'!E848</f>
        <v>19.919999999999998</v>
      </c>
      <c r="D848">
        <f>LAI!F848</f>
        <v>0</v>
      </c>
      <c r="E848">
        <f>0.5*C848*(1-EXP(-'user input'!$C$19*D848))</f>
        <v>0</v>
      </c>
      <c r="F848">
        <f>E848*'user input'!$C$21</f>
        <v>0</v>
      </c>
    </row>
    <row r="849" spans="1:6" x14ac:dyDescent="0.2">
      <c r="A849" s="1">
        <v>41025</v>
      </c>
      <c r="B849">
        <v>117</v>
      </c>
      <c r="C849">
        <f>'weather data'!E849</f>
        <v>18.355555555555554</v>
      </c>
      <c r="D849">
        <f>LAI!F849</f>
        <v>0</v>
      </c>
      <c r="E849">
        <f>0.5*C849*(1-EXP(-'user input'!$C$19*D849))</f>
        <v>0</v>
      </c>
      <c r="F849">
        <f>E849*'user input'!$C$21</f>
        <v>0</v>
      </c>
    </row>
    <row r="850" spans="1:6" x14ac:dyDescent="0.2">
      <c r="A850" s="1">
        <v>41026</v>
      </c>
      <c r="B850">
        <v>118</v>
      </c>
      <c r="C850">
        <f>'weather data'!E850</f>
        <v>18.562222222222225</v>
      </c>
      <c r="D850">
        <f>LAI!F850</f>
        <v>0</v>
      </c>
      <c r="E850">
        <f>0.5*C850*(1-EXP(-'user input'!$C$19*D850))</f>
        <v>0</v>
      </c>
      <c r="F850">
        <f>E850*'user input'!$C$21</f>
        <v>0</v>
      </c>
    </row>
    <row r="851" spans="1:6" x14ac:dyDescent="0.2">
      <c r="A851" s="1">
        <v>41027</v>
      </c>
      <c r="B851">
        <v>119</v>
      </c>
      <c r="C851">
        <f>'weather data'!E851</f>
        <v>18.202222222222229</v>
      </c>
      <c r="D851">
        <f>LAI!F851</f>
        <v>0</v>
      </c>
      <c r="E851">
        <f>0.5*C851*(1-EXP(-'user input'!$C$19*D851))</f>
        <v>0</v>
      </c>
      <c r="F851">
        <f>E851*'user input'!$C$21</f>
        <v>0</v>
      </c>
    </row>
    <row r="852" spans="1:6" x14ac:dyDescent="0.2">
      <c r="A852" s="1">
        <v>41028</v>
      </c>
      <c r="B852">
        <v>120</v>
      </c>
      <c r="C852">
        <f>'weather data'!E852</f>
        <v>17.571111111111119</v>
      </c>
      <c r="D852">
        <f>LAI!F852</f>
        <v>0</v>
      </c>
      <c r="E852">
        <f>0.5*C852*(1-EXP(-'user input'!$C$19*D852))</f>
        <v>0</v>
      </c>
      <c r="F852">
        <f>E852*'user input'!$C$21</f>
        <v>0</v>
      </c>
    </row>
    <row r="853" spans="1:6" x14ac:dyDescent="0.2">
      <c r="A853" s="1">
        <v>41029</v>
      </c>
      <c r="B853">
        <v>121</v>
      </c>
      <c r="C853">
        <f>'weather data'!E853</f>
        <v>19.524444444444448</v>
      </c>
      <c r="D853">
        <f>LAI!F853</f>
        <v>1.999885406674725E-4</v>
      </c>
      <c r="E853">
        <f>0.5*C853*(1-EXP(-'user input'!$C$19*D853))</f>
        <v>1.2689336965794396E-3</v>
      </c>
      <c r="F853">
        <f>E853*'user input'!$C$21</f>
        <v>4.9488414166598146E-2</v>
      </c>
    </row>
    <row r="854" spans="1:6" x14ac:dyDescent="0.2">
      <c r="A854" s="1">
        <v>41030</v>
      </c>
      <c r="B854">
        <v>122</v>
      </c>
      <c r="C854">
        <f>'weather data'!E854</f>
        <v>19.262222222222217</v>
      </c>
      <c r="D854">
        <f>LAI!F854</f>
        <v>3.3745554881010648E-4</v>
      </c>
      <c r="E854">
        <f>0.5*C854*(1-EXP(-'user input'!$C$19*D854))</f>
        <v>2.1123150531621128E-3</v>
      </c>
      <c r="F854">
        <f>E854*'user input'!$C$21</f>
        <v>8.23802870733224E-2</v>
      </c>
    </row>
    <row r="855" spans="1:6" x14ac:dyDescent="0.2">
      <c r="A855" s="1">
        <v>41031</v>
      </c>
      <c r="B855">
        <v>123</v>
      </c>
      <c r="C855">
        <f>'weather data'!E855</f>
        <v>21.293333333333326</v>
      </c>
      <c r="D855">
        <f>LAI!F855</f>
        <v>9.2179802093847886E-4</v>
      </c>
      <c r="E855">
        <f>0.5*C855*(1-EXP(-'user input'!$C$19*D855))</f>
        <v>6.3772388591115661E-3</v>
      </c>
      <c r="F855">
        <f>E855*'user input'!$C$21</f>
        <v>0.24871231550535108</v>
      </c>
    </row>
    <row r="856" spans="1:6" x14ac:dyDescent="0.2">
      <c r="A856" s="1">
        <v>41032</v>
      </c>
      <c r="B856">
        <v>124</v>
      </c>
      <c r="C856">
        <f>'weather data'!E856</f>
        <v>20.195555555555561</v>
      </c>
      <c r="D856">
        <f>LAI!F856</f>
        <v>2.5990421758726348E-3</v>
      </c>
      <c r="E856">
        <f>0.5*C856*(1-EXP(-'user input'!$C$19*D856))</f>
        <v>1.7044556314576836E-2</v>
      </c>
      <c r="F856">
        <f>E856*'user input'!$C$21</f>
        <v>0.66473769626849655</v>
      </c>
    </row>
    <row r="857" spans="1:6" x14ac:dyDescent="0.2">
      <c r="A857" s="1">
        <v>41033</v>
      </c>
      <c r="B857">
        <v>125</v>
      </c>
      <c r="C857">
        <f>'weather data'!E857</f>
        <v>19.100000000000005</v>
      </c>
      <c r="D857">
        <f>LAI!F857</f>
        <v>4.8693627859540227E-3</v>
      </c>
      <c r="E857">
        <f>0.5*C857*(1-EXP(-'user input'!$C$19*D857))</f>
        <v>3.0178785077921225E-2</v>
      </c>
      <c r="F857">
        <f>E857*'user input'!$C$21</f>
        <v>1.1769726180389277</v>
      </c>
    </row>
    <row r="858" spans="1:6" x14ac:dyDescent="0.2">
      <c r="A858" s="1">
        <v>41034</v>
      </c>
      <c r="B858">
        <v>126</v>
      </c>
      <c r="C858">
        <f>'weather data'!E858</f>
        <v>20.082222222222224</v>
      </c>
      <c r="D858">
        <f>LAI!F858</f>
        <v>5.8800004342281064E-3</v>
      </c>
      <c r="E858">
        <f>0.5*C858*(1-EXP(-'user input'!$C$19*D858))</f>
        <v>3.8303884145163558E-2</v>
      </c>
      <c r="F858">
        <f>E858*'user input'!$C$21</f>
        <v>1.4938514816613788</v>
      </c>
    </row>
    <row r="859" spans="1:6" x14ac:dyDescent="0.2">
      <c r="A859" s="1">
        <v>41035</v>
      </c>
      <c r="B859">
        <v>127</v>
      </c>
      <c r="C859">
        <f>'weather data'!E859</f>
        <v>17.606666666666673</v>
      </c>
      <c r="D859">
        <f>LAI!F859</f>
        <v>7.1967592542725462E-3</v>
      </c>
      <c r="E859">
        <f>0.5*C859*(1-EXP(-'user input'!$C$19*D859))</f>
        <v>4.1084885632169874E-2</v>
      </c>
      <c r="F859">
        <f>E859*'user input'!$C$21</f>
        <v>1.6023105396546251</v>
      </c>
    </row>
    <row r="860" spans="1:6" x14ac:dyDescent="0.2">
      <c r="A860" s="1">
        <v>41036</v>
      </c>
      <c r="B860">
        <v>128</v>
      </c>
      <c r="C860">
        <f>'weather data'!E860</f>
        <v>18.580000000000002</v>
      </c>
      <c r="D860">
        <f>LAI!F860</f>
        <v>8.4905160348799948E-3</v>
      </c>
      <c r="E860">
        <f>0.5*C860*(1-EXP(-'user input'!$C$19*D860))</f>
        <v>5.1128765683714945E-2</v>
      </c>
      <c r="F860">
        <f>E860*'user input'!$C$21</f>
        <v>1.9940218616648828</v>
      </c>
    </row>
    <row r="861" spans="1:6" x14ac:dyDescent="0.2">
      <c r="A861" s="1">
        <v>41037</v>
      </c>
      <c r="B861">
        <v>129</v>
      </c>
      <c r="C861">
        <f>'weather data'!E861</f>
        <v>20.891111111111112</v>
      </c>
      <c r="D861">
        <f>LAI!F861</f>
        <v>1.0340730729951167E-2</v>
      </c>
      <c r="E861">
        <f>0.5*C861*(1-EXP(-'user input'!$C$19*D861))</f>
        <v>6.997411219709937E-2</v>
      </c>
      <c r="F861">
        <f>E861*'user input'!$C$21</f>
        <v>2.7289903756868754</v>
      </c>
    </row>
    <row r="862" spans="1:6" x14ac:dyDescent="0.2">
      <c r="A862" s="1">
        <v>41038</v>
      </c>
      <c r="B862">
        <v>130</v>
      </c>
      <c r="C862">
        <f>'weather data'!E862</f>
        <v>21.2911111111111</v>
      </c>
      <c r="D862">
        <f>LAI!F862</f>
        <v>1.182100100902443E-2</v>
      </c>
      <c r="E862">
        <f>0.5*C862*(1-EXP(-'user input'!$C$19*D862))</f>
        <v>8.1483284493237468E-2</v>
      </c>
      <c r="F862">
        <f>E862*'user input'!$C$21</f>
        <v>3.1778480952362611</v>
      </c>
    </row>
    <row r="863" spans="1:6" x14ac:dyDescent="0.2">
      <c r="A863" s="1">
        <v>41039</v>
      </c>
      <c r="B863">
        <v>131</v>
      </c>
      <c r="C863">
        <f>'weather data'!E863</f>
        <v>17.644444444444446</v>
      </c>
      <c r="D863">
        <f>LAI!F863</f>
        <v>1.3113328981712816E-2</v>
      </c>
      <c r="E863">
        <f>0.5*C863*(1-EXP(-'user input'!$C$19*D863))</f>
        <v>7.4878085371468381E-2</v>
      </c>
      <c r="F863">
        <f>E863*'user input'!$C$21</f>
        <v>2.9202453294872668</v>
      </c>
    </row>
    <row r="864" spans="1:6" x14ac:dyDescent="0.2">
      <c r="A864" s="1">
        <v>41040</v>
      </c>
      <c r="B864">
        <v>132</v>
      </c>
      <c r="C864">
        <f>'weather data'!E864</f>
        <v>19.975555555555552</v>
      </c>
      <c r="D864">
        <f>LAI!F864</f>
        <v>1.5382760132250832E-2</v>
      </c>
      <c r="E864">
        <f>0.5*C864*(1-EXP(-'user input'!$C$19*D864))</f>
        <v>9.936812480044005E-2</v>
      </c>
      <c r="F864">
        <f>E864*'user input'!$C$21</f>
        <v>3.8753568672171621</v>
      </c>
    </row>
    <row r="865" spans="1:6" x14ac:dyDescent="0.2">
      <c r="A865" s="1">
        <v>41041</v>
      </c>
      <c r="B865">
        <v>133</v>
      </c>
      <c r="C865">
        <f>'weather data'!E865</f>
        <v>19.571111111111115</v>
      </c>
      <c r="D865">
        <f>LAI!F865</f>
        <v>1.9313748688580171E-2</v>
      </c>
      <c r="E865">
        <f>0.5*C865*(1-EXP(-'user input'!$C$19*D865))</f>
        <v>0.12207935295618871</v>
      </c>
      <c r="F865">
        <f>E865*'user input'!$C$21</f>
        <v>4.76109476529136</v>
      </c>
    </row>
    <row r="866" spans="1:6" x14ac:dyDescent="0.2">
      <c r="A866" s="1">
        <v>41042</v>
      </c>
      <c r="B866">
        <v>134</v>
      </c>
      <c r="C866">
        <f>'weather data'!E866</f>
        <v>18.477777777777774</v>
      </c>
      <c r="D866">
        <f>LAI!F866</f>
        <v>2.1800997409052773E-2</v>
      </c>
      <c r="E866">
        <f>0.5*C866*(1-EXP(-'user input'!$C$19*D866))</f>
        <v>0.12999779339999365</v>
      </c>
      <c r="F866">
        <f>E866*'user input'!$C$21</f>
        <v>5.0699139425997526</v>
      </c>
    </row>
    <row r="867" spans="1:6" x14ac:dyDescent="0.2">
      <c r="A867" s="1">
        <v>41043</v>
      </c>
      <c r="B867">
        <v>135</v>
      </c>
      <c r="C867">
        <f>'weather data'!E867</f>
        <v>19.902222222222221</v>
      </c>
      <c r="D867">
        <f>LAI!F867</f>
        <v>2.5458446413081322E-2</v>
      </c>
      <c r="E867">
        <f>0.5*C867*(1-EXP(-'user input'!$C$19*D867))</f>
        <v>0.16331588718776729</v>
      </c>
      <c r="F867">
        <f>E867*'user input'!$C$21</f>
        <v>6.3693196003229247</v>
      </c>
    </row>
    <row r="868" spans="1:6" x14ac:dyDescent="0.2">
      <c r="A868" s="1">
        <v>41044</v>
      </c>
      <c r="B868">
        <v>136</v>
      </c>
      <c r="C868">
        <f>'weather data'!E868</f>
        <v>20.839999999999996</v>
      </c>
      <c r="D868">
        <f>LAI!F868</f>
        <v>3.0633054596586589E-2</v>
      </c>
      <c r="E868">
        <f>0.5*C868*(1-EXP(-'user input'!$C$19*D868))</f>
        <v>0.20542572609772236</v>
      </c>
      <c r="F868">
        <f>E868*'user input'!$C$21</f>
        <v>8.0116033178111721</v>
      </c>
    </row>
    <row r="869" spans="1:6" x14ac:dyDescent="0.2">
      <c r="A869" s="1">
        <v>41045</v>
      </c>
      <c r="B869">
        <v>137</v>
      </c>
      <c r="C869">
        <f>'weather data'!E869</f>
        <v>20.335555555555548</v>
      </c>
      <c r="D869">
        <f>LAI!F869</f>
        <v>3.7836253980893644E-2</v>
      </c>
      <c r="E869">
        <f>0.5*C869*(1-EXP(-'user input'!$C$19*D869))</f>
        <v>0.24701200153166419</v>
      </c>
      <c r="F869">
        <f>E869*'user input'!$C$21</f>
        <v>9.6334680597349038</v>
      </c>
    </row>
    <row r="870" spans="1:6" x14ac:dyDescent="0.2">
      <c r="A870" s="1">
        <v>41046</v>
      </c>
      <c r="B870">
        <v>138</v>
      </c>
      <c r="C870">
        <f>'weather data'!E870</f>
        <v>19.555555555555557</v>
      </c>
      <c r="D870">
        <f>LAI!F870</f>
        <v>4.236041831356803E-2</v>
      </c>
      <c r="E870">
        <f>0.5*C870*(1-EXP(-'user input'!$C$19*D870))</f>
        <v>0.26555133384021851</v>
      </c>
      <c r="F870">
        <f>E870*'user input'!$C$21</f>
        <v>10.356502019768522</v>
      </c>
    </row>
    <row r="871" spans="1:6" x14ac:dyDescent="0.2">
      <c r="A871" s="1">
        <v>41047</v>
      </c>
      <c r="B871">
        <v>139</v>
      </c>
      <c r="C871">
        <f>'weather data'!E871</f>
        <v>21.506666666666671</v>
      </c>
      <c r="D871">
        <f>LAI!F871</f>
        <v>4.8596114789417881E-2</v>
      </c>
      <c r="E871">
        <f>0.5*C871*(1-EXP(-'user input'!$C$19*D871))</f>
        <v>0.33436201694895756</v>
      </c>
      <c r="F871">
        <f>E871*'user input'!$C$21</f>
        <v>13.040118661009345</v>
      </c>
    </row>
    <row r="872" spans="1:6" x14ac:dyDescent="0.2">
      <c r="A872" s="1">
        <v>41048</v>
      </c>
      <c r="B872">
        <v>140</v>
      </c>
      <c r="C872">
        <f>'weather data'!E872</f>
        <v>22.404444444444444</v>
      </c>
      <c r="D872">
        <f>LAI!F872</f>
        <v>6.0688734763692201E-2</v>
      </c>
      <c r="E872">
        <f>0.5*C872*(1-EXP(-'user input'!$C$19*D872))</f>
        <v>0.43329914087483651</v>
      </c>
      <c r="F872">
        <f>E872*'user input'!$C$21</f>
        <v>16.898666494118626</v>
      </c>
    </row>
    <row r="873" spans="1:6" x14ac:dyDescent="0.2">
      <c r="A873" s="1">
        <v>41049</v>
      </c>
      <c r="B873">
        <v>141</v>
      </c>
      <c r="C873">
        <f>'weather data'!E873</f>
        <v>22.526666666666674</v>
      </c>
      <c r="D873">
        <f>LAI!F873</f>
        <v>7.6977928202305923E-2</v>
      </c>
      <c r="E873">
        <f>0.5*C873*(1-EXP(-'user input'!$C$19*D873))</f>
        <v>0.54970123219326861</v>
      </c>
      <c r="F873">
        <f>E873*'user input'!$C$21</f>
        <v>21.438348055537475</v>
      </c>
    </row>
    <row r="874" spans="1:6" x14ac:dyDescent="0.2">
      <c r="A874" s="1">
        <v>41050</v>
      </c>
      <c r="B874">
        <v>142</v>
      </c>
      <c r="C874">
        <f>'weather data'!E874</f>
        <v>20.664444444444445</v>
      </c>
      <c r="D874">
        <f>LAI!F874</f>
        <v>8.9985613249378815E-2</v>
      </c>
      <c r="E874">
        <f>0.5*C874*(1-EXP(-'user input'!$C$19*D874))</f>
        <v>0.58700391635784865</v>
      </c>
      <c r="F874">
        <f>E874*'user input'!$C$21</f>
        <v>22.893152737956097</v>
      </c>
    </row>
    <row r="875" spans="1:6" x14ac:dyDescent="0.2">
      <c r="A875" s="1">
        <v>41051</v>
      </c>
      <c r="B875">
        <v>143</v>
      </c>
      <c r="C875">
        <f>'weather data'!E875</f>
        <v>19.966666666666665</v>
      </c>
      <c r="D875">
        <f>LAI!F875</f>
        <v>0.10041030007249334</v>
      </c>
      <c r="E875">
        <f>0.5*C875*(1-EXP(-'user input'!$C$19*D875))</f>
        <v>0.63077110527560143</v>
      </c>
      <c r="F875">
        <f>E875*'user input'!$C$21</f>
        <v>24.600073105748457</v>
      </c>
    </row>
    <row r="876" spans="1:6" x14ac:dyDescent="0.2">
      <c r="A876" s="1">
        <v>41052</v>
      </c>
      <c r="B876">
        <v>144</v>
      </c>
      <c r="C876">
        <f>'weather data'!E876</f>
        <v>21.091111111111118</v>
      </c>
      <c r="D876">
        <f>LAI!F876</f>
        <v>0.11337785469030481</v>
      </c>
      <c r="E876">
        <f>0.5*C876*(1-EXP(-'user input'!$C$19*D876))</f>
        <v>0.74921511740667102</v>
      </c>
      <c r="F876">
        <f>E876*'user input'!$C$21</f>
        <v>29.21938957886017</v>
      </c>
    </row>
    <row r="877" spans="1:6" x14ac:dyDescent="0.2">
      <c r="A877" s="1">
        <v>41053</v>
      </c>
      <c r="B877">
        <v>145</v>
      </c>
      <c r="C877">
        <f>'weather data'!E877</f>
        <v>21.435555555555553</v>
      </c>
      <c r="D877">
        <f>LAI!F877</f>
        <v>0.13300181531870209</v>
      </c>
      <c r="E877">
        <f>0.5*C877*(1-EXP(-'user input'!$C$19*D877))</f>
        <v>0.8876428779104264</v>
      </c>
      <c r="F877">
        <f>E877*'user input'!$C$21</f>
        <v>34.618072238506628</v>
      </c>
    </row>
    <row r="878" spans="1:6" x14ac:dyDescent="0.2">
      <c r="A878" s="1">
        <v>41054</v>
      </c>
      <c r="B878">
        <v>146</v>
      </c>
      <c r="C878">
        <f>'weather data'!E878</f>
        <v>22.319999999999986</v>
      </c>
      <c r="D878">
        <f>LAI!F878</f>
        <v>0.15742397767823882</v>
      </c>
      <c r="E878">
        <f>0.5*C878*(1-EXP(-'user input'!$C$19*D878))</f>
        <v>1.0854708579289711</v>
      </c>
      <c r="F878">
        <f>E878*'user input'!$C$21</f>
        <v>42.333363459229872</v>
      </c>
    </row>
    <row r="879" spans="1:6" x14ac:dyDescent="0.2">
      <c r="A879" s="1">
        <v>41055</v>
      </c>
      <c r="B879">
        <v>147</v>
      </c>
      <c r="C879">
        <f>'weather data'!E879</f>
        <v>21.086666666666666</v>
      </c>
      <c r="D879">
        <f>LAI!F879</f>
        <v>0.17923743880141163</v>
      </c>
      <c r="E879">
        <f>0.5*C879*(1-EXP(-'user input'!$C$19*D879))</f>
        <v>1.159490025331207</v>
      </c>
      <c r="F879">
        <f>E879*'user input'!$C$21</f>
        <v>45.220110987917074</v>
      </c>
    </row>
    <row r="880" spans="1:6" x14ac:dyDescent="0.2">
      <c r="A880" s="1">
        <v>41056</v>
      </c>
      <c r="B880">
        <v>148</v>
      </c>
      <c r="C880">
        <f>'weather data'!E880</f>
        <v>19.986666666666665</v>
      </c>
      <c r="D880">
        <f>LAI!F880</f>
        <v>0.21930810798742839</v>
      </c>
      <c r="E880">
        <f>0.5*C880*(1-EXP(-'user input'!$C$19*D880))</f>
        <v>1.3276746760453959</v>
      </c>
      <c r="F880">
        <f>E880*'user input'!$C$21</f>
        <v>51.779312365770437</v>
      </c>
    </row>
    <row r="881" spans="1:6" x14ac:dyDescent="0.2">
      <c r="A881" s="1">
        <v>41057</v>
      </c>
      <c r="B881">
        <v>149</v>
      </c>
      <c r="C881">
        <f>'weather data'!E881</f>
        <v>20.988888888888894</v>
      </c>
      <c r="D881">
        <f>LAI!F881</f>
        <v>0.26751697444007644</v>
      </c>
      <c r="E881">
        <f>0.5*C881*(1-EXP(-'user input'!$C$19*D881))</f>
        <v>1.6749902690728355</v>
      </c>
      <c r="F881">
        <f>E881*'user input'!$C$21</f>
        <v>65.324620493840584</v>
      </c>
    </row>
    <row r="882" spans="1:6" x14ac:dyDescent="0.2">
      <c r="A882" s="1">
        <v>41058</v>
      </c>
      <c r="B882">
        <v>150</v>
      </c>
      <c r="C882">
        <f>'weather data'!E882</f>
        <v>21.175555555555562</v>
      </c>
      <c r="D882">
        <f>LAI!F882</f>
        <v>0.31414564977756926</v>
      </c>
      <c r="E882">
        <f>0.5*C882*(1-EXP(-'user input'!$C$19*D882))</f>
        <v>1.9555240302568828</v>
      </c>
      <c r="F882">
        <f>E882*'user input'!$C$21</f>
        <v>76.265437180018424</v>
      </c>
    </row>
    <row r="883" spans="1:6" x14ac:dyDescent="0.2">
      <c r="A883" s="1">
        <v>41059</v>
      </c>
      <c r="B883">
        <v>151</v>
      </c>
      <c r="C883">
        <f>'weather data'!E883</f>
        <v>21.524444444444448</v>
      </c>
      <c r="D883">
        <f>LAI!F883</f>
        <v>0.34430721851352614</v>
      </c>
      <c r="E883">
        <f>0.5*C883*(1-EXP(-'user input'!$C$19*D883))</f>
        <v>2.158091817292747</v>
      </c>
      <c r="F883">
        <f>E883*'user input'!$C$21</f>
        <v>84.165580874417131</v>
      </c>
    </row>
    <row r="884" spans="1:6" x14ac:dyDescent="0.2">
      <c r="A884" s="1">
        <v>41060</v>
      </c>
      <c r="B884">
        <v>152</v>
      </c>
      <c r="C884">
        <f>'weather data'!E884</f>
        <v>22.935555555555549</v>
      </c>
      <c r="D884">
        <f>LAI!F884</f>
        <v>0.36156936881726287</v>
      </c>
      <c r="E884">
        <f>0.5*C884*(1-EXP(-'user input'!$C$19*D884))</f>
        <v>2.4018690901447743</v>
      </c>
      <c r="F884">
        <f>E884*'user input'!$C$21</f>
        <v>93.672894515646206</v>
      </c>
    </row>
    <row r="885" spans="1:6" x14ac:dyDescent="0.2">
      <c r="A885" s="1">
        <v>41061</v>
      </c>
      <c r="B885">
        <v>153</v>
      </c>
      <c r="C885">
        <f>'weather data'!E885</f>
        <v>22.097777777777782</v>
      </c>
      <c r="D885">
        <f>LAI!F885</f>
        <v>0.3697606123924545</v>
      </c>
      <c r="E885">
        <f>0.5*C885*(1-EXP(-'user input'!$C$19*D885))</f>
        <v>2.3605178284784589</v>
      </c>
      <c r="F885">
        <f>E885*'user input'!$C$21</f>
        <v>92.060195310659893</v>
      </c>
    </row>
    <row r="886" spans="1:6" x14ac:dyDescent="0.2">
      <c r="A886" s="1">
        <v>41062</v>
      </c>
      <c r="B886">
        <v>154</v>
      </c>
      <c r="C886">
        <f>'weather data'!E886</f>
        <v>23.393333333333331</v>
      </c>
      <c r="D886">
        <f>LAI!F886</f>
        <v>0.39519862368270553</v>
      </c>
      <c r="E886">
        <f>0.5*C886*(1-EXP(-'user input'!$C$19*D886))</f>
        <v>2.6497428014684372</v>
      </c>
      <c r="F886">
        <f>E886*'user input'!$C$21</f>
        <v>103.33996925726905</v>
      </c>
    </row>
    <row r="887" spans="1:6" x14ac:dyDescent="0.2">
      <c r="A887" s="1">
        <v>41063</v>
      </c>
      <c r="B887">
        <v>155</v>
      </c>
      <c r="C887">
        <f>'weather data'!E887</f>
        <v>22.279999999999998</v>
      </c>
      <c r="D887">
        <f>LAI!F887</f>
        <v>0.43272526155540675</v>
      </c>
      <c r="E887">
        <f>0.5*C887*(1-EXP(-'user input'!$C$19*D887))</f>
        <v>2.731266950926035</v>
      </c>
      <c r="F887">
        <f>E887*'user input'!$C$21</f>
        <v>106.51941108611537</v>
      </c>
    </row>
    <row r="888" spans="1:6" x14ac:dyDescent="0.2">
      <c r="A888" s="1">
        <v>41064</v>
      </c>
      <c r="B888">
        <v>156</v>
      </c>
      <c r="C888">
        <f>'weather data'!E888</f>
        <v>21.313333333333325</v>
      </c>
      <c r="D888">
        <f>LAI!F888</f>
        <v>0.48121711637352371</v>
      </c>
      <c r="E888">
        <f>0.5*C888*(1-EXP(-'user input'!$C$19*D888))</f>
        <v>2.8623522359896243</v>
      </c>
      <c r="F888">
        <f>E888*'user input'!$C$21</f>
        <v>111.63173720359535</v>
      </c>
    </row>
    <row r="889" spans="1:6" x14ac:dyDescent="0.2">
      <c r="A889" s="1">
        <v>41065</v>
      </c>
      <c r="B889">
        <v>157</v>
      </c>
      <c r="C889">
        <f>'weather data'!E889</f>
        <v>22.002222222222226</v>
      </c>
      <c r="D889">
        <f>LAI!F889</f>
        <v>0.5263629180488445</v>
      </c>
      <c r="E889">
        <f>0.5*C889*(1-EXP(-'user input'!$C$19*D889))</f>
        <v>3.1875534926241902</v>
      </c>
      <c r="F889">
        <f>E889*'user input'!$C$21</f>
        <v>124.31458621234341</v>
      </c>
    </row>
    <row r="890" spans="1:6" x14ac:dyDescent="0.2">
      <c r="A890" s="1">
        <v>41066</v>
      </c>
      <c r="B890">
        <v>158</v>
      </c>
      <c r="C890">
        <f>'weather data'!E890</f>
        <v>22.086666666666659</v>
      </c>
      <c r="D890">
        <f>LAI!F890</f>
        <v>0.57444300353818811</v>
      </c>
      <c r="E890">
        <f>0.5*C890*(1-EXP(-'user input'!$C$19*D890))</f>
        <v>3.4411234789235023</v>
      </c>
      <c r="F890">
        <f>E890*'user input'!$C$21</f>
        <v>134.20381567801658</v>
      </c>
    </row>
    <row r="891" spans="1:6" x14ac:dyDescent="0.2">
      <c r="A891" s="1">
        <v>41067</v>
      </c>
      <c r="B891">
        <v>159</v>
      </c>
      <c r="C891">
        <f>'weather data'!E891</f>
        <v>23.813333333333325</v>
      </c>
      <c r="D891">
        <f>LAI!F891</f>
        <v>0.62951184291247764</v>
      </c>
      <c r="E891">
        <f>0.5*C891*(1-EXP(-'user input'!$C$19*D891))</f>
        <v>3.9983435064549786</v>
      </c>
      <c r="F891">
        <f>E891*'user input'!$C$21</f>
        <v>155.93539675174418</v>
      </c>
    </row>
    <row r="892" spans="1:6" x14ac:dyDescent="0.2">
      <c r="A892" s="1">
        <v>41068</v>
      </c>
      <c r="B892">
        <v>160</v>
      </c>
      <c r="C892">
        <f>'weather data'!E892</f>
        <v>21.76222222222221</v>
      </c>
      <c r="D892">
        <f>LAI!F892</f>
        <v>0.69658699454432293</v>
      </c>
      <c r="E892">
        <f>0.5*C892*(1-EXP(-'user input'!$C$19*D892))</f>
        <v>3.9622801857008065</v>
      </c>
      <c r="F892">
        <f>E892*'user input'!$C$21</f>
        <v>154.52892724233146</v>
      </c>
    </row>
    <row r="893" spans="1:6" x14ac:dyDescent="0.2">
      <c r="A893" s="1">
        <v>41069</v>
      </c>
      <c r="B893">
        <v>161</v>
      </c>
      <c r="C893">
        <f>'weather data'!E893</f>
        <v>23.468888888888888</v>
      </c>
      <c r="D893">
        <f>LAI!F893</f>
        <v>0.79346363164313571</v>
      </c>
      <c r="E893">
        <f>0.5*C893*(1-EXP(-'user input'!$C$19*D893))</f>
        <v>4.7283729753216281</v>
      </c>
      <c r="F893">
        <f>E893*'user input'!$C$21</f>
        <v>184.40654603754351</v>
      </c>
    </row>
    <row r="894" spans="1:6" x14ac:dyDescent="0.2">
      <c r="A894" s="1">
        <v>41070</v>
      </c>
      <c r="B894">
        <v>162</v>
      </c>
      <c r="C894">
        <f>'weather data'!E894</f>
        <v>20.566666666666666</v>
      </c>
      <c r="D894">
        <f>LAI!F894</f>
        <v>0.91517858598272861</v>
      </c>
      <c r="E894">
        <f>0.5*C894*(1-EXP(-'user input'!$C$19*D894))</f>
        <v>4.6106719874254996</v>
      </c>
      <c r="F894">
        <f>E894*'user input'!$C$21</f>
        <v>179.81620750959448</v>
      </c>
    </row>
    <row r="895" spans="1:6" x14ac:dyDescent="0.2">
      <c r="A895" s="1">
        <v>41071</v>
      </c>
      <c r="B895">
        <v>163</v>
      </c>
      <c r="C895">
        <f>'weather data'!E895</f>
        <v>21.984444444444435</v>
      </c>
      <c r="D895">
        <f>LAI!F895</f>
        <v>1.0480924120672754</v>
      </c>
      <c r="E895">
        <f>0.5*C895*(1-EXP(-'user input'!$C$19*D895))</f>
        <v>5.4303883658946699</v>
      </c>
      <c r="F895">
        <f>E895*'user input'!$C$21</f>
        <v>211.78514626989212</v>
      </c>
    </row>
    <row r="896" spans="1:6" x14ac:dyDescent="0.2">
      <c r="A896" s="1">
        <v>41072</v>
      </c>
      <c r="B896">
        <v>164</v>
      </c>
      <c r="C896">
        <f>'weather data'!E896</f>
        <v>23.388888888888882</v>
      </c>
      <c r="D896">
        <f>LAI!F896</f>
        <v>1.1462502884393662</v>
      </c>
      <c r="E896">
        <f>0.5*C896*(1-EXP(-'user input'!$C$19*D896))</f>
        <v>6.1430385625090951</v>
      </c>
      <c r="F896">
        <f>E896*'user input'!$C$21</f>
        <v>239.57850393785472</v>
      </c>
    </row>
    <row r="897" spans="1:6" x14ac:dyDescent="0.2">
      <c r="A897" s="1">
        <v>41073</v>
      </c>
      <c r="B897">
        <v>165</v>
      </c>
      <c r="C897">
        <f>'weather data'!E897</f>
        <v>21.657777777777785</v>
      </c>
      <c r="D897">
        <f>LAI!F897</f>
        <v>1.2048074345181272</v>
      </c>
      <c r="E897">
        <f>0.5*C897*(1-EXP(-'user input'!$C$19*D897))</f>
        <v>5.8803486708420323</v>
      </c>
      <c r="F897">
        <f>E897*'user input'!$C$21</f>
        <v>229.33359816283925</v>
      </c>
    </row>
    <row r="898" spans="1:6" x14ac:dyDescent="0.2">
      <c r="A898" s="1">
        <v>41074</v>
      </c>
      <c r="B898">
        <v>166</v>
      </c>
      <c r="C898">
        <f>'weather data'!E898</f>
        <v>20.875555555555547</v>
      </c>
      <c r="D898">
        <f>LAI!F898</f>
        <v>1.2754748014607038</v>
      </c>
      <c r="E898">
        <f>0.5*C898*(1-EXP(-'user input'!$C$19*D898))</f>
        <v>5.8821056306471062</v>
      </c>
      <c r="F898">
        <f>E898*'user input'!$C$21</f>
        <v>229.40211959523714</v>
      </c>
    </row>
    <row r="899" spans="1:6" x14ac:dyDescent="0.2">
      <c r="A899" s="1">
        <v>41075</v>
      </c>
      <c r="B899">
        <v>167</v>
      </c>
      <c r="C899">
        <f>'weather data'!E899</f>
        <v>21.88</v>
      </c>
      <c r="D899">
        <f>LAI!F899</f>
        <v>1.3784694017018091</v>
      </c>
      <c r="E899">
        <f>0.5*C899*(1-EXP(-'user input'!$C$19*D899))</f>
        <v>6.4743236282639387</v>
      </c>
      <c r="F899">
        <f>E899*'user input'!$C$21</f>
        <v>252.49862150229362</v>
      </c>
    </row>
    <row r="900" spans="1:6" x14ac:dyDescent="0.2">
      <c r="A900" s="1">
        <v>41076</v>
      </c>
      <c r="B900">
        <v>168</v>
      </c>
      <c r="C900">
        <f>'weather data'!E900</f>
        <v>23.36666666666666</v>
      </c>
      <c r="D900">
        <f>LAI!F900</f>
        <v>1.5194261426676317</v>
      </c>
      <c r="E900">
        <f>0.5*C900*(1-EXP(-'user input'!$C$19*D900))</f>
        <v>7.3317649323022192</v>
      </c>
      <c r="F900">
        <f>E900*'user input'!$C$21</f>
        <v>285.93883235978655</v>
      </c>
    </row>
    <row r="901" spans="1:6" x14ac:dyDescent="0.2">
      <c r="A901" s="1">
        <v>41077</v>
      </c>
      <c r="B901">
        <v>169</v>
      </c>
      <c r="C901">
        <f>'weather data'!E901</f>
        <v>21.613333333333337</v>
      </c>
      <c r="D901">
        <f>LAI!F901</f>
        <v>1.684358205674295</v>
      </c>
      <c r="E901">
        <f>0.5*C901*(1-EXP(-'user input'!$C$19*D901))</f>
        <v>7.1908042477102159</v>
      </c>
      <c r="F901">
        <f>E901*'user input'!$C$21</f>
        <v>280.44136566069841</v>
      </c>
    </row>
    <row r="902" spans="1:6" x14ac:dyDescent="0.2">
      <c r="A902" s="1">
        <v>41078</v>
      </c>
      <c r="B902">
        <v>170</v>
      </c>
      <c r="C902">
        <f>'weather data'!E902</f>
        <v>23.11333333333333</v>
      </c>
      <c r="D902">
        <f>LAI!F902</f>
        <v>1.8489239619960145</v>
      </c>
      <c r="E902">
        <f>0.5*C902*(1-EXP(-'user input'!$C$19*D902))</f>
        <v>8.0821273630422361</v>
      </c>
      <c r="F902">
        <f>E902*'user input'!$C$21</f>
        <v>315.2029671586472</v>
      </c>
    </row>
    <row r="903" spans="1:6" x14ac:dyDescent="0.2">
      <c r="A903" s="1">
        <v>41079</v>
      </c>
      <c r="B903">
        <v>171</v>
      </c>
      <c r="C903">
        <f>'weather data'!E903</f>
        <v>23.373333333333328</v>
      </c>
      <c r="D903">
        <f>LAI!F903</f>
        <v>2.0086411969630813</v>
      </c>
      <c r="E903">
        <f>0.5*C903*(1-EXP(-'user input'!$C$19*D903))</f>
        <v>8.5195176708790079</v>
      </c>
      <c r="F903">
        <f>E903*'user input'!$C$21</f>
        <v>332.26118916428129</v>
      </c>
    </row>
    <row r="904" spans="1:6" x14ac:dyDescent="0.2">
      <c r="A904" s="1">
        <v>41080</v>
      </c>
      <c r="B904">
        <v>172</v>
      </c>
      <c r="C904">
        <f>'weather data'!E904</f>
        <v>22.980000000000004</v>
      </c>
      <c r="D904">
        <f>LAI!F904</f>
        <v>2.1547068711630235</v>
      </c>
      <c r="E904">
        <f>0.5*C904*(1-EXP(-'user input'!$C$19*D904))</f>
        <v>8.6581856321580446</v>
      </c>
      <c r="F904">
        <f>E904*'user input'!$C$21</f>
        <v>337.66923965416373</v>
      </c>
    </row>
    <row r="905" spans="1:6" x14ac:dyDescent="0.2">
      <c r="A905" s="1">
        <v>41081</v>
      </c>
      <c r="B905">
        <v>173</v>
      </c>
      <c r="C905">
        <f>'weather data'!E905</f>
        <v>22.42444444444444</v>
      </c>
      <c r="D905">
        <f>LAI!F905</f>
        <v>2.2609341293246228</v>
      </c>
      <c r="E905">
        <f>0.5*C905*(1-EXP(-'user input'!$C$19*D905))</f>
        <v>8.6332337189143615</v>
      </c>
      <c r="F905">
        <f>E905*'user input'!$C$21</f>
        <v>336.69611503766009</v>
      </c>
    </row>
    <row r="906" spans="1:6" x14ac:dyDescent="0.2">
      <c r="A906" s="1">
        <v>41082</v>
      </c>
      <c r="B906">
        <v>174</v>
      </c>
      <c r="C906">
        <f>'weather data'!E906</f>
        <v>22.90444444444444</v>
      </c>
      <c r="D906">
        <f>LAI!F906</f>
        <v>2.3323527074015322</v>
      </c>
      <c r="E906">
        <f>0.5*C906*(1-EXP(-'user input'!$C$19*D906))</f>
        <v>8.937519657833068</v>
      </c>
      <c r="F906">
        <f>E906*'user input'!$C$21</f>
        <v>348.56326665548966</v>
      </c>
    </row>
    <row r="907" spans="1:6" x14ac:dyDescent="0.2">
      <c r="A907" s="1">
        <v>41083</v>
      </c>
      <c r="B907">
        <v>175</v>
      </c>
      <c r="C907">
        <f>'weather data'!E907</f>
        <v>23.068888888888885</v>
      </c>
      <c r="D907">
        <f>LAI!F907</f>
        <v>2.3975842243383072</v>
      </c>
      <c r="E907">
        <f>0.5*C907*(1-EXP(-'user input'!$C$19*D907))</f>
        <v>9.1068326291178412</v>
      </c>
      <c r="F907">
        <f>E907*'user input'!$C$21</f>
        <v>355.1664725355958</v>
      </c>
    </row>
    <row r="908" spans="1:6" x14ac:dyDescent="0.2">
      <c r="A908" s="1">
        <v>41084</v>
      </c>
      <c r="B908">
        <v>176</v>
      </c>
      <c r="C908">
        <f>'weather data'!E908</f>
        <v>23.437777777777779</v>
      </c>
      <c r="D908">
        <f>LAI!F908</f>
        <v>2.4611892225161833</v>
      </c>
      <c r="E908">
        <f>0.5*C908*(1-EXP(-'user input'!$C$19*D908))</f>
        <v>9.3523488711476688</v>
      </c>
      <c r="F908">
        <f>E908*'user input'!$C$21</f>
        <v>364.74160597475907</v>
      </c>
    </row>
    <row r="909" spans="1:6" x14ac:dyDescent="0.2">
      <c r="A909" s="1">
        <v>41085</v>
      </c>
      <c r="B909">
        <v>177</v>
      </c>
      <c r="C909">
        <f>'weather data'!E909</f>
        <v>24.166666666666679</v>
      </c>
      <c r="D909">
        <f>LAI!F909</f>
        <v>2.5203980624965707</v>
      </c>
      <c r="E909">
        <f>0.5*C909*(1-EXP(-'user input'!$C$19*D909))</f>
        <v>9.7353228846068873</v>
      </c>
      <c r="F909">
        <f>E909*'user input'!$C$21</f>
        <v>379.67759249966861</v>
      </c>
    </row>
    <row r="910" spans="1:6" x14ac:dyDescent="0.2">
      <c r="A910" s="1">
        <v>41086</v>
      </c>
      <c r="B910">
        <v>178</v>
      </c>
      <c r="C910">
        <f>'weather data'!E910</f>
        <v>24.371111111111112</v>
      </c>
      <c r="D910">
        <f>LAI!F910</f>
        <v>2.5567512300722264</v>
      </c>
      <c r="E910">
        <f>0.5*C910*(1-EXP(-'user input'!$C$19*D910))</f>
        <v>9.8729774160524926</v>
      </c>
      <c r="F910">
        <f>E910*'user input'!$C$21</f>
        <v>385.04611922604721</v>
      </c>
    </row>
    <row r="911" spans="1:6" x14ac:dyDescent="0.2">
      <c r="A911" s="1">
        <v>41087</v>
      </c>
      <c r="B911">
        <v>179</v>
      </c>
      <c r="C911">
        <f>'weather data'!E911</f>
        <v>22.171111111111113</v>
      </c>
      <c r="D911">
        <f>LAI!F911</f>
        <v>2.5951259796660082</v>
      </c>
      <c r="E911">
        <f>0.5*C911*(1-EXP(-'user input'!$C$19*D911))</f>
        <v>9.0335634649788918</v>
      </c>
      <c r="F911">
        <f>E911*'user input'!$C$21</f>
        <v>352.30897513417676</v>
      </c>
    </row>
    <row r="912" spans="1:6" x14ac:dyDescent="0.2">
      <c r="A912" s="1">
        <v>41088</v>
      </c>
      <c r="B912">
        <v>180</v>
      </c>
      <c r="C912">
        <f>'weather data'!E912</f>
        <v>22.31111111111111</v>
      </c>
      <c r="D912">
        <f>LAI!F912</f>
        <v>2.644932997640149</v>
      </c>
      <c r="E912">
        <f>0.5*C912*(1-EXP(-'user input'!$C$19*D912))</f>
        <v>9.1563873807335607</v>
      </c>
      <c r="F912">
        <f>E912*'user input'!$C$21</f>
        <v>357.09910784860887</v>
      </c>
    </row>
    <row r="913" spans="1:6" x14ac:dyDescent="0.2">
      <c r="A913" s="1">
        <v>41089</v>
      </c>
      <c r="B913">
        <v>181</v>
      </c>
      <c r="C913">
        <f>'weather data'!E913</f>
        <v>25.455555555555552</v>
      </c>
      <c r="D913">
        <f>LAI!F913</f>
        <v>2.6792213297949625</v>
      </c>
      <c r="E913">
        <f>0.5*C913*(1-EXP(-'user input'!$C$19*D913))</f>
        <v>10.497127901855684</v>
      </c>
      <c r="F913">
        <f>E913*'user input'!$C$21</f>
        <v>409.38798817237171</v>
      </c>
    </row>
    <row r="914" spans="1:6" x14ac:dyDescent="0.2">
      <c r="A914" s="1">
        <v>41090</v>
      </c>
      <c r="B914">
        <v>182</v>
      </c>
      <c r="C914">
        <f>'weather data'!E914</f>
        <v>25.371111111111109</v>
      </c>
      <c r="D914">
        <f>LAI!F914</f>
        <v>2.710239542231565</v>
      </c>
      <c r="E914">
        <f>0.5*C914*(1-EXP(-'user input'!$C$19*D914))</f>
        <v>10.506681432882433</v>
      </c>
      <c r="F914">
        <f>E914*'user input'!$C$21</f>
        <v>409.76057588241486</v>
      </c>
    </row>
    <row r="915" spans="1:6" x14ac:dyDescent="0.2">
      <c r="A915" s="1">
        <v>41091</v>
      </c>
      <c r="B915">
        <v>183</v>
      </c>
      <c r="C915">
        <f>'weather data'!E915</f>
        <v>23.746666666666659</v>
      </c>
      <c r="D915">
        <f>LAI!F915</f>
        <v>2.7371731697613755</v>
      </c>
      <c r="E915">
        <f>0.5*C915*(1-EXP(-'user input'!$C$19*D915))</f>
        <v>9.8693588929360416</v>
      </c>
      <c r="F915">
        <f>E915*'user input'!$C$21</f>
        <v>384.90499682450564</v>
      </c>
    </row>
    <row r="916" spans="1:6" x14ac:dyDescent="0.2">
      <c r="A916" s="1">
        <v>41092</v>
      </c>
      <c r="B916">
        <v>184</v>
      </c>
      <c r="C916">
        <f>'weather data'!E916</f>
        <v>22.228888888888893</v>
      </c>
      <c r="D916">
        <f>LAI!F916</f>
        <v>2.7628312892456419</v>
      </c>
      <c r="E916">
        <f>0.5*C916*(1-EXP(-'user input'!$C$19*D916))</f>
        <v>9.2695810650330568</v>
      </c>
      <c r="F916">
        <f>E916*'user input'!$C$21</f>
        <v>361.51366153628919</v>
      </c>
    </row>
    <row r="917" spans="1:6" x14ac:dyDescent="0.2">
      <c r="A917" s="1">
        <v>41093</v>
      </c>
      <c r="B917">
        <v>185</v>
      </c>
      <c r="C917">
        <f>'weather data'!E917</f>
        <v>22.664444444444449</v>
      </c>
      <c r="D917">
        <f>LAI!F917</f>
        <v>2.783584007608686</v>
      </c>
      <c r="E917">
        <f>0.5*C917*(1-EXP(-'user input'!$C$19*D917))</f>
        <v>9.4764134683120282</v>
      </c>
      <c r="F917">
        <f>E917*'user input'!$C$21</f>
        <v>369.58012526416911</v>
      </c>
    </row>
    <row r="918" spans="1:6" x14ac:dyDescent="0.2">
      <c r="A918" s="1">
        <v>41094</v>
      </c>
      <c r="B918">
        <v>186</v>
      </c>
      <c r="C918">
        <f>'weather data'!E918</f>
        <v>24.606666666666666</v>
      </c>
      <c r="D918">
        <f>LAI!F918</f>
        <v>2.8010896546945259</v>
      </c>
      <c r="E918">
        <f>0.5*C918*(1-EXP(-'user input'!$C$19*D918))</f>
        <v>10.311287927845237</v>
      </c>
      <c r="F918">
        <f>E918*'user input'!$C$21</f>
        <v>402.14022918596424</v>
      </c>
    </row>
    <row r="919" spans="1:6" x14ac:dyDescent="0.2">
      <c r="A919" s="1">
        <v>41095</v>
      </c>
      <c r="B919">
        <v>187</v>
      </c>
      <c r="C919">
        <f>'weather data'!E919</f>
        <v>23.071111111111112</v>
      </c>
      <c r="D919">
        <f>LAI!F919</f>
        <v>2.8145512738463672</v>
      </c>
      <c r="E919">
        <f>0.5*C919*(1-EXP(-'user input'!$C$19*D919))</f>
        <v>9.6840933189361902</v>
      </c>
      <c r="F919">
        <f>E919*'user input'!$C$21</f>
        <v>377.6796394385114</v>
      </c>
    </row>
    <row r="920" spans="1:6" x14ac:dyDescent="0.2">
      <c r="A920" s="1">
        <v>41096</v>
      </c>
      <c r="B920">
        <v>188</v>
      </c>
      <c r="C920">
        <f>'weather data'!E920</f>
        <v>23.468888888888888</v>
      </c>
      <c r="D920">
        <f>LAI!F920</f>
        <v>2.8254629154455224</v>
      </c>
      <c r="E920">
        <f>0.5*C920*(1-EXP(-'user input'!$C$19*D920))</f>
        <v>9.8643712128454926</v>
      </c>
      <c r="F920">
        <f>E920*'user input'!$C$21</f>
        <v>384.71047730097422</v>
      </c>
    </row>
    <row r="921" spans="1:6" x14ac:dyDescent="0.2">
      <c r="A921" s="1">
        <v>41097</v>
      </c>
      <c r="B921">
        <v>189</v>
      </c>
      <c r="C921">
        <f>'weather data'!E921</f>
        <v>22.911111111111111</v>
      </c>
      <c r="D921">
        <f>LAI!F921</f>
        <v>2.8337567826076477</v>
      </c>
      <c r="E921">
        <f>0.5*C921*(1-EXP(-'user input'!$C$19*D921))</f>
        <v>9.63974327519289</v>
      </c>
      <c r="F921">
        <f>E921*'user input'!$C$21</f>
        <v>375.94998773252269</v>
      </c>
    </row>
    <row r="922" spans="1:6" x14ac:dyDescent="0.2">
      <c r="A922" s="1">
        <v>41098</v>
      </c>
      <c r="B922">
        <v>190</v>
      </c>
      <c r="C922">
        <f>'weather data'!E922</f>
        <v>22.133333333333333</v>
      </c>
      <c r="D922">
        <f>LAI!F922</f>
        <v>2.8392046358719791</v>
      </c>
      <c r="E922">
        <f>0.5*C922*(1-EXP(-'user input'!$C$19*D922))</f>
        <v>9.3186976117538034</v>
      </c>
      <c r="F922">
        <f>E922*'user input'!$C$21</f>
        <v>363.42920685839835</v>
      </c>
    </row>
    <row r="923" spans="1:6" x14ac:dyDescent="0.2">
      <c r="A923" s="1">
        <v>41099</v>
      </c>
      <c r="B923">
        <v>191</v>
      </c>
      <c r="C923">
        <f>'weather data'!E923</f>
        <v>23.479999999999993</v>
      </c>
      <c r="D923">
        <f>LAI!F923</f>
        <v>2.8437278916192623</v>
      </c>
      <c r="E923">
        <f>0.5*C923*(1-EXP(-'user input'!$C$19*D923))</f>
        <v>9.8911225246541719</v>
      </c>
      <c r="F923">
        <f>E923*'user input'!$C$21</f>
        <v>385.7537784615127</v>
      </c>
    </row>
    <row r="924" spans="1:6" x14ac:dyDescent="0.2">
      <c r="A924" s="1">
        <v>41100</v>
      </c>
      <c r="B924">
        <v>192</v>
      </c>
      <c r="C924">
        <f>'weather data'!E924</f>
        <v>23.637777777777778</v>
      </c>
      <c r="D924">
        <f>LAI!F924</f>
        <v>2.8474200633339284</v>
      </c>
      <c r="E924">
        <f>0.5*C924*(1-EXP(-'user input'!$C$19*D924))</f>
        <v>9.9620491756301934</v>
      </c>
      <c r="F924">
        <f>E924*'user input'!$C$21</f>
        <v>388.51991784957755</v>
      </c>
    </row>
    <row r="925" spans="1:6" x14ac:dyDescent="0.2">
      <c r="A925" s="1">
        <v>41101</v>
      </c>
      <c r="B925">
        <v>193</v>
      </c>
      <c r="C925">
        <f>'weather data'!E925</f>
        <v>22.757777777777775</v>
      </c>
      <c r="D925">
        <f>LAI!F925</f>
        <v>2.8501438552985467</v>
      </c>
      <c r="E925">
        <f>0.5*C925*(1-EXP(-'user input'!$C$19*D925))</f>
        <v>9.5943388921036412</v>
      </c>
      <c r="F925">
        <f>E925*'user input'!$C$21</f>
        <v>374.17921679204198</v>
      </c>
    </row>
    <row r="926" spans="1:6" x14ac:dyDescent="0.2">
      <c r="A926" s="1">
        <v>41102</v>
      </c>
      <c r="B926">
        <v>194</v>
      </c>
      <c r="C926">
        <f>'weather data'!E926</f>
        <v>22.486666666666665</v>
      </c>
      <c r="D926">
        <f>LAI!F926</f>
        <v>2.852533196356426</v>
      </c>
      <c r="E926">
        <f>0.5*C926*(1-EXP(-'user input'!$C$19*D926))</f>
        <v>9.4827788922669995</v>
      </c>
      <c r="F926">
        <f>E926*'user input'!$C$21</f>
        <v>369.82837679841299</v>
      </c>
    </row>
    <row r="927" spans="1:6" x14ac:dyDescent="0.2">
      <c r="A927" s="1">
        <v>41103</v>
      </c>
      <c r="B927">
        <v>195</v>
      </c>
      <c r="C927">
        <f>'weather data'!E927</f>
        <v>23.213333333333335</v>
      </c>
      <c r="D927">
        <f>LAI!F927</f>
        <v>2.8546680220279432</v>
      </c>
      <c r="E927">
        <f>0.5*C927*(1-EXP(-'user input'!$C$19*D927))</f>
        <v>9.7917393312109695</v>
      </c>
      <c r="F927">
        <f>E927*'user input'!$C$21</f>
        <v>381.8778339172278</v>
      </c>
    </row>
    <row r="928" spans="1:6" x14ac:dyDescent="0.2">
      <c r="A928" s="1">
        <v>41104</v>
      </c>
      <c r="B928">
        <v>196</v>
      </c>
      <c r="C928">
        <f>'weather data'!E928</f>
        <v>23.213333333333335</v>
      </c>
      <c r="D928">
        <f>LAI!F928</f>
        <v>2.8565979025925019</v>
      </c>
      <c r="E928">
        <f>0.5*C928*(1-EXP(-'user input'!$C$19*D928))</f>
        <v>9.7940145892893096</v>
      </c>
      <c r="F928">
        <f>E928*'user input'!$C$21</f>
        <v>381.96656898228309</v>
      </c>
    </row>
    <row r="929" spans="1:6" x14ac:dyDescent="0.2">
      <c r="A929" s="1">
        <v>41105</v>
      </c>
      <c r="B929">
        <v>197</v>
      </c>
      <c r="C929">
        <f>'weather data'!E929</f>
        <v>24.926666666666669</v>
      </c>
      <c r="D929">
        <f>LAI!F929</f>
        <v>2.8585059897815528</v>
      </c>
      <c r="E929">
        <f>0.5*C929*(1-EXP(-'user input'!$C$19*D929))</f>
        <v>10.519305337734222</v>
      </c>
      <c r="F929">
        <f>E929*'user input'!$C$21</f>
        <v>410.25290817163466</v>
      </c>
    </row>
    <row r="930" spans="1:6" x14ac:dyDescent="0.2">
      <c r="A930" s="1">
        <v>41106</v>
      </c>
      <c r="B930">
        <v>198</v>
      </c>
      <c r="C930">
        <f>'weather data'!E930</f>
        <v>22.395555555555553</v>
      </c>
      <c r="D930">
        <f>LAI!F930</f>
        <v>2.8599625235656601</v>
      </c>
      <c r="E930">
        <f>0.5*C930*(1-EXP(-'user input'!$C$19*D930))</f>
        <v>9.4528036909328055</v>
      </c>
      <c r="F930">
        <f>E930*'user input'!$C$21</f>
        <v>368.65934394637941</v>
      </c>
    </row>
    <row r="931" spans="1:6" x14ac:dyDescent="0.2">
      <c r="A931" s="1">
        <v>41107</v>
      </c>
      <c r="B931">
        <v>199</v>
      </c>
      <c r="C931">
        <f>'weather data'!E931</f>
        <v>20.604444444444447</v>
      </c>
      <c r="D931">
        <f>LAI!F931</f>
        <v>2.8612343285918849</v>
      </c>
      <c r="E931">
        <f>0.5*C931*(1-EXP(-'user input'!$C$19*D931))</f>
        <v>8.6981311145742204</v>
      </c>
      <c r="F931">
        <f>E931*'user input'!$C$21</f>
        <v>339.22711346839458</v>
      </c>
    </row>
    <row r="932" spans="1:6" x14ac:dyDescent="0.2">
      <c r="A932" s="1">
        <v>41108</v>
      </c>
      <c r="B932">
        <v>200</v>
      </c>
      <c r="C932">
        <f>'weather data'!E932</f>
        <v>19.959999999999997</v>
      </c>
      <c r="D932">
        <f>LAI!F932</f>
        <v>2.8623140460360119</v>
      </c>
      <c r="E932">
        <f>0.5*C932*(1-EXP(-'user input'!$C$19*D932))</f>
        <v>8.4271701742651679</v>
      </c>
      <c r="F932">
        <f>E932*'user input'!$C$21</f>
        <v>328.65963679634154</v>
      </c>
    </row>
    <row r="933" spans="1:6" x14ac:dyDescent="0.2">
      <c r="A933" s="1">
        <v>41109</v>
      </c>
      <c r="B933">
        <v>201</v>
      </c>
      <c r="C933">
        <f>'weather data'!E933</f>
        <v>21.315555555555552</v>
      </c>
      <c r="D933">
        <f>LAI!F933</f>
        <v>2.8631822779330944</v>
      </c>
      <c r="E933">
        <f>0.5*C933*(1-EXP(-'user input'!$C$19*D933))</f>
        <v>9.0004252727222323</v>
      </c>
      <c r="F933">
        <f>E933*'user input'!$C$21</f>
        <v>351.01658563616706</v>
      </c>
    </row>
    <row r="934" spans="1:6" x14ac:dyDescent="0.2">
      <c r="A934" s="1">
        <v>41110</v>
      </c>
      <c r="B934">
        <v>202</v>
      </c>
      <c r="C934">
        <f>'weather data'!E934</f>
        <v>21.008888888888883</v>
      </c>
      <c r="D934">
        <f>LAI!F934</f>
        <v>2.8636561039343147</v>
      </c>
      <c r="E934">
        <f>0.5*C934*(1-EXP(-'user input'!$C$19*D934))</f>
        <v>8.871439273569127</v>
      </c>
      <c r="F934">
        <f>E934*'user input'!$C$21</f>
        <v>345.98613166919597</v>
      </c>
    </row>
    <row r="935" spans="1:6" x14ac:dyDescent="0.2">
      <c r="A935" s="1">
        <v>41111</v>
      </c>
      <c r="B935">
        <v>203</v>
      </c>
      <c r="C935">
        <f>'weather data'!E935</f>
        <v>22.064444444444447</v>
      </c>
      <c r="D935">
        <f>LAI!F935</f>
        <v>2.8641913142041924</v>
      </c>
      <c r="E935">
        <f>0.5*C935*(1-EXP(-'user input'!$C$19*D935))</f>
        <v>9.3177660501872417</v>
      </c>
      <c r="F935">
        <f>E935*'user input'!$C$21</f>
        <v>363.39287595730241</v>
      </c>
    </row>
    <row r="936" spans="1:6" x14ac:dyDescent="0.2">
      <c r="A936" s="1">
        <v>41112</v>
      </c>
      <c r="B936">
        <v>204</v>
      </c>
      <c r="C936">
        <f>'weather data'!E936</f>
        <v>21.877777777777776</v>
      </c>
      <c r="D936">
        <f>LAI!F936</f>
        <v>2.8647069739995046</v>
      </c>
      <c r="E936">
        <f>0.5*C936*(1-EXP(-'user input'!$C$19*D936))</f>
        <v>9.2395068224572121</v>
      </c>
      <c r="F936">
        <f>E936*'user input'!$C$21</f>
        <v>360.34076607583125</v>
      </c>
    </row>
    <row r="937" spans="1:6" x14ac:dyDescent="0.2">
      <c r="A937" s="1">
        <v>41113</v>
      </c>
      <c r="B937">
        <v>205</v>
      </c>
      <c r="C937">
        <f>'weather data'!E937</f>
        <v>23.522222222222226</v>
      </c>
      <c r="D937">
        <f>LAI!F937</f>
        <v>2.8651556936443128</v>
      </c>
      <c r="E937">
        <f>0.5*C937*(1-EXP(-'user input'!$C$19*D937))</f>
        <v>9.9345277256057418</v>
      </c>
      <c r="F937">
        <f>E937*'user input'!$C$21</f>
        <v>387.44658129862393</v>
      </c>
    </row>
    <row r="938" spans="1:6" x14ac:dyDescent="0.2">
      <c r="A938" s="1">
        <v>41114</v>
      </c>
      <c r="B938">
        <v>206</v>
      </c>
      <c r="C938">
        <f>'weather data'!E938</f>
        <v>21.008888888888887</v>
      </c>
      <c r="D938">
        <f>LAI!F938</f>
        <v>2.8655238678469144</v>
      </c>
      <c r="E938">
        <f>0.5*C938*(1-EXP(-'user input'!$C$19*D938))</f>
        <v>8.8734206148881913</v>
      </c>
      <c r="F938">
        <f>E938*'user input'!$C$21</f>
        <v>346.06340398063946</v>
      </c>
    </row>
    <row r="939" spans="1:6" x14ac:dyDescent="0.2">
      <c r="A939" s="1">
        <v>41115</v>
      </c>
      <c r="B939">
        <v>207</v>
      </c>
      <c r="C939">
        <f>'weather data'!E939</f>
        <v>20.684444444444445</v>
      </c>
      <c r="D939">
        <f>LAI!F939</f>
        <v>2.8657723205421841</v>
      </c>
      <c r="E939">
        <f>0.5*C939*(1-EXP(-'user input'!$C$19*D939))</f>
        <v>8.7366459299426804</v>
      </c>
      <c r="F939">
        <f>E939*'user input'!$C$21</f>
        <v>340.72919126776452</v>
      </c>
    </row>
    <row r="940" spans="1:6" x14ac:dyDescent="0.2">
      <c r="A940" s="1">
        <v>41116</v>
      </c>
      <c r="B940">
        <v>208</v>
      </c>
      <c r="C940">
        <f>'weather data'!E940</f>
        <v>21.106666666666669</v>
      </c>
      <c r="D940">
        <f>LAI!F940</f>
        <v>2.866013752227822</v>
      </c>
      <c r="E940">
        <f>0.5*C940*(1-EXP(-'user input'!$C$19*D940))</f>
        <v>8.9152402244644495</v>
      </c>
      <c r="F940">
        <f>E940*'user input'!$C$21</f>
        <v>347.69436875411355</v>
      </c>
    </row>
    <row r="941" spans="1:6" x14ac:dyDescent="0.2">
      <c r="A941" s="1">
        <v>41117</v>
      </c>
      <c r="B941">
        <v>209</v>
      </c>
      <c r="C941">
        <f>'weather data'!E941</f>
        <v>20.757777777777772</v>
      </c>
      <c r="D941">
        <f>LAI!F941</f>
        <v>2.8662044937177802</v>
      </c>
      <c r="E941">
        <f>0.5*C941*(1-EXP(-'user input'!$C$19*D941))</f>
        <v>8.7680728490476394</v>
      </c>
      <c r="F941">
        <f>E941*'user input'!$C$21</f>
        <v>341.95484111285793</v>
      </c>
    </row>
    <row r="942" spans="1:6" x14ac:dyDescent="0.2">
      <c r="A942" s="1">
        <v>41118</v>
      </c>
      <c r="B942">
        <v>210</v>
      </c>
      <c r="C942">
        <f>'weather data'!E942</f>
        <v>21.942222222222224</v>
      </c>
      <c r="D942">
        <f>LAI!F942</f>
        <v>2.8663321186781237</v>
      </c>
      <c r="E942">
        <f>0.5*C942*(1-EXP(-'user input'!$C$19*D942))</f>
        <v>9.268522716187432</v>
      </c>
      <c r="F942">
        <f>E942*'user input'!$C$21</f>
        <v>361.47238593130987</v>
      </c>
    </row>
    <row r="943" spans="1:6" x14ac:dyDescent="0.2">
      <c r="A943" s="1">
        <v>41119</v>
      </c>
      <c r="B943">
        <v>211</v>
      </c>
      <c r="C943">
        <f>'weather data'!E943</f>
        <v>21.31999999999999</v>
      </c>
      <c r="D943">
        <f>LAI!F943</f>
        <v>2.8664544134834213</v>
      </c>
      <c r="E943">
        <f>0.5*C943*(1-EXP(-'user input'!$C$19*D943))</f>
        <v>9.0058239167505878</v>
      </c>
      <c r="F943">
        <f>E943*'user input'!$C$21</f>
        <v>351.22713275327294</v>
      </c>
    </row>
    <row r="944" spans="1:6" x14ac:dyDescent="0.2">
      <c r="A944" s="1">
        <v>41120</v>
      </c>
      <c r="B944">
        <v>212</v>
      </c>
      <c r="C944">
        <f>'weather data'!E944</f>
        <v>21.69777777777778</v>
      </c>
      <c r="D944">
        <f>LAI!F944</f>
        <v>2.8665690364183605</v>
      </c>
      <c r="E944">
        <f>0.5*C944*(1-EXP(-'user input'!$C$19*D944))</f>
        <v>9.1655272081561705</v>
      </c>
      <c r="F944">
        <f>E944*'user input'!$C$21</f>
        <v>357.45556111809066</v>
      </c>
    </row>
    <row r="945" spans="1:6" x14ac:dyDescent="0.2">
      <c r="A945" s="1">
        <v>41121</v>
      </c>
      <c r="B945">
        <v>213</v>
      </c>
      <c r="C945">
        <f>'weather data'!E945</f>
        <v>21.27999999999999</v>
      </c>
      <c r="D945">
        <f>LAI!F945</f>
        <v>2.8666742732385804</v>
      </c>
      <c r="E945">
        <f>0.5*C945*(1-EXP(-'user input'!$C$19*D945))</f>
        <v>8.9891633726137172</v>
      </c>
      <c r="F945">
        <f>E945*'user input'!$C$21</f>
        <v>350.577371531935</v>
      </c>
    </row>
    <row r="946" spans="1:6" x14ac:dyDescent="0.2">
      <c r="A946" s="1">
        <v>41122</v>
      </c>
      <c r="B946">
        <v>214</v>
      </c>
      <c r="C946">
        <f>'weather data'!E946</f>
        <v>22.631111111111117</v>
      </c>
      <c r="D946">
        <f>LAI!F946</f>
        <v>2.8667530887459653</v>
      </c>
      <c r="E946">
        <f>0.5*C946*(1-EXP(-'user input'!$C$19*D946))</f>
        <v>9.5599938440786119</v>
      </c>
      <c r="F946">
        <f>E946*'user input'!$C$21</f>
        <v>372.83975991906584</v>
      </c>
    </row>
    <row r="947" spans="1:6" x14ac:dyDescent="0.2">
      <c r="A947" s="1">
        <v>41123</v>
      </c>
      <c r="B947">
        <v>215</v>
      </c>
      <c r="C947">
        <f>'weather data'!E947</f>
        <v>21.322222222222216</v>
      </c>
      <c r="D947">
        <f>LAI!F947</f>
        <v>2.8668221005456762</v>
      </c>
      <c r="E947">
        <f>0.5*C947*(1-EXP(-'user input'!$C$19*D947))</f>
        <v>9.0071579464992002</v>
      </c>
      <c r="F947">
        <f>E947*'user input'!$C$21</f>
        <v>351.27915991346879</v>
      </c>
    </row>
    <row r="948" spans="1:6" x14ac:dyDescent="0.2">
      <c r="A948" s="1">
        <v>41124</v>
      </c>
      <c r="B948">
        <v>216</v>
      </c>
      <c r="C948">
        <f>'weather data'!E948</f>
        <v>19.813333333333325</v>
      </c>
      <c r="D948">
        <f>LAI!F948</f>
        <v>2.8668893270812812</v>
      </c>
      <c r="E948">
        <f>0.5*C948*(1-EXP(-'user input'!$C$19*D948))</f>
        <v>8.3698243485957029</v>
      </c>
      <c r="F948">
        <f>E948*'user input'!$C$21</f>
        <v>326.42314959523242</v>
      </c>
    </row>
    <row r="949" spans="1:6" x14ac:dyDescent="0.2">
      <c r="A949" s="1">
        <v>41125</v>
      </c>
      <c r="B949">
        <v>217</v>
      </c>
      <c r="C949">
        <f>'weather data'!E949</f>
        <v>19.868888888888886</v>
      </c>
      <c r="D949">
        <f>LAI!F949</f>
        <v>2.8669464542573584</v>
      </c>
      <c r="E949">
        <f>0.5*C949*(1-EXP(-'user input'!$C$19*D949))</f>
        <v>8.3933501264935106</v>
      </c>
      <c r="F949">
        <f>E949*'user input'!$C$21</f>
        <v>327.34065493324692</v>
      </c>
    </row>
    <row r="950" spans="1:6" x14ac:dyDescent="0.2">
      <c r="A950" s="1">
        <v>41126</v>
      </c>
      <c r="B950">
        <v>218</v>
      </c>
      <c r="C950">
        <f>'weather data'!E950</f>
        <v>20.691111111111113</v>
      </c>
      <c r="D950">
        <f>LAI!F950</f>
        <v>2.8669866915666393</v>
      </c>
      <c r="E950">
        <f>0.5*C950*(1-EXP(-'user input'!$C$19*D950))</f>
        <v>8.7407290363047156</v>
      </c>
      <c r="F950">
        <f>E950*'user input'!$C$21</f>
        <v>340.88843241588393</v>
      </c>
    </row>
    <row r="951" spans="1:6" x14ac:dyDescent="0.2">
      <c r="A951" s="1">
        <v>41127</v>
      </c>
      <c r="B951">
        <v>219</v>
      </c>
      <c r="C951">
        <f>'weather data'!E951</f>
        <v>21.084444444444447</v>
      </c>
      <c r="D951">
        <f>LAI!F951</f>
        <v>2.8670088050438745</v>
      </c>
      <c r="E951">
        <f>0.5*C951*(1-EXP(-'user input'!$C$19*D951))</f>
        <v>8.9069118202445789</v>
      </c>
      <c r="F951">
        <f>E951*'user input'!$C$21</f>
        <v>347.36956098953857</v>
      </c>
    </row>
    <row r="952" spans="1:6" x14ac:dyDescent="0.2">
      <c r="A952" s="1">
        <v>41128</v>
      </c>
      <c r="B952">
        <v>220</v>
      </c>
      <c r="C952">
        <f>'weather data'!E952</f>
        <v>20.291111111111103</v>
      </c>
      <c r="D952">
        <f>LAI!F952</f>
        <v>2.9861111111111098</v>
      </c>
      <c r="E952">
        <f>0.5*C952*(1-EXP(-'user input'!$C$19*D952))</f>
        <v>8.6890159183314157</v>
      </c>
      <c r="F952">
        <f>E952*'user input'!$C$21</f>
        <v>338.87162081492522</v>
      </c>
    </row>
    <row r="953" spans="1:6" x14ac:dyDescent="0.2">
      <c r="A953" s="1">
        <v>41129</v>
      </c>
      <c r="B953">
        <v>221</v>
      </c>
      <c r="C953">
        <f>'weather data'!E953</f>
        <v>20.335555555555551</v>
      </c>
      <c r="D953">
        <f>LAI!F953</f>
        <v>2.6875000000000009</v>
      </c>
      <c r="E953">
        <f>0.5*C953*(1-EXP(-'user input'!$C$19*D953))</f>
        <v>8.3953527544186102</v>
      </c>
      <c r="F953">
        <f>E953*'user input'!$C$21</f>
        <v>327.41875742232583</v>
      </c>
    </row>
    <row r="954" spans="1:6" x14ac:dyDescent="0.2">
      <c r="A954" s="1">
        <v>41130</v>
      </c>
      <c r="B954">
        <v>222</v>
      </c>
      <c r="C954">
        <f>'weather data'!E954</f>
        <v>20.286666666666665</v>
      </c>
      <c r="D954">
        <f>LAI!F954</f>
        <v>2.4236111111111089</v>
      </c>
      <c r="E954">
        <f>0.5*C954*(1-EXP(-'user input'!$C$19*D954))</f>
        <v>8.0443156760931327</v>
      </c>
      <c r="F954">
        <f>E954*'user input'!$C$21</f>
        <v>313.72831136763216</v>
      </c>
    </row>
    <row r="955" spans="1:6" x14ac:dyDescent="0.2">
      <c r="A955" s="1">
        <v>41131</v>
      </c>
      <c r="B955">
        <v>223</v>
      </c>
      <c r="C955">
        <f>'weather data'!E955</f>
        <v>19.695555555555561</v>
      </c>
      <c r="D955">
        <f>LAI!F955</f>
        <v>2.2499999999999991</v>
      </c>
      <c r="E955">
        <f>0.5*C955*(1-EXP(-'user input'!$C$19*D955))</f>
        <v>7.5664769394058178</v>
      </c>
      <c r="F955">
        <f>E955*'user input'!$C$21</f>
        <v>295.09260063682689</v>
      </c>
    </row>
    <row r="956" spans="1:6" x14ac:dyDescent="0.2">
      <c r="A956" s="1">
        <v>41132</v>
      </c>
      <c r="B956">
        <v>224</v>
      </c>
      <c r="C956">
        <f>'weather data'!E956</f>
        <v>19.864444444444441</v>
      </c>
      <c r="D956">
        <f>LAI!F956</f>
        <v>2.0763888888888928</v>
      </c>
      <c r="E956">
        <f>0.5*C956*(1-EXP(-'user input'!$C$19*D956))</f>
        <v>7.3564961504609627</v>
      </c>
      <c r="F956">
        <f>E956*'user input'!$C$21</f>
        <v>286.90334986797757</v>
      </c>
    </row>
    <row r="957" spans="1:6" x14ac:dyDescent="0.2">
      <c r="A957" s="1">
        <v>41133</v>
      </c>
      <c r="B957">
        <v>225</v>
      </c>
      <c r="C957">
        <f>'weather data'!E957</f>
        <v>19.211111111111116</v>
      </c>
      <c r="D957">
        <f>LAI!F957</f>
        <v>1.8888888888888902</v>
      </c>
      <c r="E957">
        <f>0.5*C957*(1-EXP(-'user input'!$C$19*D957))</f>
        <v>6.7916768410605197</v>
      </c>
      <c r="F957">
        <f>E957*'user input'!$C$21</f>
        <v>264.8753968013603</v>
      </c>
    </row>
    <row r="958" spans="1:6" x14ac:dyDescent="0.2">
      <c r="A958" s="1">
        <v>41134</v>
      </c>
      <c r="B958">
        <v>226</v>
      </c>
      <c r="C958">
        <f>'weather data'!E958</f>
        <v>19.971111111111117</v>
      </c>
      <c r="D958">
        <f>LAI!F958</f>
        <v>1.6666666666666679</v>
      </c>
      <c r="E958">
        <f>0.5*C958*(1-EXP(-'user input'!$C$19*D958))</f>
        <v>6.6057902495174581</v>
      </c>
      <c r="F958">
        <f>E958*'user input'!$C$21</f>
        <v>257.62581973118085</v>
      </c>
    </row>
    <row r="959" spans="1:6" x14ac:dyDescent="0.2">
      <c r="A959" s="1">
        <v>41135</v>
      </c>
      <c r="B959">
        <v>227</v>
      </c>
      <c r="C959">
        <f>'weather data'!E959</f>
        <v>19.895555555555553</v>
      </c>
      <c r="D959">
        <f>LAI!F959</f>
        <v>1.4444444444444451</v>
      </c>
      <c r="E959">
        <f>0.5*C959*(1-EXP(-'user input'!$C$19*D959))</f>
        <v>6.0575788350153372</v>
      </c>
      <c r="F959">
        <f>E959*'user input'!$C$21</f>
        <v>236.24557456559816</v>
      </c>
    </row>
    <row r="960" spans="1:6" x14ac:dyDescent="0.2">
      <c r="A960" s="1">
        <v>41136</v>
      </c>
      <c r="B960">
        <v>228</v>
      </c>
      <c r="C960">
        <f>'weather data'!E960</f>
        <v>19.86</v>
      </c>
      <c r="D960">
        <f>LAI!F960</f>
        <v>1.194444444444446</v>
      </c>
      <c r="E960">
        <f>0.5*C960*(1-EXP(-'user input'!$C$19*D960))</f>
        <v>5.3615609172901681</v>
      </c>
      <c r="F960">
        <f>E960*'user input'!$C$21</f>
        <v>209.10087577431656</v>
      </c>
    </row>
    <row r="961" spans="1:6" x14ac:dyDescent="0.2">
      <c r="A961" s="1">
        <v>41137</v>
      </c>
      <c r="B961">
        <v>229</v>
      </c>
      <c r="C961">
        <f>'weather data'!E961</f>
        <v>19.584444444444447</v>
      </c>
      <c r="D961">
        <f>LAI!F961</f>
        <v>0.86111111111111382</v>
      </c>
      <c r="E961">
        <f>0.5*C961*(1-EXP(-'user input'!$C$19*D961))</f>
        <v>4.1972621939386574</v>
      </c>
      <c r="F961">
        <f>E961*'user input'!$C$21</f>
        <v>163.69322556360763</v>
      </c>
    </row>
    <row r="962" spans="1:6" x14ac:dyDescent="0.2">
      <c r="A962" s="1">
        <v>41138</v>
      </c>
      <c r="B962">
        <v>230</v>
      </c>
      <c r="C962">
        <f>'weather data'!E962</f>
        <v>18.513333333333335</v>
      </c>
      <c r="D962">
        <f>LAI!F962</f>
        <v>0.69444444444444442</v>
      </c>
      <c r="E962">
        <f>0.5*C962*(1-EXP(-'user input'!$C$19*D962))</f>
        <v>3.3625473741635226</v>
      </c>
      <c r="F962">
        <f>E962*'user input'!$C$21</f>
        <v>131.13934759237739</v>
      </c>
    </row>
    <row r="963" spans="1:6" x14ac:dyDescent="0.2">
      <c r="A963" s="1">
        <v>41139</v>
      </c>
      <c r="B963">
        <v>231</v>
      </c>
      <c r="C963">
        <f>'weather data'!E963</f>
        <v>18.513333333333335</v>
      </c>
      <c r="D963">
        <f>LAI!F963</f>
        <v>0.53472222222222154</v>
      </c>
      <c r="E963">
        <f>0.5*C963*(1-EXP(-'user input'!$C$19*D963))</f>
        <v>2.7177299663192294</v>
      </c>
      <c r="F963">
        <f>E963*'user input'!$C$21</f>
        <v>105.99146868644995</v>
      </c>
    </row>
    <row r="964" spans="1:6" x14ac:dyDescent="0.2">
      <c r="A964" s="1">
        <v>41140</v>
      </c>
      <c r="B964">
        <v>232</v>
      </c>
      <c r="C964">
        <f>'weather data'!E964</f>
        <v>20.05777777777778</v>
      </c>
      <c r="D964">
        <f>LAI!F964</f>
        <v>0.35416666666666885</v>
      </c>
      <c r="E964">
        <f>0.5*C964*(1-EXP(-'user input'!$C$19*D964))</f>
        <v>2.0622595582371663</v>
      </c>
      <c r="F964">
        <f>E964*'user input'!$C$21</f>
        <v>80.428122771249491</v>
      </c>
    </row>
    <row r="965" spans="1:6" x14ac:dyDescent="0.2">
      <c r="A965" s="1">
        <v>41141</v>
      </c>
      <c r="B965">
        <v>233</v>
      </c>
      <c r="C965">
        <f>'weather data'!E965</f>
        <v>18.846666666666664</v>
      </c>
      <c r="D965">
        <f>LAI!F965</f>
        <v>0.15972222222222282</v>
      </c>
      <c r="E965">
        <f>0.5*C965*(1-EXP(-'user input'!$C$19*D965))</f>
        <v>0.92925343243188985</v>
      </c>
      <c r="F965">
        <f>E965*'user input'!$C$21</f>
        <v>36.240883864843703</v>
      </c>
    </row>
    <row r="966" spans="1:6" x14ac:dyDescent="0.2">
      <c r="A966" s="1">
        <v>41142</v>
      </c>
      <c r="B966">
        <v>234</v>
      </c>
      <c r="C966">
        <f>'weather data'!E966</f>
        <v>16.657777777777788</v>
      </c>
      <c r="D966">
        <f>LAI!F966</f>
        <v>0</v>
      </c>
      <c r="E966">
        <f>0.5*C966*(1-EXP(-'user input'!$C$19*D966))</f>
        <v>0</v>
      </c>
      <c r="F966">
        <f>E966*'user input'!$C$21</f>
        <v>0</v>
      </c>
    </row>
    <row r="967" spans="1:6" x14ac:dyDescent="0.2">
      <c r="A967" s="1">
        <v>41143</v>
      </c>
      <c r="B967">
        <v>235</v>
      </c>
      <c r="C967">
        <f>'weather data'!E967</f>
        <v>17.182222222222222</v>
      </c>
      <c r="D967">
        <f>LAI!F967</f>
        <v>0</v>
      </c>
      <c r="E967">
        <f>0.5*C967*(1-EXP(-'user input'!$C$19*D967))</f>
        <v>0</v>
      </c>
      <c r="F967">
        <f>E967*'user input'!$C$21</f>
        <v>0</v>
      </c>
    </row>
    <row r="968" spans="1:6" x14ac:dyDescent="0.2">
      <c r="A968" s="1">
        <v>41144</v>
      </c>
      <c r="B968">
        <v>236</v>
      </c>
      <c r="C968">
        <f>'weather data'!E968</f>
        <v>17.515555555555554</v>
      </c>
      <c r="D968">
        <f>LAI!F968</f>
        <v>0</v>
      </c>
      <c r="E968">
        <f>0.5*C968*(1-EXP(-'user input'!$C$19*D968))</f>
        <v>0</v>
      </c>
      <c r="F968">
        <f>E968*'user input'!$C$21</f>
        <v>0</v>
      </c>
    </row>
    <row r="969" spans="1:6" x14ac:dyDescent="0.2">
      <c r="A969" s="1">
        <v>41145</v>
      </c>
      <c r="B969">
        <v>237</v>
      </c>
      <c r="C969">
        <f>'weather data'!E969</f>
        <v>17.753333333333327</v>
      </c>
      <c r="D969">
        <f>LAI!F969</f>
        <v>0</v>
      </c>
      <c r="E969">
        <f>0.5*C969*(1-EXP(-'user input'!$C$19*D969))</f>
        <v>0</v>
      </c>
      <c r="F969">
        <f>E969*'user input'!$C$21</f>
        <v>0</v>
      </c>
    </row>
    <row r="970" spans="1:6" x14ac:dyDescent="0.2">
      <c r="A970" s="1">
        <v>41146</v>
      </c>
      <c r="B970">
        <v>238</v>
      </c>
      <c r="C970">
        <f>'weather data'!E970</f>
        <v>17.366666666666664</v>
      </c>
      <c r="D970">
        <f>LAI!F970</f>
        <v>0</v>
      </c>
      <c r="E970">
        <f>0.5*C970*(1-EXP(-'user input'!$C$19*D970))</f>
        <v>0</v>
      </c>
      <c r="F970">
        <f>E970*'user input'!$C$21</f>
        <v>0</v>
      </c>
    </row>
    <row r="971" spans="1:6" x14ac:dyDescent="0.2">
      <c r="A971" s="1">
        <v>41147</v>
      </c>
      <c r="B971">
        <v>239</v>
      </c>
      <c r="C971">
        <f>'weather data'!E971</f>
        <v>17.388888888888886</v>
      </c>
      <c r="D971">
        <f>LAI!F971</f>
        <v>0</v>
      </c>
      <c r="E971">
        <f>0.5*C971*(1-EXP(-'user input'!$C$19*D971))</f>
        <v>0</v>
      </c>
      <c r="F971">
        <f>E971*'user input'!$C$21</f>
        <v>0</v>
      </c>
    </row>
    <row r="972" spans="1:6" x14ac:dyDescent="0.2">
      <c r="A972" s="1">
        <v>41148</v>
      </c>
      <c r="B972">
        <v>240</v>
      </c>
      <c r="C972">
        <f>'weather data'!E972</f>
        <v>18.282222222222217</v>
      </c>
      <c r="D972">
        <f>LAI!F972</f>
        <v>0</v>
      </c>
      <c r="E972">
        <f>0.5*C972*(1-EXP(-'user input'!$C$19*D972))</f>
        <v>0</v>
      </c>
      <c r="F972">
        <f>E972*'user input'!$C$21</f>
        <v>0</v>
      </c>
    </row>
    <row r="973" spans="1:6" x14ac:dyDescent="0.2">
      <c r="A973" s="1">
        <v>41149</v>
      </c>
      <c r="B973">
        <v>241</v>
      </c>
      <c r="C973">
        <f>'weather data'!E973</f>
        <v>19.166666666666675</v>
      </c>
      <c r="D973">
        <f>LAI!F973</f>
        <v>0</v>
      </c>
      <c r="E973">
        <f>0.5*C973*(1-EXP(-'user input'!$C$19*D973))</f>
        <v>0</v>
      </c>
      <c r="F973">
        <f>E973*'user input'!$C$21</f>
        <v>0</v>
      </c>
    </row>
    <row r="974" spans="1:6" x14ac:dyDescent="0.2">
      <c r="A974" s="1">
        <v>41150</v>
      </c>
      <c r="B974">
        <v>242</v>
      </c>
      <c r="C974">
        <f>'weather data'!E974</f>
        <v>17.893333333333331</v>
      </c>
      <c r="D974">
        <f>LAI!F974</f>
        <v>0</v>
      </c>
      <c r="E974">
        <f>0.5*C974*(1-EXP(-'user input'!$C$19*D974))</f>
        <v>0</v>
      </c>
      <c r="F974">
        <f>E974*'user input'!$C$21</f>
        <v>0</v>
      </c>
    </row>
    <row r="975" spans="1:6" x14ac:dyDescent="0.2">
      <c r="A975" s="1">
        <v>41151</v>
      </c>
      <c r="B975">
        <v>243</v>
      </c>
      <c r="C975">
        <f>'weather data'!E975</f>
        <v>18.108888888888892</v>
      </c>
      <c r="D975">
        <f>LAI!F975</f>
        <v>0</v>
      </c>
      <c r="E975">
        <f>0.5*C975*(1-EXP(-'user input'!$C$19*D975))</f>
        <v>0</v>
      </c>
      <c r="F975">
        <f>E975*'user input'!$C$21</f>
        <v>0</v>
      </c>
    </row>
    <row r="976" spans="1:6" x14ac:dyDescent="0.2">
      <c r="A976" s="1">
        <v>41152</v>
      </c>
      <c r="B976">
        <v>244</v>
      </c>
      <c r="C976">
        <f>'weather data'!E976</f>
        <v>18.124444444444446</v>
      </c>
      <c r="D976">
        <f>LAI!F976</f>
        <v>0</v>
      </c>
      <c r="E976">
        <f>0.5*C976*(1-EXP(-'user input'!$C$19*D976))</f>
        <v>0</v>
      </c>
      <c r="F976">
        <f>E976*'user input'!$C$21</f>
        <v>0</v>
      </c>
    </row>
    <row r="977" spans="1:6" x14ac:dyDescent="0.2">
      <c r="A977" s="1">
        <v>41153</v>
      </c>
      <c r="B977">
        <v>245</v>
      </c>
      <c r="C977">
        <f>'weather data'!E977</f>
        <v>17.782222222222217</v>
      </c>
      <c r="D977">
        <f>LAI!F977</f>
        <v>0</v>
      </c>
      <c r="E977">
        <f>0.5*C977*(1-EXP(-'user input'!$C$19*D977))</f>
        <v>0</v>
      </c>
      <c r="F977">
        <f>E977*'user input'!$C$21</f>
        <v>0</v>
      </c>
    </row>
    <row r="978" spans="1:6" x14ac:dyDescent="0.2">
      <c r="A978" s="1">
        <v>41154</v>
      </c>
      <c r="B978">
        <v>246</v>
      </c>
      <c r="C978">
        <f>'weather data'!E978</f>
        <v>18.233333333333341</v>
      </c>
      <c r="D978">
        <f>LAI!F978</f>
        <v>0</v>
      </c>
      <c r="E978">
        <f>0.5*C978*(1-EXP(-'user input'!$C$19*D978))</f>
        <v>0</v>
      </c>
      <c r="F978">
        <f>E978*'user input'!$C$21</f>
        <v>0</v>
      </c>
    </row>
    <row r="979" spans="1:6" x14ac:dyDescent="0.2">
      <c r="A979" s="1">
        <v>41155</v>
      </c>
      <c r="B979">
        <v>247</v>
      </c>
      <c r="C979">
        <f>'weather data'!E979</f>
        <v>17.279999999999994</v>
      </c>
      <c r="D979">
        <f>LAI!F979</f>
        <v>0</v>
      </c>
      <c r="E979">
        <f>0.5*C979*(1-EXP(-'user input'!$C$19*D979))</f>
        <v>0</v>
      </c>
      <c r="F979">
        <f>E979*'user input'!$C$21</f>
        <v>0</v>
      </c>
    </row>
    <row r="980" spans="1:6" x14ac:dyDescent="0.2">
      <c r="A980" s="1">
        <v>41156</v>
      </c>
      <c r="B980">
        <v>248</v>
      </c>
      <c r="C980">
        <f>'weather data'!E980</f>
        <v>17.504444444444449</v>
      </c>
      <c r="D980">
        <f>LAI!F980</f>
        <v>0</v>
      </c>
      <c r="E980">
        <f>0.5*C980*(1-EXP(-'user input'!$C$19*D980))</f>
        <v>0</v>
      </c>
      <c r="F980">
        <f>E980*'user input'!$C$21</f>
        <v>0</v>
      </c>
    </row>
    <row r="981" spans="1:6" x14ac:dyDescent="0.2">
      <c r="A981" s="1">
        <v>41157</v>
      </c>
      <c r="B981">
        <v>249</v>
      </c>
      <c r="C981">
        <f>'weather data'!E981</f>
        <v>17.331111111111102</v>
      </c>
      <c r="D981">
        <f>LAI!F981</f>
        <v>0</v>
      </c>
      <c r="E981">
        <f>0.5*C981*(1-EXP(-'user input'!$C$19*D981))</f>
        <v>0</v>
      </c>
      <c r="F981">
        <f>E981*'user input'!$C$21</f>
        <v>0</v>
      </c>
    </row>
    <row r="982" spans="1:6" x14ac:dyDescent="0.2">
      <c r="A982" s="1">
        <v>41158</v>
      </c>
      <c r="B982">
        <v>250</v>
      </c>
      <c r="C982">
        <f>'weather data'!E982</f>
        <v>16.582222222222228</v>
      </c>
      <c r="D982">
        <f>LAI!F982</f>
        <v>0</v>
      </c>
      <c r="E982">
        <f>0.5*C982*(1-EXP(-'user input'!$C$19*D982))</f>
        <v>0</v>
      </c>
      <c r="F982">
        <f>E982*'user input'!$C$21</f>
        <v>0</v>
      </c>
    </row>
    <row r="983" spans="1:6" x14ac:dyDescent="0.2">
      <c r="A983" s="1">
        <v>41159</v>
      </c>
      <c r="B983">
        <v>251</v>
      </c>
      <c r="C983">
        <f>'weather data'!E983</f>
        <v>15.802222222222218</v>
      </c>
      <c r="D983">
        <f>LAI!F983</f>
        <v>0</v>
      </c>
      <c r="E983">
        <f>0.5*C983*(1-EXP(-'user input'!$C$19*D983))</f>
        <v>0</v>
      </c>
      <c r="F983">
        <f>E983*'user input'!$C$21</f>
        <v>0</v>
      </c>
    </row>
    <row r="984" spans="1:6" x14ac:dyDescent="0.2">
      <c r="A984" s="1">
        <v>41160</v>
      </c>
      <c r="B984">
        <v>252</v>
      </c>
      <c r="C984">
        <f>'weather data'!E984</f>
        <v>16.022222222222219</v>
      </c>
      <c r="D984">
        <f>LAI!F984</f>
        <v>0</v>
      </c>
      <c r="E984">
        <f>0.5*C984*(1-EXP(-'user input'!$C$19*D984))</f>
        <v>0</v>
      </c>
      <c r="F984">
        <f>E984*'user input'!$C$21</f>
        <v>0</v>
      </c>
    </row>
    <row r="985" spans="1:6" x14ac:dyDescent="0.2">
      <c r="A985" s="1">
        <v>41161</v>
      </c>
      <c r="B985">
        <v>253</v>
      </c>
      <c r="C985">
        <f>'weather data'!E985</f>
        <v>15.893333333333333</v>
      </c>
      <c r="D985">
        <f>LAI!F985</f>
        <v>0</v>
      </c>
      <c r="E985">
        <f>0.5*C985*(1-EXP(-'user input'!$C$19*D985))</f>
        <v>0</v>
      </c>
      <c r="F985">
        <f>E985*'user input'!$C$21</f>
        <v>0</v>
      </c>
    </row>
    <row r="986" spans="1:6" x14ac:dyDescent="0.2">
      <c r="A986" s="1">
        <v>41162</v>
      </c>
      <c r="B986">
        <v>254</v>
      </c>
      <c r="C986">
        <f>'weather data'!E986</f>
        <v>17.87555555555555</v>
      </c>
      <c r="D986">
        <f>LAI!F986</f>
        <v>0</v>
      </c>
      <c r="E986">
        <f>0.5*C986*(1-EXP(-'user input'!$C$19*D986))</f>
        <v>0</v>
      </c>
      <c r="F986">
        <f>E986*'user input'!$C$21</f>
        <v>0</v>
      </c>
    </row>
    <row r="987" spans="1:6" x14ac:dyDescent="0.2">
      <c r="A987" s="1">
        <v>41163</v>
      </c>
      <c r="B987">
        <v>255</v>
      </c>
      <c r="C987">
        <f>'weather data'!E987</f>
        <v>15.27777777777778</v>
      </c>
      <c r="D987">
        <f>LAI!F987</f>
        <v>0</v>
      </c>
      <c r="E987">
        <f>0.5*C987*(1-EXP(-'user input'!$C$19*D987))</f>
        <v>0</v>
      </c>
      <c r="F987">
        <f>E987*'user input'!$C$21</f>
        <v>0</v>
      </c>
    </row>
    <row r="988" spans="1:6" x14ac:dyDescent="0.2">
      <c r="A988" s="1">
        <v>41164</v>
      </c>
      <c r="B988">
        <v>256</v>
      </c>
      <c r="C988">
        <f>'weather data'!E988</f>
        <v>14.684444444444448</v>
      </c>
      <c r="D988">
        <f>LAI!F988</f>
        <v>0</v>
      </c>
      <c r="E988">
        <f>0.5*C988*(1-EXP(-'user input'!$C$19*D988))</f>
        <v>0</v>
      </c>
      <c r="F988">
        <f>E988*'user input'!$C$21</f>
        <v>0</v>
      </c>
    </row>
    <row r="989" spans="1:6" x14ac:dyDescent="0.2">
      <c r="A989" s="1">
        <v>41165</v>
      </c>
      <c r="B989">
        <v>257</v>
      </c>
      <c r="C989">
        <f>'weather data'!E989</f>
        <v>14.008888888888889</v>
      </c>
      <c r="D989">
        <f>LAI!F989</f>
        <v>0</v>
      </c>
      <c r="E989">
        <f>0.5*C989*(1-EXP(-'user input'!$C$19*D989))</f>
        <v>0</v>
      </c>
      <c r="F989">
        <f>E989*'user input'!$C$21</f>
        <v>0</v>
      </c>
    </row>
    <row r="990" spans="1:6" x14ac:dyDescent="0.2">
      <c r="A990" s="1">
        <v>41166</v>
      </c>
      <c r="B990">
        <v>258</v>
      </c>
      <c r="C990">
        <f>'weather data'!E990</f>
        <v>14.540000000000001</v>
      </c>
      <c r="D990">
        <f>LAI!F990</f>
        <v>0</v>
      </c>
      <c r="E990">
        <f>0.5*C990*(1-EXP(-'user input'!$C$19*D990))</f>
        <v>0</v>
      </c>
      <c r="F990">
        <f>E990*'user input'!$C$21</f>
        <v>0</v>
      </c>
    </row>
    <row r="991" spans="1:6" x14ac:dyDescent="0.2">
      <c r="A991" s="1">
        <v>41167</v>
      </c>
      <c r="B991">
        <v>259</v>
      </c>
      <c r="C991">
        <f>'weather data'!E991</f>
        <v>14.833333333333339</v>
      </c>
      <c r="D991">
        <f>LAI!F991</f>
        <v>0</v>
      </c>
      <c r="E991">
        <f>0.5*C991*(1-EXP(-'user input'!$C$19*D991))</f>
        <v>0</v>
      </c>
      <c r="F991">
        <f>E991*'user input'!$C$21</f>
        <v>0</v>
      </c>
    </row>
    <row r="992" spans="1:6" x14ac:dyDescent="0.2">
      <c r="A992" s="1">
        <v>41168</v>
      </c>
      <c r="B992">
        <v>260</v>
      </c>
      <c r="C992">
        <f>'weather data'!E992</f>
        <v>14.604444444444445</v>
      </c>
      <c r="D992">
        <f>LAI!F992</f>
        <v>0</v>
      </c>
      <c r="E992">
        <f>0.5*C992*(1-EXP(-'user input'!$C$19*D992))</f>
        <v>0</v>
      </c>
      <c r="F992">
        <f>E992*'user input'!$C$21</f>
        <v>0</v>
      </c>
    </row>
    <row r="993" spans="1:6" x14ac:dyDescent="0.2">
      <c r="A993" s="1">
        <v>41169</v>
      </c>
      <c r="B993">
        <v>261</v>
      </c>
      <c r="C993">
        <f>'weather data'!E993</f>
        <v>14.57555555555556</v>
      </c>
      <c r="D993">
        <f>LAI!F993</f>
        <v>0</v>
      </c>
      <c r="E993">
        <f>0.5*C993*(1-EXP(-'user input'!$C$19*D993))</f>
        <v>0</v>
      </c>
      <c r="F993">
        <f>E993*'user input'!$C$21</f>
        <v>0</v>
      </c>
    </row>
    <row r="994" spans="1:6" x14ac:dyDescent="0.2">
      <c r="A994" s="1">
        <v>41170</v>
      </c>
      <c r="B994">
        <v>262</v>
      </c>
      <c r="C994">
        <f>'weather data'!E994</f>
        <v>13.008888888888889</v>
      </c>
      <c r="D994">
        <f>LAI!F994</f>
        <v>0</v>
      </c>
      <c r="E994">
        <f>0.5*C994*(1-EXP(-'user input'!$C$19*D994))</f>
        <v>0</v>
      </c>
      <c r="F994">
        <f>E994*'user input'!$C$21</f>
        <v>0</v>
      </c>
    </row>
    <row r="995" spans="1:6" x14ac:dyDescent="0.2">
      <c r="A995" s="1">
        <v>41171</v>
      </c>
      <c r="B995">
        <v>263</v>
      </c>
      <c r="C995">
        <f>'weather data'!E995</f>
        <v>13.331111111111113</v>
      </c>
      <c r="D995">
        <f>LAI!F995</f>
        <v>0</v>
      </c>
      <c r="E995">
        <f>0.5*C995*(1-EXP(-'user input'!$C$19*D995))</f>
        <v>0</v>
      </c>
      <c r="F995">
        <f>E995*'user input'!$C$21</f>
        <v>0</v>
      </c>
    </row>
    <row r="996" spans="1:6" x14ac:dyDescent="0.2">
      <c r="A996" s="1">
        <v>41172</v>
      </c>
      <c r="B996">
        <v>264</v>
      </c>
      <c r="C996">
        <f>'weather data'!E996</f>
        <v>13.533333333333333</v>
      </c>
      <c r="D996">
        <f>LAI!F996</f>
        <v>0</v>
      </c>
      <c r="E996">
        <f>0.5*C996*(1-EXP(-'user input'!$C$19*D996))</f>
        <v>0</v>
      </c>
      <c r="F996">
        <f>E996*'user input'!$C$21</f>
        <v>0</v>
      </c>
    </row>
    <row r="997" spans="1:6" x14ac:dyDescent="0.2">
      <c r="A997" s="1">
        <v>41173</v>
      </c>
      <c r="B997">
        <v>265</v>
      </c>
      <c r="C997">
        <f>'weather data'!E997</f>
        <v>13.317777777777776</v>
      </c>
      <c r="D997">
        <f>LAI!F997</f>
        <v>0</v>
      </c>
      <c r="E997">
        <f>0.5*C997*(1-EXP(-'user input'!$C$19*D997))</f>
        <v>0</v>
      </c>
      <c r="F997">
        <f>E997*'user input'!$C$21</f>
        <v>0</v>
      </c>
    </row>
    <row r="998" spans="1:6" x14ac:dyDescent="0.2">
      <c r="A998" s="1">
        <v>41174</v>
      </c>
      <c r="B998">
        <v>266</v>
      </c>
      <c r="C998">
        <f>'weather data'!E998</f>
        <v>13.562222222222227</v>
      </c>
      <c r="D998">
        <f>LAI!F998</f>
        <v>0</v>
      </c>
      <c r="E998">
        <f>0.5*C998*(1-EXP(-'user input'!$C$19*D998))</f>
        <v>0</v>
      </c>
      <c r="F998">
        <f>E998*'user input'!$C$21</f>
        <v>0</v>
      </c>
    </row>
    <row r="999" spans="1:6" x14ac:dyDescent="0.2">
      <c r="A999" s="1">
        <v>41175</v>
      </c>
      <c r="B999">
        <v>267</v>
      </c>
      <c r="C999">
        <f>'weather data'!E999</f>
        <v>13.764444444444443</v>
      </c>
      <c r="D999">
        <f>LAI!F999</f>
        <v>0</v>
      </c>
      <c r="E999">
        <f>0.5*C999*(1-EXP(-'user input'!$C$19*D999))</f>
        <v>0</v>
      </c>
      <c r="F999">
        <f>E999*'user input'!$C$21</f>
        <v>0</v>
      </c>
    </row>
    <row r="1000" spans="1:6" x14ac:dyDescent="0.2">
      <c r="A1000" s="1">
        <v>41176</v>
      </c>
      <c r="B1000">
        <v>268</v>
      </c>
      <c r="C1000">
        <f>'weather data'!E1000</f>
        <v>13.388888888888891</v>
      </c>
      <c r="D1000">
        <f>LAI!F1000</f>
        <v>0</v>
      </c>
      <c r="E1000">
        <f>0.5*C1000*(1-EXP(-'user input'!$C$19*D1000))</f>
        <v>0</v>
      </c>
      <c r="F1000">
        <f>E1000*'user input'!$C$21</f>
        <v>0</v>
      </c>
    </row>
    <row r="1001" spans="1:6" x14ac:dyDescent="0.2">
      <c r="A1001" s="1">
        <v>41177</v>
      </c>
      <c r="B1001">
        <v>269</v>
      </c>
      <c r="C1001">
        <f>'weather data'!E1001</f>
        <v>13.502222222222223</v>
      </c>
      <c r="D1001">
        <f>LAI!F1001</f>
        <v>0</v>
      </c>
      <c r="E1001">
        <f>0.5*C1001*(1-EXP(-'user input'!$C$19*D1001))</f>
        <v>0</v>
      </c>
      <c r="F1001">
        <f>E1001*'user input'!$C$21</f>
        <v>0</v>
      </c>
    </row>
    <row r="1002" spans="1:6" x14ac:dyDescent="0.2">
      <c r="A1002" s="1">
        <v>41178</v>
      </c>
      <c r="B1002">
        <v>270</v>
      </c>
      <c r="C1002">
        <f>'weather data'!E1002</f>
        <v>14.011111111111109</v>
      </c>
      <c r="D1002">
        <f>LAI!F1002</f>
        <v>0</v>
      </c>
      <c r="E1002">
        <f>0.5*C1002*(1-EXP(-'user input'!$C$19*D1002))</f>
        <v>0</v>
      </c>
      <c r="F1002">
        <f>E1002*'user input'!$C$21</f>
        <v>0</v>
      </c>
    </row>
    <row r="1003" spans="1:6" x14ac:dyDescent="0.2">
      <c r="A1003" s="1">
        <v>41179</v>
      </c>
      <c r="B1003">
        <v>271</v>
      </c>
      <c r="C1003">
        <f>'weather data'!E1003</f>
        <v>12.597777777777782</v>
      </c>
      <c r="D1003">
        <f>LAI!F1003</f>
        <v>0</v>
      </c>
      <c r="E1003">
        <f>0.5*C1003*(1-EXP(-'user input'!$C$19*D1003))</f>
        <v>0</v>
      </c>
      <c r="F1003">
        <f>E1003*'user input'!$C$21</f>
        <v>0</v>
      </c>
    </row>
    <row r="1004" spans="1:6" x14ac:dyDescent="0.2">
      <c r="A1004" s="1">
        <v>41180</v>
      </c>
      <c r="B1004">
        <v>272</v>
      </c>
      <c r="C1004">
        <f>'weather data'!E1004</f>
        <v>13.12666666666667</v>
      </c>
      <c r="D1004">
        <f>LAI!F1004</f>
        <v>0</v>
      </c>
      <c r="E1004">
        <f>0.5*C1004*(1-EXP(-'user input'!$C$19*D1004))</f>
        <v>0</v>
      </c>
      <c r="F1004">
        <f>E1004*'user input'!$C$21</f>
        <v>0</v>
      </c>
    </row>
    <row r="1005" spans="1:6" x14ac:dyDescent="0.2">
      <c r="A1005" s="1">
        <v>41181</v>
      </c>
      <c r="B1005">
        <v>273</v>
      </c>
      <c r="C1005">
        <f>'weather data'!E1005</f>
        <v>13.026666666666667</v>
      </c>
      <c r="D1005">
        <f>LAI!F1005</f>
        <v>0</v>
      </c>
      <c r="E1005">
        <f>0.5*C1005*(1-EXP(-'user input'!$C$19*D1005))</f>
        <v>0</v>
      </c>
      <c r="F1005">
        <f>E1005*'user input'!$C$21</f>
        <v>0</v>
      </c>
    </row>
    <row r="1006" spans="1:6" x14ac:dyDescent="0.2">
      <c r="A1006" s="1">
        <v>41182</v>
      </c>
      <c r="B1006">
        <v>274</v>
      </c>
      <c r="C1006">
        <f>'weather data'!E1006</f>
        <v>13.155555555555559</v>
      </c>
      <c r="D1006">
        <f>LAI!F1006</f>
        <v>0</v>
      </c>
      <c r="E1006">
        <f>0.5*C1006*(1-EXP(-'user input'!$C$19*D1006))</f>
        <v>0</v>
      </c>
      <c r="F1006">
        <f>E1006*'user input'!$C$21</f>
        <v>0</v>
      </c>
    </row>
    <row r="1007" spans="1:6" x14ac:dyDescent="0.2">
      <c r="A1007" s="1">
        <v>41183</v>
      </c>
      <c r="B1007">
        <v>275</v>
      </c>
      <c r="C1007">
        <f>'weather data'!E1007</f>
        <v>13.037777777777777</v>
      </c>
      <c r="D1007">
        <f>LAI!F1007</f>
        <v>0</v>
      </c>
      <c r="E1007">
        <f>0.5*C1007*(1-EXP(-'user input'!$C$19*D1007))</f>
        <v>0</v>
      </c>
      <c r="F1007">
        <f>E1007*'user input'!$C$21</f>
        <v>0</v>
      </c>
    </row>
    <row r="1008" spans="1:6" x14ac:dyDescent="0.2">
      <c r="A1008" s="1">
        <v>41184</v>
      </c>
      <c r="B1008">
        <v>276</v>
      </c>
      <c r="C1008">
        <f>'weather data'!E1008</f>
        <v>12.082222222222223</v>
      </c>
      <c r="D1008">
        <f>LAI!F1008</f>
        <v>0</v>
      </c>
      <c r="E1008">
        <f>0.5*C1008*(1-EXP(-'user input'!$C$19*D1008))</f>
        <v>0</v>
      </c>
      <c r="F1008">
        <f>E1008*'user input'!$C$21</f>
        <v>0</v>
      </c>
    </row>
    <row r="1009" spans="1:6" x14ac:dyDescent="0.2">
      <c r="A1009" s="1">
        <v>41185</v>
      </c>
      <c r="B1009">
        <v>277</v>
      </c>
      <c r="C1009">
        <f>'weather data'!E1009</f>
        <v>12.068888888888893</v>
      </c>
      <c r="D1009">
        <f>LAI!F1009</f>
        <v>0</v>
      </c>
      <c r="E1009">
        <f>0.5*C1009*(1-EXP(-'user input'!$C$19*D1009))</f>
        <v>0</v>
      </c>
      <c r="F1009">
        <f>E1009*'user input'!$C$21</f>
        <v>0</v>
      </c>
    </row>
    <row r="1010" spans="1:6" x14ac:dyDescent="0.2">
      <c r="A1010" s="1">
        <v>41186</v>
      </c>
      <c r="B1010">
        <v>278</v>
      </c>
      <c r="C1010">
        <f>'weather data'!E1010</f>
        <v>12.471111111111115</v>
      </c>
      <c r="D1010">
        <f>LAI!F1010</f>
        <v>0</v>
      </c>
      <c r="E1010">
        <f>0.5*C1010*(1-EXP(-'user input'!$C$19*D1010))</f>
        <v>0</v>
      </c>
      <c r="F1010">
        <f>E1010*'user input'!$C$21</f>
        <v>0</v>
      </c>
    </row>
    <row r="1011" spans="1:6" x14ac:dyDescent="0.2">
      <c r="A1011" s="1">
        <v>41187</v>
      </c>
      <c r="B1011">
        <v>279</v>
      </c>
      <c r="C1011">
        <f>'weather data'!E1011</f>
        <v>11.631111111111114</v>
      </c>
      <c r="D1011">
        <f>LAI!F1011</f>
        <v>0</v>
      </c>
      <c r="E1011">
        <f>0.5*C1011*(1-EXP(-'user input'!$C$19*D1011))</f>
        <v>0</v>
      </c>
      <c r="F1011">
        <f>E1011*'user input'!$C$21</f>
        <v>0</v>
      </c>
    </row>
    <row r="1012" spans="1:6" x14ac:dyDescent="0.2">
      <c r="A1012" s="1">
        <v>41188</v>
      </c>
      <c r="B1012">
        <v>280</v>
      </c>
      <c r="C1012">
        <f>'weather data'!E1012</f>
        <v>11.757777777777779</v>
      </c>
      <c r="D1012">
        <f>LAI!F1012</f>
        <v>0</v>
      </c>
      <c r="E1012">
        <f>0.5*C1012*(1-EXP(-'user input'!$C$19*D1012))</f>
        <v>0</v>
      </c>
      <c r="F1012">
        <f>E1012*'user input'!$C$21</f>
        <v>0</v>
      </c>
    </row>
    <row r="1013" spans="1:6" x14ac:dyDescent="0.2">
      <c r="A1013" s="1">
        <v>41189</v>
      </c>
      <c r="B1013">
        <v>281</v>
      </c>
      <c r="C1013">
        <f>'weather data'!E1013</f>
        <v>10.711111111111109</v>
      </c>
      <c r="D1013">
        <f>LAI!F1013</f>
        <v>0</v>
      </c>
      <c r="E1013">
        <f>0.5*C1013*(1-EXP(-'user input'!$C$19*D1013))</f>
        <v>0</v>
      </c>
      <c r="F1013">
        <f>E1013*'user input'!$C$21</f>
        <v>0</v>
      </c>
    </row>
    <row r="1014" spans="1:6" x14ac:dyDescent="0.2">
      <c r="A1014" s="1">
        <v>41190</v>
      </c>
      <c r="B1014">
        <v>282</v>
      </c>
      <c r="C1014">
        <f>'weather data'!E1014</f>
        <v>11.008888888888887</v>
      </c>
      <c r="D1014">
        <f>LAI!F1014</f>
        <v>0</v>
      </c>
      <c r="E1014">
        <f>0.5*C1014*(1-EXP(-'user input'!$C$19*D1014))</f>
        <v>0</v>
      </c>
      <c r="F1014">
        <f>E1014*'user input'!$C$21</f>
        <v>0</v>
      </c>
    </row>
    <row r="1015" spans="1:6" x14ac:dyDescent="0.2">
      <c r="A1015" s="1">
        <v>41191</v>
      </c>
      <c r="B1015">
        <v>283</v>
      </c>
      <c r="C1015">
        <f>'weather data'!E1015</f>
        <v>11.120000000000003</v>
      </c>
      <c r="D1015">
        <f>LAI!F1015</f>
        <v>0</v>
      </c>
      <c r="E1015">
        <f>0.5*C1015*(1-EXP(-'user input'!$C$19*D1015))</f>
        <v>0</v>
      </c>
      <c r="F1015">
        <f>E1015*'user input'!$C$21</f>
        <v>0</v>
      </c>
    </row>
    <row r="1016" spans="1:6" x14ac:dyDescent="0.2">
      <c r="A1016" s="1">
        <v>41192</v>
      </c>
      <c r="B1016">
        <v>284</v>
      </c>
      <c r="C1016">
        <f>'weather data'!E1016</f>
        <v>11.48</v>
      </c>
      <c r="D1016">
        <f>LAI!F1016</f>
        <v>0</v>
      </c>
      <c r="E1016">
        <f>0.5*C1016*(1-EXP(-'user input'!$C$19*D1016))</f>
        <v>0</v>
      </c>
      <c r="F1016">
        <f>E1016*'user input'!$C$21</f>
        <v>0</v>
      </c>
    </row>
    <row r="1017" spans="1:6" x14ac:dyDescent="0.2">
      <c r="A1017" s="1">
        <v>41193</v>
      </c>
      <c r="B1017">
        <v>285</v>
      </c>
      <c r="C1017">
        <f>'weather data'!E1017</f>
        <v>10.637777777777782</v>
      </c>
      <c r="D1017">
        <f>LAI!F1017</f>
        <v>0</v>
      </c>
      <c r="E1017">
        <f>0.5*C1017*(1-EXP(-'user input'!$C$19*D1017))</f>
        <v>0</v>
      </c>
      <c r="F1017">
        <f>E1017*'user input'!$C$21</f>
        <v>0</v>
      </c>
    </row>
    <row r="1018" spans="1:6" x14ac:dyDescent="0.2">
      <c r="A1018" s="1">
        <v>41194</v>
      </c>
      <c r="B1018">
        <v>286</v>
      </c>
      <c r="C1018">
        <f>'weather data'!E1018</f>
        <v>10.895555555555555</v>
      </c>
      <c r="D1018">
        <f>LAI!F1018</f>
        <v>0</v>
      </c>
      <c r="E1018">
        <f>0.5*C1018*(1-EXP(-'user input'!$C$19*D1018))</f>
        <v>0</v>
      </c>
      <c r="F1018">
        <f>E1018*'user input'!$C$21</f>
        <v>0</v>
      </c>
    </row>
    <row r="1019" spans="1:6" x14ac:dyDescent="0.2">
      <c r="A1019" s="1">
        <v>41195</v>
      </c>
      <c r="B1019">
        <v>287</v>
      </c>
      <c r="C1019">
        <f>'weather data'!E1019</f>
        <v>10.784444444444448</v>
      </c>
      <c r="D1019">
        <f>LAI!F1019</f>
        <v>0</v>
      </c>
      <c r="E1019">
        <f>0.5*C1019*(1-EXP(-'user input'!$C$19*D1019))</f>
        <v>0</v>
      </c>
      <c r="F1019">
        <f>E1019*'user input'!$C$21</f>
        <v>0</v>
      </c>
    </row>
    <row r="1020" spans="1:6" x14ac:dyDescent="0.2">
      <c r="A1020" s="1">
        <v>41196</v>
      </c>
      <c r="B1020">
        <v>288</v>
      </c>
      <c r="C1020">
        <f>'weather data'!E1020</f>
        <v>10.637777777777782</v>
      </c>
      <c r="D1020">
        <f>LAI!F1020</f>
        <v>0</v>
      </c>
      <c r="E1020">
        <f>0.5*C1020*(1-EXP(-'user input'!$C$19*D1020))</f>
        <v>0</v>
      </c>
      <c r="F1020">
        <f>E1020*'user input'!$C$21</f>
        <v>0</v>
      </c>
    </row>
    <row r="1021" spans="1:6" x14ac:dyDescent="0.2">
      <c r="A1021" s="1">
        <v>41197</v>
      </c>
      <c r="B1021">
        <v>289</v>
      </c>
      <c r="C1021">
        <f>'weather data'!E1021</f>
        <v>10.64666666666667</v>
      </c>
      <c r="D1021">
        <f>LAI!F1021</f>
        <v>0</v>
      </c>
      <c r="E1021">
        <f>0.5*C1021*(1-EXP(-'user input'!$C$19*D1021))</f>
        <v>0</v>
      </c>
      <c r="F1021">
        <f>E1021*'user input'!$C$21</f>
        <v>0</v>
      </c>
    </row>
    <row r="1022" spans="1:6" x14ac:dyDescent="0.2">
      <c r="A1022" s="1">
        <v>41198</v>
      </c>
      <c r="B1022">
        <v>290</v>
      </c>
      <c r="C1022">
        <f>'weather data'!E1022</f>
        <v>10.311111111111112</v>
      </c>
      <c r="D1022">
        <f>LAI!F1022</f>
        <v>0</v>
      </c>
      <c r="E1022">
        <f>0.5*C1022*(1-EXP(-'user input'!$C$19*D1022))</f>
        <v>0</v>
      </c>
      <c r="F1022">
        <f>E1022*'user input'!$C$21</f>
        <v>0</v>
      </c>
    </row>
    <row r="1023" spans="1:6" x14ac:dyDescent="0.2">
      <c r="A1023" s="1">
        <v>41199</v>
      </c>
      <c r="B1023">
        <v>291</v>
      </c>
      <c r="C1023">
        <f>'weather data'!E1023</f>
        <v>9.4244444444444415</v>
      </c>
      <c r="D1023">
        <f>LAI!F1023</f>
        <v>0</v>
      </c>
      <c r="E1023">
        <f>0.5*C1023*(1-EXP(-'user input'!$C$19*D1023))</f>
        <v>0</v>
      </c>
      <c r="F1023">
        <f>E1023*'user input'!$C$21</f>
        <v>0</v>
      </c>
    </row>
    <row r="1024" spans="1:6" x14ac:dyDescent="0.2">
      <c r="A1024" s="1">
        <v>41200</v>
      </c>
      <c r="B1024">
        <v>292</v>
      </c>
      <c r="C1024">
        <f>'weather data'!E1024</f>
        <v>9.5977777777777806</v>
      </c>
      <c r="D1024">
        <f>LAI!F1024</f>
        <v>0</v>
      </c>
      <c r="E1024">
        <f>0.5*C1024*(1-EXP(-'user input'!$C$19*D1024))</f>
        <v>0</v>
      </c>
      <c r="F1024">
        <f>E1024*'user input'!$C$21</f>
        <v>0</v>
      </c>
    </row>
    <row r="1025" spans="1:6" x14ac:dyDescent="0.2">
      <c r="A1025" s="1">
        <v>41201</v>
      </c>
      <c r="B1025">
        <v>293</v>
      </c>
      <c r="C1025">
        <f>'weather data'!E1025</f>
        <v>9.0800000000000036</v>
      </c>
      <c r="D1025">
        <f>LAI!F1025</f>
        <v>0</v>
      </c>
      <c r="E1025">
        <f>0.5*C1025*(1-EXP(-'user input'!$C$19*D1025))</f>
        <v>0</v>
      </c>
      <c r="F1025">
        <f>E1025*'user input'!$C$21</f>
        <v>0</v>
      </c>
    </row>
    <row r="1026" spans="1:6" x14ac:dyDescent="0.2">
      <c r="A1026" s="1">
        <v>41202</v>
      </c>
      <c r="B1026">
        <v>294</v>
      </c>
      <c r="C1026">
        <f>'weather data'!E1026</f>
        <v>8.8311111111111114</v>
      </c>
      <c r="D1026">
        <f>LAI!F1026</f>
        <v>0</v>
      </c>
      <c r="E1026">
        <f>0.5*C1026*(1-EXP(-'user input'!$C$19*D1026))</f>
        <v>0</v>
      </c>
      <c r="F1026">
        <f>E1026*'user input'!$C$21</f>
        <v>0</v>
      </c>
    </row>
    <row r="1027" spans="1:6" x14ac:dyDescent="0.2">
      <c r="A1027" s="1">
        <v>41203</v>
      </c>
      <c r="B1027">
        <v>295</v>
      </c>
      <c r="C1027">
        <f>'weather data'!E1027</f>
        <v>8.6733333333333285</v>
      </c>
      <c r="D1027">
        <f>LAI!F1027</f>
        <v>0</v>
      </c>
      <c r="E1027">
        <f>0.5*C1027*(1-EXP(-'user input'!$C$19*D1027))</f>
        <v>0</v>
      </c>
      <c r="F1027">
        <f>E1027*'user input'!$C$21</f>
        <v>0</v>
      </c>
    </row>
    <row r="1028" spans="1:6" x14ac:dyDescent="0.2">
      <c r="A1028" s="1">
        <v>41204</v>
      </c>
      <c r="B1028">
        <v>296</v>
      </c>
      <c r="C1028">
        <f>'weather data'!E1028</f>
        <v>7.8955555555555543</v>
      </c>
      <c r="D1028">
        <f>LAI!F1028</f>
        <v>0</v>
      </c>
      <c r="E1028">
        <f>0.5*C1028*(1-EXP(-'user input'!$C$19*D1028))</f>
        <v>0</v>
      </c>
      <c r="F1028">
        <f>E1028*'user input'!$C$21</f>
        <v>0</v>
      </c>
    </row>
    <row r="1029" spans="1:6" x14ac:dyDescent="0.2">
      <c r="A1029" s="1">
        <v>41205</v>
      </c>
      <c r="B1029">
        <v>297</v>
      </c>
      <c r="C1029">
        <f>'weather data'!E1029</f>
        <v>8.4711111111111119</v>
      </c>
      <c r="D1029">
        <f>LAI!F1029</f>
        <v>0</v>
      </c>
      <c r="E1029">
        <f>0.5*C1029*(1-EXP(-'user input'!$C$19*D1029))</f>
        <v>0</v>
      </c>
      <c r="F1029">
        <f>E1029*'user input'!$C$21</f>
        <v>0</v>
      </c>
    </row>
    <row r="1030" spans="1:6" x14ac:dyDescent="0.2">
      <c r="A1030" s="1">
        <v>41206</v>
      </c>
      <c r="B1030">
        <v>298</v>
      </c>
      <c r="C1030">
        <f>'weather data'!E1030</f>
        <v>8.9599999999999991</v>
      </c>
      <c r="D1030">
        <f>LAI!F1030</f>
        <v>0</v>
      </c>
      <c r="E1030">
        <f>0.5*C1030*(1-EXP(-'user input'!$C$19*D1030))</f>
        <v>0</v>
      </c>
      <c r="F1030">
        <f>E1030*'user input'!$C$21</f>
        <v>0</v>
      </c>
    </row>
    <row r="1031" spans="1:6" x14ac:dyDescent="0.2">
      <c r="A1031" s="1">
        <v>41207</v>
      </c>
      <c r="B1031">
        <v>299</v>
      </c>
      <c r="C1031">
        <f>'weather data'!E1031</f>
        <v>9.0155555555555544</v>
      </c>
      <c r="D1031">
        <f>LAI!F1031</f>
        <v>0</v>
      </c>
      <c r="E1031">
        <f>0.5*C1031*(1-EXP(-'user input'!$C$19*D1031))</f>
        <v>0</v>
      </c>
      <c r="F1031">
        <f>E1031*'user input'!$C$21</f>
        <v>0</v>
      </c>
    </row>
    <row r="1032" spans="1:6" x14ac:dyDescent="0.2">
      <c r="A1032" s="1">
        <v>41208</v>
      </c>
      <c r="B1032">
        <v>300</v>
      </c>
      <c r="C1032">
        <f>'weather data'!E1032</f>
        <v>8.5622222222222231</v>
      </c>
      <c r="D1032">
        <f>LAI!F1032</f>
        <v>0</v>
      </c>
      <c r="E1032">
        <f>0.5*C1032*(1-EXP(-'user input'!$C$19*D1032))</f>
        <v>0</v>
      </c>
      <c r="F1032">
        <f>E1032*'user input'!$C$21</f>
        <v>0</v>
      </c>
    </row>
    <row r="1033" spans="1:6" x14ac:dyDescent="0.2">
      <c r="A1033" s="1">
        <v>41209</v>
      </c>
      <c r="B1033">
        <v>301</v>
      </c>
      <c r="C1033">
        <f>'weather data'!E1033</f>
        <v>9.3444444444444468</v>
      </c>
      <c r="D1033">
        <f>LAI!F1033</f>
        <v>0</v>
      </c>
      <c r="E1033">
        <f>0.5*C1033*(1-EXP(-'user input'!$C$19*D1033))</f>
        <v>0</v>
      </c>
      <c r="F1033">
        <f>E1033*'user input'!$C$21</f>
        <v>0</v>
      </c>
    </row>
    <row r="1034" spans="1:6" x14ac:dyDescent="0.2">
      <c r="A1034" s="1">
        <v>41210</v>
      </c>
      <c r="B1034">
        <v>302</v>
      </c>
      <c r="C1034">
        <f>'weather data'!E1034</f>
        <v>8.6866666666666656</v>
      </c>
      <c r="D1034">
        <f>LAI!F1034</f>
        <v>0</v>
      </c>
      <c r="E1034">
        <f>0.5*C1034*(1-EXP(-'user input'!$C$19*D1034))</f>
        <v>0</v>
      </c>
      <c r="F1034">
        <f>E1034*'user input'!$C$21</f>
        <v>0</v>
      </c>
    </row>
    <row r="1035" spans="1:6" x14ac:dyDescent="0.2">
      <c r="A1035" s="1">
        <v>41211</v>
      </c>
      <c r="B1035">
        <v>303</v>
      </c>
      <c r="C1035">
        <f>'weather data'!E1035</f>
        <v>8.1999999999999975</v>
      </c>
      <c r="D1035">
        <f>LAI!F1035</f>
        <v>0</v>
      </c>
      <c r="E1035">
        <f>0.5*C1035*(1-EXP(-'user input'!$C$19*D1035))</f>
        <v>0</v>
      </c>
      <c r="F1035">
        <f>E1035*'user input'!$C$21</f>
        <v>0</v>
      </c>
    </row>
    <row r="1036" spans="1:6" x14ac:dyDescent="0.2">
      <c r="A1036" s="1">
        <v>41212</v>
      </c>
      <c r="B1036">
        <v>304</v>
      </c>
      <c r="C1036">
        <f>'weather data'!E1036</f>
        <v>7.120000000000001</v>
      </c>
      <c r="D1036">
        <f>LAI!F1036</f>
        <v>0</v>
      </c>
      <c r="E1036">
        <f>0.5*C1036*(1-EXP(-'user input'!$C$19*D1036))</f>
        <v>0</v>
      </c>
      <c r="F1036">
        <f>E1036*'user input'!$C$21</f>
        <v>0</v>
      </c>
    </row>
    <row r="1037" spans="1:6" x14ac:dyDescent="0.2">
      <c r="A1037" s="1">
        <v>41213</v>
      </c>
      <c r="B1037">
        <v>305</v>
      </c>
      <c r="C1037">
        <f>'weather data'!E1037</f>
        <v>6.913333333333334</v>
      </c>
      <c r="D1037">
        <f>LAI!F1037</f>
        <v>0</v>
      </c>
      <c r="E1037">
        <f>0.5*C1037*(1-EXP(-'user input'!$C$19*D1037))</f>
        <v>0</v>
      </c>
      <c r="F1037">
        <f>E1037*'user input'!$C$21</f>
        <v>0</v>
      </c>
    </row>
    <row r="1038" spans="1:6" x14ac:dyDescent="0.2">
      <c r="A1038" s="1">
        <v>41214</v>
      </c>
      <c r="B1038">
        <v>306</v>
      </c>
      <c r="C1038">
        <f>'weather data'!E1038</f>
        <v>7.6555555555555559</v>
      </c>
      <c r="D1038">
        <f>LAI!F1038</f>
        <v>0</v>
      </c>
      <c r="E1038">
        <f>0.5*C1038*(1-EXP(-'user input'!$C$19*D1038))</f>
        <v>0</v>
      </c>
      <c r="F1038">
        <f>E1038*'user input'!$C$21</f>
        <v>0</v>
      </c>
    </row>
    <row r="1039" spans="1:6" x14ac:dyDescent="0.2">
      <c r="A1039" s="1">
        <v>41215</v>
      </c>
      <c r="B1039">
        <v>307</v>
      </c>
      <c r="C1039">
        <f>'weather data'!E1039</f>
        <v>7.1822222222222205</v>
      </c>
      <c r="D1039">
        <f>LAI!F1039</f>
        <v>0</v>
      </c>
      <c r="E1039">
        <f>0.5*C1039*(1-EXP(-'user input'!$C$19*D1039))</f>
        <v>0</v>
      </c>
      <c r="F1039">
        <f>E1039*'user input'!$C$21</f>
        <v>0</v>
      </c>
    </row>
    <row r="1040" spans="1:6" x14ac:dyDescent="0.2">
      <c r="A1040" s="1">
        <v>41216</v>
      </c>
      <c r="B1040">
        <v>308</v>
      </c>
      <c r="C1040">
        <f>'weather data'!E1040</f>
        <v>7.5955555555555545</v>
      </c>
      <c r="D1040">
        <f>LAI!F1040</f>
        <v>0</v>
      </c>
      <c r="E1040">
        <f>0.5*C1040*(1-EXP(-'user input'!$C$19*D1040))</f>
        <v>0</v>
      </c>
      <c r="F1040">
        <f>E1040*'user input'!$C$21</f>
        <v>0</v>
      </c>
    </row>
    <row r="1041" spans="1:6" x14ac:dyDescent="0.2">
      <c r="A1041" s="1">
        <v>41217</v>
      </c>
      <c r="B1041">
        <v>309</v>
      </c>
      <c r="C1041">
        <f>'weather data'!E1041</f>
        <v>6.7955555555555573</v>
      </c>
      <c r="D1041">
        <f>LAI!F1041</f>
        <v>0</v>
      </c>
      <c r="E1041">
        <f>0.5*C1041*(1-EXP(-'user input'!$C$19*D1041))</f>
        <v>0</v>
      </c>
      <c r="F1041">
        <f>E1041*'user input'!$C$21</f>
        <v>0</v>
      </c>
    </row>
    <row r="1042" spans="1:6" x14ac:dyDescent="0.2">
      <c r="A1042" s="1">
        <v>41218</v>
      </c>
      <c r="B1042">
        <v>310</v>
      </c>
      <c r="C1042">
        <f>'weather data'!E1042</f>
        <v>6.6288888888888904</v>
      </c>
      <c r="D1042">
        <f>LAI!F1042</f>
        <v>0</v>
      </c>
      <c r="E1042">
        <f>0.5*C1042*(1-EXP(-'user input'!$C$19*D1042))</f>
        <v>0</v>
      </c>
      <c r="F1042">
        <f>E1042*'user input'!$C$21</f>
        <v>0</v>
      </c>
    </row>
    <row r="1043" spans="1:6" x14ac:dyDescent="0.2">
      <c r="A1043" s="1">
        <v>41219</v>
      </c>
      <c r="B1043">
        <v>311</v>
      </c>
      <c r="C1043">
        <f>'weather data'!E1043</f>
        <v>7.4622222222222225</v>
      </c>
      <c r="D1043">
        <f>LAI!F1043</f>
        <v>0</v>
      </c>
      <c r="E1043">
        <f>0.5*C1043*(1-EXP(-'user input'!$C$19*D1043))</f>
        <v>0</v>
      </c>
      <c r="F1043">
        <f>E1043*'user input'!$C$21</f>
        <v>0</v>
      </c>
    </row>
    <row r="1044" spans="1:6" x14ac:dyDescent="0.2">
      <c r="A1044" s="1">
        <v>41220</v>
      </c>
      <c r="B1044">
        <v>312</v>
      </c>
      <c r="C1044">
        <f>'weather data'!E1044</f>
        <v>6.4088888888888897</v>
      </c>
      <c r="D1044">
        <f>LAI!F1044</f>
        <v>0</v>
      </c>
      <c r="E1044">
        <f>0.5*C1044*(1-EXP(-'user input'!$C$19*D1044))</f>
        <v>0</v>
      </c>
      <c r="F1044">
        <f>E1044*'user input'!$C$21</f>
        <v>0</v>
      </c>
    </row>
    <row r="1045" spans="1:6" x14ac:dyDescent="0.2">
      <c r="A1045" s="1">
        <v>41221</v>
      </c>
      <c r="B1045">
        <v>313</v>
      </c>
      <c r="C1045">
        <f>'weather data'!E1045</f>
        <v>6.8622222222222238</v>
      </c>
      <c r="D1045">
        <f>LAI!F1045</f>
        <v>0</v>
      </c>
      <c r="E1045">
        <f>0.5*C1045*(1-EXP(-'user input'!$C$19*D1045))</f>
        <v>0</v>
      </c>
      <c r="F1045">
        <f>E1045*'user input'!$C$21</f>
        <v>0</v>
      </c>
    </row>
    <row r="1046" spans="1:6" x14ac:dyDescent="0.2">
      <c r="A1046" s="1">
        <v>41222</v>
      </c>
      <c r="B1046">
        <v>314</v>
      </c>
      <c r="C1046">
        <f>'weather data'!E1046</f>
        <v>6.8200000000000012</v>
      </c>
      <c r="D1046">
        <f>LAI!F1046</f>
        <v>0</v>
      </c>
      <c r="E1046">
        <f>0.5*C1046*(1-EXP(-'user input'!$C$19*D1046))</f>
        <v>0</v>
      </c>
      <c r="F1046">
        <f>E1046*'user input'!$C$21</f>
        <v>0</v>
      </c>
    </row>
    <row r="1047" spans="1:6" x14ac:dyDescent="0.2">
      <c r="A1047" s="1">
        <v>41223</v>
      </c>
      <c r="B1047">
        <v>315</v>
      </c>
      <c r="C1047">
        <f>'weather data'!E1047</f>
        <v>7.075555555555554</v>
      </c>
      <c r="D1047">
        <f>LAI!F1047</f>
        <v>0</v>
      </c>
      <c r="E1047">
        <f>0.5*C1047*(1-EXP(-'user input'!$C$19*D1047))</f>
        <v>0</v>
      </c>
      <c r="F1047">
        <f>E1047*'user input'!$C$21</f>
        <v>0</v>
      </c>
    </row>
    <row r="1048" spans="1:6" x14ac:dyDescent="0.2">
      <c r="A1048" s="1">
        <v>41224</v>
      </c>
      <c r="B1048">
        <v>316</v>
      </c>
      <c r="C1048">
        <f>'weather data'!E1048</f>
        <v>6.7977777777777781</v>
      </c>
      <c r="D1048">
        <f>LAI!F1048</f>
        <v>0</v>
      </c>
      <c r="E1048">
        <f>0.5*C1048*(1-EXP(-'user input'!$C$19*D1048))</f>
        <v>0</v>
      </c>
      <c r="F1048">
        <f>E1048*'user input'!$C$21</f>
        <v>0</v>
      </c>
    </row>
    <row r="1049" spans="1:6" x14ac:dyDescent="0.2">
      <c r="A1049" s="1">
        <v>41225</v>
      </c>
      <c r="B1049">
        <v>317</v>
      </c>
      <c r="C1049">
        <f>'weather data'!E1049</f>
        <v>6.2888888888888914</v>
      </c>
      <c r="D1049">
        <f>LAI!F1049</f>
        <v>0</v>
      </c>
      <c r="E1049">
        <f>0.5*C1049*(1-EXP(-'user input'!$C$19*D1049))</f>
        <v>0</v>
      </c>
      <c r="F1049">
        <f>E1049*'user input'!$C$21</f>
        <v>0</v>
      </c>
    </row>
    <row r="1050" spans="1:6" x14ac:dyDescent="0.2">
      <c r="A1050" s="1">
        <v>41226</v>
      </c>
      <c r="B1050">
        <v>318</v>
      </c>
      <c r="C1050">
        <f>'weather data'!E1050</f>
        <v>6.3822222222222242</v>
      </c>
      <c r="D1050">
        <f>LAI!F1050</f>
        <v>0</v>
      </c>
      <c r="E1050">
        <f>0.5*C1050*(1-EXP(-'user input'!$C$19*D1050))</f>
        <v>0</v>
      </c>
      <c r="F1050">
        <f>E1050*'user input'!$C$21</f>
        <v>0</v>
      </c>
    </row>
    <row r="1051" spans="1:6" x14ac:dyDescent="0.2">
      <c r="A1051" s="1">
        <v>41227</v>
      </c>
      <c r="B1051">
        <v>319</v>
      </c>
      <c r="C1051">
        <f>'weather data'!E1051</f>
        <v>5.5888888888888895</v>
      </c>
      <c r="D1051">
        <f>LAI!F1051</f>
        <v>0</v>
      </c>
      <c r="E1051">
        <f>0.5*C1051*(1-EXP(-'user input'!$C$19*D1051))</f>
        <v>0</v>
      </c>
      <c r="F1051">
        <f>E1051*'user input'!$C$21</f>
        <v>0</v>
      </c>
    </row>
    <row r="1052" spans="1:6" x14ac:dyDescent="0.2">
      <c r="A1052" s="1">
        <v>41228</v>
      </c>
      <c r="B1052">
        <v>320</v>
      </c>
      <c r="C1052">
        <f>'weather data'!E1052</f>
        <v>6.2133333333333303</v>
      </c>
      <c r="D1052">
        <f>LAI!F1052</f>
        <v>0</v>
      </c>
      <c r="E1052">
        <f>0.5*C1052*(1-EXP(-'user input'!$C$19*D1052))</f>
        <v>0</v>
      </c>
      <c r="F1052">
        <f>E1052*'user input'!$C$21</f>
        <v>0</v>
      </c>
    </row>
    <row r="1053" spans="1:6" x14ac:dyDescent="0.2">
      <c r="A1053" s="1">
        <v>41229</v>
      </c>
      <c r="B1053">
        <v>321</v>
      </c>
      <c r="C1053">
        <f>'weather data'!E1053</f>
        <v>6.3666666666666654</v>
      </c>
      <c r="D1053">
        <f>LAI!F1053</f>
        <v>0</v>
      </c>
      <c r="E1053">
        <f>0.5*C1053*(1-EXP(-'user input'!$C$19*D1053))</f>
        <v>0</v>
      </c>
      <c r="F1053">
        <f>E1053*'user input'!$C$21</f>
        <v>0</v>
      </c>
    </row>
    <row r="1054" spans="1:6" x14ac:dyDescent="0.2">
      <c r="A1054" s="1">
        <v>41230</v>
      </c>
      <c r="B1054">
        <v>322</v>
      </c>
      <c r="C1054">
        <f>'weather data'!E1054</f>
        <v>6.0955555555555545</v>
      </c>
      <c r="D1054">
        <f>LAI!F1054</f>
        <v>0</v>
      </c>
      <c r="E1054">
        <f>0.5*C1054*(1-EXP(-'user input'!$C$19*D1054))</f>
        <v>0</v>
      </c>
      <c r="F1054">
        <f>E1054*'user input'!$C$21</f>
        <v>0</v>
      </c>
    </row>
    <row r="1055" spans="1:6" x14ac:dyDescent="0.2">
      <c r="A1055" s="1">
        <v>41231</v>
      </c>
      <c r="B1055">
        <v>323</v>
      </c>
      <c r="C1055">
        <f>'weather data'!E1055</f>
        <v>5.8177777777777795</v>
      </c>
      <c r="D1055">
        <f>LAI!F1055</f>
        <v>0</v>
      </c>
      <c r="E1055">
        <f>0.5*C1055*(1-EXP(-'user input'!$C$19*D1055))</f>
        <v>0</v>
      </c>
      <c r="F1055">
        <f>E1055*'user input'!$C$21</f>
        <v>0</v>
      </c>
    </row>
    <row r="1056" spans="1:6" x14ac:dyDescent="0.2">
      <c r="A1056" s="1">
        <v>41232</v>
      </c>
      <c r="B1056">
        <v>324</v>
      </c>
      <c r="C1056">
        <f>'weather data'!E1056</f>
        <v>5.0466666666666669</v>
      </c>
      <c r="D1056">
        <f>LAI!F1056</f>
        <v>0</v>
      </c>
      <c r="E1056">
        <f>0.5*C1056*(1-EXP(-'user input'!$C$19*D1056))</f>
        <v>0</v>
      </c>
      <c r="F1056">
        <f>E1056*'user input'!$C$21</f>
        <v>0</v>
      </c>
    </row>
    <row r="1057" spans="1:6" x14ac:dyDescent="0.2">
      <c r="A1057" s="1">
        <v>41233</v>
      </c>
      <c r="B1057">
        <v>325</v>
      </c>
      <c r="C1057">
        <f>'weather data'!E1057</f>
        <v>6.0044444444444434</v>
      </c>
      <c r="D1057">
        <f>LAI!F1057</f>
        <v>0</v>
      </c>
      <c r="E1057">
        <f>0.5*C1057*(1-EXP(-'user input'!$C$19*D1057))</f>
        <v>0</v>
      </c>
      <c r="F1057">
        <f>E1057*'user input'!$C$21</f>
        <v>0</v>
      </c>
    </row>
    <row r="1058" spans="1:6" x14ac:dyDescent="0.2">
      <c r="A1058" s="1">
        <v>41234</v>
      </c>
      <c r="B1058">
        <v>326</v>
      </c>
      <c r="C1058">
        <f>'weather data'!E1058</f>
        <v>6.1799999999999979</v>
      </c>
      <c r="D1058">
        <f>LAI!F1058</f>
        <v>0</v>
      </c>
      <c r="E1058">
        <f>0.5*C1058*(1-EXP(-'user input'!$C$19*D1058))</f>
        <v>0</v>
      </c>
      <c r="F1058">
        <f>E1058*'user input'!$C$21</f>
        <v>0</v>
      </c>
    </row>
    <row r="1059" spans="1:6" x14ac:dyDescent="0.2">
      <c r="A1059" s="1">
        <v>41235</v>
      </c>
      <c r="B1059">
        <v>327</v>
      </c>
      <c r="C1059">
        <f>'weather data'!E1059</f>
        <v>5.3200000000000021</v>
      </c>
      <c r="D1059">
        <f>LAI!F1059</f>
        <v>0</v>
      </c>
      <c r="E1059">
        <f>0.5*C1059*(1-EXP(-'user input'!$C$19*D1059))</f>
        <v>0</v>
      </c>
      <c r="F1059">
        <f>E1059*'user input'!$C$21</f>
        <v>0</v>
      </c>
    </row>
    <row r="1060" spans="1:6" x14ac:dyDescent="0.2">
      <c r="A1060" s="1">
        <v>41236</v>
      </c>
      <c r="B1060">
        <v>328</v>
      </c>
      <c r="C1060">
        <f>'weather data'!E1060</f>
        <v>5.6422222222222205</v>
      </c>
      <c r="D1060">
        <f>LAI!F1060</f>
        <v>0</v>
      </c>
      <c r="E1060">
        <f>0.5*C1060*(1-EXP(-'user input'!$C$19*D1060))</f>
        <v>0</v>
      </c>
      <c r="F1060">
        <f>E1060*'user input'!$C$21</f>
        <v>0</v>
      </c>
    </row>
    <row r="1061" spans="1:6" x14ac:dyDescent="0.2">
      <c r="A1061" s="1">
        <v>41237</v>
      </c>
      <c r="B1061">
        <v>329</v>
      </c>
      <c r="C1061">
        <f>'weather data'!E1061</f>
        <v>5.8155555555555578</v>
      </c>
      <c r="D1061">
        <f>LAI!F1061</f>
        <v>0</v>
      </c>
      <c r="E1061">
        <f>0.5*C1061*(1-EXP(-'user input'!$C$19*D1061))</f>
        <v>0</v>
      </c>
      <c r="F1061">
        <f>E1061*'user input'!$C$21</f>
        <v>0</v>
      </c>
    </row>
    <row r="1062" spans="1:6" x14ac:dyDescent="0.2">
      <c r="A1062" s="1">
        <v>41238</v>
      </c>
      <c r="B1062">
        <v>330</v>
      </c>
      <c r="C1062">
        <f>'weather data'!E1062</f>
        <v>4.8911111111111119</v>
      </c>
      <c r="D1062">
        <f>LAI!F1062</f>
        <v>0</v>
      </c>
      <c r="E1062">
        <f>0.5*C1062*(1-EXP(-'user input'!$C$19*D1062))</f>
        <v>0</v>
      </c>
      <c r="F1062">
        <f>E1062*'user input'!$C$21</f>
        <v>0</v>
      </c>
    </row>
    <row r="1063" spans="1:6" x14ac:dyDescent="0.2">
      <c r="A1063" s="1">
        <v>41239</v>
      </c>
      <c r="B1063">
        <v>331</v>
      </c>
      <c r="C1063">
        <f>'weather data'!E1063</f>
        <v>4.6599999999999984</v>
      </c>
      <c r="D1063">
        <f>LAI!F1063</f>
        <v>0</v>
      </c>
      <c r="E1063">
        <f>0.5*C1063*(1-EXP(-'user input'!$C$19*D1063))</f>
        <v>0</v>
      </c>
      <c r="F1063">
        <f>E1063*'user input'!$C$21</f>
        <v>0</v>
      </c>
    </row>
    <row r="1064" spans="1:6" x14ac:dyDescent="0.2">
      <c r="A1064" s="1">
        <v>41240</v>
      </c>
      <c r="B1064">
        <v>332</v>
      </c>
      <c r="C1064">
        <f>'weather data'!E1064</f>
        <v>5.6022222222222222</v>
      </c>
      <c r="D1064">
        <f>LAI!F1064</f>
        <v>0</v>
      </c>
      <c r="E1064">
        <f>0.5*C1064*(1-EXP(-'user input'!$C$19*D1064))</f>
        <v>0</v>
      </c>
      <c r="F1064">
        <f>E1064*'user input'!$C$21</f>
        <v>0</v>
      </c>
    </row>
    <row r="1065" spans="1:6" x14ac:dyDescent="0.2">
      <c r="A1065" s="1">
        <v>41241</v>
      </c>
      <c r="B1065">
        <v>333</v>
      </c>
      <c r="C1065">
        <f>'weather data'!E1065</f>
        <v>5.1000000000000005</v>
      </c>
      <c r="D1065">
        <f>LAI!F1065</f>
        <v>0</v>
      </c>
      <c r="E1065">
        <f>0.5*C1065*(1-EXP(-'user input'!$C$19*D1065))</f>
        <v>0</v>
      </c>
      <c r="F1065">
        <f>E1065*'user input'!$C$21</f>
        <v>0</v>
      </c>
    </row>
    <row r="1066" spans="1:6" x14ac:dyDescent="0.2">
      <c r="A1066" s="1">
        <v>41242</v>
      </c>
      <c r="B1066">
        <v>334</v>
      </c>
      <c r="C1066">
        <f>'weather data'!E1066</f>
        <v>5.0266666666666673</v>
      </c>
      <c r="D1066">
        <f>LAI!F1066</f>
        <v>0</v>
      </c>
      <c r="E1066">
        <f>0.5*C1066*(1-EXP(-'user input'!$C$19*D1066))</f>
        <v>0</v>
      </c>
      <c r="F1066">
        <f>E1066*'user input'!$C$21</f>
        <v>0</v>
      </c>
    </row>
    <row r="1067" spans="1:6" x14ac:dyDescent="0.2">
      <c r="A1067" s="1">
        <v>41243</v>
      </c>
      <c r="B1067">
        <v>335</v>
      </c>
      <c r="C1067">
        <f>'weather data'!E1067</f>
        <v>5.1866666666666648</v>
      </c>
      <c r="D1067">
        <f>LAI!F1067</f>
        <v>0</v>
      </c>
      <c r="E1067">
        <f>0.5*C1067*(1-EXP(-'user input'!$C$19*D1067))</f>
        <v>0</v>
      </c>
      <c r="F1067">
        <f>E1067*'user input'!$C$21</f>
        <v>0</v>
      </c>
    </row>
    <row r="1068" spans="1:6" x14ac:dyDescent="0.2">
      <c r="A1068" s="1">
        <v>41244</v>
      </c>
      <c r="B1068">
        <v>336</v>
      </c>
      <c r="C1068">
        <f>'weather data'!E1068</f>
        <v>5.5222222222222221</v>
      </c>
      <c r="D1068">
        <f>LAI!F1068</f>
        <v>0</v>
      </c>
      <c r="E1068">
        <f>0.5*C1068*(1-EXP(-'user input'!$C$19*D1068))</f>
        <v>0</v>
      </c>
      <c r="F1068">
        <f>E1068*'user input'!$C$21</f>
        <v>0</v>
      </c>
    </row>
    <row r="1069" spans="1:6" x14ac:dyDescent="0.2">
      <c r="A1069" s="1">
        <v>41245</v>
      </c>
      <c r="B1069">
        <v>337</v>
      </c>
      <c r="C1069">
        <f>'weather data'!E1069</f>
        <v>4.9666666666666659</v>
      </c>
      <c r="D1069">
        <f>LAI!F1069</f>
        <v>0</v>
      </c>
      <c r="E1069">
        <f>0.5*C1069*(1-EXP(-'user input'!$C$19*D1069))</f>
        <v>0</v>
      </c>
      <c r="F1069">
        <f>E1069*'user input'!$C$21</f>
        <v>0</v>
      </c>
    </row>
    <row r="1070" spans="1:6" x14ac:dyDescent="0.2">
      <c r="A1070" s="1">
        <v>41246</v>
      </c>
      <c r="B1070">
        <v>338</v>
      </c>
      <c r="C1070">
        <f>'weather data'!E1070</f>
        <v>5.1911111111111108</v>
      </c>
      <c r="D1070">
        <f>LAI!F1070</f>
        <v>0</v>
      </c>
      <c r="E1070">
        <f>0.5*C1070*(1-EXP(-'user input'!$C$19*D1070))</f>
        <v>0</v>
      </c>
      <c r="F1070">
        <f>E1070*'user input'!$C$21</f>
        <v>0</v>
      </c>
    </row>
    <row r="1071" spans="1:6" x14ac:dyDescent="0.2">
      <c r="A1071" s="1">
        <v>41247</v>
      </c>
      <c r="B1071">
        <v>339</v>
      </c>
      <c r="C1071">
        <f>'weather data'!E1071</f>
        <v>5.08</v>
      </c>
      <c r="D1071">
        <f>LAI!F1071</f>
        <v>0</v>
      </c>
      <c r="E1071">
        <f>0.5*C1071*(1-EXP(-'user input'!$C$19*D1071))</f>
        <v>0</v>
      </c>
      <c r="F1071">
        <f>E1071*'user input'!$C$21</f>
        <v>0</v>
      </c>
    </row>
    <row r="1072" spans="1:6" x14ac:dyDescent="0.2">
      <c r="A1072" s="1">
        <v>41248</v>
      </c>
      <c r="B1072">
        <v>340</v>
      </c>
      <c r="C1072">
        <f>'weather data'!E1072</f>
        <v>5.3800000000000008</v>
      </c>
      <c r="D1072">
        <f>LAI!F1072</f>
        <v>0</v>
      </c>
      <c r="E1072">
        <f>0.5*C1072*(1-EXP(-'user input'!$C$19*D1072))</f>
        <v>0</v>
      </c>
      <c r="F1072">
        <f>E1072*'user input'!$C$21</f>
        <v>0</v>
      </c>
    </row>
    <row r="1073" spans="1:6" x14ac:dyDescent="0.2">
      <c r="A1073" s="1">
        <v>41249</v>
      </c>
      <c r="B1073">
        <v>341</v>
      </c>
      <c r="C1073">
        <f>'weather data'!E1073</f>
        <v>5.1688888888888878</v>
      </c>
      <c r="D1073">
        <f>LAI!F1073</f>
        <v>0</v>
      </c>
      <c r="E1073">
        <f>0.5*C1073*(1-EXP(-'user input'!$C$19*D1073))</f>
        <v>0</v>
      </c>
      <c r="F1073">
        <f>E1073*'user input'!$C$21</f>
        <v>0</v>
      </c>
    </row>
    <row r="1074" spans="1:6" x14ac:dyDescent="0.2">
      <c r="A1074" s="1">
        <v>41250</v>
      </c>
      <c r="B1074">
        <v>342</v>
      </c>
      <c r="C1074">
        <f>'weather data'!E1074</f>
        <v>5.0244444444444447</v>
      </c>
      <c r="D1074">
        <f>LAI!F1074</f>
        <v>0</v>
      </c>
      <c r="E1074">
        <f>0.5*C1074*(1-EXP(-'user input'!$C$19*D1074))</f>
        <v>0</v>
      </c>
      <c r="F1074">
        <f>E1074*'user input'!$C$21</f>
        <v>0</v>
      </c>
    </row>
    <row r="1075" spans="1:6" x14ac:dyDescent="0.2">
      <c r="A1075" s="1">
        <v>41251</v>
      </c>
      <c r="B1075">
        <v>343</v>
      </c>
      <c r="C1075">
        <f>'weather data'!E1075</f>
        <v>4.9955555555555549</v>
      </c>
      <c r="D1075">
        <f>LAI!F1075</f>
        <v>0</v>
      </c>
      <c r="E1075">
        <f>0.5*C1075*(1-EXP(-'user input'!$C$19*D1075))</f>
        <v>0</v>
      </c>
      <c r="F1075">
        <f>E1075*'user input'!$C$21</f>
        <v>0</v>
      </c>
    </row>
    <row r="1076" spans="1:6" x14ac:dyDescent="0.2">
      <c r="A1076" s="1">
        <v>41252</v>
      </c>
      <c r="B1076">
        <v>344</v>
      </c>
      <c r="C1076">
        <f>'weather data'!E1076</f>
        <v>4.9866666666666664</v>
      </c>
      <c r="D1076">
        <f>LAI!F1076</f>
        <v>0</v>
      </c>
      <c r="E1076">
        <f>0.5*C1076*(1-EXP(-'user input'!$C$19*D1076))</f>
        <v>0</v>
      </c>
      <c r="F1076">
        <f>E1076*'user input'!$C$21</f>
        <v>0</v>
      </c>
    </row>
    <row r="1077" spans="1:6" x14ac:dyDescent="0.2">
      <c r="A1077" s="1">
        <v>41253</v>
      </c>
      <c r="B1077">
        <v>345</v>
      </c>
      <c r="C1077">
        <f>'weather data'!E1077</f>
        <v>5.0311111111111106</v>
      </c>
      <c r="D1077">
        <f>LAI!F1077</f>
        <v>0</v>
      </c>
      <c r="E1077">
        <f>0.5*C1077*(1-EXP(-'user input'!$C$19*D1077))</f>
        <v>0</v>
      </c>
      <c r="F1077">
        <f>E1077*'user input'!$C$21</f>
        <v>0</v>
      </c>
    </row>
    <row r="1078" spans="1:6" x14ac:dyDescent="0.2">
      <c r="A1078" s="1">
        <v>41254</v>
      </c>
      <c r="B1078">
        <v>346</v>
      </c>
      <c r="C1078">
        <f>'weather data'!E1078</f>
        <v>4.826666666666668</v>
      </c>
      <c r="D1078">
        <f>LAI!F1078</f>
        <v>0</v>
      </c>
      <c r="E1078">
        <f>0.5*C1078*(1-EXP(-'user input'!$C$19*D1078))</f>
        <v>0</v>
      </c>
      <c r="F1078">
        <f>E1078*'user input'!$C$21</f>
        <v>0</v>
      </c>
    </row>
    <row r="1079" spans="1:6" x14ac:dyDescent="0.2">
      <c r="A1079" s="1">
        <v>41255</v>
      </c>
      <c r="B1079">
        <v>347</v>
      </c>
      <c r="C1079">
        <f>'weather data'!E1079</f>
        <v>5.126666666666666</v>
      </c>
      <c r="D1079">
        <f>LAI!F1079</f>
        <v>0</v>
      </c>
      <c r="E1079">
        <f>0.5*C1079*(1-EXP(-'user input'!$C$19*D1079))</f>
        <v>0</v>
      </c>
      <c r="F1079">
        <f>E1079*'user input'!$C$21</f>
        <v>0</v>
      </c>
    </row>
    <row r="1080" spans="1:6" x14ac:dyDescent="0.2">
      <c r="A1080" s="1">
        <v>41256</v>
      </c>
      <c r="B1080">
        <v>348</v>
      </c>
      <c r="C1080">
        <f>'weather data'!E1080</f>
        <v>4.9755555555555553</v>
      </c>
      <c r="D1080">
        <f>LAI!F1080</f>
        <v>0</v>
      </c>
      <c r="E1080">
        <f>0.5*C1080*(1-EXP(-'user input'!$C$19*D1080))</f>
        <v>0</v>
      </c>
      <c r="F1080">
        <f>E1080*'user input'!$C$21</f>
        <v>0</v>
      </c>
    </row>
    <row r="1081" spans="1:6" x14ac:dyDescent="0.2">
      <c r="A1081" s="1">
        <v>41257</v>
      </c>
      <c r="B1081">
        <v>349</v>
      </c>
      <c r="C1081">
        <f>'weather data'!E1081</f>
        <v>4.8177777777777795</v>
      </c>
      <c r="D1081">
        <f>LAI!F1081</f>
        <v>0</v>
      </c>
      <c r="E1081">
        <f>0.5*C1081*(1-EXP(-'user input'!$C$19*D1081))</f>
        <v>0</v>
      </c>
      <c r="F1081">
        <f>E1081*'user input'!$C$21</f>
        <v>0</v>
      </c>
    </row>
    <row r="1082" spans="1:6" x14ac:dyDescent="0.2">
      <c r="A1082" s="1">
        <v>41258</v>
      </c>
      <c r="B1082">
        <v>350</v>
      </c>
      <c r="C1082">
        <f>'weather data'!E1082</f>
        <v>5.1622222222222209</v>
      </c>
      <c r="D1082">
        <f>LAI!F1082</f>
        <v>0</v>
      </c>
      <c r="E1082">
        <f>0.5*C1082*(1-EXP(-'user input'!$C$19*D1082))</f>
        <v>0</v>
      </c>
      <c r="F1082">
        <f>E1082*'user input'!$C$21</f>
        <v>0</v>
      </c>
    </row>
    <row r="1083" spans="1:6" x14ac:dyDescent="0.2">
      <c r="A1083" s="1">
        <v>41259</v>
      </c>
      <c r="B1083">
        <v>351</v>
      </c>
      <c r="C1083">
        <f>'weather data'!E1083</f>
        <v>5.1977777777777758</v>
      </c>
      <c r="D1083">
        <f>LAI!F1083</f>
        <v>0</v>
      </c>
      <c r="E1083">
        <f>0.5*C1083*(1-EXP(-'user input'!$C$19*D1083))</f>
        <v>0</v>
      </c>
      <c r="F1083">
        <f>E1083*'user input'!$C$21</f>
        <v>0</v>
      </c>
    </row>
    <row r="1084" spans="1:6" x14ac:dyDescent="0.2">
      <c r="A1084" s="1">
        <v>41260</v>
      </c>
      <c r="B1084">
        <v>352</v>
      </c>
      <c r="C1084">
        <f>'weather data'!E1084</f>
        <v>5.0222222222222221</v>
      </c>
      <c r="D1084">
        <f>LAI!F1084</f>
        <v>0</v>
      </c>
      <c r="E1084">
        <f>0.5*C1084*(1-EXP(-'user input'!$C$19*D1084))</f>
        <v>0</v>
      </c>
      <c r="F1084">
        <f>E1084*'user input'!$C$21</f>
        <v>0</v>
      </c>
    </row>
    <row r="1085" spans="1:6" x14ac:dyDescent="0.2">
      <c r="A1085" s="1">
        <v>41261</v>
      </c>
      <c r="B1085">
        <v>353</v>
      </c>
      <c r="C1085">
        <f>'weather data'!E1085</f>
        <v>4.9799999999999986</v>
      </c>
      <c r="D1085">
        <f>LAI!F1085</f>
        <v>0</v>
      </c>
      <c r="E1085">
        <f>0.5*C1085*(1-EXP(-'user input'!$C$19*D1085))</f>
        <v>0</v>
      </c>
      <c r="F1085">
        <f>E1085*'user input'!$C$21</f>
        <v>0</v>
      </c>
    </row>
    <row r="1086" spans="1:6" x14ac:dyDescent="0.2">
      <c r="A1086" s="1">
        <v>41262</v>
      </c>
      <c r="B1086">
        <v>354</v>
      </c>
      <c r="C1086">
        <f>'weather data'!E1086</f>
        <v>5.408888888888888</v>
      </c>
      <c r="D1086">
        <f>LAI!F1086</f>
        <v>0</v>
      </c>
      <c r="E1086">
        <f>0.5*C1086*(1-EXP(-'user input'!$C$19*D1086))</f>
        <v>0</v>
      </c>
      <c r="F1086">
        <f>E1086*'user input'!$C$21</f>
        <v>0</v>
      </c>
    </row>
    <row r="1087" spans="1:6" x14ac:dyDescent="0.2">
      <c r="A1087" s="1">
        <v>41263</v>
      </c>
      <c r="B1087">
        <v>355</v>
      </c>
      <c r="C1087">
        <f>'weather data'!E1087</f>
        <v>5.52</v>
      </c>
      <c r="D1087">
        <f>LAI!F1087</f>
        <v>0</v>
      </c>
      <c r="E1087">
        <f>0.5*C1087*(1-EXP(-'user input'!$C$19*D1087))</f>
        <v>0</v>
      </c>
      <c r="F1087">
        <f>E1087*'user input'!$C$21</f>
        <v>0</v>
      </c>
    </row>
    <row r="1088" spans="1:6" x14ac:dyDescent="0.2">
      <c r="A1088" s="1">
        <v>41264</v>
      </c>
      <c r="B1088">
        <v>356</v>
      </c>
      <c r="C1088">
        <f>'weather data'!E1088</f>
        <v>4.9644444444444442</v>
      </c>
      <c r="D1088">
        <f>LAI!F1088</f>
        <v>0</v>
      </c>
      <c r="E1088">
        <f>0.5*C1088*(1-EXP(-'user input'!$C$19*D1088))</f>
        <v>0</v>
      </c>
      <c r="F1088">
        <f>E1088*'user input'!$C$21</f>
        <v>0</v>
      </c>
    </row>
    <row r="1089" spans="1:6" x14ac:dyDescent="0.2">
      <c r="A1089" s="1">
        <v>41265</v>
      </c>
      <c r="B1089">
        <v>357</v>
      </c>
      <c r="C1089">
        <f>'weather data'!E1089</f>
        <v>4.83777777777778</v>
      </c>
      <c r="D1089">
        <f>LAI!F1089</f>
        <v>0</v>
      </c>
      <c r="E1089">
        <f>0.5*C1089*(1-EXP(-'user input'!$C$19*D1089))</f>
        <v>0</v>
      </c>
      <c r="F1089">
        <f>E1089*'user input'!$C$21</f>
        <v>0</v>
      </c>
    </row>
    <row r="1090" spans="1:6" x14ac:dyDescent="0.2">
      <c r="A1090" s="1">
        <v>41266</v>
      </c>
      <c r="B1090">
        <v>358</v>
      </c>
      <c r="C1090">
        <f>'weather data'!E1090</f>
        <v>5.028888888888889</v>
      </c>
      <c r="D1090">
        <f>LAI!F1090</f>
        <v>0</v>
      </c>
      <c r="E1090">
        <f>0.5*C1090*(1-EXP(-'user input'!$C$19*D1090))</f>
        <v>0</v>
      </c>
      <c r="F1090">
        <f>E1090*'user input'!$C$21</f>
        <v>0</v>
      </c>
    </row>
    <row r="1091" spans="1:6" x14ac:dyDescent="0.2">
      <c r="A1091" s="1">
        <v>41267</v>
      </c>
      <c r="B1091">
        <v>359</v>
      </c>
      <c r="C1091">
        <f>'weather data'!E1091</f>
        <v>5.6022222222222213</v>
      </c>
      <c r="D1091">
        <f>LAI!F1091</f>
        <v>0</v>
      </c>
      <c r="E1091">
        <f>0.5*C1091*(1-EXP(-'user input'!$C$19*D1091))</f>
        <v>0</v>
      </c>
      <c r="F1091">
        <f>E1091*'user input'!$C$21</f>
        <v>0</v>
      </c>
    </row>
    <row r="1092" spans="1:6" x14ac:dyDescent="0.2">
      <c r="A1092" s="1">
        <v>41268</v>
      </c>
      <c r="B1092">
        <v>360</v>
      </c>
      <c r="C1092">
        <f>'weather data'!E1092</f>
        <v>5.1066666666666656</v>
      </c>
      <c r="D1092">
        <f>LAI!F1092</f>
        <v>0</v>
      </c>
      <c r="E1092">
        <f>0.5*C1092*(1-EXP(-'user input'!$C$19*D1092))</f>
        <v>0</v>
      </c>
      <c r="F1092">
        <f>E1092*'user input'!$C$21</f>
        <v>0</v>
      </c>
    </row>
    <row r="1093" spans="1:6" x14ac:dyDescent="0.2">
      <c r="A1093" s="1">
        <v>41269</v>
      </c>
      <c r="B1093">
        <v>361</v>
      </c>
      <c r="C1093">
        <f>'weather data'!E1093</f>
        <v>5.1711111111111112</v>
      </c>
      <c r="D1093">
        <f>LAI!F1093</f>
        <v>0</v>
      </c>
      <c r="E1093">
        <f>0.5*C1093*(1-EXP(-'user input'!$C$19*D1093))</f>
        <v>0</v>
      </c>
      <c r="F1093">
        <f>E1093*'user input'!$C$21</f>
        <v>0</v>
      </c>
    </row>
    <row r="1094" spans="1:6" x14ac:dyDescent="0.2">
      <c r="A1094" s="1">
        <v>41270</v>
      </c>
      <c r="B1094">
        <v>362</v>
      </c>
      <c r="C1094">
        <f>'weather data'!E1094</f>
        <v>4.5044444444444451</v>
      </c>
      <c r="D1094">
        <f>LAI!F1094</f>
        <v>0</v>
      </c>
      <c r="E1094">
        <f>0.5*C1094*(1-EXP(-'user input'!$C$19*D1094))</f>
        <v>0</v>
      </c>
      <c r="F1094">
        <f>E1094*'user input'!$C$21</f>
        <v>0</v>
      </c>
    </row>
    <row r="1095" spans="1:6" x14ac:dyDescent="0.2">
      <c r="A1095" s="1">
        <v>41271</v>
      </c>
      <c r="B1095">
        <v>363</v>
      </c>
      <c r="C1095">
        <f>'weather data'!E1095</f>
        <v>5.0888888888888868</v>
      </c>
      <c r="D1095">
        <f>LAI!F1095</f>
        <v>0</v>
      </c>
      <c r="E1095">
        <f>0.5*C1095*(1-EXP(-'user input'!$C$19*D1095))</f>
        <v>0</v>
      </c>
      <c r="F1095">
        <f>E1095*'user input'!$C$21</f>
        <v>0</v>
      </c>
    </row>
    <row r="1096" spans="1:6" x14ac:dyDescent="0.2">
      <c r="A1096" s="1">
        <v>41272</v>
      </c>
      <c r="B1096">
        <v>364</v>
      </c>
      <c r="C1096">
        <f>'weather data'!E1096</f>
        <v>4.8688888888888897</v>
      </c>
      <c r="D1096">
        <f>LAI!F1096</f>
        <v>0</v>
      </c>
      <c r="E1096">
        <f>0.5*C1096*(1-EXP(-'user input'!$C$19*D1096))</f>
        <v>0</v>
      </c>
      <c r="F1096">
        <f>E1096*'user input'!$C$21</f>
        <v>0</v>
      </c>
    </row>
    <row r="1097" spans="1:6" x14ac:dyDescent="0.2">
      <c r="A1097" s="1">
        <v>41273</v>
      </c>
      <c r="B1097">
        <v>365</v>
      </c>
      <c r="C1097">
        <f>'weather data'!E1097</f>
        <v>5.3977777777777805</v>
      </c>
      <c r="D1097">
        <f>LAI!F1097</f>
        <v>0</v>
      </c>
      <c r="E1097">
        <f>0.5*C1097*(1-EXP(-'user input'!$C$19*D1097))</f>
        <v>0</v>
      </c>
      <c r="F1097">
        <f>E1097*'user input'!$C$21</f>
        <v>0</v>
      </c>
    </row>
    <row r="1098" spans="1:6" x14ac:dyDescent="0.2">
      <c r="A1098" s="1">
        <v>41274</v>
      </c>
      <c r="B1098">
        <v>1</v>
      </c>
      <c r="C1098">
        <f>'weather data'!E1098</f>
        <v>4.9911111111111106</v>
      </c>
      <c r="D1098">
        <f>LAI!F1098</f>
        <v>0</v>
      </c>
      <c r="E1098">
        <f>0.5*C1098*(1-EXP(-'user input'!$C$19*D1098))</f>
        <v>0</v>
      </c>
      <c r="F1098">
        <f>E1098*'user input'!$C$21</f>
        <v>0</v>
      </c>
    </row>
    <row r="1099" spans="1:6" x14ac:dyDescent="0.2">
      <c r="A1099" s="1">
        <v>41275</v>
      </c>
      <c r="B1099">
        <v>2</v>
      </c>
      <c r="C1099">
        <f>'weather data'!E1099</f>
        <v>5.0022222222222226</v>
      </c>
      <c r="D1099">
        <f>LAI!F1099</f>
        <v>0</v>
      </c>
      <c r="E1099">
        <f>0.5*C1099*(1-EXP(-'user input'!$C$19*D1099))</f>
        <v>0</v>
      </c>
      <c r="F1099">
        <f>E1099*'user input'!$C$21</f>
        <v>0</v>
      </c>
    </row>
    <row r="1100" spans="1:6" x14ac:dyDescent="0.2">
      <c r="A1100" s="1">
        <v>41276</v>
      </c>
      <c r="B1100">
        <v>3</v>
      </c>
      <c r="C1100">
        <f>'weather data'!E1100</f>
        <v>5.4333333333333336</v>
      </c>
      <c r="D1100">
        <f>LAI!F1100</f>
        <v>0</v>
      </c>
      <c r="E1100">
        <f>0.5*C1100*(1-EXP(-'user input'!$C$19*D1100))</f>
        <v>0</v>
      </c>
      <c r="F1100">
        <f>E1100*'user input'!$C$21</f>
        <v>0</v>
      </c>
    </row>
    <row r="1101" spans="1:6" x14ac:dyDescent="0.2">
      <c r="A1101" s="1">
        <v>41277</v>
      </c>
      <c r="B1101">
        <v>4</v>
      </c>
      <c r="C1101">
        <f>'weather data'!E1101</f>
        <v>5.8600000000000012</v>
      </c>
      <c r="D1101">
        <f>LAI!F1101</f>
        <v>0</v>
      </c>
      <c r="E1101">
        <f>0.5*C1101*(1-EXP(-'user input'!$C$19*D1101))</f>
        <v>0</v>
      </c>
      <c r="F1101">
        <f>E1101*'user input'!$C$21</f>
        <v>0</v>
      </c>
    </row>
    <row r="1102" spans="1:6" x14ac:dyDescent="0.2">
      <c r="A1102" s="1">
        <v>41278</v>
      </c>
      <c r="B1102">
        <v>5</v>
      </c>
      <c r="C1102">
        <f>'weather data'!E1102</f>
        <v>5.8844444444444459</v>
      </c>
      <c r="D1102">
        <f>LAI!F1102</f>
        <v>0</v>
      </c>
      <c r="E1102">
        <f>0.5*C1102*(1-EXP(-'user input'!$C$19*D1102))</f>
        <v>0</v>
      </c>
      <c r="F1102">
        <f>E1102*'user input'!$C$21</f>
        <v>0</v>
      </c>
    </row>
    <row r="1103" spans="1:6" x14ac:dyDescent="0.2">
      <c r="A1103" s="1">
        <v>41279</v>
      </c>
      <c r="B1103">
        <v>6</v>
      </c>
      <c r="C1103">
        <f>'weather data'!E1103</f>
        <v>5.9622222222222225</v>
      </c>
      <c r="D1103">
        <f>LAI!F1103</f>
        <v>0</v>
      </c>
      <c r="E1103">
        <f>0.5*C1103*(1-EXP(-'user input'!$C$19*D1103))</f>
        <v>0</v>
      </c>
      <c r="F1103">
        <f>E1103*'user input'!$C$21</f>
        <v>0</v>
      </c>
    </row>
    <row r="1104" spans="1:6" x14ac:dyDescent="0.2">
      <c r="A1104" s="1">
        <v>41280</v>
      </c>
      <c r="B1104">
        <v>7</v>
      </c>
      <c r="C1104">
        <f>'weather data'!E1104</f>
        <v>6.1066666666666682</v>
      </c>
      <c r="D1104">
        <f>LAI!F1104</f>
        <v>0</v>
      </c>
      <c r="E1104">
        <f>0.5*C1104*(1-EXP(-'user input'!$C$19*D1104))</f>
        <v>0</v>
      </c>
      <c r="F1104">
        <f>E1104*'user input'!$C$21</f>
        <v>0</v>
      </c>
    </row>
    <row r="1105" spans="1:6" x14ac:dyDescent="0.2">
      <c r="A1105" s="1">
        <v>41281</v>
      </c>
      <c r="B1105">
        <v>8</v>
      </c>
      <c r="C1105">
        <f>'weather data'!E1105</f>
        <v>6.2755555555555587</v>
      </c>
      <c r="D1105">
        <f>LAI!F1105</f>
        <v>0</v>
      </c>
      <c r="E1105">
        <f>0.5*C1105*(1-EXP(-'user input'!$C$19*D1105))</f>
        <v>0</v>
      </c>
      <c r="F1105">
        <f>E1105*'user input'!$C$21</f>
        <v>0</v>
      </c>
    </row>
    <row r="1106" spans="1:6" x14ac:dyDescent="0.2">
      <c r="A1106" s="1">
        <v>41282</v>
      </c>
      <c r="B1106">
        <v>9</v>
      </c>
      <c r="C1106">
        <f>'weather data'!E1106</f>
        <v>6.2377777777777776</v>
      </c>
      <c r="D1106">
        <f>LAI!F1106</f>
        <v>0</v>
      </c>
      <c r="E1106">
        <f>0.5*C1106*(1-EXP(-'user input'!$C$19*D1106))</f>
        <v>0</v>
      </c>
      <c r="F1106">
        <f>E1106*'user input'!$C$21</f>
        <v>0</v>
      </c>
    </row>
    <row r="1107" spans="1:6" x14ac:dyDescent="0.2">
      <c r="A1107" s="1">
        <v>41283</v>
      </c>
      <c r="B1107">
        <v>10</v>
      </c>
      <c r="C1107">
        <f>'weather data'!E1107</f>
        <v>6.6755555555555537</v>
      </c>
      <c r="D1107">
        <f>LAI!F1107</f>
        <v>0</v>
      </c>
      <c r="E1107">
        <f>0.5*C1107*(1-EXP(-'user input'!$C$19*D1107))</f>
        <v>0</v>
      </c>
      <c r="F1107">
        <f>E1107*'user input'!$C$21</f>
        <v>0</v>
      </c>
    </row>
    <row r="1108" spans="1:6" x14ac:dyDescent="0.2">
      <c r="A1108" s="1">
        <v>41284</v>
      </c>
      <c r="B1108">
        <v>11</v>
      </c>
      <c r="C1108">
        <f>'weather data'!E1108</f>
        <v>5.9155555555555575</v>
      </c>
      <c r="D1108">
        <f>LAI!F1108</f>
        <v>0</v>
      </c>
      <c r="E1108">
        <f>0.5*C1108*(1-EXP(-'user input'!$C$19*D1108))</f>
        <v>0</v>
      </c>
      <c r="F1108">
        <f>E1108*'user input'!$C$21</f>
        <v>0</v>
      </c>
    </row>
    <row r="1109" spans="1:6" x14ac:dyDescent="0.2">
      <c r="A1109" s="1">
        <v>41285</v>
      </c>
      <c r="B1109">
        <v>12</v>
      </c>
      <c r="C1109">
        <f>'weather data'!E1109</f>
        <v>5.7666666666666666</v>
      </c>
      <c r="D1109">
        <f>LAI!F1109</f>
        <v>0</v>
      </c>
      <c r="E1109">
        <f>0.5*C1109*(1-EXP(-'user input'!$C$19*D1109))</f>
        <v>0</v>
      </c>
      <c r="F1109">
        <f>E1109*'user input'!$C$21</f>
        <v>0</v>
      </c>
    </row>
    <row r="1110" spans="1:6" x14ac:dyDescent="0.2">
      <c r="A1110" s="1">
        <v>41286</v>
      </c>
      <c r="B1110">
        <v>13</v>
      </c>
      <c r="C1110">
        <f>'weather data'!E1110</f>
        <v>6.44</v>
      </c>
      <c r="D1110">
        <f>LAI!F1110</f>
        <v>0</v>
      </c>
      <c r="E1110">
        <f>0.5*C1110*(1-EXP(-'user input'!$C$19*D1110))</f>
        <v>0</v>
      </c>
      <c r="F1110">
        <f>E1110*'user input'!$C$21</f>
        <v>0</v>
      </c>
    </row>
    <row r="1111" spans="1:6" x14ac:dyDescent="0.2">
      <c r="A1111" s="1">
        <v>41287</v>
      </c>
      <c r="B1111">
        <v>14</v>
      </c>
      <c r="C1111">
        <f>'weather data'!E1111</f>
        <v>6.0333333333333332</v>
      </c>
      <c r="D1111">
        <f>LAI!F1111</f>
        <v>0</v>
      </c>
      <c r="E1111">
        <f>0.5*C1111*(1-EXP(-'user input'!$C$19*D1111))</f>
        <v>0</v>
      </c>
      <c r="F1111">
        <f>E1111*'user input'!$C$21</f>
        <v>0</v>
      </c>
    </row>
    <row r="1112" spans="1:6" x14ac:dyDescent="0.2">
      <c r="A1112" s="1">
        <v>41288</v>
      </c>
      <c r="B1112">
        <v>15</v>
      </c>
      <c r="C1112">
        <f>'weather data'!E1112</f>
        <v>6.6888888888888864</v>
      </c>
      <c r="D1112">
        <f>LAI!F1112</f>
        <v>0</v>
      </c>
      <c r="E1112">
        <f>0.5*C1112*(1-EXP(-'user input'!$C$19*D1112))</f>
        <v>0</v>
      </c>
      <c r="F1112">
        <f>E1112*'user input'!$C$21</f>
        <v>0</v>
      </c>
    </row>
    <row r="1113" spans="1:6" x14ac:dyDescent="0.2">
      <c r="A1113" s="1">
        <v>41289</v>
      </c>
      <c r="B1113">
        <v>16</v>
      </c>
      <c r="C1113">
        <f>'weather data'!E1113</f>
        <v>6.5733333333333333</v>
      </c>
      <c r="D1113">
        <f>LAI!F1113</f>
        <v>0</v>
      </c>
      <c r="E1113">
        <f>0.5*C1113*(1-EXP(-'user input'!$C$19*D1113))</f>
        <v>0</v>
      </c>
      <c r="F1113">
        <f>E1113*'user input'!$C$21</f>
        <v>0</v>
      </c>
    </row>
    <row r="1114" spans="1:6" x14ac:dyDescent="0.2">
      <c r="A1114" s="1">
        <v>41290</v>
      </c>
      <c r="B1114">
        <v>17</v>
      </c>
      <c r="C1114">
        <f>'weather data'!E1114</f>
        <v>6.46</v>
      </c>
      <c r="D1114">
        <f>LAI!F1114</f>
        <v>0</v>
      </c>
      <c r="E1114">
        <f>0.5*C1114*(1-EXP(-'user input'!$C$19*D1114))</f>
        <v>0</v>
      </c>
      <c r="F1114">
        <f>E1114*'user input'!$C$21</f>
        <v>0</v>
      </c>
    </row>
    <row r="1115" spans="1:6" x14ac:dyDescent="0.2">
      <c r="A1115" s="1">
        <v>41291</v>
      </c>
      <c r="B1115">
        <v>18</v>
      </c>
      <c r="C1115">
        <f>'weather data'!E1115</f>
        <v>6.8355555555555547</v>
      </c>
      <c r="D1115">
        <f>LAI!F1115</f>
        <v>0</v>
      </c>
      <c r="E1115">
        <f>0.5*C1115*(1-EXP(-'user input'!$C$19*D1115))</f>
        <v>0</v>
      </c>
      <c r="F1115">
        <f>E1115*'user input'!$C$21</f>
        <v>0</v>
      </c>
    </row>
    <row r="1116" spans="1:6" x14ac:dyDescent="0.2">
      <c r="A1116" s="1">
        <v>41292</v>
      </c>
      <c r="B1116">
        <v>19</v>
      </c>
      <c r="C1116">
        <f>'weather data'!E1116</f>
        <v>6.5555555555555554</v>
      </c>
      <c r="D1116">
        <f>LAI!F1116</f>
        <v>0</v>
      </c>
      <c r="E1116">
        <f>0.5*C1116*(1-EXP(-'user input'!$C$19*D1116))</f>
        <v>0</v>
      </c>
      <c r="F1116">
        <f>E1116*'user input'!$C$21</f>
        <v>0</v>
      </c>
    </row>
    <row r="1117" spans="1:6" x14ac:dyDescent="0.2">
      <c r="A1117" s="1">
        <v>41293</v>
      </c>
      <c r="B1117">
        <v>20</v>
      </c>
      <c r="C1117">
        <f>'weather data'!E1117</f>
        <v>6.5533333333333337</v>
      </c>
      <c r="D1117">
        <f>LAI!F1117</f>
        <v>0</v>
      </c>
      <c r="E1117">
        <f>0.5*C1117*(1-EXP(-'user input'!$C$19*D1117))</f>
        <v>0</v>
      </c>
      <c r="F1117">
        <f>E1117*'user input'!$C$21</f>
        <v>0</v>
      </c>
    </row>
    <row r="1118" spans="1:6" x14ac:dyDescent="0.2">
      <c r="A1118" s="1">
        <v>41294</v>
      </c>
      <c r="B1118">
        <v>21</v>
      </c>
      <c r="C1118">
        <f>'weather data'!E1118</f>
        <v>6.5222222222222221</v>
      </c>
      <c r="D1118">
        <f>LAI!F1118</f>
        <v>0</v>
      </c>
      <c r="E1118">
        <f>0.5*C1118*(1-EXP(-'user input'!$C$19*D1118))</f>
        <v>0</v>
      </c>
      <c r="F1118">
        <f>E1118*'user input'!$C$21</f>
        <v>0</v>
      </c>
    </row>
    <row r="1119" spans="1:6" x14ac:dyDescent="0.2">
      <c r="A1119" s="1">
        <v>41295</v>
      </c>
      <c r="B1119">
        <v>22</v>
      </c>
      <c r="C1119">
        <f>'weather data'!E1119</f>
        <v>6.1199999999999992</v>
      </c>
      <c r="D1119">
        <f>LAI!F1119</f>
        <v>0</v>
      </c>
      <c r="E1119">
        <f>0.5*C1119*(1-EXP(-'user input'!$C$19*D1119))</f>
        <v>0</v>
      </c>
      <c r="F1119">
        <f>E1119*'user input'!$C$21</f>
        <v>0</v>
      </c>
    </row>
    <row r="1120" spans="1:6" x14ac:dyDescent="0.2">
      <c r="A1120" s="1">
        <v>41296</v>
      </c>
      <c r="B1120">
        <v>23</v>
      </c>
      <c r="C1120">
        <f>'weather data'!E1120</f>
        <v>7.2466666666666661</v>
      </c>
      <c r="D1120">
        <f>LAI!F1120</f>
        <v>0</v>
      </c>
      <c r="E1120">
        <f>0.5*C1120*(1-EXP(-'user input'!$C$19*D1120))</f>
        <v>0</v>
      </c>
      <c r="F1120">
        <f>E1120*'user input'!$C$21</f>
        <v>0</v>
      </c>
    </row>
    <row r="1121" spans="1:6" x14ac:dyDescent="0.2">
      <c r="A1121" s="1">
        <v>41297</v>
      </c>
      <c r="B1121">
        <v>24</v>
      </c>
      <c r="C1121">
        <f>'weather data'!E1121</f>
        <v>6.8688888888888879</v>
      </c>
      <c r="D1121">
        <f>LAI!F1121</f>
        <v>0</v>
      </c>
      <c r="E1121">
        <f>0.5*C1121*(1-EXP(-'user input'!$C$19*D1121))</f>
        <v>0</v>
      </c>
      <c r="F1121">
        <f>E1121*'user input'!$C$21</f>
        <v>0</v>
      </c>
    </row>
    <row r="1122" spans="1:6" x14ac:dyDescent="0.2">
      <c r="A1122" s="1">
        <v>41298</v>
      </c>
      <c r="B1122">
        <v>25</v>
      </c>
      <c r="C1122">
        <f>'weather data'!E1122</f>
        <v>7.0244444444444447</v>
      </c>
      <c r="D1122">
        <f>LAI!F1122</f>
        <v>0</v>
      </c>
      <c r="E1122">
        <f>0.5*C1122*(1-EXP(-'user input'!$C$19*D1122))</f>
        <v>0</v>
      </c>
      <c r="F1122">
        <f>E1122*'user input'!$C$21</f>
        <v>0</v>
      </c>
    </row>
    <row r="1123" spans="1:6" x14ac:dyDescent="0.2">
      <c r="A1123" s="1">
        <v>41299</v>
      </c>
      <c r="B1123">
        <v>26</v>
      </c>
      <c r="C1123">
        <f>'weather data'!E1123</f>
        <v>7.3288888888888888</v>
      </c>
      <c r="D1123">
        <f>LAI!F1123</f>
        <v>0</v>
      </c>
      <c r="E1123">
        <f>0.5*C1123*(1-EXP(-'user input'!$C$19*D1123))</f>
        <v>0</v>
      </c>
      <c r="F1123">
        <f>E1123*'user input'!$C$21</f>
        <v>0</v>
      </c>
    </row>
    <row r="1124" spans="1:6" x14ac:dyDescent="0.2">
      <c r="A1124" s="1">
        <v>41300</v>
      </c>
      <c r="B1124">
        <v>27</v>
      </c>
      <c r="C1124">
        <f>'weather data'!E1124</f>
        <v>7.4177777777777756</v>
      </c>
      <c r="D1124">
        <f>LAI!F1124</f>
        <v>0</v>
      </c>
      <c r="E1124">
        <f>0.5*C1124*(1-EXP(-'user input'!$C$19*D1124))</f>
        <v>0</v>
      </c>
      <c r="F1124">
        <f>E1124*'user input'!$C$21</f>
        <v>0</v>
      </c>
    </row>
    <row r="1125" spans="1:6" x14ac:dyDescent="0.2">
      <c r="A1125" s="1">
        <v>41301</v>
      </c>
      <c r="B1125">
        <v>28</v>
      </c>
      <c r="C1125">
        <f>'weather data'!E1125</f>
        <v>7.677777777777778</v>
      </c>
      <c r="D1125">
        <f>LAI!F1125</f>
        <v>0</v>
      </c>
      <c r="E1125">
        <f>0.5*C1125*(1-EXP(-'user input'!$C$19*D1125))</f>
        <v>0</v>
      </c>
      <c r="F1125">
        <f>E1125*'user input'!$C$21</f>
        <v>0</v>
      </c>
    </row>
    <row r="1126" spans="1:6" x14ac:dyDescent="0.2">
      <c r="A1126" s="1">
        <v>41302</v>
      </c>
      <c r="B1126">
        <v>29</v>
      </c>
      <c r="C1126">
        <f>'weather data'!E1126</f>
        <v>7.3044444444444458</v>
      </c>
      <c r="D1126">
        <f>LAI!F1126</f>
        <v>0</v>
      </c>
      <c r="E1126">
        <f>0.5*C1126*(1-EXP(-'user input'!$C$19*D1126))</f>
        <v>0</v>
      </c>
      <c r="F1126">
        <f>E1126*'user input'!$C$21</f>
        <v>0</v>
      </c>
    </row>
    <row r="1127" spans="1:6" x14ac:dyDescent="0.2">
      <c r="A1127" s="1">
        <v>41303</v>
      </c>
      <c r="B1127">
        <v>30</v>
      </c>
      <c r="C1127">
        <f>'weather data'!E1127</f>
        <v>8</v>
      </c>
      <c r="D1127">
        <f>LAI!F1127</f>
        <v>0</v>
      </c>
      <c r="E1127">
        <f>0.5*C1127*(1-EXP(-'user input'!$C$19*D1127))</f>
        <v>0</v>
      </c>
      <c r="F1127">
        <f>E1127*'user input'!$C$21</f>
        <v>0</v>
      </c>
    </row>
    <row r="1128" spans="1:6" x14ac:dyDescent="0.2">
      <c r="A1128" s="1">
        <v>41304</v>
      </c>
      <c r="B1128">
        <v>31</v>
      </c>
      <c r="C1128">
        <f>'weather data'!E1128</f>
        <v>7.6400000000000041</v>
      </c>
      <c r="D1128">
        <f>LAI!F1128</f>
        <v>0</v>
      </c>
      <c r="E1128">
        <f>0.5*C1128*(1-EXP(-'user input'!$C$19*D1128))</f>
        <v>0</v>
      </c>
      <c r="F1128">
        <f>E1128*'user input'!$C$21</f>
        <v>0</v>
      </c>
    </row>
    <row r="1129" spans="1:6" x14ac:dyDescent="0.2">
      <c r="A1129" s="1">
        <v>41305</v>
      </c>
      <c r="B1129">
        <v>32</v>
      </c>
      <c r="C1129">
        <f>'weather data'!E1129</f>
        <v>7.5244444444444474</v>
      </c>
      <c r="D1129">
        <f>LAI!F1129</f>
        <v>0</v>
      </c>
      <c r="E1129">
        <f>0.5*C1129*(1-EXP(-'user input'!$C$19*D1129))</f>
        <v>0</v>
      </c>
      <c r="F1129">
        <f>E1129*'user input'!$C$21</f>
        <v>0</v>
      </c>
    </row>
    <row r="1130" spans="1:6" x14ac:dyDescent="0.2">
      <c r="A1130" s="1">
        <v>41306</v>
      </c>
      <c r="B1130">
        <v>33</v>
      </c>
      <c r="C1130">
        <f>'weather data'!E1130</f>
        <v>7.8222222222222237</v>
      </c>
      <c r="D1130">
        <f>LAI!F1130</f>
        <v>0</v>
      </c>
      <c r="E1130">
        <f>0.5*C1130*(1-EXP(-'user input'!$C$19*D1130))</f>
        <v>0</v>
      </c>
      <c r="F1130">
        <f>E1130*'user input'!$C$21</f>
        <v>0</v>
      </c>
    </row>
    <row r="1131" spans="1:6" x14ac:dyDescent="0.2">
      <c r="A1131" s="1">
        <v>41307</v>
      </c>
      <c r="B1131">
        <v>34</v>
      </c>
      <c r="C1131">
        <f>'weather data'!E1131</f>
        <v>7.9933333333333367</v>
      </c>
      <c r="D1131">
        <f>LAI!F1131</f>
        <v>0</v>
      </c>
      <c r="E1131">
        <f>0.5*C1131*(1-EXP(-'user input'!$C$19*D1131))</f>
        <v>0</v>
      </c>
      <c r="F1131">
        <f>E1131*'user input'!$C$21</f>
        <v>0</v>
      </c>
    </row>
    <row r="1132" spans="1:6" x14ac:dyDescent="0.2">
      <c r="A1132" s="1">
        <v>41308</v>
      </c>
      <c r="B1132">
        <v>35</v>
      </c>
      <c r="C1132">
        <f>'weather data'!E1132</f>
        <v>8.8044444444444458</v>
      </c>
      <c r="D1132">
        <f>LAI!F1132</f>
        <v>0</v>
      </c>
      <c r="E1132">
        <f>0.5*C1132*(1-EXP(-'user input'!$C$19*D1132))</f>
        <v>0</v>
      </c>
      <c r="F1132">
        <f>E1132*'user input'!$C$21</f>
        <v>0</v>
      </c>
    </row>
    <row r="1133" spans="1:6" x14ac:dyDescent="0.2">
      <c r="A1133" s="1">
        <v>41309</v>
      </c>
      <c r="B1133">
        <v>36</v>
      </c>
      <c r="C1133">
        <f>'weather data'!E1133</f>
        <v>8.4622222222222199</v>
      </c>
      <c r="D1133">
        <f>LAI!F1133</f>
        <v>0</v>
      </c>
      <c r="E1133">
        <f>0.5*C1133*(1-EXP(-'user input'!$C$19*D1133))</f>
        <v>0</v>
      </c>
      <c r="F1133">
        <f>E1133*'user input'!$C$21</f>
        <v>0</v>
      </c>
    </row>
    <row r="1134" spans="1:6" x14ac:dyDescent="0.2">
      <c r="A1134" s="1">
        <v>41310</v>
      </c>
      <c r="B1134">
        <v>37</v>
      </c>
      <c r="C1134">
        <f>'weather data'!E1134</f>
        <v>8.9911111111111115</v>
      </c>
      <c r="D1134">
        <f>LAI!F1134</f>
        <v>0</v>
      </c>
      <c r="E1134">
        <f>0.5*C1134*(1-EXP(-'user input'!$C$19*D1134))</f>
        <v>0</v>
      </c>
      <c r="F1134">
        <f>E1134*'user input'!$C$21</f>
        <v>0</v>
      </c>
    </row>
    <row r="1135" spans="1:6" x14ac:dyDescent="0.2">
      <c r="A1135" s="1">
        <v>41311</v>
      </c>
      <c r="B1135">
        <v>38</v>
      </c>
      <c r="C1135">
        <f>'weather data'!E1135</f>
        <v>9.43333333333333</v>
      </c>
      <c r="D1135">
        <f>LAI!F1135</f>
        <v>0</v>
      </c>
      <c r="E1135">
        <f>0.5*C1135*(1-EXP(-'user input'!$C$19*D1135))</f>
        <v>0</v>
      </c>
      <c r="F1135">
        <f>E1135*'user input'!$C$21</f>
        <v>0</v>
      </c>
    </row>
    <row r="1136" spans="1:6" x14ac:dyDescent="0.2">
      <c r="A1136" s="1">
        <v>41312</v>
      </c>
      <c r="B1136">
        <v>39</v>
      </c>
      <c r="C1136">
        <f>'weather data'!E1136</f>
        <v>9.0800000000000036</v>
      </c>
      <c r="D1136">
        <f>LAI!F1136</f>
        <v>0</v>
      </c>
      <c r="E1136">
        <f>0.5*C1136*(1-EXP(-'user input'!$C$19*D1136))</f>
        <v>0</v>
      </c>
      <c r="F1136">
        <f>E1136*'user input'!$C$21</f>
        <v>0</v>
      </c>
    </row>
    <row r="1137" spans="1:6" x14ac:dyDescent="0.2">
      <c r="A1137" s="1">
        <v>41313</v>
      </c>
      <c r="B1137">
        <v>40</v>
      </c>
      <c r="C1137">
        <f>'weather data'!E1137</f>
        <v>9.9822222222222212</v>
      </c>
      <c r="D1137">
        <f>LAI!F1137</f>
        <v>0</v>
      </c>
      <c r="E1137">
        <f>0.5*C1137*(1-EXP(-'user input'!$C$19*D1137))</f>
        <v>0</v>
      </c>
      <c r="F1137">
        <f>E1137*'user input'!$C$21</f>
        <v>0</v>
      </c>
    </row>
    <row r="1138" spans="1:6" x14ac:dyDescent="0.2">
      <c r="A1138" s="1">
        <v>41314</v>
      </c>
      <c r="B1138">
        <v>41</v>
      </c>
      <c r="C1138">
        <f>'weather data'!E1138</f>
        <v>8.9066666666666627</v>
      </c>
      <c r="D1138">
        <f>LAI!F1138</f>
        <v>0</v>
      </c>
      <c r="E1138">
        <f>0.5*C1138*(1-EXP(-'user input'!$C$19*D1138))</f>
        <v>0</v>
      </c>
      <c r="F1138">
        <f>E1138*'user input'!$C$21</f>
        <v>0</v>
      </c>
    </row>
    <row r="1139" spans="1:6" x14ac:dyDescent="0.2">
      <c r="A1139" s="1">
        <v>41315</v>
      </c>
      <c r="B1139">
        <v>42</v>
      </c>
      <c r="C1139">
        <f>'weather data'!E1139</f>
        <v>9.7333333333333325</v>
      </c>
      <c r="D1139">
        <f>LAI!F1139</f>
        <v>0</v>
      </c>
      <c r="E1139">
        <f>0.5*C1139*(1-EXP(-'user input'!$C$19*D1139))</f>
        <v>0</v>
      </c>
      <c r="F1139">
        <f>E1139*'user input'!$C$21</f>
        <v>0</v>
      </c>
    </row>
    <row r="1140" spans="1:6" x14ac:dyDescent="0.2">
      <c r="A1140" s="1">
        <v>41316</v>
      </c>
      <c r="B1140">
        <v>43</v>
      </c>
      <c r="C1140">
        <f>'weather data'!E1140</f>
        <v>10.073333333333336</v>
      </c>
      <c r="D1140">
        <f>LAI!F1140</f>
        <v>0</v>
      </c>
      <c r="E1140">
        <f>0.5*C1140*(1-EXP(-'user input'!$C$19*D1140))</f>
        <v>0</v>
      </c>
      <c r="F1140">
        <f>E1140*'user input'!$C$21</f>
        <v>0</v>
      </c>
    </row>
    <row r="1141" spans="1:6" x14ac:dyDescent="0.2">
      <c r="A1141" s="1">
        <v>41317</v>
      </c>
      <c r="B1141">
        <v>44</v>
      </c>
      <c r="C1141">
        <f>'weather data'!E1141</f>
        <v>8.4711111111111101</v>
      </c>
      <c r="D1141">
        <f>LAI!F1141</f>
        <v>0</v>
      </c>
      <c r="E1141">
        <f>0.5*C1141*(1-EXP(-'user input'!$C$19*D1141))</f>
        <v>0</v>
      </c>
      <c r="F1141">
        <f>E1141*'user input'!$C$21</f>
        <v>0</v>
      </c>
    </row>
    <row r="1142" spans="1:6" x14ac:dyDescent="0.2">
      <c r="A1142" s="1">
        <v>41318</v>
      </c>
      <c r="B1142">
        <v>45</v>
      </c>
      <c r="C1142">
        <f>'weather data'!E1142</f>
        <v>9.2622222222222241</v>
      </c>
      <c r="D1142">
        <f>LAI!F1142</f>
        <v>0</v>
      </c>
      <c r="E1142">
        <f>0.5*C1142*(1-EXP(-'user input'!$C$19*D1142))</f>
        <v>0</v>
      </c>
      <c r="F1142">
        <f>E1142*'user input'!$C$21</f>
        <v>0</v>
      </c>
    </row>
    <row r="1143" spans="1:6" x14ac:dyDescent="0.2">
      <c r="A1143" s="1">
        <v>41319</v>
      </c>
      <c r="B1143">
        <v>46</v>
      </c>
      <c r="C1143">
        <f>'weather data'!E1143</f>
        <v>9.7844444444444445</v>
      </c>
      <c r="D1143">
        <f>LAI!F1143</f>
        <v>0</v>
      </c>
      <c r="E1143">
        <f>0.5*C1143*(1-EXP(-'user input'!$C$19*D1143))</f>
        <v>0</v>
      </c>
      <c r="F1143">
        <f>E1143*'user input'!$C$21</f>
        <v>0</v>
      </c>
    </row>
    <row r="1144" spans="1:6" x14ac:dyDescent="0.2">
      <c r="A1144" s="1">
        <v>41320</v>
      </c>
      <c r="B1144">
        <v>47</v>
      </c>
      <c r="C1144">
        <f>'weather data'!E1144</f>
        <v>10.419999999999996</v>
      </c>
      <c r="D1144">
        <f>LAI!F1144</f>
        <v>0</v>
      </c>
      <c r="E1144">
        <f>0.5*C1144*(1-EXP(-'user input'!$C$19*D1144))</f>
        <v>0</v>
      </c>
      <c r="F1144">
        <f>E1144*'user input'!$C$21</f>
        <v>0</v>
      </c>
    </row>
    <row r="1145" spans="1:6" x14ac:dyDescent="0.2">
      <c r="A1145" s="1">
        <v>41321</v>
      </c>
      <c r="B1145">
        <v>48</v>
      </c>
      <c r="C1145">
        <f>'weather data'!E1145</f>
        <v>10.89111111111111</v>
      </c>
      <c r="D1145">
        <f>LAI!F1145</f>
        <v>0</v>
      </c>
      <c r="E1145">
        <f>0.5*C1145*(1-EXP(-'user input'!$C$19*D1145))</f>
        <v>0</v>
      </c>
      <c r="F1145">
        <f>E1145*'user input'!$C$21</f>
        <v>0</v>
      </c>
    </row>
    <row r="1146" spans="1:6" x14ac:dyDescent="0.2">
      <c r="A1146" s="1">
        <v>41322</v>
      </c>
      <c r="B1146">
        <v>49</v>
      </c>
      <c r="C1146">
        <f>'weather data'!E1146</f>
        <v>8.7977777777777799</v>
      </c>
      <c r="D1146">
        <f>LAI!F1146</f>
        <v>0</v>
      </c>
      <c r="E1146">
        <f>0.5*C1146*(1-EXP(-'user input'!$C$19*D1146))</f>
        <v>0</v>
      </c>
      <c r="F1146">
        <f>E1146*'user input'!$C$21</f>
        <v>0</v>
      </c>
    </row>
    <row r="1147" spans="1:6" x14ac:dyDescent="0.2">
      <c r="A1147" s="1">
        <v>41323</v>
      </c>
      <c r="B1147">
        <v>50</v>
      </c>
      <c r="C1147">
        <f>'weather data'!E1147</f>
        <v>9.6266666666666687</v>
      </c>
      <c r="D1147">
        <f>LAI!F1147</f>
        <v>0</v>
      </c>
      <c r="E1147">
        <f>0.5*C1147*(1-EXP(-'user input'!$C$19*D1147))</f>
        <v>0</v>
      </c>
      <c r="F1147">
        <f>E1147*'user input'!$C$21</f>
        <v>0</v>
      </c>
    </row>
    <row r="1148" spans="1:6" x14ac:dyDescent="0.2">
      <c r="A1148" s="1">
        <v>41324</v>
      </c>
      <c r="B1148">
        <v>51</v>
      </c>
      <c r="C1148">
        <f>'weather data'!E1148</f>
        <v>10.488888888888887</v>
      </c>
      <c r="D1148">
        <f>LAI!F1148</f>
        <v>0</v>
      </c>
      <c r="E1148">
        <f>0.5*C1148*(1-EXP(-'user input'!$C$19*D1148))</f>
        <v>0</v>
      </c>
      <c r="F1148">
        <f>E1148*'user input'!$C$21</f>
        <v>0</v>
      </c>
    </row>
    <row r="1149" spans="1:6" x14ac:dyDescent="0.2">
      <c r="A1149" s="1">
        <v>41325</v>
      </c>
      <c r="B1149">
        <v>52</v>
      </c>
      <c r="C1149">
        <f>'weather data'!E1149</f>
        <v>10.06</v>
      </c>
      <c r="D1149">
        <f>LAI!F1149</f>
        <v>0</v>
      </c>
      <c r="E1149">
        <f>0.5*C1149*(1-EXP(-'user input'!$C$19*D1149))</f>
        <v>0</v>
      </c>
      <c r="F1149">
        <f>E1149*'user input'!$C$21</f>
        <v>0</v>
      </c>
    </row>
    <row r="1150" spans="1:6" x14ac:dyDescent="0.2">
      <c r="A1150" s="1">
        <v>41326</v>
      </c>
      <c r="B1150">
        <v>53</v>
      </c>
      <c r="C1150">
        <f>'weather data'!E1150</f>
        <v>10.406666666666665</v>
      </c>
      <c r="D1150">
        <f>LAI!F1150</f>
        <v>0</v>
      </c>
      <c r="E1150">
        <f>0.5*C1150*(1-EXP(-'user input'!$C$19*D1150))</f>
        <v>0</v>
      </c>
      <c r="F1150">
        <f>E1150*'user input'!$C$21</f>
        <v>0</v>
      </c>
    </row>
    <row r="1151" spans="1:6" x14ac:dyDescent="0.2">
      <c r="A1151" s="1">
        <v>41327</v>
      </c>
      <c r="B1151">
        <v>54</v>
      </c>
      <c r="C1151">
        <f>'weather data'!E1151</f>
        <v>10.113333333333337</v>
      </c>
      <c r="D1151">
        <f>LAI!F1151</f>
        <v>0</v>
      </c>
      <c r="E1151">
        <f>0.5*C1151*(1-EXP(-'user input'!$C$19*D1151))</f>
        <v>0</v>
      </c>
      <c r="F1151">
        <f>E1151*'user input'!$C$21</f>
        <v>0</v>
      </c>
    </row>
    <row r="1152" spans="1:6" x14ac:dyDescent="0.2">
      <c r="A1152" s="1">
        <v>41328</v>
      </c>
      <c r="B1152">
        <v>55</v>
      </c>
      <c r="C1152">
        <f>'weather data'!E1152</f>
        <v>10.037777777777777</v>
      </c>
      <c r="D1152">
        <f>LAI!F1152</f>
        <v>0</v>
      </c>
      <c r="E1152">
        <f>0.5*C1152*(1-EXP(-'user input'!$C$19*D1152))</f>
        <v>0</v>
      </c>
      <c r="F1152">
        <f>E1152*'user input'!$C$21</f>
        <v>0</v>
      </c>
    </row>
    <row r="1153" spans="1:6" x14ac:dyDescent="0.2">
      <c r="A1153" s="1">
        <v>41329</v>
      </c>
      <c r="B1153">
        <v>56</v>
      </c>
      <c r="C1153">
        <f>'weather data'!E1153</f>
        <v>11.8</v>
      </c>
      <c r="D1153">
        <f>LAI!F1153</f>
        <v>0</v>
      </c>
      <c r="E1153">
        <f>0.5*C1153*(1-EXP(-'user input'!$C$19*D1153))</f>
        <v>0</v>
      </c>
      <c r="F1153">
        <f>E1153*'user input'!$C$21</f>
        <v>0</v>
      </c>
    </row>
    <row r="1154" spans="1:6" x14ac:dyDescent="0.2">
      <c r="A1154" s="1">
        <v>41330</v>
      </c>
      <c r="B1154">
        <v>57</v>
      </c>
      <c r="C1154">
        <f>'weather data'!E1154</f>
        <v>11.313333333333336</v>
      </c>
      <c r="D1154">
        <f>LAI!F1154</f>
        <v>0</v>
      </c>
      <c r="E1154">
        <f>0.5*C1154*(1-EXP(-'user input'!$C$19*D1154))</f>
        <v>0</v>
      </c>
      <c r="F1154">
        <f>E1154*'user input'!$C$21</f>
        <v>0</v>
      </c>
    </row>
    <row r="1155" spans="1:6" x14ac:dyDescent="0.2">
      <c r="A1155" s="1">
        <v>41331</v>
      </c>
      <c r="B1155">
        <v>58</v>
      </c>
      <c r="C1155">
        <f>'weather data'!E1155</f>
        <v>11.128888888888891</v>
      </c>
      <c r="D1155">
        <f>LAI!F1155</f>
        <v>0</v>
      </c>
      <c r="E1155">
        <f>0.5*C1155*(1-EXP(-'user input'!$C$19*D1155))</f>
        <v>0</v>
      </c>
      <c r="F1155">
        <f>E1155*'user input'!$C$21</f>
        <v>0</v>
      </c>
    </row>
    <row r="1156" spans="1:6" x14ac:dyDescent="0.2">
      <c r="A1156" s="1">
        <v>41332</v>
      </c>
      <c r="B1156">
        <v>59</v>
      </c>
      <c r="C1156">
        <f>'weather data'!E1156</f>
        <v>11.87555555555555</v>
      </c>
      <c r="D1156">
        <f>LAI!F1156</f>
        <v>0</v>
      </c>
      <c r="E1156">
        <f>0.5*C1156*(1-EXP(-'user input'!$C$19*D1156))</f>
        <v>0</v>
      </c>
      <c r="F1156">
        <f>E1156*'user input'!$C$21</f>
        <v>0</v>
      </c>
    </row>
    <row r="1157" spans="1:6" x14ac:dyDescent="0.2">
      <c r="A1157" s="1">
        <v>41333</v>
      </c>
      <c r="B1157">
        <v>60</v>
      </c>
      <c r="C1157">
        <f>'weather data'!E1157</f>
        <v>11.59555555555556</v>
      </c>
      <c r="D1157">
        <f>LAI!F1157</f>
        <v>0</v>
      </c>
      <c r="E1157">
        <f>0.5*C1157*(1-EXP(-'user input'!$C$19*D1157))</f>
        <v>0</v>
      </c>
      <c r="F1157">
        <f>E1157*'user input'!$C$21</f>
        <v>0</v>
      </c>
    </row>
    <row r="1158" spans="1:6" x14ac:dyDescent="0.2">
      <c r="A1158" s="1">
        <v>41334</v>
      </c>
      <c r="B1158">
        <v>61</v>
      </c>
      <c r="C1158">
        <f>'weather data'!E1158</f>
        <v>11.271111111111111</v>
      </c>
      <c r="D1158">
        <f>LAI!F1158</f>
        <v>0</v>
      </c>
      <c r="E1158">
        <f>0.5*C1158*(1-EXP(-'user input'!$C$19*D1158))</f>
        <v>0</v>
      </c>
      <c r="F1158">
        <f>E1158*'user input'!$C$21</f>
        <v>0</v>
      </c>
    </row>
    <row r="1159" spans="1:6" x14ac:dyDescent="0.2">
      <c r="A1159" s="1">
        <v>41335</v>
      </c>
      <c r="B1159">
        <v>62</v>
      </c>
      <c r="C1159">
        <f>'weather data'!E1159</f>
        <v>11.388888888888886</v>
      </c>
      <c r="D1159">
        <f>LAI!F1159</f>
        <v>0</v>
      </c>
      <c r="E1159">
        <f>0.5*C1159*(1-EXP(-'user input'!$C$19*D1159))</f>
        <v>0</v>
      </c>
      <c r="F1159">
        <f>E1159*'user input'!$C$21</f>
        <v>0</v>
      </c>
    </row>
    <row r="1160" spans="1:6" x14ac:dyDescent="0.2">
      <c r="A1160" s="1">
        <v>41336</v>
      </c>
      <c r="B1160">
        <v>63</v>
      </c>
      <c r="C1160">
        <f>'weather data'!E1160</f>
        <v>10.191111111111111</v>
      </c>
      <c r="D1160">
        <f>LAI!F1160</f>
        <v>0</v>
      </c>
      <c r="E1160">
        <f>0.5*C1160*(1-EXP(-'user input'!$C$19*D1160))</f>
        <v>0</v>
      </c>
      <c r="F1160">
        <f>E1160*'user input'!$C$21</f>
        <v>0</v>
      </c>
    </row>
    <row r="1161" spans="1:6" x14ac:dyDescent="0.2">
      <c r="A1161" s="1">
        <v>41337</v>
      </c>
      <c r="B1161">
        <v>64</v>
      </c>
      <c r="C1161">
        <f>'weather data'!E1161</f>
        <v>11.199999999999996</v>
      </c>
      <c r="D1161">
        <f>LAI!F1161</f>
        <v>0</v>
      </c>
      <c r="E1161">
        <f>0.5*C1161*(1-EXP(-'user input'!$C$19*D1161))</f>
        <v>0</v>
      </c>
      <c r="F1161">
        <f>E1161*'user input'!$C$21</f>
        <v>0</v>
      </c>
    </row>
    <row r="1162" spans="1:6" x14ac:dyDescent="0.2">
      <c r="A1162" s="1">
        <v>41338</v>
      </c>
      <c r="B1162">
        <v>65</v>
      </c>
      <c r="C1162">
        <f>'weather data'!E1162</f>
        <v>12.780000000000003</v>
      </c>
      <c r="D1162">
        <f>LAI!F1162</f>
        <v>0</v>
      </c>
      <c r="E1162">
        <f>0.5*C1162*(1-EXP(-'user input'!$C$19*D1162))</f>
        <v>0</v>
      </c>
      <c r="F1162">
        <f>E1162*'user input'!$C$21</f>
        <v>0</v>
      </c>
    </row>
    <row r="1163" spans="1:6" x14ac:dyDescent="0.2">
      <c r="A1163" s="1">
        <v>41339</v>
      </c>
      <c r="B1163">
        <v>66</v>
      </c>
      <c r="C1163">
        <f>'weather data'!E1163</f>
        <v>13.068888888888889</v>
      </c>
      <c r="D1163">
        <f>LAI!F1163</f>
        <v>0</v>
      </c>
      <c r="E1163">
        <f>0.5*C1163*(1-EXP(-'user input'!$C$19*D1163))</f>
        <v>0</v>
      </c>
      <c r="F1163">
        <f>E1163*'user input'!$C$21</f>
        <v>0</v>
      </c>
    </row>
    <row r="1164" spans="1:6" x14ac:dyDescent="0.2">
      <c r="A1164" s="1">
        <v>41340</v>
      </c>
      <c r="B1164">
        <v>67</v>
      </c>
      <c r="C1164">
        <f>'weather data'!E1164</f>
        <v>11.393333333333333</v>
      </c>
      <c r="D1164">
        <f>LAI!F1164</f>
        <v>0</v>
      </c>
      <c r="E1164">
        <f>0.5*C1164*(1-EXP(-'user input'!$C$19*D1164))</f>
        <v>0</v>
      </c>
      <c r="F1164">
        <f>E1164*'user input'!$C$21</f>
        <v>0</v>
      </c>
    </row>
    <row r="1165" spans="1:6" x14ac:dyDescent="0.2">
      <c r="A1165" s="1">
        <v>41341</v>
      </c>
      <c r="B1165">
        <v>68</v>
      </c>
      <c r="C1165">
        <f>'weather data'!E1165</f>
        <v>12.291111111111112</v>
      </c>
      <c r="D1165">
        <f>LAI!F1165</f>
        <v>0</v>
      </c>
      <c r="E1165">
        <f>0.5*C1165*(1-EXP(-'user input'!$C$19*D1165))</f>
        <v>0</v>
      </c>
      <c r="F1165">
        <f>E1165*'user input'!$C$21</f>
        <v>0</v>
      </c>
    </row>
    <row r="1166" spans="1:6" x14ac:dyDescent="0.2">
      <c r="A1166" s="1">
        <v>41342</v>
      </c>
      <c r="B1166">
        <v>69</v>
      </c>
      <c r="C1166">
        <f>'weather data'!E1166</f>
        <v>13.813333333333336</v>
      </c>
      <c r="D1166">
        <f>LAI!F1166</f>
        <v>0</v>
      </c>
      <c r="E1166">
        <f>0.5*C1166*(1-EXP(-'user input'!$C$19*D1166))</f>
        <v>0</v>
      </c>
      <c r="F1166">
        <f>E1166*'user input'!$C$21</f>
        <v>0</v>
      </c>
    </row>
    <row r="1167" spans="1:6" x14ac:dyDescent="0.2">
      <c r="A1167" s="1">
        <v>41343</v>
      </c>
      <c r="B1167">
        <v>70</v>
      </c>
      <c r="C1167">
        <f>'weather data'!E1167</f>
        <v>12.808888888888891</v>
      </c>
      <c r="D1167">
        <f>LAI!F1167</f>
        <v>0</v>
      </c>
      <c r="E1167">
        <f>0.5*C1167*(1-EXP(-'user input'!$C$19*D1167))</f>
        <v>0</v>
      </c>
      <c r="F1167">
        <f>E1167*'user input'!$C$21</f>
        <v>0</v>
      </c>
    </row>
    <row r="1168" spans="1:6" x14ac:dyDescent="0.2">
      <c r="A1168" s="1">
        <v>41344</v>
      </c>
      <c r="B1168">
        <v>71</v>
      </c>
      <c r="C1168">
        <f>'weather data'!E1168</f>
        <v>12.691111111111107</v>
      </c>
      <c r="D1168">
        <f>LAI!F1168</f>
        <v>0</v>
      </c>
      <c r="E1168">
        <f>0.5*C1168*(1-EXP(-'user input'!$C$19*D1168))</f>
        <v>0</v>
      </c>
      <c r="F1168">
        <f>E1168*'user input'!$C$21</f>
        <v>0</v>
      </c>
    </row>
    <row r="1169" spans="1:6" x14ac:dyDescent="0.2">
      <c r="A1169" s="1">
        <v>41345</v>
      </c>
      <c r="B1169">
        <v>72</v>
      </c>
      <c r="C1169">
        <f>'weather data'!E1169</f>
        <v>11.371111111111109</v>
      </c>
      <c r="D1169">
        <f>LAI!F1169</f>
        <v>0</v>
      </c>
      <c r="E1169">
        <f>0.5*C1169*(1-EXP(-'user input'!$C$19*D1169))</f>
        <v>0</v>
      </c>
      <c r="F1169">
        <f>E1169*'user input'!$C$21</f>
        <v>0</v>
      </c>
    </row>
    <row r="1170" spans="1:6" x14ac:dyDescent="0.2">
      <c r="A1170" s="1">
        <v>41346</v>
      </c>
      <c r="B1170">
        <v>73</v>
      </c>
      <c r="C1170">
        <f>'weather data'!E1170</f>
        <v>13.164444444444442</v>
      </c>
      <c r="D1170">
        <f>LAI!F1170</f>
        <v>0</v>
      </c>
      <c r="E1170">
        <f>0.5*C1170*(1-EXP(-'user input'!$C$19*D1170))</f>
        <v>0</v>
      </c>
      <c r="F1170">
        <f>E1170*'user input'!$C$21</f>
        <v>0</v>
      </c>
    </row>
    <row r="1171" spans="1:6" x14ac:dyDescent="0.2">
      <c r="A1171" s="1">
        <v>41347</v>
      </c>
      <c r="B1171">
        <v>74</v>
      </c>
      <c r="C1171">
        <f>'weather data'!E1171</f>
        <v>12.719999999999995</v>
      </c>
      <c r="D1171">
        <f>LAI!F1171</f>
        <v>0</v>
      </c>
      <c r="E1171">
        <f>0.5*C1171*(1-EXP(-'user input'!$C$19*D1171))</f>
        <v>0</v>
      </c>
      <c r="F1171">
        <f>E1171*'user input'!$C$21</f>
        <v>0</v>
      </c>
    </row>
    <row r="1172" spans="1:6" x14ac:dyDescent="0.2">
      <c r="A1172" s="1">
        <v>41348</v>
      </c>
      <c r="B1172">
        <v>75</v>
      </c>
      <c r="C1172">
        <f>'weather data'!E1172</f>
        <v>14.366666666666664</v>
      </c>
      <c r="D1172">
        <f>LAI!F1172</f>
        <v>0</v>
      </c>
      <c r="E1172">
        <f>0.5*C1172*(1-EXP(-'user input'!$C$19*D1172))</f>
        <v>0</v>
      </c>
      <c r="F1172">
        <f>E1172*'user input'!$C$21</f>
        <v>0</v>
      </c>
    </row>
    <row r="1173" spans="1:6" x14ac:dyDescent="0.2">
      <c r="A1173" s="1">
        <v>41349</v>
      </c>
      <c r="B1173">
        <v>76</v>
      </c>
      <c r="C1173">
        <f>'weather data'!E1173</f>
        <v>13.237777777777776</v>
      </c>
      <c r="D1173">
        <f>LAI!F1173</f>
        <v>0</v>
      </c>
      <c r="E1173">
        <f>0.5*C1173*(1-EXP(-'user input'!$C$19*D1173))</f>
        <v>0</v>
      </c>
      <c r="F1173">
        <f>E1173*'user input'!$C$21</f>
        <v>0</v>
      </c>
    </row>
    <row r="1174" spans="1:6" x14ac:dyDescent="0.2">
      <c r="A1174" s="1">
        <v>41350</v>
      </c>
      <c r="B1174">
        <v>77</v>
      </c>
      <c r="C1174">
        <f>'weather data'!E1174</f>
        <v>12.584444444444451</v>
      </c>
      <c r="D1174">
        <f>LAI!F1174</f>
        <v>0</v>
      </c>
      <c r="E1174">
        <f>0.5*C1174*(1-EXP(-'user input'!$C$19*D1174))</f>
        <v>0</v>
      </c>
      <c r="F1174">
        <f>E1174*'user input'!$C$21</f>
        <v>0</v>
      </c>
    </row>
    <row r="1175" spans="1:6" x14ac:dyDescent="0.2">
      <c r="A1175" s="1">
        <v>41351</v>
      </c>
      <c r="B1175">
        <v>78</v>
      </c>
      <c r="C1175">
        <f>'weather data'!E1175</f>
        <v>12.284444444444446</v>
      </c>
      <c r="D1175">
        <f>LAI!F1175</f>
        <v>0</v>
      </c>
      <c r="E1175">
        <f>0.5*C1175*(1-EXP(-'user input'!$C$19*D1175))</f>
        <v>0</v>
      </c>
      <c r="F1175">
        <f>E1175*'user input'!$C$21</f>
        <v>0</v>
      </c>
    </row>
    <row r="1176" spans="1:6" x14ac:dyDescent="0.2">
      <c r="A1176" s="1">
        <v>41352</v>
      </c>
      <c r="B1176">
        <v>79</v>
      </c>
      <c r="C1176">
        <f>'weather data'!E1176</f>
        <v>13.337777777777776</v>
      </c>
      <c r="D1176">
        <f>LAI!F1176</f>
        <v>0</v>
      </c>
      <c r="E1176">
        <f>0.5*C1176*(1-EXP(-'user input'!$C$19*D1176))</f>
        <v>0</v>
      </c>
      <c r="F1176">
        <f>E1176*'user input'!$C$21</f>
        <v>0</v>
      </c>
    </row>
    <row r="1177" spans="1:6" x14ac:dyDescent="0.2">
      <c r="A1177" s="1">
        <v>41353</v>
      </c>
      <c r="B1177">
        <v>80</v>
      </c>
      <c r="C1177">
        <f>'weather data'!E1177</f>
        <v>15</v>
      </c>
      <c r="D1177">
        <f>LAI!F1177</f>
        <v>0</v>
      </c>
      <c r="E1177">
        <f>0.5*C1177*(1-EXP(-'user input'!$C$19*D1177))</f>
        <v>0</v>
      </c>
      <c r="F1177">
        <f>E1177*'user input'!$C$21</f>
        <v>0</v>
      </c>
    </row>
    <row r="1178" spans="1:6" x14ac:dyDescent="0.2">
      <c r="A1178" s="1">
        <v>41354</v>
      </c>
      <c r="B1178">
        <v>81</v>
      </c>
      <c r="C1178">
        <f>'weather data'!E1178</f>
        <v>14.926666666666668</v>
      </c>
      <c r="D1178">
        <f>LAI!F1178</f>
        <v>0</v>
      </c>
      <c r="E1178">
        <f>0.5*C1178*(1-EXP(-'user input'!$C$19*D1178))</f>
        <v>0</v>
      </c>
      <c r="F1178">
        <f>E1178*'user input'!$C$21</f>
        <v>0</v>
      </c>
    </row>
    <row r="1179" spans="1:6" x14ac:dyDescent="0.2">
      <c r="A1179" s="1">
        <v>41355</v>
      </c>
      <c r="B1179">
        <v>82</v>
      </c>
      <c r="C1179">
        <f>'weather data'!E1179</f>
        <v>16.43333333333333</v>
      </c>
      <c r="D1179">
        <f>LAI!F1179</f>
        <v>0</v>
      </c>
      <c r="E1179">
        <f>0.5*C1179*(1-EXP(-'user input'!$C$19*D1179))</f>
        <v>0</v>
      </c>
      <c r="F1179">
        <f>E1179*'user input'!$C$21</f>
        <v>0</v>
      </c>
    </row>
    <row r="1180" spans="1:6" x14ac:dyDescent="0.2">
      <c r="A1180" s="1">
        <v>41356</v>
      </c>
      <c r="B1180">
        <v>83</v>
      </c>
      <c r="C1180">
        <f>'weather data'!E1180</f>
        <v>14.304444444444442</v>
      </c>
      <c r="D1180">
        <f>LAI!F1180</f>
        <v>0</v>
      </c>
      <c r="E1180">
        <f>0.5*C1180*(1-EXP(-'user input'!$C$19*D1180))</f>
        <v>0</v>
      </c>
      <c r="F1180">
        <f>E1180*'user input'!$C$21</f>
        <v>0</v>
      </c>
    </row>
    <row r="1181" spans="1:6" x14ac:dyDescent="0.2">
      <c r="A1181" s="1">
        <v>41357</v>
      </c>
      <c r="B1181">
        <v>84</v>
      </c>
      <c r="C1181">
        <f>'weather data'!E1181</f>
        <v>14.604444444444443</v>
      </c>
      <c r="D1181">
        <f>LAI!F1181</f>
        <v>0</v>
      </c>
      <c r="E1181">
        <f>0.5*C1181*(1-EXP(-'user input'!$C$19*D1181))</f>
        <v>0</v>
      </c>
      <c r="F1181">
        <f>E1181*'user input'!$C$21</f>
        <v>0</v>
      </c>
    </row>
    <row r="1182" spans="1:6" x14ac:dyDescent="0.2">
      <c r="A1182" s="1">
        <v>41358</v>
      </c>
      <c r="B1182">
        <v>85</v>
      </c>
      <c r="C1182">
        <f>'weather data'!E1182</f>
        <v>15.69777777777778</v>
      </c>
      <c r="D1182">
        <f>LAI!F1182</f>
        <v>0</v>
      </c>
      <c r="E1182">
        <f>0.5*C1182*(1-EXP(-'user input'!$C$19*D1182))</f>
        <v>0</v>
      </c>
      <c r="F1182">
        <f>E1182*'user input'!$C$21</f>
        <v>0</v>
      </c>
    </row>
    <row r="1183" spans="1:6" x14ac:dyDescent="0.2">
      <c r="A1183" s="1">
        <v>41359</v>
      </c>
      <c r="B1183">
        <v>86</v>
      </c>
      <c r="C1183">
        <f>'weather data'!E1183</f>
        <v>14.977777777777776</v>
      </c>
      <c r="D1183">
        <f>LAI!F1183</f>
        <v>0</v>
      </c>
      <c r="E1183">
        <f>0.5*C1183*(1-EXP(-'user input'!$C$19*D1183))</f>
        <v>0</v>
      </c>
      <c r="F1183">
        <f>E1183*'user input'!$C$21</f>
        <v>0</v>
      </c>
    </row>
    <row r="1184" spans="1:6" x14ac:dyDescent="0.2">
      <c r="A1184" s="1">
        <v>41360</v>
      </c>
      <c r="B1184">
        <v>87</v>
      </c>
      <c r="C1184">
        <f>'weather data'!E1184</f>
        <v>12.684444444444447</v>
      </c>
      <c r="D1184">
        <f>LAI!F1184</f>
        <v>0</v>
      </c>
      <c r="E1184">
        <f>0.5*C1184*(1-EXP(-'user input'!$C$19*D1184))</f>
        <v>0</v>
      </c>
      <c r="F1184">
        <f>E1184*'user input'!$C$21</f>
        <v>0</v>
      </c>
    </row>
    <row r="1185" spans="1:6" x14ac:dyDescent="0.2">
      <c r="A1185" s="1">
        <v>41361</v>
      </c>
      <c r="B1185">
        <v>88</v>
      </c>
      <c r="C1185">
        <f>'weather data'!E1185</f>
        <v>14.022222222222222</v>
      </c>
      <c r="D1185">
        <f>LAI!F1185</f>
        <v>0</v>
      </c>
      <c r="E1185">
        <f>0.5*C1185*(1-EXP(-'user input'!$C$19*D1185))</f>
        <v>0</v>
      </c>
      <c r="F1185">
        <f>E1185*'user input'!$C$21</f>
        <v>0</v>
      </c>
    </row>
    <row r="1186" spans="1:6" x14ac:dyDescent="0.2">
      <c r="A1186" s="1">
        <v>41362</v>
      </c>
      <c r="B1186">
        <v>89</v>
      </c>
      <c r="C1186">
        <f>'weather data'!E1186</f>
        <v>15.895555555555557</v>
      </c>
      <c r="D1186">
        <f>LAI!F1186</f>
        <v>0</v>
      </c>
      <c r="E1186">
        <f>0.5*C1186*(1-EXP(-'user input'!$C$19*D1186))</f>
        <v>0</v>
      </c>
      <c r="F1186">
        <f>E1186*'user input'!$C$21</f>
        <v>0</v>
      </c>
    </row>
    <row r="1187" spans="1:6" x14ac:dyDescent="0.2">
      <c r="A1187" s="1">
        <v>41363</v>
      </c>
      <c r="B1187">
        <v>90</v>
      </c>
      <c r="C1187">
        <f>'weather data'!E1187</f>
        <v>14.608888888888893</v>
      </c>
      <c r="D1187">
        <f>LAI!F1187</f>
        <v>0</v>
      </c>
      <c r="E1187">
        <f>0.5*C1187*(1-EXP(-'user input'!$C$19*D1187))</f>
        <v>0</v>
      </c>
      <c r="F1187">
        <f>E1187*'user input'!$C$21</f>
        <v>0</v>
      </c>
    </row>
    <row r="1188" spans="1:6" x14ac:dyDescent="0.2">
      <c r="A1188" s="1">
        <v>41364</v>
      </c>
      <c r="B1188">
        <v>91</v>
      </c>
      <c r="C1188">
        <f>'weather data'!E1188</f>
        <v>13.344444444444447</v>
      </c>
      <c r="D1188">
        <f>LAI!F1188</f>
        <v>0</v>
      </c>
      <c r="E1188">
        <f>0.5*C1188*(1-EXP(-'user input'!$C$19*D1188))</f>
        <v>0</v>
      </c>
      <c r="F1188">
        <f>E1188*'user input'!$C$21</f>
        <v>0</v>
      </c>
    </row>
    <row r="1189" spans="1:6" x14ac:dyDescent="0.2">
      <c r="A1189" s="1">
        <v>41365</v>
      </c>
      <c r="B1189">
        <v>92</v>
      </c>
      <c r="C1189">
        <f>'weather data'!E1189</f>
        <v>14.593333333333337</v>
      </c>
      <c r="D1189">
        <f>LAI!F1189</f>
        <v>0</v>
      </c>
      <c r="E1189">
        <f>0.5*C1189*(1-EXP(-'user input'!$C$19*D1189))</f>
        <v>0</v>
      </c>
      <c r="F1189">
        <f>E1189*'user input'!$C$21</f>
        <v>0</v>
      </c>
    </row>
    <row r="1190" spans="1:6" x14ac:dyDescent="0.2">
      <c r="A1190" s="1">
        <v>41366</v>
      </c>
      <c r="B1190">
        <v>93</v>
      </c>
      <c r="C1190">
        <f>'weather data'!E1190</f>
        <v>13.820000000000002</v>
      </c>
      <c r="D1190">
        <f>LAI!F1190</f>
        <v>0</v>
      </c>
      <c r="E1190">
        <f>0.5*C1190*(1-EXP(-'user input'!$C$19*D1190))</f>
        <v>0</v>
      </c>
      <c r="F1190">
        <f>E1190*'user input'!$C$21</f>
        <v>0</v>
      </c>
    </row>
    <row r="1191" spans="1:6" x14ac:dyDescent="0.2">
      <c r="A1191" s="1">
        <v>41367</v>
      </c>
      <c r="B1191">
        <v>94</v>
      </c>
      <c r="C1191">
        <f>'weather data'!E1191</f>
        <v>15.273333333333332</v>
      </c>
      <c r="D1191">
        <f>LAI!F1191</f>
        <v>0</v>
      </c>
      <c r="E1191">
        <f>0.5*C1191*(1-EXP(-'user input'!$C$19*D1191))</f>
        <v>0</v>
      </c>
      <c r="F1191">
        <f>E1191*'user input'!$C$21</f>
        <v>0</v>
      </c>
    </row>
    <row r="1192" spans="1:6" x14ac:dyDescent="0.2">
      <c r="A1192" s="1">
        <v>41368</v>
      </c>
      <c r="B1192">
        <v>95</v>
      </c>
      <c r="C1192">
        <f>'weather data'!E1192</f>
        <v>14.677777777777782</v>
      </c>
      <c r="D1192">
        <f>LAI!F1192</f>
        <v>0</v>
      </c>
      <c r="E1192">
        <f>0.5*C1192*(1-EXP(-'user input'!$C$19*D1192))</f>
        <v>0</v>
      </c>
      <c r="F1192">
        <f>E1192*'user input'!$C$21</f>
        <v>0</v>
      </c>
    </row>
    <row r="1193" spans="1:6" x14ac:dyDescent="0.2">
      <c r="A1193" s="1">
        <v>41369</v>
      </c>
      <c r="B1193">
        <v>96</v>
      </c>
      <c r="C1193">
        <f>'weather data'!E1193</f>
        <v>17.008888888888887</v>
      </c>
      <c r="D1193">
        <f>LAI!F1193</f>
        <v>0</v>
      </c>
      <c r="E1193">
        <f>0.5*C1193*(1-EXP(-'user input'!$C$19*D1193))</f>
        <v>0</v>
      </c>
      <c r="F1193">
        <f>E1193*'user input'!$C$21</f>
        <v>0</v>
      </c>
    </row>
    <row r="1194" spans="1:6" x14ac:dyDescent="0.2">
      <c r="A1194" s="1">
        <v>41370</v>
      </c>
      <c r="B1194">
        <v>97</v>
      </c>
      <c r="C1194">
        <f>'weather data'!E1194</f>
        <v>16.526666666666664</v>
      </c>
      <c r="D1194">
        <f>LAI!F1194</f>
        <v>0</v>
      </c>
      <c r="E1194">
        <f>0.5*C1194*(1-EXP(-'user input'!$C$19*D1194))</f>
        <v>0</v>
      </c>
      <c r="F1194">
        <f>E1194*'user input'!$C$21</f>
        <v>0</v>
      </c>
    </row>
    <row r="1195" spans="1:6" x14ac:dyDescent="0.2">
      <c r="A1195" s="1">
        <v>41371</v>
      </c>
      <c r="B1195">
        <v>98</v>
      </c>
      <c r="C1195">
        <f>'weather data'!E1195</f>
        <v>14.875555555555552</v>
      </c>
      <c r="D1195">
        <f>LAI!F1195</f>
        <v>0</v>
      </c>
      <c r="E1195">
        <f>0.5*C1195*(1-EXP(-'user input'!$C$19*D1195))</f>
        <v>0</v>
      </c>
      <c r="F1195">
        <f>E1195*'user input'!$C$21</f>
        <v>0</v>
      </c>
    </row>
    <row r="1196" spans="1:6" x14ac:dyDescent="0.2">
      <c r="A1196" s="1">
        <v>41372</v>
      </c>
      <c r="B1196">
        <v>99</v>
      </c>
      <c r="C1196">
        <f>'weather data'!E1196</f>
        <v>17.475555555555555</v>
      </c>
      <c r="D1196">
        <f>LAI!F1196</f>
        <v>0</v>
      </c>
      <c r="E1196">
        <f>0.5*C1196*(1-EXP(-'user input'!$C$19*D1196))</f>
        <v>0</v>
      </c>
      <c r="F1196">
        <f>E1196*'user input'!$C$21</f>
        <v>0</v>
      </c>
    </row>
    <row r="1197" spans="1:6" x14ac:dyDescent="0.2">
      <c r="A1197" s="1">
        <v>41373</v>
      </c>
      <c r="B1197">
        <v>100</v>
      </c>
      <c r="C1197">
        <f>'weather data'!E1197</f>
        <v>17.055555555555557</v>
      </c>
      <c r="D1197">
        <f>LAI!F1197</f>
        <v>0</v>
      </c>
      <c r="E1197">
        <f>0.5*C1197*(1-EXP(-'user input'!$C$19*D1197))</f>
        <v>0</v>
      </c>
      <c r="F1197">
        <f>E1197*'user input'!$C$21</f>
        <v>0</v>
      </c>
    </row>
    <row r="1198" spans="1:6" x14ac:dyDescent="0.2">
      <c r="A1198" s="1">
        <v>41374</v>
      </c>
      <c r="B1198">
        <v>101</v>
      </c>
      <c r="C1198">
        <f>'weather data'!E1198</f>
        <v>15.882222222222218</v>
      </c>
      <c r="D1198">
        <f>LAI!F1198</f>
        <v>0</v>
      </c>
      <c r="E1198">
        <f>0.5*C1198*(1-EXP(-'user input'!$C$19*D1198))</f>
        <v>0</v>
      </c>
      <c r="F1198">
        <f>E1198*'user input'!$C$21</f>
        <v>0</v>
      </c>
    </row>
    <row r="1199" spans="1:6" x14ac:dyDescent="0.2">
      <c r="A1199" s="1">
        <v>41375</v>
      </c>
      <c r="B1199">
        <v>102</v>
      </c>
      <c r="C1199">
        <f>'weather data'!E1199</f>
        <v>15.497777777777774</v>
      </c>
      <c r="D1199">
        <f>LAI!F1199</f>
        <v>0</v>
      </c>
      <c r="E1199">
        <f>0.5*C1199*(1-EXP(-'user input'!$C$19*D1199))</f>
        <v>0</v>
      </c>
      <c r="F1199">
        <f>E1199*'user input'!$C$21</f>
        <v>0</v>
      </c>
    </row>
    <row r="1200" spans="1:6" x14ac:dyDescent="0.2">
      <c r="A1200" s="1">
        <v>41376</v>
      </c>
      <c r="B1200">
        <v>103</v>
      </c>
      <c r="C1200">
        <f>'weather data'!E1200</f>
        <v>18.066666666666666</v>
      </c>
      <c r="D1200">
        <f>LAI!F1200</f>
        <v>0</v>
      </c>
      <c r="E1200">
        <f>0.5*C1200*(1-EXP(-'user input'!$C$19*D1200))</f>
        <v>0</v>
      </c>
      <c r="F1200">
        <f>E1200*'user input'!$C$21</f>
        <v>0</v>
      </c>
    </row>
    <row r="1201" spans="1:6" x14ac:dyDescent="0.2">
      <c r="A1201" s="1">
        <v>41377</v>
      </c>
      <c r="B1201">
        <v>104</v>
      </c>
      <c r="C1201">
        <f>'weather data'!E1201</f>
        <v>17.306666666666665</v>
      </c>
      <c r="D1201">
        <f>LAI!F1201</f>
        <v>0</v>
      </c>
      <c r="E1201">
        <f>0.5*C1201*(1-EXP(-'user input'!$C$19*D1201))</f>
        <v>0</v>
      </c>
      <c r="F1201">
        <f>E1201*'user input'!$C$21</f>
        <v>0</v>
      </c>
    </row>
    <row r="1202" spans="1:6" x14ac:dyDescent="0.2">
      <c r="A1202" s="1">
        <v>41378</v>
      </c>
      <c r="B1202">
        <v>105</v>
      </c>
      <c r="C1202">
        <f>'weather data'!E1202</f>
        <v>18.091111111111108</v>
      </c>
      <c r="D1202">
        <f>LAI!F1202</f>
        <v>0</v>
      </c>
      <c r="E1202">
        <f>0.5*C1202*(1-EXP(-'user input'!$C$19*D1202))</f>
        <v>0</v>
      </c>
      <c r="F1202">
        <f>E1202*'user input'!$C$21</f>
        <v>0</v>
      </c>
    </row>
    <row r="1203" spans="1:6" x14ac:dyDescent="0.2">
      <c r="A1203" s="1">
        <v>41379</v>
      </c>
      <c r="B1203">
        <v>106</v>
      </c>
      <c r="C1203">
        <f>'weather data'!E1203</f>
        <v>15.755555555555551</v>
      </c>
      <c r="D1203">
        <f>LAI!F1203</f>
        <v>0</v>
      </c>
      <c r="E1203">
        <f>0.5*C1203*(1-EXP(-'user input'!$C$19*D1203))</f>
        <v>0</v>
      </c>
      <c r="F1203">
        <f>E1203*'user input'!$C$21</f>
        <v>0</v>
      </c>
    </row>
    <row r="1204" spans="1:6" x14ac:dyDescent="0.2">
      <c r="A1204" s="1">
        <v>41380</v>
      </c>
      <c r="B1204">
        <v>107</v>
      </c>
      <c r="C1204">
        <f>'weather data'!E1204</f>
        <v>18.606666666666669</v>
      </c>
      <c r="D1204">
        <f>LAI!F1204</f>
        <v>0</v>
      </c>
      <c r="E1204">
        <f>0.5*C1204*(1-EXP(-'user input'!$C$19*D1204))</f>
        <v>0</v>
      </c>
      <c r="F1204">
        <f>E1204*'user input'!$C$21</f>
        <v>0</v>
      </c>
    </row>
    <row r="1205" spans="1:6" x14ac:dyDescent="0.2">
      <c r="A1205" s="1">
        <v>41381</v>
      </c>
      <c r="B1205">
        <v>108</v>
      </c>
      <c r="C1205">
        <f>'weather data'!E1205</f>
        <v>17.028888888888886</v>
      </c>
      <c r="D1205">
        <f>LAI!F1205</f>
        <v>0</v>
      </c>
      <c r="E1205">
        <f>0.5*C1205*(1-EXP(-'user input'!$C$19*D1205))</f>
        <v>0</v>
      </c>
      <c r="F1205">
        <f>E1205*'user input'!$C$21</f>
        <v>0</v>
      </c>
    </row>
    <row r="1206" spans="1:6" x14ac:dyDescent="0.2">
      <c r="A1206" s="1">
        <v>41382</v>
      </c>
      <c r="B1206">
        <v>109</v>
      </c>
      <c r="C1206">
        <f>'weather data'!E1206</f>
        <v>16.00888888888889</v>
      </c>
      <c r="D1206">
        <f>LAI!F1206</f>
        <v>0</v>
      </c>
      <c r="E1206">
        <f>0.5*C1206*(1-EXP(-'user input'!$C$19*D1206))</f>
        <v>0</v>
      </c>
      <c r="F1206">
        <f>E1206*'user input'!$C$21</f>
        <v>0</v>
      </c>
    </row>
    <row r="1207" spans="1:6" x14ac:dyDescent="0.2">
      <c r="A1207" s="1">
        <v>41383</v>
      </c>
      <c r="B1207">
        <v>110</v>
      </c>
      <c r="C1207">
        <f>'weather data'!E1207</f>
        <v>14.822222222222214</v>
      </c>
      <c r="D1207">
        <f>LAI!F1207</f>
        <v>0</v>
      </c>
      <c r="E1207">
        <f>0.5*C1207*(1-EXP(-'user input'!$C$19*D1207))</f>
        <v>0</v>
      </c>
      <c r="F1207">
        <f>E1207*'user input'!$C$21</f>
        <v>0</v>
      </c>
    </row>
    <row r="1208" spans="1:6" x14ac:dyDescent="0.2">
      <c r="A1208" s="1">
        <v>41384</v>
      </c>
      <c r="B1208">
        <v>111</v>
      </c>
      <c r="C1208">
        <f>'weather data'!E1208</f>
        <v>16.506666666666668</v>
      </c>
      <c r="D1208">
        <f>LAI!F1208</f>
        <v>0</v>
      </c>
      <c r="E1208">
        <f>0.5*C1208*(1-EXP(-'user input'!$C$19*D1208))</f>
        <v>0</v>
      </c>
      <c r="F1208">
        <f>E1208*'user input'!$C$21</f>
        <v>0</v>
      </c>
    </row>
    <row r="1209" spans="1:6" x14ac:dyDescent="0.2">
      <c r="A1209" s="1">
        <v>41385</v>
      </c>
      <c r="B1209">
        <v>112</v>
      </c>
      <c r="C1209">
        <f>'weather data'!E1209</f>
        <v>16.88</v>
      </c>
      <c r="D1209">
        <f>LAI!F1209</f>
        <v>0</v>
      </c>
      <c r="E1209">
        <f>0.5*C1209*(1-EXP(-'user input'!$C$19*D1209))</f>
        <v>0</v>
      </c>
      <c r="F1209">
        <f>E1209*'user input'!$C$21</f>
        <v>0</v>
      </c>
    </row>
    <row r="1210" spans="1:6" x14ac:dyDescent="0.2">
      <c r="A1210" s="1">
        <v>41386</v>
      </c>
      <c r="B1210">
        <v>113</v>
      </c>
      <c r="C1210">
        <f>'weather data'!E1210</f>
        <v>17.740000000000009</v>
      </c>
      <c r="D1210">
        <f>LAI!F1210</f>
        <v>0</v>
      </c>
      <c r="E1210">
        <f>0.5*C1210*(1-EXP(-'user input'!$C$19*D1210))</f>
        <v>0</v>
      </c>
      <c r="F1210">
        <f>E1210*'user input'!$C$21</f>
        <v>0</v>
      </c>
    </row>
    <row r="1211" spans="1:6" x14ac:dyDescent="0.2">
      <c r="A1211" s="1">
        <v>41387</v>
      </c>
      <c r="B1211">
        <v>114</v>
      </c>
      <c r="C1211">
        <f>'weather data'!E1211</f>
        <v>19.917777777777768</v>
      </c>
      <c r="D1211">
        <f>LAI!F1211</f>
        <v>0</v>
      </c>
      <c r="E1211">
        <f>0.5*C1211*(1-EXP(-'user input'!$C$19*D1211))</f>
        <v>0</v>
      </c>
      <c r="F1211">
        <f>E1211*'user input'!$C$21</f>
        <v>0</v>
      </c>
    </row>
    <row r="1212" spans="1:6" x14ac:dyDescent="0.2">
      <c r="A1212" s="1">
        <v>41388</v>
      </c>
      <c r="B1212">
        <v>115</v>
      </c>
      <c r="C1212">
        <f>'weather data'!E1212</f>
        <v>19.82888888888888</v>
      </c>
      <c r="D1212">
        <f>LAI!F1212</f>
        <v>0</v>
      </c>
      <c r="E1212">
        <f>0.5*C1212*(1-EXP(-'user input'!$C$19*D1212))</f>
        <v>0</v>
      </c>
      <c r="F1212">
        <f>E1212*'user input'!$C$21</f>
        <v>0</v>
      </c>
    </row>
    <row r="1213" spans="1:6" x14ac:dyDescent="0.2">
      <c r="A1213" s="1">
        <v>41389</v>
      </c>
      <c r="B1213">
        <v>116</v>
      </c>
      <c r="C1213">
        <f>'weather data'!E1213</f>
        <v>19.919999999999998</v>
      </c>
      <c r="D1213">
        <f>LAI!F1213</f>
        <v>0</v>
      </c>
      <c r="E1213">
        <f>0.5*C1213*(1-EXP(-'user input'!$C$19*D1213))</f>
        <v>0</v>
      </c>
      <c r="F1213">
        <f>E1213*'user input'!$C$21</f>
        <v>0</v>
      </c>
    </row>
    <row r="1214" spans="1:6" x14ac:dyDescent="0.2">
      <c r="A1214" s="1">
        <v>41390</v>
      </c>
      <c r="B1214">
        <v>117</v>
      </c>
      <c r="C1214">
        <f>'weather data'!E1214</f>
        <v>18.355555555555554</v>
      </c>
      <c r="D1214">
        <f>LAI!F1214</f>
        <v>0</v>
      </c>
      <c r="E1214">
        <f>0.5*C1214*(1-EXP(-'user input'!$C$19*D1214))</f>
        <v>0</v>
      </c>
      <c r="F1214">
        <f>E1214*'user input'!$C$21</f>
        <v>0</v>
      </c>
    </row>
    <row r="1215" spans="1:6" x14ac:dyDescent="0.2">
      <c r="A1215" s="1">
        <v>41391</v>
      </c>
      <c r="B1215">
        <v>118</v>
      </c>
      <c r="C1215">
        <f>'weather data'!E1215</f>
        <v>18.562222222222225</v>
      </c>
      <c r="D1215">
        <f>LAI!F1215</f>
        <v>0</v>
      </c>
      <c r="E1215">
        <f>0.5*C1215*(1-EXP(-'user input'!$C$19*D1215))</f>
        <v>0</v>
      </c>
      <c r="F1215">
        <f>E1215*'user input'!$C$21</f>
        <v>0</v>
      </c>
    </row>
    <row r="1216" spans="1:6" x14ac:dyDescent="0.2">
      <c r="A1216" s="1">
        <v>41392</v>
      </c>
      <c r="B1216">
        <v>119</v>
      </c>
      <c r="C1216">
        <f>'weather data'!E1216</f>
        <v>18.202222222222229</v>
      </c>
      <c r="D1216">
        <f>LAI!F1216</f>
        <v>0</v>
      </c>
      <c r="E1216">
        <f>0.5*C1216*(1-EXP(-'user input'!$C$19*D1216))</f>
        <v>0</v>
      </c>
      <c r="F1216">
        <f>E1216*'user input'!$C$21</f>
        <v>0</v>
      </c>
    </row>
    <row r="1217" spans="1:6" x14ac:dyDescent="0.2">
      <c r="A1217" s="1">
        <v>41393</v>
      </c>
      <c r="B1217">
        <v>120</v>
      </c>
      <c r="C1217">
        <f>'weather data'!E1217</f>
        <v>17.571111111111119</v>
      </c>
      <c r="D1217">
        <f>LAI!F1217</f>
        <v>0</v>
      </c>
      <c r="E1217">
        <f>0.5*C1217*(1-EXP(-'user input'!$C$19*D1217))</f>
        <v>0</v>
      </c>
      <c r="F1217">
        <f>E1217*'user input'!$C$21</f>
        <v>0</v>
      </c>
    </row>
    <row r="1218" spans="1:6" x14ac:dyDescent="0.2">
      <c r="A1218" s="1">
        <v>41394</v>
      </c>
      <c r="B1218">
        <v>121</v>
      </c>
      <c r="C1218">
        <f>'weather data'!E1218</f>
        <v>19.524444444444448</v>
      </c>
      <c r="D1218">
        <f>LAI!F1218</f>
        <v>3.2820847648948253E-5</v>
      </c>
      <c r="E1218">
        <f>0.5*C1218*(1-EXP(-'user input'!$C$19*D1218))</f>
        <v>2.0826064389871106E-4</v>
      </c>
      <c r="F1218">
        <f>E1218*'user input'!$C$21</f>
        <v>8.1221651120497312E-3</v>
      </c>
    </row>
    <row r="1219" spans="1:6" x14ac:dyDescent="0.2">
      <c r="A1219" s="1">
        <v>41395</v>
      </c>
      <c r="B1219">
        <v>122</v>
      </c>
      <c r="C1219">
        <f>'weather data'!E1219</f>
        <v>19.262222222222217</v>
      </c>
      <c r="D1219">
        <f>LAI!F1219</f>
        <v>1.6614340676174999E-4</v>
      </c>
      <c r="E1219">
        <f>0.5*C1219*(1-EXP(-'user input'!$C$19*D1219))</f>
        <v>1.0400384875248617E-3</v>
      </c>
      <c r="F1219">
        <f>E1219*'user input'!$C$21</f>
        <v>4.0561501013469607E-2</v>
      </c>
    </row>
    <row r="1220" spans="1:6" x14ac:dyDescent="0.2">
      <c r="A1220" s="1">
        <v>41396</v>
      </c>
      <c r="B1220">
        <v>123</v>
      </c>
      <c r="C1220">
        <f>'weather data'!E1220</f>
        <v>21.293333333333326</v>
      </c>
      <c r="D1220">
        <f>LAI!F1220</f>
        <v>3.3745554880193181E-4</v>
      </c>
      <c r="E1220">
        <f>0.5*C1220*(1-EXP(-'user input'!$C$19*D1220))</f>
        <v>2.3350487816010397E-3</v>
      </c>
      <c r="F1220">
        <f>E1220*'user input'!$C$21</f>
        <v>9.1066902482440551E-2</v>
      </c>
    </row>
    <row r="1221" spans="1:6" x14ac:dyDescent="0.2">
      <c r="A1221" s="1">
        <v>41397</v>
      </c>
      <c r="B1221">
        <v>124</v>
      </c>
      <c r="C1221">
        <f>'weather data'!E1221</f>
        <v>20.195555555555561</v>
      </c>
      <c r="D1221">
        <f>LAI!F1221</f>
        <v>6.96067222238824E-4</v>
      </c>
      <c r="E1221">
        <f>0.5*C1221*(1-EXP(-'user input'!$C$19*D1221))</f>
        <v>4.5676425051228708E-3</v>
      </c>
      <c r="F1221">
        <f>E1221*'user input'!$C$21</f>
        <v>0.17813805769979196</v>
      </c>
    </row>
    <row r="1222" spans="1:6" x14ac:dyDescent="0.2">
      <c r="A1222" s="1">
        <v>41398</v>
      </c>
      <c r="B1222">
        <v>125</v>
      </c>
      <c r="C1222">
        <f>'weather data'!E1222</f>
        <v>19.100000000000005</v>
      </c>
      <c r="D1222">
        <f>LAI!F1222</f>
        <v>1.3980570456953341E-3</v>
      </c>
      <c r="E1222">
        <f>0.5*C1222*(1-EXP(-'user input'!$C$19*D1222))</f>
        <v>8.6744970956223761E-3</v>
      </c>
      <c r="F1222">
        <f>E1222*'user input'!$C$21</f>
        <v>0.33830538672927268</v>
      </c>
    </row>
    <row r="1223" spans="1:6" x14ac:dyDescent="0.2">
      <c r="A1223" s="1">
        <v>41399</v>
      </c>
      <c r="B1223">
        <v>126</v>
      </c>
      <c r="C1223">
        <f>'weather data'!E1223</f>
        <v>20.082222222222224</v>
      </c>
      <c r="D1223">
        <f>LAI!F1223</f>
        <v>1.8212844062824884E-3</v>
      </c>
      <c r="E1223">
        <f>0.5*C1223*(1-EXP(-'user input'!$C$19*D1223))</f>
        <v>1.1879984050370844E-2</v>
      </c>
      <c r="F1223">
        <f>E1223*'user input'!$C$21</f>
        <v>0.46331937796446293</v>
      </c>
    </row>
    <row r="1224" spans="1:6" x14ac:dyDescent="0.2">
      <c r="A1224" s="1">
        <v>41400</v>
      </c>
      <c r="B1224">
        <v>127</v>
      </c>
      <c r="C1224">
        <f>'weather data'!E1224</f>
        <v>17.606666666666673</v>
      </c>
      <c r="D1224">
        <f>LAI!F1224</f>
        <v>2.1324248039093557E-3</v>
      </c>
      <c r="E1224">
        <f>0.5*C1224*(1-EXP(-'user input'!$C$19*D1224))</f>
        <v>1.2193637524984357E-2</v>
      </c>
      <c r="F1224">
        <f>E1224*'user input'!$C$21</f>
        <v>0.47555186347438988</v>
      </c>
    </row>
    <row r="1225" spans="1:6" x14ac:dyDescent="0.2">
      <c r="A1225" s="1">
        <v>41401</v>
      </c>
      <c r="B1225">
        <v>128</v>
      </c>
      <c r="C1225">
        <f>'weather data'!E1225</f>
        <v>18.580000000000002</v>
      </c>
      <c r="D1225">
        <f>LAI!F1225</f>
        <v>2.4092102056227889E-3</v>
      </c>
      <c r="E1225">
        <f>0.5*C1225*(1-EXP(-'user input'!$C$19*D1225))</f>
        <v>1.4536630771211851E-2</v>
      </c>
      <c r="F1225">
        <f>E1225*'user input'!$C$21</f>
        <v>0.5669286000772622</v>
      </c>
    </row>
    <row r="1226" spans="1:6" x14ac:dyDescent="0.2">
      <c r="A1226" s="1">
        <v>41402</v>
      </c>
      <c r="B1226">
        <v>129</v>
      </c>
      <c r="C1226">
        <f>'weather data'!E1226</f>
        <v>20.891111111111112</v>
      </c>
      <c r="D1226">
        <f>LAI!F1226</f>
        <v>2.4092102056227889E-3</v>
      </c>
      <c r="E1226">
        <f>0.5*C1226*(1-EXP(-'user input'!$C$19*D1226))</f>
        <v>1.6344799172367253E-2</v>
      </c>
      <c r="F1226">
        <f>E1226*'user input'!$C$21</f>
        <v>0.63744716772232279</v>
      </c>
    </row>
    <row r="1227" spans="1:6" x14ac:dyDescent="0.2">
      <c r="A1227" s="1">
        <v>41403</v>
      </c>
      <c r="B1227">
        <v>130</v>
      </c>
      <c r="C1227">
        <f>'weather data'!E1227</f>
        <v>21.2911111111111</v>
      </c>
      <c r="D1227">
        <f>LAI!F1227</f>
        <v>2.6955791765983397E-3</v>
      </c>
      <c r="E1227">
        <f>0.5*C1227*(1-EXP(-'user input'!$C$19*D1227))</f>
        <v>1.863602851425554E-2</v>
      </c>
      <c r="F1227">
        <f>E1227*'user input'!$C$21</f>
        <v>0.7268051120559661</v>
      </c>
    </row>
    <row r="1228" spans="1:6" x14ac:dyDescent="0.2">
      <c r="A1228" s="1">
        <v>41404</v>
      </c>
      <c r="B1228">
        <v>131</v>
      </c>
      <c r="C1228">
        <f>'weather data'!E1228</f>
        <v>17.644444444444446</v>
      </c>
      <c r="D1228">
        <f>LAI!F1228</f>
        <v>2.8919434777747548E-3</v>
      </c>
      <c r="E1228">
        <f>0.5*C1228*(1-EXP(-'user input'!$C$19*D1228))</f>
        <v>1.6568112266772905E-2</v>
      </c>
      <c r="F1228">
        <f>E1228*'user input'!$C$21</f>
        <v>0.64615637840414331</v>
      </c>
    </row>
    <row r="1229" spans="1:6" x14ac:dyDescent="0.2">
      <c r="A1229" s="1">
        <v>41405</v>
      </c>
      <c r="B1229">
        <v>132</v>
      </c>
      <c r="C1229">
        <f>'weather data'!E1229</f>
        <v>19.975555555555552</v>
      </c>
      <c r="D1229">
        <f>LAI!F1229</f>
        <v>3.7227233522636963E-3</v>
      </c>
      <c r="E1229">
        <f>0.5*C1229*(1-EXP(-'user input'!$C$19*D1229))</f>
        <v>2.4138909735540823E-2</v>
      </c>
      <c r="F1229">
        <f>E1229*'user input'!$C$21</f>
        <v>0.94141747968609213</v>
      </c>
    </row>
    <row r="1230" spans="1:6" x14ac:dyDescent="0.2">
      <c r="A1230" s="1">
        <v>41406</v>
      </c>
      <c r="B1230">
        <v>133</v>
      </c>
      <c r="C1230">
        <f>'weather data'!E1230</f>
        <v>19.571111111111115</v>
      </c>
      <c r="D1230">
        <f>LAI!F1230</f>
        <v>6.0792618385913481E-3</v>
      </c>
      <c r="E1230">
        <f>0.5*C1230*(1-EXP(-'user input'!$C$19*D1230))</f>
        <v>3.8591522591821449E-2</v>
      </c>
      <c r="F1230">
        <f>E1230*'user input'!$C$21</f>
        <v>1.5050693810810365</v>
      </c>
    </row>
    <row r="1231" spans="1:6" x14ac:dyDescent="0.2">
      <c r="A1231" s="1">
        <v>41407</v>
      </c>
      <c r="B1231">
        <v>134</v>
      </c>
      <c r="C1231">
        <f>'weather data'!E1231</f>
        <v>18.477777777777774</v>
      </c>
      <c r="D1231">
        <f>LAI!F1231</f>
        <v>9.2225462412366711E-3</v>
      </c>
      <c r="E1231">
        <f>0.5*C1231*(1-EXP(-'user input'!$C$19*D1231))</f>
        <v>5.5218279368472414E-2</v>
      </c>
      <c r="F1231">
        <f>E1231*'user input'!$C$21</f>
        <v>2.1535128953704241</v>
      </c>
    </row>
    <row r="1232" spans="1:6" x14ac:dyDescent="0.2">
      <c r="A1232" s="1">
        <v>41408</v>
      </c>
      <c r="B1232">
        <v>135</v>
      </c>
      <c r="C1232">
        <f>'weather data'!E1232</f>
        <v>19.902222222222221</v>
      </c>
      <c r="D1232">
        <f>LAI!F1232</f>
        <v>1.0609341209922933E-2</v>
      </c>
      <c r="E1232">
        <f>0.5*C1232*(1-EXP(-'user input'!$C$19*D1232))</f>
        <v>6.8387502993835933E-2</v>
      </c>
      <c r="F1232">
        <f>E1232*'user input'!$C$21</f>
        <v>2.6671126167596015</v>
      </c>
    </row>
    <row r="1233" spans="1:6" x14ac:dyDescent="0.2">
      <c r="A1233" s="1">
        <v>41409</v>
      </c>
      <c r="B1233">
        <v>136</v>
      </c>
      <c r="C1233">
        <f>'weather data'!E1233</f>
        <v>20.839999999999996</v>
      </c>
      <c r="D1233">
        <f>LAI!F1233</f>
        <v>1.2407171561931532E-2</v>
      </c>
      <c r="E1233">
        <f>0.5*C1233*(1-EXP(-'user input'!$C$19*D1233))</f>
        <v>8.3695830096682258E-2</v>
      </c>
      <c r="F1233">
        <f>E1233*'user input'!$C$21</f>
        <v>3.2641373737706081</v>
      </c>
    </row>
    <row r="1234" spans="1:6" x14ac:dyDescent="0.2">
      <c r="A1234" s="1">
        <v>41410</v>
      </c>
      <c r="B1234">
        <v>137</v>
      </c>
      <c r="C1234">
        <f>'weather data'!E1234</f>
        <v>20.335555555555548</v>
      </c>
      <c r="D1234">
        <f>LAI!F1234</f>
        <v>1.4165109098058026E-2</v>
      </c>
      <c r="E1234">
        <f>0.5*C1234*(1-EXP(-'user input'!$C$19*D1234))</f>
        <v>9.3188327228569831E-2</v>
      </c>
      <c r="F1234">
        <f>E1234*'user input'!$C$21</f>
        <v>3.6343447619142233</v>
      </c>
    </row>
    <row r="1235" spans="1:6" x14ac:dyDescent="0.2">
      <c r="A1235" s="1">
        <v>41411</v>
      </c>
      <c r="B1235">
        <v>138</v>
      </c>
      <c r="C1235">
        <f>'weather data'!E1235</f>
        <v>19.555555555555557</v>
      </c>
      <c r="D1235">
        <f>LAI!F1235</f>
        <v>1.6666828196167684E-2</v>
      </c>
      <c r="E1235">
        <f>0.5*C1235*(1-EXP(-'user input'!$C$19*D1235))</f>
        <v>0.10535524237329529</v>
      </c>
      <c r="F1235">
        <f>E1235*'user input'!$C$21</f>
        <v>4.108854452558516</v>
      </c>
    </row>
    <row r="1236" spans="1:6" x14ac:dyDescent="0.2">
      <c r="A1236" s="1">
        <v>41412</v>
      </c>
      <c r="B1236">
        <v>139</v>
      </c>
      <c r="C1236">
        <f>'weather data'!E1236</f>
        <v>21.506666666666671</v>
      </c>
      <c r="D1236">
        <f>LAI!F1236</f>
        <v>1.8659396596032073E-2</v>
      </c>
      <c r="E1236">
        <f>0.5*C1236*(1-EXP(-'user input'!$C$19*D1236))</f>
        <v>0.12963522586075568</v>
      </c>
      <c r="F1236">
        <f>E1236*'user input'!$C$21</f>
        <v>5.0557738085694712</v>
      </c>
    </row>
    <row r="1237" spans="1:6" x14ac:dyDescent="0.2">
      <c r="A1237" s="1">
        <v>41413</v>
      </c>
      <c r="B1237">
        <v>140</v>
      </c>
      <c r="C1237">
        <f>'weather data'!E1237</f>
        <v>22.404444444444444</v>
      </c>
      <c r="D1237">
        <f>LAI!F1237</f>
        <v>2.0393324139387301E-2</v>
      </c>
      <c r="E1237">
        <f>0.5*C1237*(1-EXP(-'user input'!$C$19*D1237))</f>
        <v>0.14751300559957056</v>
      </c>
      <c r="F1237">
        <f>E1237*'user input'!$C$21</f>
        <v>5.7530072183832521</v>
      </c>
    </row>
    <row r="1238" spans="1:6" x14ac:dyDescent="0.2">
      <c r="A1238" s="1">
        <v>41414</v>
      </c>
      <c r="B1238">
        <v>141</v>
      </c>
      <c r="C1238">
        <f>'weather data'!E1238</f>
        <v>22.526666666666674</v>
      </c>
      <c r="D1238">
        <f>LAI!F1238</f>
        <v>2.3427065934517582E-2</v>
      </c>
      <c r="E1238">
        <f>0.5*C1238*(1-EXP(-'user input'!$C$19*D1238))</f>
        <v>0.17021418894677023</v>
      </c>
      <c r="F1238">
        <f>E1238*'user input'!$C$21</f>
        <v>6.6383533689240393</v>
      </c>
    </row>
    <row r="1239" spans="1:6" x14ac:dyDescent="0.2">
      <c r="A1239" s="1">
        <v>41415</v>
      </c>
      <c r="B1239">
        <v>142</v>
      </c>
      <c r="C1239">
        <f>'weather data'!E1239</f>
        <v>20.664444444444445</v>
      </c>
      <c r="D1239">
        <f>LAI!F1239</f>
        <v>2.8653504524858438E-2</v>
      </c>
      <c r="E1239">
        <f>0.5*C1239*(1-EXP(-'user input'!$C$19*D1239))</f>
        <v>0.19065438554217262</v>
      </c>
      <c r="F1239">
        <f>E1239*'user input'!$C$21</f>
        <v>7.4355210361447321</v>
      </c>
    </row>
    <row r="1240" spans="1:6" x14ac:dyDescent="0.2">
      <c r="A1240" s="1">
        <v>41416</v>
      </c>
      <c r="B1240">
        <v>143</v>
      </c>
      <c r="C1240">
        <f>'weather data'!E1240</f>
        <v>19.966666666666665</v>
      </c>
      <c r="D1240">
        <f>LAI!F1240</f>
        <v>3.1944735239596428E-2</v>
      </c>
      <c r="E1240">
        <f>0.5*C1240*(1-EXP(-'user input'!$C$19*D1240))</f>
        <v>0.20515738806931799</v>
      </c>
      <c r="F1240">
        <f>E1240*'user input'!$C$21</f>
        <v>8.0011381347034014</v>
      </c>
    </row>
    <row r="1241" spans="1:6" x14ac:dyDescent="0.2">
      <c r="A1241" s="1">
        <v>41417</v>
      </c>
      <c r="B1241">
        <v>144</v>
      </c>
      <c r="C1241">
        <f>'weather data'!E1241</f>
        <v>21.091111111111118</v>
      </c>
      <c r="D1241">
        <f>LAI!F1241</f>
        <v>3.6765794486614913E-2</v>
      </c>
      <c r="E1241">
        <f>0.5*C1241*(1-EXP(-'user input'!$C$19*D1241))</f>
        <v>0.24902776807945823</v>
      </c>
      <c r="F1241">
        <f>E1241*'user input'!$C$21</f>
        <v>9.7120829550988717</v>
      </c>
    </row>
    <row r="1242" spans="1:6" x14ac:dyDescent="0.2">
      <c r="A1242" s="1">
        <v>41418</v>
      </c>
      <c r="B1242">
        <v>145</v>
      </c>
      <c r="C1242">
        <f>'weather data'!E1242</f>
        <v>21.435555555555553</v>
      </c>
      <c r="D1242">
        <f>LAI!F1242</f>
        <v>4.3554354927892308E-2</v>
      </c>
      <c r="E1242">
        <f>0.5*C1242*(1-EXP(-'user input'!$C$19*D1242))</f>
        <v>0.29916906460805426</v>
      </c>
      <c r="F1242">
        <f>E1242*'user input'!$C$21</f>
        <v>11.667593519714115</v>
      </c>
    </row>
    <row r="1243" spans="1:6" x14ac:dyDescent="0.2">
      <c r="A1243" s="1">
        <v>41419</v>
      </c>
      <c r="B1243">
        <v>146</v>
      </c>
      <c r="C1243">
        <f>'weather data'!E1243</f>
        <v>22.319999999999986</v>
      </c>
      <c r="D1243">
        <f>LAI!F1243</f>
        <v>5.2951834748987944E-2</v>
      </c>
      <c r="E1243">
        <f>0.5*C1243*(1-EXP(-'user input'!$C$19*D1243))</f>
        <v>0.3775774738553459</v>
      </c>
      <c r="F1243">
        <f>E1243*'user input'!$C$21</f>
        <v>14.72552148035849</v>
      </c>
    </row>
    <row r="1244" spans="1:6" x14ac:dyDescent="0.2">
      <c r="A1244" s="1">
        <v>41420</v>
      </c>
      <c r="B1244">
        <v>147</v>
      </c>
      <c r="C1244">
        <f>'weather data'!E1244</f>
        <v>21.086666666666666</v>
      </c>
      <c r="D1244">
        <f>LAI!F1244</f>
        <v>5.8827718223543865E-2</v>
      </c>
      <c r="E1244">
        <f>0.5*C1244*(1-EXP(-'user input'!$C$19*D1244))</f>
        <v>0.39554552511384761</v>
      </c>
      <c r="F1244">
        <f>E1244*'user input'!$C$21</f>
        <v>15.426275479440056</v>
      </c>
    </row>
    <row r="1245" spans="1:6" x14ac:dyDescent="0.2">
      <c r="A1245" s="1">
        <v>41421</v>
      </c>
      <c r="B1245">
        <v>148</v>
      </c>
      <c r="C1245">
        <f>'weather data'!E1245</f>
        <v>19.986666666666665</v>
      </c>
      <c r="D1245">
        <f>LAI!F1245</f>
        <v>6.6897526372044394E-2</v>
      </c>
      <c r="E1245">
        <f>0.5*C1245*(1-EXP(-'user input'!$C$19*D1245))</f>
        <v>0.42523177176343607</v>
      </c>
      <c r="F1245">
        <f>E1245*'user input'!$C$21</f>
        <v>16.584039098774007</v>
      </c>
    </row>
    <row r="1246" spans="1:6" x14ac:dyDescent="0.2">
      <c r="A1246" s="1">
        <v>41422</v>
      </c>
      <c r="B1246">
        <v>149</v>
      </c>
      <c r="C1246">
        <f>'weather data'!E1246</f>
        <v>20.988888888888894</v>
      </c>
      <c r="D1246">
        <f>LAI!F1246</f>
        <v>8.2464199296066715E-2</v>
      </c>
      <c r="E1246">
        <f>0.5*C1246*(1-EXP(-'user input'!$C$19*D1246))</f>
        <v>0.54771013622180476</v>
      </c>
      <c r="F1246">
        <f>E1246*'user input'!$C$21</f>
        <v>21.360695312650385</v>
      </c>
    </row>
    <row r="1247" spans="1:6" x14ac:dyDescent="0.2">
      <c r="A1247" s="1">
        <v>41423</v>
      </c>
      <c r="B1247">
        <v>150</v>
      </c>
      <c r="C1247">
        <f>'weather data'!E1247</f>
        <v>21.175555555555562</v>
      </c>
      <c r="D1247">
        <f>LAI!F1247</f>
        <v>0.10328788349125559</v>
      </c>
      <c r="E1247">
        <f>0.5*C1247*(1-EXP(-'user input'!$C$19*D1247))</f>
        <v>0.68749646910238937</v>
      </c>
      <c r="F1247">
        <f>E1247*'user input'!$C$21</f>
        <v>26.812362294993186</v>
      </c>
    </row>
    <row r="1248" spans="1:6" x14ac:dyDescent="0.2">
      <c r="A1248" s="1">
        <v>41424</v>
      </c>
      <c r="B1248">
        <v>151</v>
      </c>
      <c r="C1248">
        <f>'weather data'!E1248</f>
        <v>21.524444444444448</v>
      </c>
      <c r="D1248">
        <f>LAI!F1248</f>
        <v>0.11981470819908752</v>
      </c>
      <c r="E1248">
        <f>0.5*C1248*(1-EXP(-'user input'!$C$19*D1248))</f>
        <v>0.80635050640600614</v>
      </c>
      <c r="F1248">
        <f>E1248*'user input'!$C$21</f>
        <v>31.44766974983424</v>
      </c>
    </row>
    <row r="1249" spans="1:6" x14ac:dyDescent="0.2">
      <c r="A1249" s="1">
        <v>41425</v>
      </c>
      <c r="B1249">
        <v>152</v>
      </c>
      <c r="C1249">
        <f>'weather data'!E1249</f>
        <v>22.935555555555549</v>
      </c>
      <c r="D1249">
        <f>LAI!F1249</f>
        <v>0.13300181534997846</v>
      </c>
      <c r="E1249">
        <f>0.5*C1249*(1-EXP(-'user input'!$C$19*D1249))</f>
        <v>0.94975763476841102</v>
      </c>
      <c r="F1249">
        <f>E1249*'user input'!$C$21</f>
        <v>37.040547755968028</v>
      </c>
    </row>
    <row r="1250" spans="1:6" x14ac:dyDescent="0.2">
      <c r="A1250" s="1">
        <v>41426</v>
      </c>
      <c r="B1250">
        <v>153</v>
      </c>
      <c r="C1250">
        <f>'weather data'!E1250</f>
        <v>22.097777777777782</v>
      </c>
      <c r="D1250">
        <f>LAI!F1250</f>
        <v>0.14933970383247799</v>
      </c>
      <c r="E1250">
        <f>0.5*C1250*(1-EXP(-'user input'!$C$19*D1250))</f>
        <v>1.0221134126302196</v>
      </c>
      <c r="F1250">
        <f>E1250*'user input'!$C$21</f>
        <v>39.862423092578567</v>
      </c>
    </row>
    <row r="1251" spans="1:6" x14ac:dyDescent="0.2">
      <c r="A1251" s="1">
        <v>41427</v>
      </c>
      <c r="B1251">
        <v>154</v>
      </c>
      <c r="C1251">
        <f>'weather data'!E1251</f>
        <v>23.393333333333331</v>
      </c>
      <c r="D1251">
        <f>LAI!F1251</f>
        <v>0.17393611053765867</v>
      </c>
      <c r="E1251">
        <f>0.5*C1251*(1-EXP(-'user input'!$C$19*D1251))</f>
        <v>1.250391943037616</v>
      </c>
      <c r="F1251">
        <f>E1251*'user input'!$C$21</f>
        <v>48.765285778467025</v>
      </c>
    </row>
    <row r="1252" spans="1:6" x14ac:dyDescent="0.2">
      <c r="A1252" s="1">
        <v>41428</v>
      </c>
      <c r="B1252">
        <v>155</v>
      </c>
      <c r="C1252">
        <f>'weather data'!E1252</f>
        <v>22.279999999999998</v>
      </c>
      <c r="D1252">
        <f>LAI!F1252</f>
        <v>0.20434950857151002</v>
      </c>
      <c r="E1252">
        <f>0.5*C1252*(1-EXP(-'user input'!$C$19*D1252))</f>
        <v>1.385633275481672</v>
      </c>
      <c r="F1252">
        <f>E1252*'user input'!$C$21</f>
        <v>54.039697743785212</v>
      </c>
    </row>
    <row r="1253" spans="1:6" x14ac:dyDescent="0.2">
      <c r="A1253" s="1">
        <v>41429</v>
      </c>
      <c r="B1253">
        <v>156</v>
      </c>
      <c r="C1253">
        <f>'weather data'!E1253</f>
        <v>21.313333333333325</v>
      </c>
      <c r="D1253">
        <f>LAI!F1253</f>
        <v>0.23134392071500776</v>
      </c>
      <c r="E1253">
        <f>0.5*C1253*(1-EXP(-'user input'!$C$19*D1253))</f>
        <v>1.4878143150665482</v>
      </c>
      <c r="F1253">
        <f>E1253*'user input'!$C$21</f>
        <v>58.024758287595375</v>
      </c>
    </row>
    <row r="1254" spans="1:6" x14ac:dyDescent="0.2">
      <c r="A1254" s="1">
        <v>41430</v>
      </c>
      <c r="B1254">
        <v>157</v>
      </c>
      <c r="C1254">
        <f>'weather data'!E1254</f>
        <v>22.002222222222226</v>
      </c>
      <c r="D1254">
        <f>LAI!F1254</f>
        <v>0.28054581468560402</v>
      </c>
      <c r="E1254">
        <f>0.5*C1254*(1-EXP(-'user input'!$C$19*D1254))</f>
        <v>1.8338230861114841</v>
      </c>
      <c r="F1254">
        <f>E1254*'user input'!$C$21</f>
        <v>71.519100358347885</v>
      </c>
    </row>
    <row r="1255" spans="1:6" x14ac:dyDescent="0.2">
      <c r="A1255" s="1">
        <v>41431</v>
      </c>
      <c r="B1255">
        <v>158</v>
      </c>
      <c r="C1255">
        <f>'weather data'!E1255</f>
        <v>22.086666666666659</v>
      </c>
      <c r="D1255">
        <f>LAI!F1255</f>
        <v>0.33912791375707768</v>
      </c>
      <c r="E1255">
        <f>0.5*C1255*(1-EXP(-'user input'!$C$19*D1255))</f>
        <v>2.1846886405730208</v>
      </c>
      <c r="F1255">
        <f>E1255*'user input'!$C$21</f>
        <v>85.202856982347811</v>
      </c>
    </row>
    <row r="1256" spans="1:6" x14ac:dyDescent="0.2">
      <c r="A1256" s="1">
        <v>41432</v>
      </c>
      <c r="B1256">
        <v>159</v>
      </c>
      <c r="C1256">
        <f>'weather data'!E1256</f>
        <v>23.813333333333325</v>
      </c>
      <c r="D1256">
        <f>LAI!F1256</f>
        <v>0.39519863511302561</v>
      </c>
      <c r="E1256">
        <f>0.5*C1256*(1-EXP(-'user input'!$C$19*D1256))</f>
        <v>2.6973159096440065</v>
      </c>
      <c r="F1256">
        <f>E1256*'user input'!$C$21</f>
        <v>105.19532047611625</v>
      </c>
    </row>
    <row r="1257" spans="1:6" x14ac:dyDescent="0.2">
      <c r="A1257" s="1">
        <v>41433</v>
      </c>
      <c r="B1257">
        <v>160</v>
      </c>
      <c r="C1257">
        <f>'weather data'!E1257</f>
        <v>21.76222222222221</v>
      </c>
      <c r="D1257">
        <f>LAI!F1257</f>
        <v>0.43117438092677463</v>
      </c>
      <c r="E1257">
        <f>0.5*C1257*(1-EXP(-'user input'!$C$19*D1257))</f>
        <v>2.6595096685050295</v>
      </c>
      <c r="F1257">
        <f>E1257*'user input'!$C$21</f>
        <v>103.72087707169615</v>
      </c>
    </row>
    <row r="1258" spans="1:6" x14ac:dyDescent="0.2">
      <c r="A1258" s="1">
        <v>41434</v>
      </c>
      <c r="B1258">
        <v>161</v>
      </c>
      <c r="C1258">
        <f>'weather data'!E1258</f>
        <v>23.468888888888888</v>
      </c>
      <c r="D1258">
        <f>LAI!F1258</f>
        <v>0.45166390121503636</v>
      </c>
      <c r="E1258">
        <f>0.5*C1258*(1-EXP(-'user input'!$C$19*D1258))</f>
        <v>2.9853784547907916</v>
      </c>
      <c r="F1258">
        <f>E1258*'user input'!$C$21</f>
        <v>116.42975973684086</v>
      </c>
    </row>
    <row r="1259" spans="1:6" x14ac:dyDescent="0.2">
      <c r="A1259" s="1">
        <v>41435</v>
      </c>
      <c r="B1259">
        <v>162</v>
      </c>
      <c r="C1259">
        <f>'weather data'!E1259</f>
        <v>20.566666666666666</v>
      </c>
      <c r="D1259">
        <f>LAI!F1259</f>
        <v>0.46136153161961307</v>
      </c>
      <c r="E1259">
        <f>0.5*C1259*(1-EXP(-'user input'!$C$19*D1259))</f>
        <v>2.6643764671156198</v>
      </c>
      <c r="F1259">
        <f>E1259*'user input'!$C$21</f>
        <v>103.91068221750918</v>
      </c>
    </row>
    <row r="1260" spans="1:6" x14ac:dyDescent="0.2">
      <c r="A1260" s="1">
        <v>41436</v>
      </c>
      <c r="B1260">
        <v>163</v>
      </c>
      <c r="C1260">
        <f>'weather data'!E1260</f>
        <v>21.984444444444435</v>
      </c>
      <c r="D1260">
        <f>LAI!F1260</f>
        <v>0.49137636413692887</v>
      </c>
      <c r="E1260">
        <f>0.5*C1260*(1-EXP(-'user input'!$C$19*D1260))</f>
        <v>3.0053971725487241</v>
      </c>
      <c r="F1260">
        <f>E1260*'user input'!$C$21</f>
        <v>117.21048972940024</v>
      </c>
    </row>
    <row r="1261" spans="1:6" x14ac:dyDescent="0.2">
      <c r="A1261" s="1">
        <v>41437</v>
      </c>
      <c r="B1261">
        <v>164</v>
      </c>
      <c r="C1261">
        <f>'weather data'!E1261</f>
        <v>23.388888888888882</v>
      </c>
      <c r="D1261">
        <f>LAI!F1261</f>
        <v>0.5353805590369406</v>
      </c>
      <c r="E1261">
        <f>0.5*C1261*(1-EXP(-'user input'!$C$19*D1261))</f>
        <v>3.4369885924766725</v>
      </c>
      <c r="F1261">
        <f>E1261*'user input'!$C$21</f>
        <v>134.04255510659024</v>
      </c>
    </row>
    <row r="1262" spans="1:6" x14ac:dyDescent="0.2">
      <c r="A1262" s="1">
        <v>41438</v>
      </c>
      <c r="B1262">
        <v>165</v>
      </c>
      <c r="C1262">
        <f>'weather data'!E1262</f>
        <v>21.657777777777785</v>
      </c>
      <c r="D1262">
        <f>LAI!F1262</f>
        <v>0.59177212029315251</v>
      </c>
      <c r="E1262">
        <f>0.5*C1262*(1-EXP(-'user input'!$C$19*D1262))</f>
        <v>3.457798964488473</v>
      </c>
      <c r="F1262">
        <f>E1262*'user input'!$C$21</f>
        <v>134.85415961505043</v>
      </c>
    </row>
    <row r="1263" spans="1:6" x14ac:dyDescent="0.2">
      <c r="A1263" s="1">
        <v>41439</v>
      </c>
      <c r="B1263">
        <v>166</v>
      </c>
      <c r="C1263">
        <f>'weather data'!E1263</f>
        <v>20.875555555555547</v>
      </c>
      <c r="D1263">
        <f>LAI!F1263</f>
        <v>0.64380978151874468</v>
      </c>
      <c r="E1263">
        <f>0.5*C1263*(1-EXP(-'user input'!$C$19*D1263))</f>
        <v>3.5692118158740249</v>
      </c>
      <c r="F1263">
        <f>E1263*'user input'!$C$21</f>
        <v>139.19926081908696</v>
      </c>
    </row>
    <row r="1264" spans="1:6" x14ac:dyDescent="0.2">
      <c r="A1264" s="1">
        <v>41440</v>
      </c>
      <c r="B1264">
        <v>167</v>
      </c>
      <c r="C1264">
        <f>'weather data'!E1264</f>
        <v>21.88</v>
      </c>
      <c r="D1264">
        <f>LAI!F1264</f>
        <v>0.69875322933598261</v>
      </c>
      <c r="E1264">
        <f>0.5*C1264*(1-EXP(-'user input'!$C$19*D1264))</f>
        <v>3.9935120707928902</v>
      </c>
      <c r="F1264">
        <f>E1264*'user input'!$C$21</f>
        <v>155.74697076092272</v>
      </c>
    </row>
    <row r="1265" spans="1:6" x14ac:dyDescent="0.2">
      <c r="A1265" s="1">
        <v>41441</v>
      </c>
      <c r="B1265">
        <v>168</v>
      </c>
      <c r="C1265">
        <f>'weather data'!E1265</f>
        <v>23.36666666666666</v>
      </c>
      <c r="D1265">
        <f>LAI!F1265</f>
        <v>0.76109591707162527</v>
      </c>
      <c r="E1265">
        <f>0.5*C1265*(1-EXP(-'user input'!$C$19*D1265))</f>
        <v>4.5594643190617301</v>
      </c>
      <c r="F1265">
        <f>E1265*'user input'!$C$21</f>
        <v>177.81910844340749</v>
      </c>
    </row>
    <row r="1266" spans="1:6" x14ac:dyDescent="0.2">
      <c r="A1266" s="1">
        <v>41442</v>
      </c>
      <c r="B1266">
        <v>169</v>
      </c>
      <c r="C1266">
        <f>'weather data'!E1266</f>
        <v>21.613333333333337</v>
      </c>
      <c r="D1266">
        <f>LAI!F1266</f>
        <v>0.83620840260592322</v>
      </c>
      <c r="E1266">
        <f>0.5*C1266*(1-EXP(-'user input'!$C$19*D1266))</f>
        <v>4.5313260446006502</v>
      </c>
      <c r="F1266">
        <f>E1266*'user input'!$C$21</f>
        <v>176.72171573942535</v>
      </c>
    </row>
    <row r="1267" spans="1:6" x14ac:dyDescent="0.2">
      <c r="A1267" s="1">
        <v>41443</v>
      </c>
      <c r="B1267">
        <v>170</v>
      </c>
      <c r="C1267">
        <f>'weather data'!E1267</f>
        <v>23.11333333333333</v>
      </c>
      <c r="D1267">
        <f>LAI!F1267</f>
        <v>0.94315301958215603</v>
      </c>
      <c r="E1267">
        <f>0.5*C1267*(1-EXP(-'user input'!$C$19*D1267))</f>
        <v>5.2964611901350169</v>
      </c>
      <c r="F1267">
        <f>E1267*'user input'!$C$21</f>
        <v>206.56198641526566</v>
      </c>
    </row>
    <row r="1268" spans="1:6" x14ac:dyDescent="0.2">
      <c r="A1268" s="1">
        <v>41444</v>
      </c>
      <c r="B1268">
        <v>171</v>
      </c>
      <c r="C1268">
        <f>'weather data'!E1268</f>
        <v>23.373333333333328</v>
      </c>
      <c r="D1268">
        <f>LAI!F1268</f>
        <v>1.0750403318924708</v>
      </c>
      <c r="E1268">
        <f>0.5*C1268*(1-EXP(-'user input'!$C$19*D1268))</f>
        <v>5.8761332596001097</v>
      </c>
      <c r="F1268">
        <f>E1268*'user input'!$C$21</f>
        <v>229.16919712440426</v>
      </c>
    </row>
    <row r="1269" spans="1:6" x14ac:dyDescent="0.2">
      <c r="A1269" s="1">
        <v>41445</v>
      </c>
      <c r="B1269">
        <v>172</v>
      </c>
      <c r="C1269">
        <f>'weather data'!E1269</f>
        <v>22.980000000000004</v>
      </c>
      <c r="D1269">
        <f>LAI!F1269</f>
        <v>1.2160527467092588</v>
      </c>
      <c r="E1269">
        <f>0.5*C1269*(1-EXP(-'user input'!$C$19*D1269))</f>
        <v>6.2775874682753523</v>
      </c>
      <c r="F1269">
        <f>E1269*'user input'!$C$21</f>
        <v>244.82591126273874</v>
      </c>
    </row>
    <row r="1270" spans="1:6" x14ac:dyDescent="0.2">
      <c r="A1270" s="1">
        <v>41446</v>
      </c>
      <c r="B1270">
        <v>173</v>
      </c>
      <c r="C1270">
        <f>'weather data'!E1270</f>
        <v>22.42444444444444</v>
      </c>
      <c r="D1270">
        <f>LAI!F1270</f>
        <v>1.3182572618755095</v>
      </c>
      <c r="E1270">
        <f>0.5*C1270*(1-EXP(-'user input'!$C$19*D1270))</f>
        <v>6.4527478653305357</v>
      </c>
      <c r="F1270">
        <f>E1270*'user input'!$C$21</f>
        <v>251.6571667478909</v>
      </c>
    </row>
    <row r="1271" spans="1:6" x14ac:dyDescent="0.2">
      <c r="A1271" s="1">
        <v>41447</v>
      </c>
      <c r="B1271">
        <v>174</v>
      </c>
      <c r="C1271">
        <f>'weather data'!E1271</f>
        <v>22.90444444444444</v>
      </c>
      <c r="D1271">
        <f>LAI!F1271</f>
        <v>1.3784701981963621</v>
      </c>
      <c r="E1271">
        <f>0.5*C1271*(1-EXP(-'user input'!$C$19*D1271))</f>
        <v>6.7774606404684024</v>
      </c>
      <c r="F1271">
        <f>E1271*'user input'!$C$21</f>
        <v>264.32096497826768</v>
      </c>
    </row>
    <row r="1272" spans="1:6" x14ac:dyDescent="0.2">
      <c r="A1272" s="1">
        <v>41448</v>
      </c>
      <c r="B1272">
        <v>175</v>
      </c>
      <c r="C1272">
        <f>'weather data'!E1272</f>
        <v>23.068888888888885</v>
      </c>
      <c r="D1272">
        <f>LAI!F1272</f>
        <v>1.4503998821109707</v>
      </c>
      <c r="E1272">
        <f>0.5*C1272*(1-EXP(-'user input'!$C$19*D1272))</f>
        <v>7.0411875524820386</v>
      </c>
      <c r="F1272">
        <f>E1272*'user input'!$C$21</f>
        <v>274.60631454679952</v>
      </c>
    </row>
    <row r="1273" spans="1:6" x14ac:dyDescent="0.2">
      <c r="A1273" s="1">
        <v>41449</v>
      </c>
      <c r="B1273">
        <v>176</v>
      </c>
      <c r="C1273">
        <f>'weather data'!E1273</f>
        <v>23.437777777777779</v>
      </c>
      <c r="D1273">
        <f>LAI!F1273</f>
        <v>1.5538270609934108</v>
      </c>
      <c r="E1273">
        <f>0.5*C1273*(1-EXP(-'user input'!$C$19*D1273))</f>
        <v>7.4505941653447056</v>
      </c>
      <c r="F1273">
        <f>E1273*'user input'!$C$21</f>
        <v>290.57317244844353</v>
      </c>
    </row>
    <row r="1274" spans="1:6" x14ac:dyDescent="0.2">
      <c r="A1274" s="1">
        <v>41450</v>
      </c>
      <c r="B1274">
        <v>177</v>
      </c>
      <c r="C1274">
        <f>'weather data'!E1274</f>
        <v>24.166666666666679</v>
      </c>
      <c r="D1274">
        <f>LAI!F1274</f>
        <v>1.6927496579527936</v>
      </c>
      <c r="E1274">
        <f>0.5*C1274*(1-EXP(-'user input'!$C$19*D1274))</f>
        <v>8.0622963920431516</v>
      </c>
      <c r="F1274">
        <f>E1274*'user input'!$C$21</f>
        <v>314.42955928968291</v>
      </c>
    </row>
    <row r="1275" spans="1:6" x14ac:dyDescent="0.2">
      <c r="A1275" s="1">
        <v>41451</v>
      </c>
      <c r="B1275">
        <v>178</v>
      </c>
      <c r="C1275">
        <f>'weather data'!E1275</f>
        <v>24.371111111111112</v>
      </c>
      <c r="D1275">
        <f>LAI!F1275</f>
        <v>1.8515738066998384</v>
      </c>
      <c r="E1275">
        <f>0.5*C1275*(1-EXP(-'user input'!$C$19*D1275))</f>
        <v>8.5282440905460266</v>
      </c>
      <c r="F1275">
        <f>E1275*'user input'!$C$21</f>
        <v>332.60151953129503</v>
      </c>
    </row>
    <row r="1276" spans="1:6" x14ac:dyDescent="0.2">
      <c r="A1276" s="1">
        <v>41452</v>
      </c>
      <c r="B1276">
        <v>179</v>
      </c>
      <c r="C1276">
        <f>'weather data'!E1276</f>
        <v>22.171111111111113</v>
      </c>
      <c r="D1276">
        <f>LAI!F1276</f>
        <v>2.0061398448439989</v>
      </c>
      <c r="E1276">
        <f>0.5*C1276*(1-EXP(-'user input'!$C$19*D1276))</f>
        <v>8.076422365864703</v>
      </c>
      <c r="F1276">
        <f>E1276*'user input'!$C$21</f>
        <v>314.98047226872342</v>
      </c>
    </row>
    <row r="1277" spans="1:6" x14ac:dyDescent="0.2">
      <c r="A1277" s="1">
        <v>41453</v>
      </c>
      <c r="B1277">
        <v>180</v>
      </c>
      <c r="C1277">
        <f>'weather data'!E1277</f>
        <v>22.31111111111111</v>
      </c>
      <c r="D1277">
        <f>LAI!F1277</f>
        <v>2.1524458498262824</v>
      </c>
      <c r="E1277">
        <f>0.5*C1277*(1-EXP(-'user input'!$C$19*D1277))</f>
        <v>8.4021243982142959</v>
      </c>
      <c r="F1277">
        <f>E1277*'user input'!$C$21</f>
        <v>327.68285153035754</v>
      </c>
    </row>
    <row r="1278" spans="1:6" x14ac:dyDescent="0.2">
      <c r="A1278" s="1">
        <v>41454</v>
      </c>
      <c r="B1278">
        <v>181</v>
      </c>
      <c r="C1278">
        <f>'weather data'!E1278</f>
        <v>25.455555555555552</v>
      </c>
      <c r="D1278">
        <f>LAI!F1278</f>
        <v>2.2829520289596692</v>
      </c>
      <c r="E1278">
        <f>0.5*C1278*(1-EXP(-'user input'!$C$19*D1278))</f>
        <v>9.8417877275693737</v>
      </c>
      <c r="F1278">
        <f>E1278*'user input'!$C$21</f>
        <v>383.82972137520557</v>
      </c>
    </row>
    <row r="1279" spans="1:6" x14ac:dyDescent="0.2">
      <c r="A1279" s="1">
        <v>41455</v>
      </c>
      <c r="B1279">
        <v>182</v>
      </c>
      <c r="C1279">
        <f>'weather data'!E1279</f>
        <v>25.371111111111109</v>
      </c>
      <c r="D1279">
        <f>LAI!F1279</f>
        <v>2.3756914665023312</v>
      </c>
      <c r="E1279">
        <f>0.5*C1279*(1-EXP(-'user input'!$C$19*D1279))</f>
        <v>9.9774088319364616</v>
      </c>
      <c r="F1279">
        <f>E1279*'user input'!$C$21</f>
        <v>389.118944445522</v>
      </c>
    </row>
    <row r="1280" spans="1:6" x14ac:dyDescent="0.2">
      <c r="A1280" s="1">
        <v>41456</v>
      </c>
      <c r="B1280">
        <v>183</v>
      </c>
      <c r="C1280">
        <f>'weather data'!E1280</f>
        <v>23.746666666666659</v>
      </c>
      <c r="D1280">
        <f>LAI!F1280</f>
        <v>2.436897675659397</v>
      </c>
      <c r="E1280">
        <f>0.5*C1280*(1-EXP(-'user input'!$C$19*D1280))</f>
        <v>9.4374450209657095</v>
      </c>
      <c r="F1280">
        <f>E1280*'user input'!$C$21</f>
        <v>368.0603558176627</v>
      </c>
    </row>
    <row r="1281" spans="1:6" x14ac:dyDescent="0.2">
      <c r="A1281" s="1">
        <v>41457</v>
      </c>
      <c r="B1281">
        <v>184</v>
      </c>
      <c r="C1281">
        <f>'weather data'!E1281</f>
        <v>22.228888888888893</v>
      </c>
      <c r="D1281">
        <f>LAI!F1281</f>
        <v>2.4919780974725625</v>
      </c>
      <c r="E1281">
        <f>0.5*C1281*(1-EXP(-'user input'!$C$19*D1281))</f>
        <v>8.9144390765711421</v>
      </c>
      <c r="F1281">
        <f>E1281*'user input'!$C$21</f>
        <v>347.66312398627451</v>
      </c>
    </row>
    <row r="1282" spans="1:6" x14ac:dyDescent="0.2">
      <c r="A1282" s="1">
        <v>41458</v>
      </c>
      <c r="B1282">
        <v>185</v>
      </c>
      <c r="C1282">
        <f>'weather data'!E1282</f>
        <v>22.664444444444449</v>
      </c>
      <c r="D1282">
        <f>LAI!F1282</f>
        <v>2.5448992445712517</v>
      </c>
      <c r="E1282">
        <f>0.5*C1282*(1-EXP(-'user input'!$C$19*D1282))</f>
        <v>9.1649579179169667</v>
      </c>
      <c r="F1282">
        <f>E1282*'user input'!$C$21</f>
        <v>357.43335879876167</v>
      </c>
    </row>
    <row r="1283" spans="1:6" x14ac:dyDescent="0.2">
      <c r="A1283" s="1">
        <v>41459</v>
      </c>
      <c r="B1283">
        <v>186</v>
      </c>
      <c r="C1283">
        <f>'weather data'!E1283</f>
        <v>24.606666666666666</v>
      </c>
      <c r="D1283">
        <f>LAI!F1283</f>
        <v>2.5934313929645403</v>
      </c>
      <c r="E1283">
        <f>0.5*C1283*(1-EXP(-'user input'!$C$19*D1283))</f>
        <v>10.023414545531402</v>
      </c>
      <c r="F1283">
        <f>E1283*'user input'!$C$21</f>
        <v>390.91316727572467</v>
      </c>
    </row>
    <row r="1284" spans="1:6" x14ac:dyDescent="0.2">
      <c r="A1284" s="1">
        <v>41460</v>
      </c>
      <c r="B1284">
        <v>187</v>
      </c>
      <c r="C1284">
        <f>'weather data'!E1284</f>
        <v>23.071111111111112</v>
      </c>
      <c r="D1284">
        <f>LAI!F1284</f>
        <v>2.6228415118394812</v>
      </c>
      <c r="E1284">
        <f>0.5*C1284*(1-EXP(-'user input'!$C$19*D1284))</f>
        <v>9.4383892181745956</v>
      </c>
      <c r="F1284">
        <f>E1284*'user input'!$C$21</f>
        <v>368.09717950880923</v>
      </c>
    </row>
    <row r="1285" spans="1:6" x14ac:dyDescent="0.2">
      <c r="A1285" s="1">
        <v>41461</v>
      </c>
      <c r="B1285">
        <v>188</v>
      </c>
      <c r="C1285">
        <f>'weather data'!E1285</f>
        <v>23.468888888888888</v>
      </c>
      <c r="D1285">
        <f>LAI!F1285</f>
        <v>2.6536051600197541</v>
      </c>
      <c r="E1285">
        <f>0.5*C1285*(1-EXP(-'user input'!$C$19*D1285))</f>
        <v>9.6433551318228279</v>
      </c>
      <c r="F1285">
        <f>E1285*'user input'!$C$21</f>
        <v>376.0908501410903</v>
      </c>
    </row>
    <row r="1286" spans="1:6" x14ac:dyDescent="0.2">
      <c r="A1286" s="1">
        <v>41462</v>
      </c>
      <c r="B1286">
        <v>189</v>
      </c>
      <c r="C1286">
        <f>'weather data'!E1286</f>
        <v>22.911111111111111</v>
      </c>
      <c r="D1286">
        <f>LAI!F1286</f>
        <v>2.693135306343827</v>
      </c>
      <c r="E1286">
        <f>0.5*C1286*(1-EXP(-'user input'!$C$19*D1286))</f>
        <v>9.4659490872437271</v>
      </c>
      <c r="F1286">
        <f>E1286*'user input'!$C$21</f>
        <v>369.17201440250534</v>
      </c>
    </row>
    <row r="1287" spans="1:6" x14ac:dyDescent="0.2">
      <c r="A1287" s="1">
        <v>41463</v>
      </c>
      <c r="B1287">
        <v>190</v>
      </c>
      <c r="C1287">
        <f>'weather data'!E1287</f>
        <v>22.133333333333333</v>
      </c>
      <c r="D1287">
        <f>LAI!F1287</f>
        <v>2.7200788276750316</v>
      </c>
      <c r="E1287">
        <f>0.5*C1287*(1-EXP(-'user input'!$C$19*D1287))</f>
        <v>9.1779712230632313</v>
      </c>
      <c r="F1287">
        <f>E1287*'user input'!$C$21</f>
        <v>357.940877699466</v>
      </c>
    </row>
    <row r="1288" spans="1:6" x14ac:dyDescent="0.2">
      <c r="A1288" s="1">
        <v>41464</v>
      </c>
      <c r="B1288">
        <v>191</v>
      </c>
      <c r="C1288">
        <f>'weather data'!E1288</f>
        <v>23.479999999999993</v>
      </c>
      <c r="D1288">
        <f>LAI!F1288</f>
        <v>2.744302486641411</v>
      </c>
      <c r="E1288">
        <f>0.5*C1288*(1-EXP(-'user input'!$C$19*D1288))</f>
        <v>9.7676904862808911</v>
      </c>
      <c r="F1288">
        <f>E1288*'user input'!$C$21</f>
        <v>380.93992896495473</v>
      </c>
    </row>
    <row r="1289" spans="1:6" x14ac:dyDescent="0.2">
      <c r="A1289" s="1">
        <v>41465</v>
      </c>
      <c r="B1289">
        <v>192</v>
      </c>
      <c r="C1289">
        <f>'weather data'!E1289</f>
        <v>23.637777777777778</v>
      </c>
      <c r="D1289">
        <f>LAI!F1289</f>
        <v>2.7652500502529405</v>
      </c>
      <c r="E1289">
        <f>0.5*C1289*(1-EXP(-'user input'!$C$19*D1289))</f>
        <v>9.8601781465957412</v>
      </c>
      <c r="F1289">
        <f>E1289*'user input'!$C$21</f>
        <v>384.54694771723393</v>
      </c>
    </row>
    <row r="1290" spans="1:6" x14ac:dyDescent="0.2">
      <c r="A1290" s="1">
        <v>41466</v>
      </c>
      <c r="B1290">
        <v>193</v>
      </c>
      <c r="C1290">
        <f>'weather data'!E1290</f>
        <v>22.757777777777775</v>
      </c>
      <c r="D1290">
        <f>LAI!F1290</f>
        <v>2.7851628324407609</v>
      </c>
      <c r="E1290">
        <f>0.5*C1290*(1-EXP(-'user input'!$C$19*D1290))</f>
        <v>9.5173491801871339</v>
      </c>
      <c r="F1290">
        <f>E1290*'user input'!$C$21</f>
        <v>371.17661802729822</v>
      </c>
    </row>
    <row r="1291" spans="1:6" x14ac:dyDescent="0.2">
      <c r="A1291" s="1">
        <v>41467</v>
      </c>
      <c r="B1291">
        <v>194</v>
      </c>
      <c r="C1291">
        <f>'weather data'!E1291</f>
        <v>22.486666666666665</v>
      </c>
      <c r="D1291">
        <f>LAI!F1291</f>
        <v>2.8012714484044716</v>
      </c>
      <c r="E1291">
        <f>0.5*C1291*(1-EXP(-'user input'!$C$19*D1291))</f>
        <v>9.4231287213385411</v>
      </c>
      <c r="F1291">
        <f>E1291*'user input'!$C$21</f>
        <v>367.50202013220309</v>
      </c>
    </row>
    <row r="1292" spans="1:6" x14ac:dyDescent="0.2">
      <c r="A1292" s="1">
        <v>41468</v>
      </c>
      <c r="B1292">
        <v>195</v>
      </c>
      <c r="C1292">
        <f>'weather data'!E1292</f>
        <v>23.213333333333335</v>
      </c>
      <c r="D1292">
        <f>LAI!F1292</f>
        <v>2.8148861504682707</v>
      </c>
      <c r="E1292">
        <f>0.5*C1292*(1-EXP(-'user input'!$C$19*D1292))</f>
        <v>9.7441965100175576</v>
      </c>
      <c r="F1292">
        <f>E1292*'user input'!$C$21</f>
        <v>380.02366389068476</v>
      </c>
    </row>
    <row r="1293" spans="1:6" x14ac:dyDescent="0.2">
      <c r="A1293" s="1">
        <v>41469</v>
      </c>
      <c r="B1293">
        <v>196</v>
      </c>
      <c r="C1293">
        <f>'weather data'!E1293</f>
        <v>23.213333333333335</v>
      </c>
      <c r="D1293">
        <f>LAI!F1293</f>
        <v>2.8253917531603228</v>
      </c>
      <c r="E1293">
        <f>0.5*C1293*(1-EXP(-'user input'!$C$19*D1293))</f>
        <v>9.7568713263445481</v>
      </c>
      <c r="F1293">
        <f>E1293*'user input'!$C$21</f>
        <v>380.51798172743736</v>
      </c>
    </row>
    <row r="1294" spans="1:6" x14ac:dyDescent="0.2">
      <c r="A1294" s="1">
        <v>41470</v>
      </c>
      <c r="B1294">
        <v>197</v>
      </c>
      <c r="C1294">
        <f>'weather data'!E1294</f>
        <v>24.926666666666669</v>
      </c>
      <c r="D1294">
        <f>LAI!F1294</f>
        <v>2.8339407758191602</v>
      </c>
      <c r="E1294">
        <f>0.5*C1294*(1-EXP(-'user input'!$C$19*D1294))</f>
        <v>10.488015139775287</v>
      </c>
      <c r="F1294">
        <f>E1294*'user input'!$C$21</f>
        <v>409.03259045123622</v>
      </c>
    </row>
    <row r="1295" spans="1:6" x14ac:dyDescent="0.2">
      <c r="A1295" s="1">
        <v>41471</v>
      </c>
      <c r="B1295">
        <v>198</v>
      </c>
      <c r="C1295">
        <f>'weather data'!E1295</f>
        <v>22.395555555555553</v>
      </c>
      <c r="D1295">
        <f>LAI!F1295</f>
        <v>2.840466489491535</v>
      </c>
      <c r="E1295">
        <f>0.5*C1295*(1-EXP(-'user input'!$C$19*D1295))</f>
        <v>9.4305499359887559</v>
      </c>
      <c r="F1295">
        <f>E1295*'user input'!$C$21</f>
        <v>367.79144750356147</v>
      </c>
    </row>
    <row r="1296" spans="1:6" x14ac:dyDescent="0.2">
      <c r="A1296" s="1">
        <v>41472</v>
      </c>
      <c r="B1296">
        <v>199</v>
      </c>
      <c r="C1296">
        <f>'weather data'!E1296</f>
        <v>20.604444444444447</v>
      </c>
      <c r="D1296">
        <f>LAI!F1296</f>
        <v>2.8447701402035155</v>
      </c>
      <c r="E1296">
        <f>0.5*C1296*(1-EXP(-'user input'!$C$19*D1296))</f>
        <v>8.6808723924399569</v>
      </c>
      <c r="F1296">
        <f>E1296*'user input'!$C$21</f>
        <v>338.5540233051583</v>
      </c>
    </row>
    <row r="1297" spans="1:6" x14ac:dyDescent="0.2">
      <c r="A1297" s="1">
        <v>41473</v>
      </c>
      <c r="B1297">
        <v>200</v>
      </c>
      <c r="C1297">
        <f>'weather data'!E1297</f>
        <v>19.959999999999997</v>
      </c>
      <c r="D1297">
        <f>LAI!F1297</f>
        <v>2.8483539927149679</v>
      </c>
      <c r="E1297">
        <f>0.5*C1297*(1-EXP(-'user input'!$C$19*D1297))</f>
        <v>8.4130156202721267</v>
      </c>
      <c r="F1297">
        <f>E1297*'user input'!$C$21</f>
        <v>328.10760919061295</v>
      </c>
    </row>
    <row r="1298" spans="1:6" x14ac:dyDescent="0.2">
      <c r="A1298" s="1">
        <v>41474</v>
      </c>
      <c r="B1298">
        <v>201</v>
      </c>
      <c r="C1298">
        <f>'weather data'!E1298</f>
        <v>21.315555555555552</v>
      </c>
      <c r="D1298">
        <f>LAI!F1298</f>
        <v>2.85128740197004</v>
      </c>
      <c r="E1298">
        <f>0.5*C1298*(1-EXP(-'user input'!$C$19*D1298))</f>
        <v>8.9875615059996203</v>
      </c>
      <c r="F1298">
        <f>E1298*'user input'!$C$21</f>
        <v>350.51489873398521</v>
      </c>
    </row>
    <row r="1299" spans="1:6" x14ac:dyDescent="0.2">
      <c r="A1299" s="1">
        <v>41475</v>
      </c>
      <c r="B1299">
        <v>202</v>
      </c>
      <c r="C1299">
        <f>'weather data'!E1299</f>
        <v>21.008888888888883</v>
      </c>
      <c r="D1299">
        <f>LAI!F1299</f>
        <v>2.8534567783502327</v>
      </c>
      <c r="E1299">
        <f>0.5*C1299*(1-EXP(-'user input'!$C$19*D1299))</f>
        <v>8.8605771995359532</v>
      </c>
      <c r="F1299">
        <f>E1299*'user input'!$C$21</f>
        <v>345.56251078190218</v>
      </c>
    </row>
    <row r="1300" spans="1:6" x14ac:dyDescent="0.2">
      <c r="A1300" s="1">
        <v>41476</v>
      </c>
      <c r="B1300">
        <v>203</v>
      </c>
      <c r="C1300">
        <f>'weather data'!E1300</f>
        <v>22.064444444444447</v>
      </c>
      <c r="D1300">
        <f>LAI!F1300</f>
        <v>2.8553634772162524</v>
      </c>
      <c r="E1300">
        <f>0.5*C1300*(1-EXP(-'user input'!$C$19*D1300))</f>
        <v>9.3079000605230746</v>
      </c>
      <c r="F1300">
        <f>E1300*'user input'!$C$21</f>
        <v>363.0081023603999</v>
      </c>
    </row>
    <row r="1301" spans="1:6" x14ac:dyDescent="0.2">
      <c r="A1301" s="1">
        <v>41477</v>
      </c>
      <c r="B1301">
        <v>204</v>
      </c>
      <c r="C1301">
        <f>'weather data'!E1301</f>
        <v>21.877777777777776</v>
      </c>
      <c r="D1301">
        <f>LAI!F1301</f>
        <v>2.8570701704768307</v>
      </c>
      <c r="E1301">
        <f>0.5*C1301*(1-EXP(-'user input'!$C$19*D1301))</f>
        <v>9.2310502504201803</v>
      </c>
      <c r="F1301">
        <f>E1301*'user input'!$C$21</f>
        <v>360.01095976638703</v>
      </c>
    </row>
    <row r="1302" spans="1:6" x14ac:dyDescent="0.2">
      <c r="A1302" s="1">
        <v>41478</v>
      </c>
      <c r="B1302">
        <v>205</v>
      </c>
      <c r="C1302">
        <f>'weather data'!E1302</f>
        <v>23.522222222222226</v>
      </c>
      <c r="D1302">
        <f>LAI!F1302</f>
        <v>2.8586156904596081</v>
      </c>
      <c r="E1302">
        <f>0.5*C1302*(1-EXP(-'user input'!$C$19*D1302))</f>
        <v>9.9267463883304465</v>
      </c>
      <c r="F1302">
        <f>E1302*'user input'!$C$21</f>
        <v>387.14310914488743</v>
      </c>
    </row>
    <row r="1303" spans="1:6" x14ac:dyDescent="0.2">
      <c r="A1303" s="1">
        <v>41479</v>
      </c>
      <c r="B1303">
        <v>206</v>
      </c>
      <c r="C1303">
        <f>'weather data'!E1303</f>
        <v>21.008888888888887</v>
      </c>
      <c r="D1303">
        <f>LAI!F1303</f>
        <v>2.8601463099355806</v>
      </c>
      <c r="E1303">
        <f>0.5*C1303*(1-EXP(-'user input'!$C$19*D1303))</f>
        <v>8.8677095381041458</v>
      </c>
      <c r="F1303">
        <f>E1303*'user input'!$C$21</f>
        <v>345.84067198606169</v>
      </c>
    </row>
    <row r="1304" spans="1:6" x14ac:dyDescent="0.2">
      <c r="A1304" s="1">
        <v>41480</v>
      </c>
      <c r="B1304">
        <v>207</v>
      </c>
      <c r="C1304">
        <f>'weather data'!E1304</f>
        <v>20.684444444444445</v>
      </c>
      <c r="D1304">
        <f>LAI!F1304</f>
        <v>2.8613167623213105</v>
      </c>
      <c r="E1304">
        <f>0.5*C1304*(1-EXP(-'user input'!$C$19*D1304))</f>
        <v>8.7319892599552063</v>
      </c>
      <c r="F1304">
        <f>E1304*'user input'!$C$21</f>
        <v>340.54758113825307</v>
      </c>
    </row>
    <row r="1305" spans="1:6" x14ac:dyDescent="0.2">
      <c r="A1305" s="1">
        <v>41481</v>
      </c>
      <c r="B1305">
        <v>208</v>
      </c>
      <c r="C1305">
        <f>'weather data'!E1305</f>
        <v>21.106666666666669</v>
      </c>
      <c r="D1305">
        <f>LAI!F1305</f>
        <v>2.8623402440101926</v>
      </c>
      <c r="E1305">
        <f>0.5*C1305*(1-EXP(-'user input'!$C$19*D1305))</f>
        <v>8.9113241444327809</v>
      </c>
      <c r="F1305">
        <f>E1305*'user input'!$C$21</f>
        <v>347.54164163287845</v>
      </c>
    </row>
    <row r="1306" spans="1:6" x14ac:dyDescent="0.2">
      <c r="A1306" s="1">
        <v>41482</v>
      </c>
      <c r="B1306">
        <v>209</v>
      </c>
      <c r="C1306">
        <f>'weather data'!E1306</f>
        <v>20.757777777777772</v>
      </c>
      <c r="D1306">
        <f>LAI!F1306</f>
        <v>2.8632103141342995</v>
      </c>
      <c r="E1306">
        <f>0.5*C1306*(1-EXP(-'user input'!$C$19*D1306))</f>
        <v>8.7649347992511437</v>
      </c>
      <c r="F1306">
        <f>E1306*'user input'!$C$21</f>
        <v>341.83245717079461</v>
      </c>
    </row>
    <row r="1307" spans="1:6" x14ac:dyDescent="0.2">
      <c r="A1307" s="1">
        <v>41483</v>
      </c>
      <c r="B1307">
        <v>210</v>
      </c>
      <c r="C1307">
        <f>'weather data'!E1307</f>
        <v>21.942222222222224</v>
      </c>
      <c r="D1307">
        <f>LAI!F1307</f>
        <v>2.8639108176749106</v>
      </c>
      <c r="E1307">
        <f>0.5*C1307*(1-EXP(-'user input'!$C$19*D1307))</f>
        <v>9.265840995090791</v>
      </c>
      <c r="F1307">
        <f>E1307*'user input'!$C$21</f>
        <v>361.36779880854084</v>
      </c>
    </row>
    <row r="1308" spans="1:6" x14ac:dyDescent="0.2">
      <c r="A1308" s="1">
        <v>41484</v>
      </c>
      <c r="B1308">
        <v>211</v>
      </c>
      <c r="C1308">
        <f>'weather data'!E1308</f>
        <v>21.31999999999999</v>
      </c>
      <c r="D1308">
        <f>LAI!F1308</f>
        <v>2.864293496761714</v>
      </c>
      <c r="E1308">
        <f>0.5*C1308*(1-EXP(-'user input'!$C$19*D1308))</f>
        <v>9.0034988353396646</v>
      </c>
      <c r="F1308">
        <f>E1308*'user input'!$C$21</f>
        <v>351.13645457824691</v>
      </c>
    </row>
    <row r="1309" spans="1:6" x14ac:dyDescent="0.2">
      <c r="A1309" s="1">
        <v>41485</v>
      </c>
      <c r="B1309">
        <v>212</v>
      </c>
      <c r="C1309">
        <f>'weather data'!E1309</f>
        <v>21.69777777777778</v>
      </c>
      <c r="D1309">
        <f>LAI!F1309</f>
        <v>2.8647260273459203</v>
      </c>
      <c r="E1309">
        <f>0.5*C1309*(1-EXP(-'user input'!$C$19*D1309))</f>
        <v>9.1635094067265594</v>
      </c>
      <c r="F1309">
        <f>E1309*'user input'!$C$21</f>
        <v>357.37686686233582</v>
      </c>
    </row>
    <row r="1310" spans="1:6" x14ac:dyDescent="0.2">
      <c r="A1310" s="1">
        <v>41486</v>
      </c>
      <c r="B1310">
        <v>213</v>
      </c>
      <c r="C1310">
        <f>'weather data'!E1310</f>
        <v>21.27999999999999</v>
      </c>
      <c r="D1310">
        <f>LAI!F1310</f>
        <v>2.8651430710344528</v>
      </c>
      <c r="E1310">
        <f>0.5*C1310*(1-EXP(-'user input'!$C$19*D1310))</f>
        <v>8.9875195076516476</v>
      </c>
      <c r="F1310">
        <f>E1310*'user input'!$C$21</f>
        <v>350.51326079841425</v>
      </c>
    </row>
    <row r="1311" spans="1:6" x14ac:dyDescent="0.2">
      <c r="A1311" s="1">
        <v>41487</v>
      </c>
      <c r="B1311">
        <v>214</v>
      </c>
      <c r="C1311">
        <f>'weather data'!E1311</f>
        <v>22.631111111111117</v>
      </c>
      <c r="D1311">
        <f>LAI!F1311</f>
        <v>2.8655062556568898</v>
      </c>
      <c r="E1311">
        <f>0.5*C1311*(1-EXP(-'user input'!$C$19*D1311))</f>
        <v>9.5585704873021555</v>
      </c>
      <c r="F1311">
        <f>E1311*'user input'!$C$21</f>
        <v>372.78424900478404</v>
      </c>
    </row>
    <row r="1312" spans="1:6" x14ac:dyDescent="0.2">
      <c r="A1312" s="1">
        <v>41488</v>
      </c>
      <c r="B1312">
        <v>215</v>
      </c>
      <c r="C1312">
        <f>'weather data'!E1312</f>
        <v>21.322222222222216</v>
      </c>
      <c r="D1312">
        <f>LAI!F1312</f>
        <v>2.8658044637790128</v>
      </c>
      <c r="E1312">
        <f>0.5*C1312*(1-EXP(-'user input'!$C$19*D1312))</f>
        <v>9.0060635542807095</v>
      </c>
      <c r="F1312">
        <f>E1312*'user input'!$C$21</f>
        <v>351.23647861694769</v>
      </c>
    </row>
    <row r="1313" spans="1:6" x14ac:dyDescent="0.2">
      <c r="A1313" s="1">
        <v>41489</v>
      </c>
      <c r="B1313">
        <v>216</v>
      </c>
      <c r="C1313">
        <f>'weather data'!E1313</f>
        <v>19.813333333333325</v>
      </c>
      <c r="D1313">
        <f>LAI!F1313</f>
        <v>2.8660058272457443</v>
      </c>
      <c r="E1313">
        <f>0.5*C1313*(1-EXP(-'user input'!$C$19*D1313))</f>
        <v>8.3689415251703814</v>
      </c>
      <c r="F1313">
        <f>E1313*'user input'!$C$21</f>
        <v>326.3887194816449</v>
      </c>
    </row>
    <row r="1314" spans="1:6" x14ac:dyDescent="0.2">
      <c r="A1314" s="1">
        <v>41490</v>
      </c>
      <c r="B1314">
        <v>217</v>
      </c>
      <c r="C1314">
        <f>'weather data'!E1314</f>
        <v>19.868888888888886</v>
      </c>
      <c r="D1314">
        <f>LAI!F1314</f>
        <v>2.8662015975500865</v>
      </c>
      <c r="E1314">
        <f>0.5*C1314*(1-EXP(-'user input'!$C$19*D1314))</f>
        <v>8.3926038144565194</v>
      </c>
      <c r="F1314">
        <f>E1314*'user input'!$C$21</f>
        <v>327.31154876380424</v>
      </c>
    </row>
    <row r="1315" spans="1:6" x14ac:dyDescent="0.2">
      <c r="A1315" s="1">
        <v>41491</v>
      </c>
      <c r="B1315">
        <v>218</v>
      </c>
      <c r="C1315">
        <f>'weather data'!E1315</f>
        <v>20.691111111111113</v>
      </c>
      <c r="D1315">
        <f>LAI!F1315</f>
        <v>2.8663563422260534</v>
      </c>
      <c r="E1315">
        <f>0.5*C1315*(1-EXP(-'user input'!$C$19*D1315))</f>
        <v>8.7400713607103615</v>
      </c>
      <c r="F1315">
        <f>E1315*'user input'!$C$21</f>
        <v>340.86278306770407</v>
      </c>
    </row>
    <row r="1316" spans="1:6" x14ac:dyDescent="0.2">
      <c r="A1316" s="1">
        <v>41492</v>
      </c>
      <c r="B1316">
        <v>219</v>
      </c>
      <c r="C1316">
        <f>'weather data'!E1316</f>
        <v>21.084444444444447</v>
      </c>
      <c r="D1316">
        <f>LAI!F1316</f>
        <v>2.8664599249088738</v>
      </c>
      <c r="E1316">
        <f>0.5*C1316*(1-EXP(-'user input'!$C$19*D1316))</f>
        <v>8.9063282830496444</v>
      </c>
      <c r="F1316">
        <f>E1316*'user input'!$C$21</f>
        <v>347.34680303893612</v>
      </c>
    </row>
    <row r="1317" spans="1:6" x14ac:dyDescent="0.2">
      <c r="A1317" s="1">
        <v>41493</v>
      </c>
      <c r="B1317">
        <v>220</v>
      </c>
      <c r="C1317">
        <f>'weather data'!E1317</f>
        <v>20.291111111111103</v>
      </c>
      <c r="D1317">
        <f>LAI!F1317</f>
        <v>2.8665592146714003</v>
      </c>
      <c r="E1317">
        <f>0.5*C1317*(1-EXP(-'user input'!$C$19*D1317))</f>
        <v>8.5713161417704598</v>
      </c>
      <c r="F1317">
        <f>E1317*'user input'!$C$21</f>
        <v>334.28132952904792</v>
      </c>
    </row>
    <row r="1318" spans="1:6" x14ac:dyDescent="0.2">
      <c r="A1318" s="1">
        <v>41494</v>
      </c>
      <c r="B1318">
        <v>221</v>
      </c>
      <c r="C1318">
        <f>'weather data'!E1318</f>
        <v>20.335555555555551</v>
      </c>
      <c r="D1318">
        <f>LAI!F1318</f>
        <v>2.8666523080198947</v>
      </c>
      <c r="E1318">
        <f>0.5*C1318*(1-EXP(-'user input'!$C$19*D1318))</f>
        <v>8.5901857075454711</v>
      </c>
      <c r="F1318">
        <f>E1318*'user input'!$C$21</f>
        <v>335.0172425942734</v>
      </c>
    </row>
    <row r="1319" spans="1:6" x14ac:dyDescent="0.2">
      <c r="A1319" s="1">
        <v>41495</v>
      </c>
      <c r="B1319">
        <v>222</v>
      </c>
      <c r="C1319">
        <f>'weather data'!E1319</f>
        <v>20.286666666666665</v>
      </c>
      <c r="D1319">
        <f>LAI!F1319</f>
        <v>2.8667378087409343</v>
      </c>
      <c r="E1319">
        <f>0.5*C1319*(1-EXP(-'user input'!$C$19*D1319))</f>
        <v>8.56962142835091</v>
      </c>
      <c r="F1319">
        <f>E1319*'user input'!$C$21</f>
        <v>334.21523570568547</v>
      </c>
    </row>
    <row r="1320" spans="1:6" x14ac:dyDescent="0.2">
      <c r="A1320" s="1">
        <v>41496</v>
      </c>
      <c r="B1320">
        <v>223</v>
      </c>
      <c r="C1320">
        <f>'weather data'!E1320</f>
        <v>19.695555555555561</v>
      </c>
      <c r="D1320">
        <f>LAI!F1320</f>
        <v>2.8668018650169538</v>
      </c>
      <c r="E1320">
        <f>0.5*C1320*(1-EXP(-'user input'!$C$19*D1320))</f>
        <v>8.3199841654535334</v>
      </c>
      <c r="F1320">
        <f>E1320*'user input'!$C$21</f>
        <v>324.47938245268779</v>
      </c>
    </row>
    <row r="1321" spans="1:6" x14ac:dyDescent="0.2">
      <c r="A1321" s="1">
        <v>41497</v>
      </c>
      <c r="B1321">
        <v>224</v>
      </c>
      <c r="C1321">
        <f>'weather data'!E1321</f>
        <v>19.864444444444441</v>
      </c>
      <c r="D1321">
        <f>LAI!F1321</f>
        <v>2.8668579701771324</v>
      </c>
      <c r="E1321">
        <f>0.5*C1321*(1-EXP(-'user input'!$C$19*D1321))</f>
        <v>8.3913840113156652</v>
      </c>
      <c r="F1321">
        <f>E1321*'user input'!$C$21</f>
        <v>327.26397644131094</v>
      </c>
    </row>
    <row r="1322" spans="1:6" x14ac:dyDescent="0.2">
      <c r="A1322" s="1">
        <v>41498</v>
      </c>
      <c r="B1322">
        <v>225</v>
      </c>
      <c r="C1322">
        <f>'weather data'!E1322</f>
        <v>19.211111111111116</v>
      </c>
      <c r="D1322">
        <f>LAI!F1322</f>
        <v>2.866912640517314</v>
      </c>
      <c r="E1322">
        <f>0.5*C1322*(1-EXP(-'user input'!$C$19*D1322))</f>
        <v>8.1154478268971015</v>
      </c>
      <c r="F1322">
        <f>E1322*'user input'!$C$21</f>
        <v>316.50246524898694</v>
      </c>
    </row>
    <row r="1323" spans="1:6" x14ac:dyDescent="0.2">
      <c r="A1323" s="1">
        <v>41499</v>
      </c>
      <c r="B1323">
        <v>226</v>
      </c>
      <c r="C1323">
        <f>'weather data'!E1323</f>
        <v>19.971111111111117</v>
      </c>
      <c r="D1323">
        <f>LAI!F1323</f>
        <v>2.8669591124971006</v>
      </c>
      <c r="E1323">
        <f>0.5*C1323*(1-EXP(-'user input'!$C$19*D1323))</f>
        <v>8.4365453014882608</v>
      </c>
      <c r="F1323">
        <f>E1323*'user input'!$C$21</f>
        <v>329.02526675804216</v>
      </c>
    </row>
    <row r="1324" spans="1:6" x14ac:dyDescent="0.2">
      <c r="A1324" s="1">
        <v>41500</v>
      </c>
      <c r="B1324">
        <v>227</v>
      </c>
      <c r="C1324">
        <f>'weather data'!E1324</f>
        <v>19.895555555555553</v>
      </c>
      <c r="D1324">
        <f>LAI!F1324</f>
        <v>2.99305555555555</v>
      </c>
      <c r="E1324">
        <f>0.5*C1324*(1-EXP(-'user input'!$C$19*D1324))</f>
        <v>8.5260639338508604</v>
      </c>
      <c r="F1324">
        <f>E1324*'user input'!$C$21</f>
        <v>332.51649342018356</v>
      </c>
    </row>
    <row r="1325" spans="1:6" x14ac:dyDescent="0.2">
      <c r="A1325" s="1">
        <v>41501</v>
      </c>
      <c r="B1325">
        <v>228</v>
      </c>
      <c r="C1325">
        <f>'weather data'!E1325</f>
        <v>19.86</v>
      </c>
      <c r="D1325">
        <f>LAI!F1325</f>
        <v>2.7986111111111041</v>
      </c>
      <c r="E1325">
        <f>0.5*C1325*(1-EXP(-'user input'!$C$19*D1325))</f>
        <v>8.3196311440434627</v>
      </c>
      <c r="F1325">
        <f>E1325*'user input'!$C$21</f>
        <v>324.46561461769505</v>
      </c>
    </row>
    <row r="1326" spans="1:6" x14ac:dyDescent="0.2">
      <c r="A1326" s="1">
        <v>41502</v>
      </c>
      <c r="B1326">
        <v>229</v>
      </c>
      <c r="C1326">
        <f>'weather data'!E1326</f>
        <v>19.584444444444447</v>
      </c>
      <c r="D1326">
        <f>LAI!F1326</f>
        <v>2.5624999999999947</v>
      </c>
      <c r="E1326">
        <f>0.5*C1326*(1-EXP(-'user input'!$C$19*D1326))</f>
        <v>7.9407827682375647</v>
      </c>
      <c r="F1326">
        <f>E1326*'user input'!$C$21</f>
        <v>309.69052796126505</v>
      </c>
    </row>
    <row r="1327" spans="1:6" x14ac:dyDescent="0.2">
      <c r="A1327" s="1">
        <v>41503</v>
      </c>
      <c r="B1327">
        <v>230</v>
      </c>
      <c r="C1327">
        <f>'weather data'!E1327</f>
        <v>18.513333333333335</v>
      </c>
      <c r="D1327">
        <f>LAI!F1327</f>
        <v>2.2638888888888857</v>
      </c>
      <c r="E1327">
        <f>0.5*C1327*(1-EXP(-'user input'!$C$19*D1327))</f>
        <v>7.1315722455140591</v>
      </c>
      <c r="F1327">
        <f>E1327*'user input'!$C$21</f>
        <v>278.13131757504829</v>
      </c>
    </row>
    <row r="1328" spans="1:6" x14ac:dyDescent="0.2">
      <c r="A1328" s="1">
        <v>41504</v>
      </c>
      <c r="B1328">
        <v>231</v>
      </c>
      <c r="C1328">
        <f>'weather data'!E1328</f>
        <v>18.513333333333335</v>
      </c>
      <c r="D1328">
        <f>LAI!F1328</f>
        <v>1.9999999999999933</v>
      </c>
      <c r="E1328">
        <f>0.5*C1328*(1-EXP(-'user input'!$C$19*D1328))</f>
        <v>6.7339307024818122</v>
      </c>
      <c r="F1328">
        <f>E1328*'user input'!$C$21</f>
        <v>262.62329739679069</v>
      </c>
    </row>
    <row r="1329" spans="1:6" x14ac:dyDescent="0.2">
      <c r="A1329" s="1">
        <v>41505</v>
      </c>
      <c r="B1329">
        <v>232</v>
      </c>
      <c r="C1329">
        <f>'weather data'!E1329</f>
        <v>20.05777777777778</v>
      </c>
      <c r="D1329">
        <f>LAI!F1329</f>
        <v>1.8263888888888871</v>
      </c>
      <c r="E1329">
        <f>0.5*C1329*(1-EXP(-'user input'!$C$19*D1329))</f>
        <v>6.9691883768712621</v>
      </c>
      <c r="F1329">
        <f>E1329*'user input'!$C$21</f>
        <v>271.79834669797924</v>
      </c>
    </row>
    <row r="1330" spans="1:6" x14ac:dyDescent="0.2">
      <c r="A1330" s="1">
        <v>41506</v>
      </c>
      <c r="B1330">
        <v>233</v>
      </c>
      <c r="C1330">
        <f>'weather data'!E1330</f>
        <v>18.846666666666664</v>
      </c>
      <c r="D1330">
        <f>LAI!F1330</f>
        <v>1.6527777777777777</v>
      </c>
      <c r="E1330">
        <f>0.5*C1330*(1-EXP(-'user input'!$C$19*D1330))</f>
        <v>6.2049365973415789</v>
      </c>
      <c r="F1330">
        <f>E1330*'user input'!$C$21</f>
        <v>241.99252729632158</v>
      </c>
    </row>
    <row r="1331" spans="1:6" x14ac:dyDescent="0.2">
      <c r="A1331" s="1">
        <v>41507</v>
      </c>
      <c r="B1331">
        <v>234</v>
      </c>
      <c r="C1331">
        <f>'weather data'!E1331</f>
        <v>16.657777777777788</v>
      </c>
      <c r="D1331">
        <f>LAI!F1331</f>
        <v>1.4652777777777786</v>
      </c>
      <c r="E1331">
        <f>0.5*C1331*(1-EXP(-'user input'!$C$19*D1331))</f>
        <v>5.115585487346082</v>
      </c>
      <c r="F1331">
        <f>E1331*'user input'!$C$21</f>
        <v>199.50783400649721</v>
      </c>
    </row>
    <row r="1332" spans="1:6" x14ac:dyDescent="0.2">
      <c r="A1332" s="1">
        <v>41508</v>
      </c>
      <c r="B1332">
        <v>235</v>
      </c>
      <c r="C1332">
        <f>'weather data'!E1332</f>
        <v>17.182222222222222</v>
      </c>
      <c r="D1332">
        <f>LAI!F1332</f>
        <v>1.2430555555555558</v>
      </c>
      <c r="E1332">
        <f>0.5*C1332*(1-EXP(-'user input'!$C$19*D1332))</f>
        <v>4.7615815490749176</v>
      </c>
      <c r="F1332">
        <f>E1332*'user input'!$C$21</f>
        <v>185.70168041392179</v>
      </c>
    </row>
    <row r="1333" spans="1:6" x14ac:dyDescent="0.2">
      <c r="A1333" s="1">
        <v>41509</v>
      </c>
      <c r="B1333">
        <v>236</v>
      </c>
      <c r="C1333">
        <f>'weather data'!E1333</f>
        <v>17.515555555555554</v>
      </c>
      <c r="D1333">
        <f>LAI!F1333</f>
        <v>1.0208333333333333</v>
      </c>
      <c r="E1333">
        <f>0.5*C1333*(1-EXP(-'user input'!$C$19*D1333))</f>
        <v>4.2473115358147622</v>
      </c>
      <c r="F1333">
        <f>E1333*'user input'!$C$21</f>
        <v>165.64514989677573</v>
      </c>
    </row>
    <row r="1334" spans="1:6" x14ac:dyDescent="0.2">
      <c r="A1334" s="1">
        <v>41510</v>
      </c>
      <c r="B1334">
        <v>237</v>
      </c>
      <c r="C1334">
        <f>'weather data'!E1334</f>
        <v>17.753333333333327</v>
      </c>
      <c r="D1334">
        <f>LAI!F1334</f>
        <v>0.77083333333333082</v>
      </c>
      <c r="E1334">
        <f>0.5*C1334*(1-EXP(-'user input'!$C$19*D1334))</f>
        <v>3.4983015599003227</v>
      </c>
      <c r="F1334">
        <f>E1334*'user input'!$C$21</f>
        <v>136.43376083611258</v>
      </c>
    </row>
    <row r="1335" spans="1:6" x14ac:dyDescent="0.2">
      <c r="A1335" s="1">
        <v>41511</v>
      </c>
      <c r="B1335">
        <v>238</v>
      </c>
      <c r="C1335">
        <f>'weather data'!E1335</f>
        <v>17.366666666666664</v>
      </c>
      <c r="D1335">
        <f>LAI!F1335</f>
        <v>0.43749999999999856</v>
      </c>
      <c r="E1335">
        <f>0.5*C1335*(1-EXP(-'user input'!$C$19*D1335))</f>
        <v>2.1492603719794698</v>
      </c>
      <c r="F1335">
        <f>E1335*'user input'!$C$21</f>
        <v>83.821154507199324</v>
      </c>
    </row>
    <row r="1336" spans="1:6" x14ac:dyDescent="0.2">
      <c r="A1336" s="1">
        <v>41512</v>
      </c>
      <c r="B1336">
        <v>239</v>
      </c>
      <c r="C1336">
        <f>'weather data'!E1336</f>
        <v>17.388888888888886</v>
      </c>
      <c r="D1336">
        <f>LAI!F1336</f>
        <v>0.27083333333333243</v>
      </c>
      <c r="E1336">
        <f>0.5*C1336*(1-EXP(-'user input'!$C$19*D1336))</f>
        <v>1.4034307767734595</v>
      </c>
      <c r="F1336">
        <f>E1336*'user input'!$C$21</f>
        <v>54.733800294164922</v>
      </c>
    </row>
    <row r="1337" spans="1:6" x14ac:dyDescent="0.2">
      <c r="A1337" s="1">
        <v>41513</v>
      </c>
      <c r="B1337">
        <v>240</v>
      </c>
      <c r="C1337">
        <f>'weather data'!E1337</f>
        <v>18.282222222222217</v>
      </c>
      <c r="D1337">
        <f>LAI!F1337</f>
        <v>0.11111111111110963</v>
      </c>
      <c r="E1337">
        <f>0.5*C1337*(1-EXP(-'user input'!$C$19*D1337))</f>
        <v>0.63691483157027762</v>
      </c>
      <c r="F1337">
        <f>E1337*'user input'!$C$21</f>
        <v>24.839678431240827</v>
      </c>
    </row>
    <row r="1338" spans="1:6" x14ac:dyDescent="0.2">
      <c r="A1338" s="1">
        <v>41514</v>
      </c>
      <c r="B1338">
        <v>241</v>
      </c>
      <c r="C1338">
        <f>'weather data'!E1338</f>
        <v>19.166666666666675</v>
      </c>
      <c r="D1338">
        <f>LAI!F1338</f>
        <v>0</v>
      </c>
      <c r="E1338">
        <f>0.5*C1338*(1-EXP(-'user input'!$C$19*D1338))</f>
        <v>0</v>
      </c>
      <c r="F1338">
        <f>E1338*'user input'!$C$21</f>
        <v>0</v>
      </c>
    </row>
    <row r="1339" spans="1:6" x14ac:dyDescent="0.2">
      <c r="A1339" s="1">
        <v>41515</v>
      </c>
      <c r="B1339">
        <v>242</v>
      </c>
      <c r="C1339">
        <f>'weather data'!E1339</f>
        <v>17.893333333333331</v>
      </c>
      <c r="D1339">
        <f>LAI!F1339</f>
        <v>0</v>
      </c>
      <c r="E1339">
        <f>0.5*C1339*(1-EXP(-'user input'!$C$19*D1339))</f>
        <v>0</v>
      </c>
      <c r="F1339">
        <f>E1339*'user input'!$C$21</f>
        <v>0</v>
      </c>
    </row>
    <row r="1340" spans="1:6" x14ac:dyDescent="0.2">
      <c r="A1340" s="1">
        <v>41516</v>
      </c>
      <c r="B1340">
        <v>243</v>
      </c>
      <c r="C1340">
        <f>'weather data'!E1340</f>
        <v>18.108888888888892</v>
      </c>
      <c r="D1340">
        <f>LAI!F1340</f>
        <v>0</v>
      </c>
      <c r="E1340">
        <f>0.5*C1340*(1-EXP(-'user input'!$C$19*D1340))</f>
        <v>0</v>
      </c>
      <c r="F1340">
        <f>E1340*'user input'!$C$21</f>
        <v>0</v>
      </c>
    </row>
    <row r="1341" spans="1:6" x14ac:dyDescent="0.2">
      <c r="A1341" s="1">
        <v>41517</v>
      </c>
      <c r="B1341">
        <v>244</v>
      </c>
      <c r="C1341">
        <f>'weather data'!E1341</f>
        <v>18.124444444444446</v>
      </c>
      <c r="D1341">
        <f>LAI!F1341</f>
        <v>0</v>
      </c>
      <c r="E1341">
        <f>0.5*C1341*(1-EXP(-'user input'!$C$19*D1341))</f>
        <v>0</v>
      </c>
      <c r="F1341">
        <f>E1341*'user input'!$C$21</f>
        <v>0</v>
      </c>
    </row>
    <row r="1342" spans="1:6" x14ac:dyDescent="0.2">
      <c r="A1342" s="1">
        <v>41518</v>
      </c>
      <c r="B1342">
        <v>245</v>
      </c>
      <c r="C1342">
        <f>'weather data'!E1342</f>
        <v>17.782222222222217</v>
      </c>
      <c r="D1342">
        <f>LAI!F1342</f>
        <v>0</v>
      </c>
      <c r="E1342">
        <f>0.5*C1342*(1-EXP(-'user input'!$C$19*D1342))</f>
        <v>0</v>
      </c>
      <c r="F1342">
        <f>E1342*'user input'!$C$21</f>
        <v>0</v>
      </c>
    </row>
    <row r="1343" spans="1:6" x14ac:dyDescent="0.2">
      <c r="A1343" s="1">
        <v>41519</v>
      </c>
      <c r="B1343">
        <v>246</v>
      </c>
      <c r="C1343">
        <f>'weather data'!E1343</f>
        <v>18.233333333333341</v>
      </c>
      <c r="D1343">
        <f>LAI!F1343</f>
        <v>0</v>
      </c>
      <c r="E1343">
        <f>0.5*C1343*(1-EXP(-'user input'!$C$19*D1343))</f>
        <v>0</v>
      </c>
      <c r="F1343">
        <f>E1343*'user input'!$C$21</f>
        <v>0</v>
      </c>
    </row>
    <row r="1344" spans="1:6" x14ac:dyDescent="0.2">
      <c r="A1344" s="1">
        <v>41520</v>
      </c>
      <c r="B1344">
        <v>247</v>
      </c>
      <c r="C1344">
        <f>'weather data'!E1344</f>
        <v>17.279999999999994</v>
      </c>
      <c r="D1344">
        <f>LAI!F1344</f>
        <v>0</v>
      </c>
      <c r="E1344">
        <f>0.5*C1344*(1-EXP(-'user input'!$C$19*D1344))</f>
        <v>0</v>
      </c>
      <c r="F1344">
        <f>E1344*'user input'!$C$21</f>
        <v>0</v>
      </c>
    </row>
    <row r="1345" spans="1:6" x14ac:dyDescent="0.2">
      <c r="A1345" s="1">
        <v>41521</v>
      </c>
      <c r="B1345">
        <v>248</v>
      </c>
      <c r="C1345">
        <f>'weather data'!E1345</f>
        <v>17.504444444444449</v>
      </c>
      <c r="D1345">
        <f>LAI!F1345</f>
        <v>0</v>
      </c>
      <c r="E1345">
        <f>0.5*C1345*(1-EXP(-'user input'!$C$19*D1345))</f>
        <v>0</v>
      </c>
      <c r="F1345">
        <f>E1345*'user input'!$C$21</f>
        <v>0</v>
      </c>
    </row>
    <row r="1346" spans="1:6" x14ac:dyDescent="0.2">
      <c r="A1346" s="1">
        <v>41522</v>
      </c>
      <c r="B1346">
        <v>249</v>
      </c>
      <c r="C1346">
        <f>'weather data'!E1346</f>
        <v>17.331111111111102</v>
      </c>
      <c r="D1346">
        <f>LAI!F1346</f>
        <v>0</v>
      </c>
      <c r="E1346">
        <f>0.5*C1346*(1-EXP(-'user input'!$C$19*D1346))</f>
        <v>0</v>
      </c>
      <c r="F1346">
        <f>E1346*'user input'!$C$21</f>
        <v>0</v>
      </c>
    </row>
    <row r="1347" spans="1:6" x14ac:dyDescent="0.2">
      <c r="A1347" s="1">
        <v>41523</v>
      </c>
      <c r="B1347">
        <v>250</v>
      </c>
      <c r="C1347">
        <f>'weather data'!E1347</f>
        <v>16.582222222222228</v>
      </c>
      <c r="D1347">
        <f>LAI!F1347</f>
        <v>0</v>
      </c>
      <c r="E1347">
        <f>0.5*C1347*(1-EXP(-'user input'!$C$19*D1347))</f>
        <v>0</v>
      </c>
      <c r="F1347">
        <f>E1347*'user input'!$C$21</f>
        <v>0</v>
      </c>
    </row>
    <row r="1348" spans="1:6" x14ac:dyDescent="0.2">
      <c r="A1348" s="1">
        <v>41524</v>
      </c>
      <c r="B1348">
        <v>251</v>
      </c>
      <c r="C1348">
        <f>'weather data'!E1348</f>
        <v>15.802222222222218</v>
      </c>
      <c r="D1348">
        <f>LAI!F1348</f>
        <v>0</v>
      </c>
      <c r="E1348">
        <f>0.5*C1348*(1-EXP(-'user input'!$C$19*D1348))</f>
        <v>0</v>
      </c>
      <c r="F1348">
        <f>E1348*'user input'!$C$21</f>
        <v>0</v>
      </c>
    </row>
    <row r="1349" spans="1:6" x14ac:dyDescent="0.2">
      <c r="A1349" s="1">
        <v>41525</v>
      </c>
      <c r="B1349">
        <v>252</v>
      </c>
      <c r="C1349">
        <f>'weather data'!E1349</f>
        <v>16.022222222222219</v>
      </c>
      <c r="D1349">
        <f>LAI!F1349</f>
        <v>0</v>
      </c>
      <c r="E1349">
        <f>0.5*C1349*(1-EXP(-'user input'!$C$19*D1349))</f>
        <v>0</v>
      </c>
      <c r="F1349">
        <f>E1349*'user input'!$C$21</f>
        <v>0</v>
      </c>
    </row>
    <row r="1350" spans="1:6" x14ac:dyDescent="0.2">
      <c r="A1350" s="1">
        <v>41526</v>
      </c>
      <c r="B1350">
        <v>253</v>
      </c>
      <c r="C1350">
        <f>'weather data'!E1350</f>
        <v>15.893333333333333</v>
      </c>
      <c r="D1350">
        <f>LAI!F1350</f>
        <v>0</v>
      </c>
      <c r="E1350">
        <f>0.5*C1350*(1-EXP(-'user input'!$C$19*D1350))</f>
        <v>0</v>
      </c>
      <c r="F1350">
        <f>E1350*'user input'!$C$21</f>
        <v>0</v>
      </c>
    </row>
    <row r="1351" spans="1:6" x14ac:dyDescent="0.2">
      <c r="A1351" s="1">
        <v>41527</v>
      </c>
      <c r="B1351">
        <v>254</v>
      </c>
      <c r="C1351">
        <f>'weather data'!E1351</f>
        <v>17.87555555555555</v>
      </c>
      <c r="D1351">
        <f>LAI!F1351</f>
        <v>0</v>
      </c>
      <c r="E1351">
        <f>0.5*C1351*(1-EXP(-'user input'!$C$19*D1351))</f>
        <v>0</v>
      </c>
      <c r="F1351">
        <f>E1351*'user input'!$C$21</f>
        <v>0</v>
      </c>
    </row>
    <row r="1352" spans="1:6" x14ac:dyDescent="0.2">
      <c r="A1352" s="1">
        <v>41528</v>
      </c>
      <c r="B1352">
        <v>255</v>
      </c>
      <c r="C1352">
        <f>'weather data'!E1352</f>
        <v>15.27777777777778</v>
      </c>
      <c r="D1352">
        <f>LAI!F1352</f>
        <v>0</v>
      </c>
      <c r="E1352">
        <f>0.5*C1352*(1-EXP(-'user input'!$C$19*D1352))</f>
        <v>0</v>
      </c>
      <c r="F1352">
        <f>E1352*'user input'!$C$21</f>
        <v>0</v>
      </c>
    </row>
    <row r="1353" spans="1:6" x14ac:dyDescent="0.2">
      <c r="A1353" s="1">
        <v>41529</v>
      </c>
      <c r="B1353">
        <v>256</v>
      </c>
      <c r="C1353">
        <f>'weather data'!E1353</f>
        <v>14.684444444444448</v>
      </c>
      <c r="D1353">
        <f>LAI!F1353</f>
        <v>0</v>
      </c>
      <c r="E1353">
        <f>0.5*C1353*(1-EXP(-'user input'!$C$19*D1353))</f>
        <v>0</v>
      </c>
      <c r="F1353">
        <f>E1353*'user input'!$C$21</f>
        <v>0</v>
      </c>
    </row>
    <row r="1354" spans="1:6" x14ac:dyDescent="0.2">
      <c r="A1354" s="1">
        <v>41530</v>
      </c>
      <c r="B1354">
        <v>257</v>
      </c>
      <c r="C1354">
        <f>'weather data'!E1354</f>
        <v>14.008888888888889</v>
      </c>
      <c r="D1354">
        <f>LAI!F1354</f>
        <v>0</v>
      </c>
      <c r="E1354">
        <f>0.5*C1354*(1-EXP(-'user input'!$C$19*D1354))</f>
        <v>0</v>
      </c>
      <c r="F1354">
        <f>E1354*'user input'!$C$21</f>
        <v>0</v>
      </c>
    </row>
    <row r="1355" spans="1:6" x14ac:dyDescent="0.2">
      <c r="A1355" s="1">
        <v>41531</v>
      </c>
      <c r="B1355">
        <v>258</v>
      </c>
      <c r="C1355">
        <f>'weather data'!E1355</f>
        <v>14.540000000000001</v>
      </c>
      <c r="D1355">
        <f>LAI!F1355</f>
        <v>0</v>
      </c>
      <c r="E1355">
        <f>0.5*C1355*(1-EXP(-'user input'!$C$19*D1355))</f>
        <v>0</v>
      </c>
      <c r="F1355">
        <f>E1355*'user input'!$C$21</f>
        <v>0</v>
      </c>
    </row>
    <row r="1356" spans="1:6" x14ac:dyDescent="0.2">
      <c r="A1356" s="1">
        <v>41532</v>
      </c>
      <c r="B1356">
        <v>259</v>
      </c>
      <c r="C1356">
        <f>'weather data'!E1356</f>
        <v>14.833333333333339</v>
      </c>
      <c r="D1356">
        <f>LAI!F1356</f>
        <v>0</v>
      </c>
      <c r="E1356">
        <f>0.5*C1356*(1-EXP(-'user input'!$C$19*D1356))</f>
        <v>0</v>
      </c>
      <c r="F1356">
        <f>E1356*'user input'!$C$21</f>
        <v>0</v>
      </c>
    </row>
    <row r="1357" spans="1:6" x14ac:dyDescent="0.2">
      <c r="A1357" s="1">
        <v>41533</v>
      </c>
      <c r="B1357">
        <v>260</v>
      </c>
      <c r="C1357">
        <f>'weather data'!E1357</f>
        <v>14.604444444444445</v>
      </c>
      <c r="D1357">
        <f>LAI!F1357</f>
        <v>0</v>
      </c>
      <c r="E1357">
        <f>0.5*C1357*(1-EXP(-'user input'!$C$19*D1357))</f>
        <v>0</v>
      </c>
      <c r="F1357">
        <f>E1357*'user input'!$C$21</f>
        <v>0</v>
      </c>
    </row>
    <row r="1358" spans="1:6" x14ac:dyDescent="0.2">
      <c r="A1358" s="1">
        <v>41534</v>
      </c>
      <c r="B1358">
        <v>261</v>
      </c>
      <c r="C1358">
        <f>'weather data'!E1358</f>
        <v>14.57555555555556</v>
      </c>
      <c r="D1358">
        <f>LAI!F1358</f>
        <v>0</v>
      </c>
      <c r="E1358">
        <f>0.5*C1358*(1-EXP(-'user input'!$C$19*D1358))</f>
        <v>0</v>
      </c>
      <c r="F1358">
        <f>E1358*'user input'!$C$21</f>
        <v>0</v>
      </c>
    </row>
    <row r="1359" spans="1:6" x14ac:dyDescent="0.2">
      <c r="A1359" s="1">
        <v>41535</v>
      </c>
      <c r="B1359">
        <v>262</v>
      </c>
      <c r="C1359">
        <f>'weather data'!E1359</f>
        <v>13.008888888888889</v>
      </c>
      <c r="D1359">
        <f>LAI!F1359</f>
        <v>0</v>
      </c>
      <c r="E1359">
        <f>0.5*C1359*(1-EXP(-'user input'!$C$19*D1359))</f>
        <v>0</v>
      </c>
      <c r="F1359">
        <f>E1359*'user input'!$C$21</f>
        <v>0</v>
      </c>
    </row>
    <row r="1360" spans="1:6" x14ac:dyDescent="0.2">
      <c r="A1360" s="1">
        <v>41536</v>
      </c>
      <c r="B1360">
        <v>263</v>
      </c>
      <c r="C1360">
        <f>'weather data'!E1360</f>
        <v>13.331111111111113</v>
      </c>
      <c r="D1360">
        <f>LAI!F1360</f>
        <v>0</v>
      </c>
      <c r="E1360">
        <f>0.5*C1360*(1-EXP(-'user input'!$C$19*D1360))</f>
        <v>0</v>
      </c>
      <c r="F1360">
        <f>E1360*'user input'!$C$21</f>
        <v>0</v>
      </c>
    </row>
    <row r="1361" spans="1:6" x14ac:dyDescent="0.2">
      <c r="A1361" s="1">
        <v>41537</v>
      </c>
      <c r="B1361">
        <v>264</v>
      </c>
      <c r="C1361">
        <f>'weather data'!E1361</f>
        <v>13.533333333333333</v>
      </c>
      <c r="D1361">
        <f>LAI!F1361</f>
        <v>0</v>
      </c>
      <c r="E1361">
        <f>0.5*C1361*(1-EXP(-'user input'!$C$19*D1361))</f>
        <v>0</v>
      </c>
      <c r="F1361">
        <f>E1361*'user input'!$C$21</f>
        <v>0</v>
      </c>
    </row>
    <row r="1362" spans="1:6" x14ac:dyDescent="0.2">
      <c r="A1362" s="1">
        <v>41538</v>
      </c>
      <c r="B1362">
        <v>265</v>
      </c>
      <c r="C1362">
        <f>'weather data'!E1362</f>
        <v>13.317777777777776</v>
      </c>
      <c r="D1362">
        <f>LAI!F1362</f>
        <v>0</v>
      </c>
      <c r="E1362">
        <f>0.5*C1362*(1-EXP(-'user input'!$C$19*D1362))</f>
        <v>0</v>
      </c>
      <c r="F1362">
        <f>E1362*'user input'!$C$21</f>
        <v>0</v>
      </c>
    </row>
    <row r="1363" spans="1:6" x14ac:dyDescent="0.2">
      <c r="A1363" s="1">
        <v>41539</v>
      </c>
      <c r="B1363">
        <v>266</v>
      </c>
      <c r="C1363">
        <f>'weather data'!E1363</f>
        <v>13.562222222222227</v>
      </c>
      <c r="D1363">
        <f>LAI!F1363</f>
        <v>0</v>
      </c>
      <c r="E1363">
        <f>0.5*C1363*(1-EXP(-'user input'!$C$19*D1363))</f>
        <v>0</v>
      </c>
      <c r="F1363">
        <f>E1363*'user input'!$C$21</f>
        <v>0</v>
      </c>
    </row>
    <row r="1364" spans="1:6" x14ac:dyDescent="0.2">
      <c r="A1364" s="1">
        <v>41540</v>
      </c>
      <c r="B1364">
        <v>267</v>
      </c>
      <c r="C1364">
        <f>'weather data'!E1364</f>
        <v>13.764444444444443</v>
      </c>
      <c r="D1364">
        <f>LAI!F1364</f>
        <v>0</v>
      </c>
      <c r="E1364">
        <f>0.5*C1364*(1-EXP(-'user input'!$C$19*D1364))</f>
        <v>0</v>
      </c>
      <c r="F1364">
        <f>E1364*'user input'!$C$21</f>
        <v>0</v>
      </c>
    </row>
    <row r="1365" spans="1:6" x14ac:dyDescent="0.2">
      <c r="A1365" s="1">
        <v>41541</v>
      </c>
      <c r="B1365">
        <v>268</v>
      </c>
      <c r="C1365">
        <f>'weather data'!E1365</f>
        <v>13.388888888888891</v>
      </c>
      <c r="D1365">
        <f>LAI!F1365</f>
        <v>0</v>
      </c>
      <c r="E1365">
        <f>0.5*C1365*(1-EXP(-'user input'!$C$19*D1365))</f>
        <v>0</v>
      </c>
      <c r="F1365">
        <f>E1365*'user input'!$C$21</f>
        <v>0</v>
      </c>
    </row>
    <row r="1366" spans="1:6" x14ac:dyDescent="0.2">
      <c r="A1366" s="2">
        <v>41542</v>
      </c>
      <c r="B1366">
        <v>269</v>
      </c>
      <c r="C1366">
        <f>'weather data'!E1366</f>
        <v>13.502222222222223</v>
      </c>
      <c r="D1366">
        <f>LAI!F1366</f>
        <v>0</v>
      </c>
      <c r="E1366">
        <f>0.5*C1366*(1-EXP(-'user input'!$C$19*D1366))</f>
        <v>0</v>
      </c>
      <c r="F1366">
        <f>E1366*'user input'!$C$21</f>
        <v>0</v>
      </c>
    </row>
    <row r="1367" spans="1:6" x14ac:dyDescent="0.2">
      <c r="A1367" s="1">
        <v>41543</v>
      </c>
      <c r="B1367">
        <v>270</v>
      </c>
      <c r="C1367">
        <f>'weather data'!E1367</f>
        <v>14.011111111111109</v>
      </c>
      <c r="D1367">
        <f>LAI!F1367</f>
        <v>0</v>
      </c>
      <c r="E1367">
        <f>0.5*C1367*(1-EXP(-'user input'!$C$19*D1367))</f>
        <v>0</v>
      </c>
      <c r="F1367">
        <f>E1367*'user input'!$C$21</f>
        <v>0</v>
      </c>
    </row>
    <row r="1368" spans="1:6" x14ac:dyDescent="0.2">
      <c r="A1368" s="1">
        <v>41544</v>
      </c>
      <c r="B1368">
        <v>271</v>
      </c>
      <c r="C1368">
        <f>'weather data'!E1368</f>
        <v>12.597777777777782</v>
      </c>
      <c r="D1368">
        <f>LAI!F1368</f>
        <v>0</v>
      </c>
      <c r="E1368">
        <f>0.5*C1368*(1-EXP(-'user input'!$C$19*D1368))</f>
        <v>0</v>
      </c>
      <c r="F1368">
        <f>E1368*'user input'!$C$21</f>
        <v>0</v>
      </c>
    </row>
    <row r="1369" spans="1:6" x14ac:dyDescent="0.2">
      <c r="A1369" s="1">
        <v>41545</v>
      </c>
      <c r="B1369">
        <v>272</v>
      </c>
      <c r="C1369">
        <f>'weather data'!E1369</f>
        <v>13.12666666666667</v>
      </c>
      <c r="D1369">
        <f>LAI!F1369</f>
        <v>0</v>
      </c>
      <c r="E1369">
        <f>0.5*C1369*(1-EXP(-'user input'!$C$19*D1369))</f>
        <v>0</v>
      </c>
      <c r="F1369">
        <f>E1369*'user input'!$C$21</f>
        <v>0</v>
      </c>
    </row>
    <row r="1370" spans="1:6" x14ac:dyDescent="0.2">
      <c r="A1370" s="1">
        <v>41546</v>
      </c>
      <c r="B1370">
        <v>273</v>
      </c>
      <c r="C1370">
        <f>'weather data'!E1370</f>
        <v>13.026666666666667</v>
      </c>
      <c r="D1370">
        <f>LAI!F1370</f>
        <v>0</v>
      </c>
      <c r="E1370">
        <f>0.5*C1370*(1-EXP(-'user input'!$C$19*D1370))</f>
        <v>0</v>
      </c>
      <c r="F1370">
        <f>E1370*'user input'!$C$21</f>
        <v>0</v>
      </c>
    </row>
    <row r="1371" spans="1:6" x14ac:dyDescent="0.2">
      <c r="A1371" s="1">
        <v>41547</v>
      </c>
      <c r="B1371">
        <v>274</v>
      </c>
      <c r="C1371">
        <f>'weather data'!E1371</f>
        <v>13.155555555555559</v>
      </c>
      <c r="D1371">
        <f>LAI!F1371</f>
        <v>0</v>
      </c>
      <c r="E1371">
        <f>0.5*C1371*(1-EXP(-'user input'!$C$19*D1371))</f>
        <v>0</v>
      </c>
      <c r="F1371">
        <f>E1371*'user input'!$C$21</f>
        <v>0</v>
      </c>
    </row>
    <row r="1372" spans="1:6" x14ac:dyDescent="0.2">
      <c r="A1372" s="1">
        <v>41548</v>
      </c>
      <c r="B1372">
        <v>275</v>
      </c>
      <c r="C1372">
        <f>'weather data'!E1372</f>
        <v>13.037777777777777</v>
      </c>
      <c r="D1372">
        <f>LAI!F1372</f>
        <v>0</v>
      </c>
      <c r="E1372">
        <f>0.5*C1372*(1-EXP(-'user input'!$C$19*D1372))</f>
        <v>0</v>
      </c>
      <c r="F1372">
        <f>E1372*'user input'!$C$21</f>
        <v>0</v>
      </c>
    </row>
    <row r="1373" spans="1:6" x14ac:dyDescent="0.2">
      <c r="A1373" s="1">
        <v>41549</v>
      </c>
      <c r="B1373">
        <v>276</v>
      </c>
      <c r="C1373">
        <f>'weather data'!E1373</f>
        <v>12.082222222222223</v>
      </c>
      <c r="D1373">
        <f>LAI!F1373</f>
        <v>0</v>
      </c>
      <c r="E1373">
        <f>0.5*C1373*(1-EXP(-'user input'!$C$19*D1373))</f>
        <v>0</v>
      </c>
      <c r="F1373">
        <f>E1373*'user input'!$C$21</f>
        <v>0</v>
      </c>
    </row>
    <row r="1374" spans="1:6" x14ac:dyDescent="0.2">
      <c r="A1374" s="1">
        <v>41550</v>
      </c>
      <c r="B1374">
        <v>277</v>
      </c>
      <c r="C1374">
        <f>'weather data'!E1374</f>
        <v>12.068888888888893</v>
      </c>
      <c r="D1374">
        <f>LAI!F1374</f>
        <v>0</v>
      </c>
      <c r="E1374">
        <f>0.5*C1374*(1-EXP(-'user input'!$C$19*D1374))</f>
        <v>0</v>
      </c>
      <c r="F1374">
        <f>E1374*'user input'!$C$21</f>
        <v>0</v>
      </c>
    </row>
    <row r="1375" spans="1:6" x14ac:dyDescent="0.2">
      <c r="A1375" s="1">
        <v>41551</v>
      </c>
      <c r="B1375">
        <v>278</v>
      </c>
      <c r="C1375">
        <f>'weather data'!E1375</f>
        <v>12.471111111111115</v>
      </c>
      <c r="D1375">
        <f>LAI!F1375</f>
        <v>0</v>
      </c>
      <c r="E1375">
        <f>0.5*C1375*(1-EXP(-'user input'!$C$19*D1375))</f>
        <v>0</v>
      </c>
      <c r="F1375">
        <f>E1375*'user input'!$C$21</f>
        <v>0</v>
      </c>
    </row>
    <row r="1376" spans="1:6" x14ac:dyDescent="0.2">
      <c r="A1376" s="1">
        <v>41552</v>
      </c>
      <c r="B1376">
        <v>279</v>
      </c>
      <c r="C1376">
        <f>'weather data'!E1376</f>
        <v>11.631111111111114</v>
      </c>
      <c r="D1376">
        <f>LAI!F1376</f>
        <v>0</v>
      </c>
      <c r="E1376">
        <f>0.5*C1376*(1-EXP(-'user input'!$C$19*D1376))</f>
        <v>0</v>
      </c>
      <c r="F1376">
        <f>E1376*'user input'!$C$21</f>
        <v>0</v>
      </c>
    </row>
    <row r="1377" spans="1:6" x14ac:dyDescent="0.2">
      <c r="A1377" s="1">
        <v>41553</v>
      </c>
      <c r="B1377">
        <v>280</v>
      </c>
      <c r="C1377">
        <f>'weather data'!E1377</f>
        <v>11.757777777777779</v>
      </c>
      <c r="D1377">
        <f>LAI!F1377</f>
        <v>0</v>
      </c>
      <c r="E1377">
        <f>0.5*C1377*(1-EXP(-'user input'!$C$19*D1377))</f>
        <v>0</v>
      </c>
      <c r="F1377">
        <f>E1377*'user input'!$C$21</f>
        <v>0</v>
      </c>
    </row>
    <row r="1378" spans="1:6" x14ac:dyDescent="0.2">
      <c r="A1378" s="1">
        <v>41554</v>
      </c>
      <c r="B1378">
        <v>281</v>
      </c>
      <c r="C1378">
        <f>'weather data'!E1378</f>
        <v>10.711111111111109</v>
      </c>
      <c r="D1378">
        <f>LAI!F1378</f>
        <v>0</v>
      </c>
      <c r="E1378">
        <f>0.5*C1378*(1-EXP(-'user input'!$C$19*D1378))</f>
        <v>0</v>
      </c>
      <c r="F1378">
        <f>E1378*'user input'!$C$21</f>
        <v>0</v>
      </c>
    </row>
    <row r="1379" spans="1:6" x14ac:dyDescent="0.2">
      <c r="A1379" s="1">
        <v>41555</v>
      </c>
      <c r="B1379">
        <v>282</v>
      </c>
      <c r="C1379">
        <f>'weather data'!E1379</f>
        <v>11.008888888888887</v>
      </c>
      <c r="D1379">
        <f>LAI!F1379</f>
        <v>0</v>
      </c>
      <c r="E1379">
        <f>0.5*C1379*(1-EXP(-'user input'!$C$19*D1379))</f>
        <v>0</v>
      </c>
      <c r="F1379">
        <f>E1379*'user input'!$C$21</f>
        <v>0</v>
      </c>
    </row>
    <row r="1380" spans="1:6" x14ac:dyDescent="0.2">
      <c r="A1380" s="1">
        <v>41556</v>
      </c>
      <c r="B1380">
        <v>283</v>
      </c>
      <c r="C1380">
        <f>'weather data'!E1380</f>
        <v>11.120000000000003</v>
      </c>
      <c r="D1380">
        <f>LAI!F1380</f>
        <v>0</v>
      </c>
      <c r="E1380">
        <f>0.5*C1380*(1-EXP(-'user input'!$C$19*D1380))</f>
        <v>0</v>
      </c>
      <c r="F1380">
        <f>E1380*'user input'!$C$21</f>
        <v>0</v>
      </c>
    </row>
    <row r="1381" spans="1:6" x14ac:dyDescent="0.2">
      <c r="A1381" s="1">
        <v>41557</v>
      </c>
      <c r="B1381">
        <v>284</v>
      </c>
      <c r="C1381">
        <f>'weather data'!E1381</f>
        <v>11.48</v>
      </c>
      <c r="D1381">
        <f>LAI!F1381</f>
        <v>0</v>
      </c>
      <c r="E1381">
        <f>0.5*C1381*(1-EXP(-'user input'!$C$19*D1381))</f>
        <v>0</v>
      </c>
      <c r="F1381">
        <f>E1381*'user input'!$C$21</f>
        <v>0</v>
      </c>
    </row>
    <row r="1382" spans="1:6" x14ac:dyDescent="0.2">
      <c r="A1382" s="1">
        <v>41558</v>
      </c>
      <c r="B1382">
        <v>285</v>
      </c>
      <c r="C1382">
        <f>'weather data'!E1382</f>
        <v>10.637777777777782</v>
      </c>
      <c r="D1382">
        <f>LAI!F1382</f>
        <v>0</v>
      </c>
      <c r="E1382">
        <f>0.5*C1382*(1-EXP(-'user input'!$C$19*D1382))</f>
        <v>0</v>
      </c>
      <c r="F1382">
        <f>E1382*'user input'!$C$21</f>
        <v>0</v>
      </c>
    </row>
    <row r="1383" spans="1:6" x14ac:dyDescent="0.2">
      <c r="A1383" s="1">
        <v>41559</v>
      </c>
      <c r="B1383">
        <v>286</v>
      </c>
      <c r="C1383">
        <f>'weather data'!E1383</f>
        <v>10.895555555555555</v>
      </c>
      <c r="D1383">
        <f>LAI!F1383</f>
        <v>0</v>
      </c>
      <c r="E1383">
        <f>0.5*C1383*(1-EXP(-'user input'!$C$19*D1383))</f>
        <v>0</v>
      </c>
      <c r="F1383">
        <f>E1383*'user input'!$C$21</f>
        <v>0</v>
      </c>
    </row>
    <row r="1384" spans="1:6" x14ac:dyDescent="0.2">
      <c r="A1384" s="1">
        <v>41560</v>
      </c>
      <c r="B1384">
        <v>287</v>
      </c>
      <c r="C1384">
        <f>'weather data'!E1384</f>
        <v>10.784444444444448</v>
      </c>
      <c r="D1384">
        <f>LAI!F1384</f>
        <v>0</v>
      </c>
      <c r="E1384">
        <f>0.5*C1384*(1-EXP(-'user input'!$C$19*D1384))</f>
        <v>0</v>
      </c>
      <c r="F1384">
        <f>E1384*'user input'!$C$21</f>
        <v>0</v>
      </c>
    </row>
    <row r="1385" spans="1:6" x14ac:dyDescent="0.2">
      <c r="A1385" s="1">
        <v>41561</v>
      </c>
      <c r="B1385">
        <v>288</v>
      </c>
      <c r="C1385">
        <f>'weather data'!E1385</f>
        <v>10.637777777777782</v>
      </c>
      <c r="D1385">
        <f>LAI!F1385</f>
        <v>0</v>
      </c>
      <c r="E1385">
        <f>0.5*C1385*(1-EXP(-'user input'!$C$19*D1385))</f>
        <v>0</v>
      </c>
      <c r="F1385">
        <f>E1385*'user input'!$C$21</f>
        <v>0</v>
      </c>
    </row>
    <row r="1386" spans="1:6" x14ac:dyDescent="0.2">
      <c r="A1386" s="1">
        <v>41562</v>
      </c>
      <c r="B1386">
        <v>289</v>
      </c>
      <c r="C1386">
        <f>'weather data'!E1386</f>
        <v>10.64666666666667</v>
      </c>
      <c r="D1386">
        <f>LAI!F1386</f>
        <v>0</v>
      </c>
      <c r="E1386">
        <f>0.5*C1386*(1-EXP(-'user input'!$C$19*D1386))</f>
        <v>0</v>
      </c>
      <c r="F1386">
        <f>E1386*'user input'!$C$21</f>
        <v>0</v>
      </c>
    </row>
    <row r="1387" spans="1:6" x14ac:dyDescent="0.2">
      <c r="A1387" s="1">
        <v>41563</v>
      </c>
      <c r="B1387">
        <v>290</v>
      </c>
      <c r="C1387">
        <f>'weather data'!E1387</f>
        <v>10.311111111111112</v>
      </c>
      <c r="D1387">
        <f>LAI!F1387</f>
        <v>0</v>
      </c>
      <c r="E1387">
        <f>0.5*C1387*(1-EXP(-'user input'!$C$19*D1387))</f>
        <v>0</v>
      </c>
      <c r="F1387">
        <f>E1387*'user input'!$C$21</f>
        <v>0</v>
      </c>
    </row>
    <row r="1388" spans="1:6" x14ac:dyDescent="0.2">
      <c r="A1388" s="1">
        <v>41564</v>
      </c>
      <c r="B1388">
        <v>291</v>
      </c>
      <c r="C1388">
        <f>'weather data'!E1388</f>
        <v>9.4244444444444415</v>
      </c>
      <c r="D1388">
        <f>LAI!F1388</f>
        <v>0</v>
      </c>
      <c r="E1388">
        <f>0.5*C1388*(1-EXP(-'user input'!$C$19*D1388))</f>
        <v>0</v>
      </c>
      <c r="F1388">
        <f>E1388*'user input'!$C$21</f>
        <v>0</v>
      </c>
    </row>
    <row r="1389" spans="1:6" x14ac:dyDescent="0.2">
      <c r="A1389" s="1">
        <v>41565</v>
      </c>
      <c r="B1389">
        <v>292</v>
      </c>
      <c r="C1389">
        <f>'weather data'!E1389</f>
        <v>9.5977777777777806</v>
      </c>
      <c r="D1389">
        <f>LAI!F1389</f>
        <v>0</v>
      </c>
      <c r="E1389">
        <f>0.5*C1389*(1-EXP(-'user input'!$C$19*D1389))</f>
        <v>0</v>
      </c>
      <c r="F1389">
        <f>E1389*'user input'!$C$21</f>
        <v>0</v>
      </c>
    </row>
    <row r="1390" spans="1:6" x14ac:dyDescent="0.2">
      <c r="A1390" s="1">
        <v>41566</v>
      </c>
      <c r="B1390">
        <v>293</v>
      </c>
      <c r="C1390">
        <f>'weather data'!E1390</f>
        <v>9.0800000000000036</v>
      </c>
      <c r="D1390">
        <f>LAI!F1390</f>
        <v>0</v>
      </c>
      <c r="E1390">
        <f>0.5*C1390*(1-EXP(-'user input'!$C$19*D1390))</f>
        <v>0</v>
      </c>
      <c r="F1390">
        <f>E1390*'user input'!$C$21</f>
        <v>0</v>
      </c>
    </row>
    <row r="1391" spans="1:6" x14ac:dyDescent="0.2">
      <c r="A1391" s="1">
        <v>41567</v>
      </c>
      <c r="B1391">
        <v>294</v>
      </c>
      <c r="C1391">
        <f>'weather data'!E1391</f>
        <v>8.8311111111111114</v>
      </c>
      <c r="D1391">
        <f>LAI!F1391</f>
        <v>0</v>
      </c>
      <c r="E1391">
        <f>0.5*C1391*(1-EXP(-'user input'!$C$19*D1391))</f>
        <v>0</v>
      </c>
      <c r="F1391">
        <f>E1391*'user input'!$C$21</f>
        <v>0</v>
      </c>
    </row>
    <row r="1392" spans="1:6" x14ac:dyDescent="0.2">
      <c r="A1392" s="1">
        <v>41568</v>
      </c>
      <c r="B1392">
        <v>295</v>
      </c>
      <c r="C1392">
        <f>'weather data'!E1392</f>
        <v>8.6733333333333285</v>
      </c>
      <c r="D1392">
        <f>LAI!F1392</f>
        <v>0</v>
      </c>
      <c r="E1392">
        <f>0.5*C1392*(1-EXP(-'user input'!$C$19*D1392))</f>
        <v>0</v>
      </c>
      <c r="F1392">
        <f>E1392*'user input'!$C$21</f>
        <v>0</v>
      </c>
    </row>
    <row r="1393" spans="1:6" x14ac:dyDescent="0.2">
      <c r="A1393" s="1">
        <v>41569</v>
      </c>
      <c r="B1393">
        <v>296</v>
      </c>
      <c r="C1393">
        <f>'weather data'!E1393</f>
        <v>7.8955555555555543</v>
      </c>
      <c r="D1393">
        <f>LAI!F1393</f>
        <v>0</v>
      </c>
      <c r="E1393">
        <f>0.5*C1393*(1-EXP(-'user input'!$C$19*D1393))</f>
        <v>0</v>
      </c>
      <c r="F1393">
        <f>E1393*'user input'!$C$21</f>
        <v>0</v>
      </c>
    </row>
    <row r="1394" spans="1:6" x14ac:dyDescent="0.2">
      <c r="A1394" s="1">
        <v>41570</v>
      </c>
      <c r="B1394">
        <v>297</v>
      </c>
      <c r="C1394">
        <f>'weather data'!E1394</f>
        <v>8.4711111111111119</v>
      </c>
      <c r="D1394">
        <f>LAI!F1394</f>
        <v>0</v>
      </c>
      <c r="E1394">
        <f>0.5*C1394*(1-EXP(-'user input'!$C$19*D1394))</f>
        <v>0</v>
      </c>
      <c r="F1394">
        <f>E1394*'user input'!$C$21</f>
        <v>0</v>
      </c>
    </row>
    <row r="1395" spans="1:6" x14ac:dyDescent="0.2">
      <c r="A1395" s="1">
        <v>41571</v>
      </c>
      <c r="B1395">
        <v>298</v>
      </c>
      <c r="C1395">
        <f>'weather data'!E1395</f>
        <v>8.9599999999999991</v>
      </c>
      <c r="D1395">
        <f>LAI!F1395</f>
        <v>0</v>
      </c>
      <c r="E1395">
        <f>0.5*C1395*(1-EXP(-'user input'!$C$19*D1395))</f>
        <v>0</v>
      </c>
      <c r="F1395">
        <f>E1395*'user input'!$C$21</f>
        <v>0</v>
      </c>
    </row>
    <row r="1396" spans="1:6" x14ac:dyDescent="0.2">
      <c r="A1396" s="1">
        <v>41572</v>
      </c>
      <c r="B1396">
        <v>299</v>
      </c>
      <c r="C1396">
        <f>'weather data'!E1396</f>
        <v>9.0155555555555544</v>
      </c>
      <c r="D1396">
        <f>LAI!F1396</f>
        <v>0</v>
      </c>
      <c r="E1396">
        <f>0.5*C1396*(1-EXP(-'user input'!$C$19*D1396))</f>
        <v>0</v>
      </c>
      <c r="F1396">
        <f>E1396*'user input'!$C$21</f>
        <v>0</v>
      </c>
    </row>
    <row r="1397" spans="1:6" x14ac:dyDescent="0.2">
      <c r="A1397" s="1">
        <v>41573</v>
      </c>
      <c r="B1397">
        <v>300</v>
      </c>
      <c r="C1397">
        <f>'weather data'!E1397</f>
        <v>8.5622222222222231</v>
      </c>
      <c r="D1397">
        <f>LAI!F1397</f>
        <v>0</v>
      </c>
      <c r="E1397">
        <f>0.5*C1397*(1-EXP(-'user input'!$C$19*D1397))</f>
        <v>0</v>
      </c>
      <c r="F1397">
        <f>E1397*'user input'!$C$21</f>
        <v>0</v>
      </c>
    </row>
    <row r="1398" spans="1:6" x14ac:dyDescent="0.2">
      <c r="A1398" s="1">
        <v>41574</v>
      </c>
      <c r="B1398">
        <v>301</v>
      </c>
      <c r="C1398">
        <f>'weather data'!E1398</f>
        <v>9.3444444444444468</v>
      </c>
      <c r="D1398">
        <f>LAI!F1398</f>
        <v>0</v>
      </c>
      <c r="E1398">
        <f>0.5*C1398*(1-EXP(-'user input'!$C$19*D1398))</f>
        <v>0</v>
      </c>
      <c r="F1398">
        <f>E1398*'user input'!$C$21</f>
        <v>0</v>
      </c>
    </row>
    <row r="1399" spans="1:6" x14ac:dyDescent="0.2">
      <c r="A1399" s="1">
        <v>41575</v>
      </c>
      <c r="B1399">
        <v>302</v>
      </c>
      <c r="C1399">
        <f>'weather data'!E1399</f>
        <v>8.6866666666666656</v>
      </c>
      <c r="D1399">
        <f>LAI!F1399</f>
        <v>0</v>
      </c>
      <c r="E1399">
        <f>0.5*C1399*(1-EXP(-'user input'!$C$19*D1399))</f>
        <v>0</v>
      </c>
      <c r="F1399">
        <f>E1399*'user input'!$C$21</f>
        <v>0</v>
      </c>
    </row>
    <row r="1400" spans="1:6" x14ac:dyDescent="0.2">
      <c r="A1400" s="1">
        <v>41576</v>
      </c>
      <c r="B1400">
        <v>303</v>
      </c>
      <c r="C1400">
        <f>'weather data'!E1400</f>
        <v>8.1999999999999975</v>
      </c>
      <c r="D1400">
        <f>LAI!F1400</f>
        <v>0</v>
      </c>
      <c r="E1400">
        <f>0.5*C1400*(1-EXP(-'user input'!$C$19*D1400))</f>
        <v>0</v>
      </c>
      <c r="F1400">
        <f>E1400*'user input'!$C$21</f>
        <v>0</v>
      </c>
    </row>
    <row r="1401" spans="1:6" x14ac:dyDescent="0.2">
      <c r="A1401" s="1">
        <v>41577</v>
      </c>
      <c r="B1401">
        <v>304</v>
      </c>
      <c r="C1401">
        <f>'weather data'!E1401</f>
        <v>7.120000000000001</v>
      </c>
      <c r="D1401">
        <f>LAI!F1401</f>
        <v>0</v>
      </c>
      <c r="E1401">
        <f>0.5*C1401*(1-EXP(-'user input'!$C$19*D1401))</f>
        <v>0</v>
      </c>
      <c r="F1401">
        <f>E1401*'user input'!$C$21</f>
        <v>0</v>
      </c>
    </row>
    <row r="1402" spans="1:6" x14ac:dyDescent="0.2">
      <c r="A1402" s="1">
        <v>41578</v>
      </c>
      <c r="B1402">
        <v>305</v>
      </c>
      <c r="C1402">
        <f>'weather data'!E1402</f>
        <v>6.913333333333334</v>
      </c>
      <c r="D1402">
        <f>LAI!F1402</f>
        <v>0</v>
      </c>
      <c r="E1402">
        <f>0.5*C1402*(1-EXP(-'user input'!$C$19*D1402))</f>
        <v>0</v>
      </c>
      <c r="F1402">
        <f>E1402*'user input'!$C$21</f>
        <v>0</v>
      </c>
    </row>
    <row r="1403" spans="1:6" x14ac:dyDescent="0.2">
      <c r="A1403" s="1">
        <v>41579</v>
      </c>
      <c r="B1403">
        <v>306</v>
      </c>
      <c r="C1403">
        <f>'weather data'!E1403</f>
        <v>7.6555555555555559</v>
      </c>
      <c r="D1403">
        <f>LAI!F1403</f>
        <v>0</v>
      </c>
      <c r="E1403">
        <f>0.5*C1403*(1-EXP(-'user input'!$C$19*D1403))</f>
        <v>0</v>
      </c>
      <c r="F1403">
        <f>E1403*'user input'!$C$21</f>
        <v>0</v>
      </c>
    </row>
    <row r="1404" spans="1:6" x14ac:dyDescent="0.2">
      <c r="A1404" s="1">
        <v>41580</v>
      </c>
      <c r="B1404">
        <v>307</v>
      </c>
      <c r="C1404">
        <f>'weather data'!E1404</f>
        <v>7.1822222222222205</v>
      </c>
      <c r="D1404">
        <f>LAI!F1404</f>
        <v>0</v>
      </c>
      <c r="E1404">
        <f>0.5*C1404*(1-EXP(-'user input'!$C$19*D1404))</f>
        <v>0</v>
      </c>
      <c r="F1404">
        <f>E1404*'user input'!$C$21</f>
        <v>0</v>
      </c>
    </row>
    <row r="1405" spans="1:6" x14ac:dyDescent="0.2">
      <c r="A1405" s="1">
        <v>41581</v>
      </c>
      <c r="B1405">
        <v>308</v>
      </c>
      <c r="C1405">
        <f>'weather data'!E1405</f>
        <v>7.5955555555555545</v>
      </c>
      <c r="D1405">
        <f>LAI!F1405</f>
        <v>0</v>
      </c>
      <c r="E1405">
        <f>0.5*C1405*(1-EXP(-'user input'!$C$19*D1405))</f>
        <v>0</v>
      </c>
      <c r="F1405">
        <f>E1405*'user input'!$C$21</f>
        <v>0</v>
      </c>
    </row>
    <row r="1406" spans="1:6" x14ac:dyDescent="0.2">
      <c r="A1406" s="1">
        <v>41582</v>
      </c>
      <c r="B1406">
        <v>309</v>
      </c>
      <c r="C1406">
        <f>'weather data'!E1406</f>
        <v>6.7955555555555573</v>
      </c>
      <c r="D1406">
        <f>LAI!F1406</f>
        <v>0</v>
      </c>
      <c r="E1406">
        <f>0.5*C1406*(1-EXP(-'user input'!$C$19*D1406))</f>
        <v>0</v>
      </c>
      <c r="F1406">
        <f>E1406*'user input'!$C$21</f>
        <v>0</v>
      </c>
    </row>
    <row r="1407" spans="1:6" x14ac:dyDescent="0.2">
      <c r="A1407" s="1">
        <v>41583</v>
      </c>
      <c r="B1407">
        <v>310</v>
      </c>
      <c r="C1407">
        <f>'weather data'!E1407</f>
        <v>6.6288888888888904</v>
      </c>
      <c r="D1407">
        <f>LAI!F1407</f>
        <v>0</v>
      </c>
      <c r="E1407">
        <f>0.5*C1407*(1-EXP(-'user input'!$C$19*D1407))</f>
        <v>0</v>
      </c>
      <c r="F1407">
        <f>E1407*'user input'!$C$21</f>
        <v>0</v>
      </c>
    </row>
    <row r="1408" spans="1:6" x14ac:dyDescent="0.2">
      <c r="A1408" s="1">
        <v>41584</v>
      </c>
      <c r="B1408">
        <v>311</v>
      </c>
      <c r="C1408">
        <f>'weather data'!E1408</f>
        <v>7.4622222222222225</v>
      </c>
      <c r="D1408">
        <f>LAI!F1408</f>
        <v>0</v>
      </c>
      <c r="E1408">
        <f>0.5*C1408*(1-EXP(-'user input'!$C$19*D1408))</f>
        <v>0</v>
      </c>
      <c r="F1408">
        <f>E1408*'user input'!$C$21</f>
        <v>0</v>
      </c>
    </row>
    <row r="1409" spans="1:6" x14ac:dyDescent="0.2">
      <c r="A1409" s="1">
        <v>41585</v>
      </c>
      <c r="B1409">
        <v>312</v>
      </c>
      <c r="C1409">
        <f>'weather data'!E1409</f>
        <v>6.4088888888888897</v>
      </c>
      <c r="D1409">
        <f>LAI!F1409</f>
        <v>0</v>
      </c>
      <c r="E1409">
        <f>0.5*C1409*(1-EXP(-'user input'!$C$19*D1409))</f>
        <v>0</v>
      </c>
      <c r="F1409">
        <f>E1409*'user input'!$C$21</f>
        <v>0</v>
      </c>
    </row>
    <row r="1410" spans="1:6" x14ac:dyDescent="0.2">
      <c r="A1410" s="1">
        <v>41586</v>
      </c>
      <c r="B1410">
        <v>313</v>
      </c>
      <c r="C1410">
        <f>'weather data'!E1410</f>
        <v>6.8622222222222238</v>
      </c>
      <c r="D1410">
        <f>LAI!F1410</f>
        <v>0</v>
      </c>
      <c r="E1410">
        <f>0.5*C1410*(1-EXP(-'user input'!$C$19*D1410))</f>
        <v>0</v>
      </c>
      <c r="F1410">
        <f>E1410*'user input'!$C$21</f>
        <v>0</v>
      </c>
    </row>
    <row r="1411" spans="1:6" x14ac:dyDescent="0.2">
      <c r="A1411" s="1">
        <v>41587</v>
      </c>
      <c r="B1411">
        <v>314</v>
      </c>
      <c r="C1411">
        <f>'weather data'!E1411</f>
        <v>6.8200000000000012</v>
      </c>
      <c r="D1411">
        <f>LAI!F1411</f>
        <v>0</v>
      </c>
      <c r="E1411">
        <f>0.5*C1411*(1-EXP(-'user input'!$C$19*D1411))</f>
        <v>0</v>
      </c>
      <c r="F1411">
        <f>E1411*'user input'!$C$21</f>
        <v>0</v>
      </c>
    </row>
    <row r="1412" spans="1:6" x14ac:dyDescent="0.2">
      <c r="A1412" s="1">
        <v>41588</v>
      </c>
      <c r="B1412">
        <v>315</v>
      </c>
      <c r="C1412">
        <f>'weather data'!E1412</f>
        <v>7.075555555555554</v>
      </c>
      <c r="D1412">
        <f>LAI!F1412</f>
        <v>0</v>
      </c>
      <c r="E1412">
        <f>0.5*C1412*(1-EXP(-'user input'!$C$19*D1412))</f>
        <v>0</v>
      </c>
      <c r="F1412">
        <f>E1412*'user input'!$C$21</f>
        <v>0</v>
      </c>
    </row>
    <row r="1413" spans="1:6" x14ac:dyDescent="0.2">
      <c r="A1413" s="1">
        <v>41589</v>
      </c>
      <c r="B1413">
        <v>316</v>
      </c>
      <c r="C1413">
        <f>'weather data'!E1413</f>
        <v>6.7977777777777781</v>
      </c>
      <c r="D1413">
        <f>LAI!F1413</f>
        <v>0</v>
      </c>
      <c r="E1413">
        <f>0.5*C1413*(1-EXP(-'user input'!$C$19*D1413))</f>
        <v>0</v>
      </c>
      <c r="F1413">
        <f>E1413*'user input'!$C$21</f>
        <v>0</v>
      </c>
    </row>
    <row r="1414" spans="1:6" x14ac:dyDescent="0.2">
      <c r="A1414" s="1">
        <v>41590</v>
      </c>
      <c r="B1414">
        <v>317</v>
      </c>
      <c r="C1414">
        <f>'weather data'!E1414</f>
        <v>6.2888888888888914</v>
      </c>
      <c r="D1414">
        <f>LAI!F1414</f>
        <v>0</v>
      </c>
      <c r="E1414">
        <f>0.5*C1414*(1-EXP(-'user input'!$C$19*D1414))</f>
        <v>0</v>
      </c>
      <c r="F1414">
        <f>E1414*'user input'!$C$21</f>
        <v>0</v>
      </c>
    </row>
    <row r="1415" spans="1:6" x14ac:dyDescent="0.2">
      <c r="A1415" s="1">
        <v>41591</v>
      </c>
      <c r="B1415">
        <v>318</v>
      </c>
      <c r="C1415">
        <f>'weather data'!E1415</f>
        <v>6.3822222222222242</v>
      </c>
      <c r="D1415">
        <f>LAI!F1415</f>
        <v>0</v>
      </c>
      <c r="E1415">
        <f>0.5*C1415*(1-EXP(-'user input'!$C$19*D1415))</f>
        <v>0</v>
      </c>
      <c r="F1415">
        <f>E1415*'user input'!$C$21</f>
        <v>0</v>
      </c>
    </row>
    <row r="1416" spans="1:6" x14ac:dyDescent="0.2">
      <c r="A1416" s="1">
        <v>41592</v>
      </c>
      <c r="B1416">
        <v>319</v>
      </c>
      <c r="C1416">
        <f>'weather data'!E1416</f>
        <v>5.5888888888888895</v>
      </c>
      <c r="D1416">
        <f>LAI!F1416</f>
        <v>0</v>
      </c>
      <c r="E1416">
        <f>0.5*C1416*(1-EXP(-'user input'!$C$19*D1416))</f>
        <v>0</v>
      </c>
      <c r="F1416">
        <f>E1416*'user input'!$C$21</f>
        <v>0</v>
      </c>
    </row>
    <row r="1417" spans="1:6" x14ac:dyDescent="0.2">
      <c r="A1417" s="1">
        <v>41593</v>
      </c>
      <c r="B1417">
        <v>320</v>
      </c>
      <c r="C1417">
        <f>'weather data'!E1417</f>
        <v>6.2133333333333303</v>
      </c>
      <c r="D1417">
        <f>LAI!F1417</f>
        <v>0</v>
      </c>
      <c r="E1417">
        <f>0.5*C1417*(1-EXP(-'user input'!$C$19*D1417))</f>
        <v>0</v>
      </c>
      <c r="F1417">
        <f>E1417*'user input'!$C$21</f>
        <v>0</v>
      </c>
    </row>
    <row r="1418" spans="1:6" x14ac:dyDescent="0.2">
      <c r="A1418" s="1">
        <v>41594</v>
      </c>
      <c r="B1418">
        <v>321</v>
      </c>
      <c r="C1418">
        <f>'weather data'!E1418</f>
        <v>6.3666666666666654</v>
      </c>
      <c r="D1418">
        <f>LAI!F1418</f>
        <v>0</v>
      </c>
      <c r="E1418">
        <f>0.5*C1418*(1-EXP(-'user input'!$C$19*D1418))</f>
        <v>0</v>
      </c>
      <c r="F1418">
        <f>E1418*'user input'!$C$21</f>
        <v>0</v>
      </c>
    </row>
    <row r="1419" spans="1:6" x14ac:dyDescent="0.2">
      <c r="A1419" s="1">
        <v>41595</v>
      </c>
      <c r="B1419">
        <v>322</v>
      </c>
      <c r="C1419">
        <f>'weather data'!E1419</f>
        <v>6.0955555555555545</v>
      </c>
      <c r="D1419">
        <f>LAI!F1419</f>
        <v>0</v>
      </c>
      <c r="E1419">
        <f>0.5*C1419*(1-EXP(-'user input'!$C$19*D1419))</f>
        <v>0</v>
      </c>
      <c r="F1419">
        <f>E1419*'user input'!$C$21</f>
        <v>0</v>
      </c>
    </row>
    <row r="1420" spans="1:6" x14ac:dyDescent="0.2">
      <c r="A1420" s="1">
        <v>41596</v>
      </c>
      <c r="B1420">
        <v>323</v>
      </c>
      <c r="C1420">
        <f>'weather data'!E1420</f>
        <v>5.8177777777777795</v>
      </c>
      <c r="D1420">
        <f>LAI!F1420</f>
        <v>0</v>
      </c>
      <c r="E1420">
        <f>0.5*C1420*(1-EXP(-'user input'!$C$19*D1420))</f>
        <v>0</v>
      </c>
      <c r="F1420">
        <f>E1420*'user input'!$C$21</f>
        <v>0</v>
      </c>
    </row>
    <row r="1421" spans="1:6" x14ac:dyDescent="0.2">
      <c r="A1421" s="1">
        <v>41597</v>
      </c>
      <c r="B1421">
        <v>324</v>
      </c>
      <c r="C1421">
        <f>'weather data'!E1421</f>
        <v>5.0466666666666669</v>
      </c>
      <c r="D1421">
        <f>LAI!F1421</f>
        <v>0</v>
      </c>
      <c r="E1421">
        <f>0.5*C1421*(1-EXP(-'user input'!$C$19*D1421))</f>
        <v>0</v>
      </c>
      <c r="F1421">
        <f>E1421*'user input'!$C$21</f>
        <v>0</v>
      </c>
    </row>
    <row r="1422" spans="1:6" x14ac:dyDescent="0.2">
      <c r="A1422" s="1">
        <v>41598</v>
      </c>
      <c r="B1422">
        <v>325</v>
      </c>
      <c r="C1422">
        <f>'weather data'!E1422</f>
        <v>6.0044444444444434</v>
      </c>
      <c r="D1422">
        <f>LAI!F1422</f>
        <v>0</v>
      </c>
      <c r="E1422">
        <f>0.5*C1422*(1-EXP(-'user input'!$C$19*D1422))</f>
        <v>0</v>
      </c>
      <c r="F1422">
        <f>E1422*'user input'!$C$21</f>
        <v>0</v>
      </c>
    </row>
    <row r="1423" spans="1:6" x14ac:dyDescent="0.2">
      <c r="A1423" s="1">
        <v>41599</v>
      </c>
      <c r="B1423">
        <v>326</v>
      </c>
      <c r="C1423">
        <f>'weather data'!E1423</f>
        <v>6.1799999999999979</v>
      </c>
      <c r="D1423">
        <f>LAI!F1423</f>
        <v>0</v>
      </c>
      <c r="E1423">
        <f>0.5*C1423*(1-EXP(-'user input'!$C$19*D1423))</f>
        <v>0</v>
      </c>
      <c r="F1423">
        <f>E1423*'user input'!$C$21</f>
        <v>0</v>
      </c>
    </row>
    <row r="1424" spans="1:6" x14ac:dyDescent="0.2">
      <c r="A1424" s="1">
        <v>41600</v>
      </c>
      <c r="B1424">
        <v>327</v>
      </c>
      <c r="C1424">
        <f>'weather data'!E1424</f>
        <v>5.3200000000000021</v>
      </c>
      <c r="D1424">
        <f>LAI!F1424</f>
        <v>0</v>
      </c>
      <c r="E1424">
        <f>0.5*C1424*(1-EXP(-'user input'!$C$19*D1424))</f>
        <v>0</v>
      </c>
      <c r="F1424">
        <f>E1424*'user input'!$C$21</f>
        <v>0</v>
      </c>
    </row>
    <row r="1425" spans="1:6" x14ac:dyDescent="0.2">
      <c r="A1425" s="1">
        <v>41601</v>
      </c>
      <c r="B1425">
        <v>328</v>
      </c>
      <c r="C1425">
        <f>'weather data'!E1425</f>
        <v>5.6422222222222205</v>
      </c>
      <c r="D1425">
        <f>LAI!F1425</f>
        <v>0</v>
      </c>
      <c r="E1425">
        <f>0.5*C1425*(1-EXP(-'user input'!$C$19*D1425))</f>
        <v>0</v>
      </c>
      <c r="F1425">
        <f>E1425*'user input'!$C$21</f>
        <v>0</v>
      </c>
    </row>
    <row r="1426" spans="1:6" x14ac:dyDescent="0.2">
      <c r="A1426" s="1">
        <v>41602</v>
      </c>
      <c r="B1426">
        <v>329</v>
      </c>
      <c r="C1426">
        <f>'weather data'!E1426</f>
        <v>5.8155555555555578</v>
      </c>
      <c r="D1426">
        <f>LAI!F1426</f>
        <v>0</v>
      </c>
      <c r="E1426">
        <f>0.5*C1426*(1-EXP(-'user input'!$C$19*D1426))</f>
        <v>0</v>
      </c>
      <c r="F1426">
        <f>E1426*'user input'!$C$21</f>
        <v>0</v>
      </c>
    </row>
    <row r="1427" spans="1:6" x14ac:dyDescent="0.2">
      <c r="A1427" s="1">
        <v>41603</v>
      </c>
      <c r="B1427">
        <v>330</v>
      </c>
      <c r="C1427">
        <f>'weather data'!E1427</f>
        <v>4.8911111111111119</v>
      </c>
      <c r="D1427">
        <f>LAI!F1427</f>
        <v>0</v>
      </c>
      <c r="E1427">
        <f>0.5*C1427*(1-EXP(-'user input'!$C$19*D1427))</f>
        <v>0</v>
      </c>
      <c r="F1427">
        <f>E1427*'user input'!$C$21</f>
        <v>0</v>
      </c>
    </row>
    <row r="1428" spans="1:6" x14ac:dyDescent="0.2">
      <c r="A1428" s="1">
        <v>41604</v>
      </c>
      <c r="B1428">
        <v>331</v>
      </c>
      <c r="C1428">
        <f>'weather data'!E1428</f>
        <v>4.6599999999999984</v>
      </c>
      <c r="D1428">
        <f>LAI!F1428</f>
        <v>0</v>
      </c>
      <c r="E1428">
        <f>0.5*C1428*(1-EXP(-'user input'!$C$19*D1428))</f>
        <v>0</v>
      </c>
      <c r="F1428">
        <f>E1428*'user input'!$C$21</f>
        <v>0</v>
      </c>
    </row>
    <row r="1429" spans="1:6" x14ac:dyDescent="0.2">
      <c r="A1429" s="1">
        <v>41605</v>
      </c>
      <c r="B1429">
        <v>332</v>
      </c>
      <c r="C1429">
        <f>'weather data'!E1429</f>
        <v>5.6022222222222222</v>
      </c>
      <c r="D1429">
        <f>LAI!F1429</f>
        <v>0</v>
      </c>
      <c r="E1429">
        <f>0.5*C1429*(1-EXP(-'user input'!$C$19*D1429))</f>
        <v>0</v>
      </c>
      <c r="F1429">
        <f>E1429*'user input'!$C$21</f>
        <v>0</v>
      </c>
    </row>
    <row r="1430" spans="1:6" x14ac:dyDescent="0.2">
      <c r="A1430" s="1">
        <v>41606</v>
      </c>
      <c r="B1430">
        <v>333</v>
      </c>
      <c r="C1430">
        <f>'weather data'!E1430</f>
        <v>5.1000000000000005</v>
      </c>
      <c r="D1430">
        <f>LAI!F1430</f>
        <v>0</v>
      </c>
      <c r="E1430">
        <f>0.5*C1430*(1-EXP(-'user input'!$C$19*D1430))</f>
        <v>0</v>
      </c>
      <c r="F1430">
        <f>E1430*'user input'!$C$21</f>
        <v>0</v>
      </c>
    </row>
    <row r="1431" spans="1:6" x14ac:dyDescent="0.2">
      <c r="A1431" s="1">
        <v>41607</v>
      </c>
      <c r="B1431">
        <v>334</v>
      </c>
      <c r="C1431">
        <f>'weather data'!E1431</f>
        <v>5.0266666666666673</v>
      </c>
      <c r="D1431">
        <f>LAI!F1431</f>
        <v>0</v>
      </c>
      <c r="E1431">
        <f>0.5*C1431*(1-EXP(-'user input'!$C$19*D1431))</f>
        <v>0</v>
      </c>
      <c r="F1431">
        <f>E1431*'user input'!$C$21</f>
        <v>0</v>
      </c>
    </row>
    <row r="1432" spans="1:6" x14ac:dyDescent="0.2">
      <c r="A1432" s="1">
        <v>41608</v>
      </c>
      <c r="B1432">
        <v>335</v>
      </c>
      <c r="C1432">
        <f>'weather data'!E1432</f>
        <v>5.1866666666666648</v>
      </c>
      <c r="D1432">
        <f>LAI!F1432</f>
        <v>0</v>
      </c>
      <c r="E1432">
        <f>0.5*C1432*(1-EXP(-'user input'!$C$19*D1432))</f>
        <v>0</v>
      </c>
      <c r="F1432">
        <f>E1432*'user input'!$C$21</f>
        <v>0</v>
      </c>
    </row>
    <row r="1433" spans="1:6" x14ac:dyDescent="0.2">
      <c r="A1433" s="1">
        <v>41609</v>
      </c>
      <c r="B1433">
        <v>336</v>
      </c>
      <c r="C1433">
        <f>'weather data'!E1433</f>
        <v>5.5222222222222221</v>
      </c>
      <c r="D1433">
        <f>LAI!F1433</f>
        <v>0</v>
      </c>
      <c r="E1433">
        <f>0.5*C1433*(1-EXP(-'user input'!$C$19*D1433))</f>
        <v>0</v>
      </c>
      <c r="F1433">
        <f>E1433*'user input'!$C$21</f>
        <v>0</v>
      </c>
    </row>
    <row r="1434" spans="1:6" x14ac:dyDescent="0.2">
      <c r="A1434" s="1">
        <v>41610</v>
      </c>
      <c r="B1434">
        <v>337</v>
      </c>
      <c r="C1434">
        <f>'weather data'!E1434</f>
        <v>4.9666666666666659</v>
      </c>
      <c r="D1434">
        <f>LAI!F1434</f>
        <v>0</v>
      </c>
      <c r="E1434">
        <f>0.5*C1434*(1-EXP(-'user input'!$C$19*D1434))</f>
        <v>0</v>
      </c>
      <c r="F1434">
        <f>E1434*'user input'!$C$21</f>
        <v>0</v>
      </c>
    </row>
    <row r="1435" spans="1:6" x14ac:dyDescent="0.2">
      <c r="A1435" s="1">
        <v>41611</v>
      </c>
      <c r="B1435">
        <v>338</v>
      </c>
      <c r="C1435">
        <f>'weather data'!E1435</f>
        <v>5.1911111111111108</v>
      </c>
      <c r="D1435">
        <f>LAI!F1435</f>
        <v>0</v>
      </c>
      <c r="E1435">
        <f>0.5*C1435*(1-EXP(-'user input'!$C$19*D1435))</f>
        <v>0</v>
      </c>
      <c r="F1435">
        <f>E1435*'user input'!$C$21</f>
        <v>0</v>
      </c>
    </row>
    <row r="1436" spans="1:6" x14ac:dyDescent="0.2">
      <c r="A1436" s="1">
        <v>41612</v>
      </c>
      <c r="B1436">
        <v>339</v>
      </c>
      <c r="C1436">
        <f>'weather data'!E1436</f>
        <v>5.08</v>
      </c>
      <c r="D1436">
        <f>LAI!F1436</f>
        <v>0</v>
      </c>
      <c r="E1436">
        <f>0.5*C1436*(1-EXP(-'user input'!$C$19*D1436))</f>
        <v>0</v>
      </c>
      <c r="F1436">
        <f>E1436*'user input'!$C$21</f>
        <v>0</v>
      </c>
    </row>
    <row r="1437" spans="1:6" x14ac:dyDescent="0.2">
      <c r="A1437" s="1">
        <v>41613</v>
      </c>
      <c r="B1437">
        <v>340</v>
      </c>
      <c r="C1437">
        <f>'weather data'!E1437</f>
        <v>5.3800000000000008</v>
      </c>
      <c r="D1437">
        <f>LAI!F1437</f>
        <v>0</v>
      </c>
      <c r="E1437">
        <f>0.5*C1437*(1-EXP(-'user input'!$C$19*D1437))</f>
        <v>0</v>
      </c>
      <c r="F1437">
        <f>E1437*'user input'!$C$21</f>
        <v>0</v>
      </c>
    </row>
    <row r="1438" spans="1:6" x14ac:dyDescent="0.2">
      <c r="A1438" s="1">
        <v>41614</v>
      </c>
      <c r="B1438">
        <v>341</v>
      </c>
      <c r="C1438">
        <f>'weather data'!E1438</f>
        <v>5.1688888888888878</v>
      </c>
      <c r="D1438">
        <f>LAI!F1438</f>
        <v>0</v>
      </c>
      <c r="E1438">
        <f>0.5*C1438*(1-EXP(-'user input'!$C$19*D1438))</f>
        <v>0</v>
      </c>
      <c r="F1438">
        <f>E1438*'user input'!$C$21</f>
        <v>0</v>
      </c>
    </row>
    <row r="1439" spans="1:6" x14ac:dyDescent="0.2">
      <c r="A1439" s="1">
        <v>41615</v>
      </c>
      <c r="B1439">
        <v>342</v>
      </c>
      <c r="C1439">
        <f>'weather data'!E1439</f>
        <v>5.0244444444444447</v>
      </c>
      <c r="D1439">
        <f>LAI!F1439</f>
        <v>0</v>
      </c>
      <c r="E1439">
        <f>0.5*C1439*(1-EXP(-'user input'!$C$19*D1439))</f>
        <v>0</v>
      </c>
      <c r="F1439">
        <f>E1439*'user input'!$C$21</f>
        <v>0</v>
      </c>
    </row>
    <row r="1440" spans="1:6" x14ac:dyDescent="0.2">
      <c r="A1440" s="1">
        <v>41616</v>
      </c>
      <c r="B1440">
        <v>343</v>
      </c>
      <c r="C1440">
        <f>'weather data'!E1440</f>
        <v>4.9955555555555549</v>
      </c>
      <c r="D1440">
        <f>LAI!F1440</f>
        <v>0</v>
      </c>
      <c r="E1440">
        <f>0.5*C1440*(1-EXP(-'user input'!$C$19*D1440))</f>
        <v>0</v>
      </c>
      <c r="F1440">
        <f>E1440*'user input'!$C$21</f>
        <v>0</v>
      </c>
    </row>
    <row r="1441" spans="1:6" x14ac:dyDescent="0.2">
      <c r="A1441" s="1">
        <v>41617</v>
      </c>
      <c r="B1441">
        <v>344</v>
      </c>
      <c r="C1441">
        <f>'weather data'!E1441</f>
        <v>4.9866666666666664</v>
      </c>
      <c r="D1441">
        <f>LAI!F1441</f>
        <v>0</v>
      </c>
      <c r="E1441">
        <f>0.5*C1441*(1-EXP(-'user input'!$C$19*D1441))</f>
        <v>0</v>
      </c>
      <c r="F1441">
        <f>E1441*'user input'!$C$21</f>
        <v>0</v>
      </c>
    </row>
    <row r="1442" spans="1:6" x14ac:dyDescent="0.2">
      <c r="A1442" s="1">
        <v>41618</v>
      </c>
      <c r="B1442">
        <v>345</v>
      </c>
      <c r="C1442">
        <f>'weather data'!E1442</f>
        <v>5.0311111111111106</v>
      </c>
      <c r="D1442">
        <f>LAI!F1442</f>
        <v>0</v>
      </c>
      <c r="E1442">
        <f>0.5*C1442*(1-EXP(-'user input'!$C$19*D1442))</f>
        <v>0</v>
      </c>
      <c r="F1442">
        <f>E1442*'user input'!$C$21</f>
        <v>0</v>
      </c>
    </row>
    <row r="1443" spans="1:6" x14ac:dyDescent="0.2">
      <c r="A1443" s="1">
        <v>41619</v>
      </c>
      <c r="B1443">
        <v>346</v>
      </c>
      <c r="C1443">
        <f>'weather data'!E1443</f>
        <v>4.826666666666668</v>
      </c>
      <c r="D1443">
        <f>LAI!F1443</f>
        <v>0</v>
      </c>
      <c r="E1443">
        <f>0.5*C1443*(1-EXP(-'user input'!$C$19*D1443))</f>
        <v>0</v>
      </c>
      <c r="F1443">
        <f>E1443*'user input'!$C$21</f>
        <v>0</v>
      </c>
    </row>
    <row r="1444" spans="1:6" x14ac:dyDescent="0.2">
      <c r="A1444" s="1">
        <v>41620</v>
      </c>
      <c r="B1444">
        <v>347</v>
      </c>
      <c r="C1444">
        <f>'weather data'!E1444</f>
        <v>5.126666666666666</v>
      </c>
      <c r="D1444">
        <f>LAI!F1444</f>
        <v>0</v>
      </c>
      <c r="E1444">
        <f>0.5*C1444*(1-EXP(-'user input'!$C$19*D1444))</f>
        <v>0</v>
      </c>
      <c r="F1444">
        <f>E1444*'user input'!$C$21</f>
        <v>0</v>
      </c>
    </row>
    <row r="1445" spans="1:6" x14ac:dyDescent="0.2">
      <c r="A1445" s="1">
        <v>41621</v>
      </c>
      <c r="B1445">
        <v>348</v>
      </c>
      <c r="C1445">
        <f>'weather data'!E1445</f>
        <v>4.9755555555555553</v>
      </c>
      <c r="D1445">
        <f>LAI!F1445</f>
        <v>0</v>
      </c>
      <c r="E1445">
        <f>0.5*C1445*(1-EXP(-'user input'!$C$19*D1445))</f>
        <v>0</v>
      </c>
      <c r="F1445">
        <f>E1445*'user input'!$C$21</f>
        <v>0</v>
      </c>
    </row>
    <row r="1446" spans="1:6" x14ac:dyDescent="0.2">
      <c r="A1446" s="1">
        <v>41622</v>
      </c>
      <c r="B1446">
        <v>349</v>
      </c>
      <c r="C1446">
        <f>'weather data'!E1446</f>
        <v>4.8177777777777795</v>
      </c>
      <c r="D1446">
        <f>LAI!F1446</f>
        <v>0</v>
      </c>
      <c r="E1446">
        <f>0.5*C1446*(1-EXP(-'user input'!$C$19*D1446))</f>
        <v>0</v>
      </c>
      <c r="F1446">
        <f>E1446*'user input'!$C$21</f>
        <v>0</v>
      </c>
    </row>
    <row r="1447" spans="1:6" x14ac:dyDescent="0.2">
      <c r="A1447" s="1">
        <v>41623</v>
      </c>
      <c r="B1447">
        <v>350</v>
      </c>
      <c r="C1447">
        <f>'weather data'!E1447</f>
        <v>5.1622222222222209</v>
      </c>
      <c r="D1447">
        <f>LAI!F1447</f>
        <v>0</v>
      </c>
      <c r="E1447">
        <f>0.5*C1447*(1-EXP(-'user input'!$C$19*D1447))</f>
        <v>0</v>
      </c>
      <c r="F1447">
        <f>E1447*'user input'!$C$21</f>
        <v>0</v>
      </c>
    </row>
    <row r="1448" spans="1:6" x14ac:dyDescent="0.2">
      <c r="A1448" s="1">
        <v>41624</v>
      </c>
      <c r="B1448">
        <v>351</v>
      </c>
      <c r="C1448">
        <f>'weather data'!E1448</f>
        <v>5.1977777777777758</v>
      </c>
      <c r="D1448">
        <f>LAI!F1448</f>
        <v>0</v>
      </c>
      <c r="E1448">
        <f>0.5*C1448*(1-EXP(-'user input'!$C$19*D1448))</f>
        <v>0</v>
      </c>
      <c r="F1448">
        <f>E1448*'user input'!$C$21</f>
        <v>0</v>
      </c>
    </row>
    <row r="1449" spans="1:6" x14ac:dyDescent="0.2">
      <c r="A1449" s="1">
        <v>41625</v>
      </c>
      <c r="B1449">
        <v>352</v>
      </c>
      <c r="C1449">
        <f>'weather data'!E1449</f>
        <v>5.0222222222222221</v>
      </c>
      <c r="D1449">
        <f>LAI!F1449</f>
        <v>0</v>
      </c>
      <c r="E1449">
        <f>0.5*C1449*(1-EXP(-'user input'!$C$19*D1449))</f>
        <v>0</v>
      </c>
      <c r="F1449">
        <f>E1449*'user input'!$C$21</f>
        <v>0</v>
      </c>
    </row>
    <row r="1450" spans="1:6" x14ac:dyDescent="0.2">
      <c r="A1450" s="1">
        <v>41626</v>
      </c>
      <c r="B1450">
        <v>353</v>
      </c>
      <c r="C1450">
        <f>'weather data'!E1450</f>
        <v>4.9799999999999986</v>
      </c>
      <c r="D1450">
        <f>LAI!F1450</f>
        <v>0</v>
      </c>
      <c r="E1450">
        <f>0.5*C1450*(1-EXP(-'user input'!$C$19*D1450))</f>
        <v>0</v>
      </c>
      <c r="F1450">
        <f>E1450*'user input'!$C$21</f>
        <v>0</v>
      </c>
    </row>
    <row r="1451" spans="1:6" x14ac:dyDescent="0.2">
      <c r="A1451" s="1">
        <v>41627</v>
      </c>
      <c r="B1451">
        <v>354</v>
      </c>
      <c r="C1451">
        <f>'weather data'!E1451</f>
        <v>5.408888888888888</v>
      </c>
      <c r="D1451">
        <f>LAI!F1451</f>
        <v>0</v>
      </c>
      <c r="E1451">
        <f>0.5*C1451*(1-EXP(-'user input'!$C$19*D1451))</f>
        <v>0</v>
      </c>
      <c r="F1451">
        <f>E1451*'user input'!$C$21</f>
        <v>0</v>
      </c>
    </row>
    <row r="1452" spans="1:6" x14ac:dyDescent="0.2">
      <c r="A1452" s="1">
        <v>41628</v>
      </c>
      <c r="B1452">
        <v>355</v>
      </c>
      <c r="C1452">
        <f>'weather data'!E1452</f>
        <v>5.52</v>
      </c>
      <c r="D1452">
        <f>LAI!F1452</f>
        <v>0</v>
      </c>
      <c r="E1452">
        <f>0.5*C1452*(1-EXP(-'user input'!$C$19*D1452))</f>
        <v>0</v>
      </c>
      <c r="F1452">
        <f>E1452*'user input'!$C$21</f>
        <v>0</v>
      </c>
    </row>
    <row r="1453" spans="1:6" x14ac:dyDescent="0.2">
      <c r="A1453" s="1">
        <v>41629</v>
      </c>
      <c r="B1453">
        <v>356</v>
      </c>
      <c r="C1453">
        <f>'weather data'!E1453</f>
        <v>4.9644444444444442</v>
      </c>
      <c r="D1453">
        <f>LAI!F1453</f>
        <v>0</v>
      </c>
      <c r="E1453">
        <f>0.5*C1453*(1-EXP(-'user input'!$C$19*D1453))</f>
        <v>0</v>
      </c>
      <c r="F1453">
        <f>E1453*'user input'!$C$21</f>
        <v>0</v>
      </c>
    </row>
    <row r="1454" spans="1:6" x14ac:dyDescent="0.2">
      <c r="A1454" s="1">
        <v>41630</v>
      </c>
      <c r="B1454">
        <v>357</v>
      </c>
      <c r="C1454">
        <f>'weather data'!E1454</f>
        <v>4.83777777777778</v>
      </c>
      <c r="D1454">
        <f>LAI!F1454</f>
        <v>0</v>
      </c>
      <c r="E1454">
        <f>0.5*C1454*(1-EXP(-'user input'!$C$19*D1454))</f>
        <v>0</v>
      </c>
      <c r="F1454">
        <f>E1454*'user input'!$C$21</f>
        <v>0</v>
      </c>
    </row>
    <row r="1455" spans="1:6" x14ac:dyDescent="0.2">
      <c r="A1455" s="1">
        <v>41631</v>
      </c>
      <c r="B1455">
        <v>358</v>
      </c>
      <c r="C1455">
        <f>'weather data'!E1455</f>
        <v>5.028888888888889</v>
      </c>
      <c r="D1455">
        <f>LAI!F1455</f>
        <v>0</v>
      </c>
      <c r="E1455">
        <f>0.5*C1455*(1-EXP(-'user input'!$C$19*D1455))</f>
        <v>0</v>
      </c>
      <c r="F1455">
        <f>E1455*'user input'!$C$21</f>
        <v>0</v>
      </c>
    </row>
    <row r="1456" spans="1:6" x14ac:dyDescent="0.2">
      <c r="A1456" s="1">
        <v>41632</v>
      </c>
      <c r="B1456">
        <v>359</v>
      </c>
      <c r="C1456">
        <f>'weather data'!E1456</f>
        <v>5.6022222222222213</v>
      </c>
      <c r="D1456">
        <f>LAI!F1456</f>
        <v>0</v>
      </c>
      <c r="E1456">
        <f>0.5*C1456*(1-EXP(-'user input'!$C$19*D1456))</f>
        <v>0</v>
      </c>
      <c r="F1456">
        <f>E1456*'user input'!$C$21</f>
        <v>0</v>
      </c>
    </row>
    <row r="1457" spans="1:6" x14ac:dyDescent="0.2">
      <c r="A1457" s="1">
        <v>41633</v>
      </c>
      <c r="B1457">
        <v>360</v>
      </c>
      <c r="C1457">
        <f>'weather data'!E1457</f>
        <v>5.1066666666666656</v>
      </c>
      <c r="D1457">
        <f>LAI!F1457</f>
        <v>0</v>
      </c>
      <c r="E1457">
        <f>0.5*C1457*(1-EXP(-'user input'!$C$19*D1457))</f>
        <v>0</v>
      </c>
      <c r="F1457">
        <f>E1457*'user input'!$C$21</f>
        <v>0</v>
      </c>
    </row>
    <row r="1458" spans="1:6" x14ac:dyDescent="0.2">
      <c r="A1458" s="1">
        <v>41634</v>
      </c>
      <c r="B1458">
        <v>361</v>
      </c>
      <c r="C1458">
        <f>'weather data'!E1458</f>
        <v>5.1711111111111112</v>
      </c>
      <c r="D1458">
        <f>LAI!F1458</f>
        <v>0</v>
      </c>
      <c r="E1458">
        <f>0.5*C1458*(1-EXP(-'user input'!$C$19*D1458))</f>
        <v>0</v>
      </c>
      <c r="F1458">
        <f>E1458*'user input'!$C$21</f>
        <v>0</v>
      </c>
    </row>
    <row r="1459" spans="1:6" x14ac:dyDescent="0.2">
      <c r="A1459" s="1">
        <v>41635</v>
      </c>
      <c r="B1459">
        <v>362</v>
      </c>
      <c r="C1459">
        <f>'weather data'!E1459</f>
        <v>4.5044444444444451</v>
      </c>
      <c r="D1459">
        <f>LAI!F1459</f>
        <v>0</v>
      </c>
      <c r="E1459">
        <f>0.5*C1459*(1-EXP(-'user input'!$C$19*D1459))</f>
        <v>0</v>
      </c>
      <c r="F1459">
        <f>E1459*'user input'!$C$21</f>
        <v>0</v>
      </c>
    </row>
    <row r="1460" spans="1:6" x14ac:dyDescent="0.2">
      <c r="A1460" s="1">
        <v>41636</v>
      </c>
      <c r="B1460">
        <v>363</v>
      </c>
      <c r="C1460">
        <f>'weather data'!E1460</f>
        <v>5.0888888888888868</v>
      </c>
      <c r="D1460">
        <f>LAI!F1460</f>
        <v>0</v>
      </c>
      <c r="E1460">
        <f>0.5*C1460*(1-EXP(-'user input'!$C$19*D1460))</f>
        <v>0</v>
      </c>
      <c r="F1460">
        <f>E1460*'user input'!$C$21</f>
        <v>0</v>
      </c>
    </row>
    <row r="1461" spans="1:6" x14ac:dyDescent="0.2">
      <c r="A1461" s="1">
        <v>41637</v>
      </c>
      <c r="B1461">
        <v>364</v>
      </c>
      <c r="C1461">
        <f>'weather data'!E1461</f>
        <v>4.8688888888888897</v>
      </c>
      <c r="D1461">
        <f>LAI!F1461</f>
        <v>0</v>
      </c>
      <c r="E1461">
        <f>0.5*C1461*(1-EXP(-'user input'!$C$19*D1461))</f>
        <v>0</v>
      </c>
      <c r="F1461">
        <f>E1461*'user input'!$C$21</f>
        <v>0</v>
      </c>
    </row>
    <row r="1462" spans="1:6" x14ac:dyDescent="0.2">
      <c r="A1462" s="1">
        <v>41638</v>
      </c>
      <c r="B1462">
        <v>365</v>
      </c>
      <c r="C1462">
        <f>'weather data'!E1462</f>
        <v>5.3977777777777805</v>
      </c>
      <c r="D1462">
        <f>LAI!F1462</f>
        <v>0</v>
      </c>
      <c r="E1462">
        <f>0.5*C1462*(1-EXP(-'user input'!$C$19*D1462))</f>
        <v>0</v>
      </c>
      <c r="F1462">
        <f>E1462*'user input'!$C$21</f>
        <v>0</v>
      </c>
    </row>
    <row r="1463" spans="1:6" x14ac:dyDescent="0.2">
      <c r="A1463" s="1">
        <v>41639</v>
      </c>
      <c r="B1463">
        <v>1</v>
      </c>
      <c r="C1463">
        <f>'weather data'!E1463</f>
        <v>4.9911111111111106</v>
      </c>
      <c r="D1463">
        <f>LAI!F1463</f>
        <v>0</v>
      </c>
      <c r="E1463">
        <f>0.5*C1463*(1-EXP(-'user input'!$C$19*D1463))</f>
        <v>0</v>
      </c>
      <c r="F1463">
        <f>E1463*'user input'!$C$21</f>
        <v>0</v>
      </c>
    </row>
    <row r="1464" spans="1:6" x14ac:dyDescent="0.2">
      <c r="A1464" s="1">
        <v>41640</v>
      </c>
      <c r="B1464">
        <v>2</v>
      </c>
      <c r="C1464">
        <f>'weather data'!E1464</f>
        <v>5.0022222222222226</v>
      </c>
      <c r="D1464">
        <f>LAI!F1464</f>
        <v>0</v>
      </c>
      <c r="E1464">
        <f>0.5*C1464*(1-EXP(-'user input'!$C$19*D1464))</f>
        <v>0</v>
      </c>
      <c r="F1464">
        <f>E1464*'user input'!$C$21</f>
        <v>0</v>
      </c>
    </row>
    <row r="1465" spans="1:6" x14ac:dyDescent="0.2">
      <c r="A1465" s="1">
        <v>41641</v>
      </c>
      <c r="B1465">
        <v>3</v>
      </c>
      <c r="C1465">
        <f>'weather data'!E1465</f>
        <v>5.4333333333333336</v>
      </c>
      <c r="D1465">
        <f>LAI!F1465</f>
        <v>0</v>
      </c>
      <c r="E1465">
        <f>0.5*C1465*(1-EXP(-'user input'!$C$19*D1465))</f>
        <v>0</v>
      </c>
      <c r="F1465">
        <f>E1465*'user input'!$C$21</f>
        <v>0</v>
      </c>
    </row>
    <row r="1466" spans="1:6" x14ac:dyDescent="0.2">
      <c r="A1466" s="1">
        <v>41642</v>
      </c>
      <c r="B1466">
        <v>4</v>
      </c>
      <c r="C1466">
        <f>'weather data'!E1466</f>
        <v>5.8600000000000012</v>
      </c>
      <c r="D1466">
        <f>LAI!F1466</f>
        <v>0</v>
      </c>
      <c r="E1466">
        <f>0.5*C1466*(1-EXP(-'user input'!$C$19*D1466))</f>
        <v>0</v>
      </c>
      <c r="F1466">
        <f>E1466*'user input'!$C$21</f>
        <v>0</v>
      </c>
    </row>
    <row r="1467" spans="1:6" x14ac:dyDescent="0.2">
      <c r="A1467" s="1">
        <v>41643</v>
      </c>
      <c r="B1467">
        <v>5</v>
      </c>
      <c r="C1467">
        <f>'weather data'!E1467</f>
        <v>5.8844444444444459</v>
      </c>
      <c r="D1467">
        <f>LAI!F1467</f>
        <v>0</v>
      </c>
      <c r="E1467">
        <f>0.5*C1467*(1-EXP(-'user input'!$C$19*D1467))</f>
        <v>0</v>
      </c>
      <c r="F1467">
        <f>E1467*'user input'!$C$21</f>
        <v>0</v>
      </c>
    </row>
    <row r="1468" spans="1:6" x14ac:dyDescent="0.2">
      <c r="A1468" s="1">
        <v>41644</v>
      </c>
      <c r="B1468">
        <v>6</v>
      </c>
      <c r="C1468">
        <f>'weather data'!E1468</f>
        <v>5.9622222222222225</v>
      </c>
      <c r="D1468">
        <f>LAI!F1468</f>
        <v>0</v>
      </c>
      <c r="E1468">
        <f>0.5*C1468*(1-EXP(-'user input'!$C$19*D1468))</f>
        <v>0</v>
      </c>
      <c r="F1468">
        <f>E1468*'user input'!$C$21</f>
        <v>0</v>
      </c>
    </row>
    <row r="1469" spans="1:6" x14ac:dyDescent="0.2">
      <c r="A1469" s="1">
        <v>41645</v>
      </c>
      <c r="B1469">
        <v>7</v>
      </c>
      <c r="C1469">
        <f>'weather data'!E1469</f>
        <v>6.1066666666666682</v>
      </c>
      <c r="D1469">
        <f>LAI!F1469</f>
        <v>0</v>
      </c>
      <c r="E1469">
        <f>0.5*C1469*(1-EXP(-'user input'!$C$19*D1469))</f>
        <v>0</v>
      </c>
      <c r="F1469">
        <f>E1469*'user input'!$C$21</f>
        <v>0</v>
      </c>
    </row>
    <row r="1470" spans="1:6" x14ac:dyDescent="0.2">
      <c r="A1470" s="1">
        <v>41646</v>
      </c>
      <c r="B1470">
        <v>8</v>
      </c>
      <c r="C1470">
        <f>'weather data'!E1470</f>
        <v>6.2755555555555587</v>
      </c>
      <c r="D1470">
        <f>LAI!F1470</f>
        <v>0</v>
      </c>
      <c r="E1470">
        <f>0.5*C1470*(1-EXP(-'user input'!$C$19*D1470))</f>
        <v>0</v>
      </c>
      <c r="F1470">
        <f>E1470*'user input'!$C$21</f>
        <v>0</v>
      </c>
    </row>
    <row r="1471" spans="1:6" x14ac:dyDescent="0.2">
      <c r="A1471" s="1">
        <v>41647</v>
      </c>
      <c r="B1471">
        <v>9</v>
      </c>
      <c r="C1471">
        <f>'weather data'!E1471</f>
        <v>6.2377777777777776</v>
      </c>
      <c r="D1471">
        <f>LAI!F1471</f>
        <v>0</v>
      </c>
      <c r="E1471">
        <f>0.5*C1471*(1-EXP(-'user input'!$C$19*D1471))</f>
        <v>0</v>
      </c>
      <c r="F1471">
        <f>E1471*'user input'!$C$21</f>
        <v>0</v>
      </c>
    </row>
    <row r="1472" spans="1:6" x14ac:dyDescent="0.2">
      <c r="A1472" s="1">
        <v>41648</v>
      </c>
      <c r="B1472">
        <v>10</v>
      </c>
      <c r="C1472">
        <f>'weather data'!E1472</f>
        <v>6.6755555555555537</v>
      </c>
      <c r="D1472">
        <f>LAI!F1472</f>
        <v>0</v>
      </c>
      <c r="E1472">
        <f>0.5*C1472*(1-EXP(-'user input'!$C$19*D1472))</f>
        <v>0</v>
      </c>
      <c r="F1472">
        <f>E1472*'user input'!$C$21</f>
        <v>0</v>
      </c>
    </row>
    <row r="1473" spans="1:6" x14ac:dyDescent="0.2">
      <c r="A1473" s="1">
        <v>41649</v>
      </c>
      <c r="B1473">
        <v>11</v>
      </c>
      <c r="C1473">
        <f>'weather data'!E1473</f>
        <v>5.9155555555555575</v>
      </c>
      <c r="D1473">
        <f>LAI!F1473</f>
        <v>0</v>
      </c>
      <c r="E1473">
        <f>0.5*C1473*(1-EXP(-'user input'!$C$19*D1473))</f>
        <v>0</v>
      </c>
      <c r="F1473">
        <f>E1473*'user input'!$C$21</f>
        <v>0</v>
      </c>
    </row>
    <row r="1474" spans="1:6" x14ac:dyDescent="0.2">
      <c r="A1474" s="1">
        <v>41650</v>
      </c>
      <c r="B1474">
        <v>12</v>
      </c>
      <c r="C1474">
        <f>'weather data'!E1474</f>
        <v>5.7666666666666666</v>
      </c>
      <c r="D1474">
        <f>LAI!F1474</f>
        <v>0</v>
      </c>
      <c r="E1474">
        <f>0.5*C1474*(1-EXP(-'user input'!$C$19*D1474))</f>
        <v>0</v>
      </c>
      <c r="F1474">
        <f>E1474*'user input'!$C$21</f>
        <v>0</v>
      </c>
    </row>
    <row r="1475" spans="1:6" x14ac:dyDescent="0.2">
      <c r="A1475" s="1">
        <v>41651</v>
      </c>
      <c r="B1475">
        <v>13</v>
      </c>
      <c r="C1475">
        <f>'weather data'!E1475</f>
        <v>6.44</v>
      </c>
      <c r="D1475">
        <f>LAI!F1475</f>
        <v>0</v>
      </c>
      <c r="E1475">
        <f>0.5*C1475*(1-EXP(-'user input'!$C$19*D1475))</f>
        <v>0</v>
      </c>
      <c r="F1475">
        <f>E1475*'user input'!$C$21</f>
        <v>0</v>
      </c>
    </row>
    <row r="1476" spans="1:6" x14ac:dyDescent="0.2">
      <c r="A1476" s="1">
        <v>41652</v>
      </c>
      <c r="B1476">
        <v>14</v>
      </c>
      <c r="C1476">
        <f>'weather data'!E1476</f>
        <v>6.0333333333333332</v>
      </c>
      <c r="D1476">
        <f>LAI!F1476</f>
        <v>0</v>
      </c>
      <c r="E1476">
        <f>0.5*C1476*(1-EXP(-'user input'!$C$19*D1476))</f>
        <v>0</v>
      </c>
      <c r="F1476">
        <f>E1476*'user input'!$C$21</f>
        <v>0</v>
      </c>
    </row>
    <row r="1477" spans="1:6" x14ac:dyDescent="0.2">
      <c r="A1477" s="1">
        <v>41653</v>
      </c>
      <c r="B1477">
        <v>15</v>
      </c>
      <c r="C1477">
        <f>'weather data'!E1477</f>
        <v>6.6888888888888864</v>
      </c>
      <c r="D1477">
        <f>LAI!F1477</f>
        <v>0</v>
      </c>
      <c r="E1477">
        <f>0.5*C1477*(1-EXP(-'user input'!$C$19*D1477))</f>
        <v>0</v>
      </c>
      <c r="F1477">
        <f>E1477*'user input'!$C$21</f>
        <v>0</v>
      </c>
    </row>
    <row r="1478" spans="1:6" x14ac:dyDescent="0.2">
      <c r="A1478" s="1">
        <v>41654</v>
      </c>
      <c r="B1478">
        <v>16</v>
      </c>
      <c r="C1478">
        <f>'weather data'!E1478</f>
        <v>6.5733333333333333</v>
      </c>
      <c r="D1478">
        <f>LAI!F1478</f>
        <v>0</v>
      </c>
      <c r="E1478">
        <f>0.5*C1478*(1-EXP(-'user input'!$C$19*D1478))</f>
        <v>0</v>
      </c>
      <c r="F1478">
        <f>E1478*'user input'!$C$21</f>
        <v>0</v>
      </c>
    </row>
    <row r="1479" spans="1:6" x14ac:dyDescent="0.2">
      <c r="A1479" s="1">
        <v>41655</v>
      </c>
      <c r="B1479">
        <v>17</v>
      </c>
      <c r="C1479">
        <f>'weather data'!E1479</f>
        <v>6.46</v>
      </c>
      <c r="D1479">
        <f>LAI!F1479</f>
        <v>0</v>
      </c>
      <c r="E1479">
        <f>0.5*C1479*(1-EXP(-'user input'!$C$19*D1479))</f>
        <v>0</v>
      </c>
      <c r="F1479">
        <f>E1479*'user input'!$C$21</f>
        <v>0</v>
      </c>
    </row>
    <row r="1480" spans="1:6" x14ac:dyDescent="0.2">
      <c r="A1480" s="1">
        <v>41656</v>
      </c>
      <c r="B1480">
        <v>18</v>
      </c>
      <c r="C1480">
        <f>'weather data'!E1480</f>
        <v>6.8355555555555547</v>
      </c>
      <c r="D1480">
        <f>LAI!F1480</f>
        <v>0</v>
      </c>
      <c r="E1480">
        <f>0.5*C1480*(1-EXP(-'user input'!$C$19*D1480))</f>
        <v>0</v>
      </c>
      <c r="F1480">
        <f>E1480*'user input'!$C$21</f>
        <v>0</v>
      </c>
    </row>
    <row r="1481" spans="1:6" x14ac:dyDescent="0.2">
      <c r="A1481" s="1">
        <v>41657</v>
      </c>
      <c r="B1481">
        <v>19</v>
      </c>
      <c r="C1481">
        <f>'weather data'!E1481</f>
        <v>6.5555555555555554</v>
      </c>
      <c r="D1481">
        <f>LAI!F1481</f>
        <v>0</v>
      </c>
      <c r="E1481">
        <f>0.5*C1481*(1-EXP(-'user input'!$C$19*D1481))</f>
        <v>0</v>
      </c>
      <c r="F1481">
        <f>E1481*'user input'!$C$21</f>
        <v>0</v>
      </c>
    </row>
    <row r="1482" spans="1:6" x14ac:dyDescent="0.2">
      <c r="A1482" s="1">
        <v>41658</v>
      </c>
      <c r="B1482">
        <v>20</v>
      </c>
      <c r="C1482">
        <f>'weather data'!E1482</f>
        <v>6.5533333333333337</v>
      </c>
      <c r="D1482">
        <f>LAI!F1482</f>
        <v>0</v>
      </c>
      <c r="E1482">
        <f>0.5*C1482*(1-EXP(-'user input'!$C$19*D1482))</f>
        <v>0</v>
      </c>
      <c r="F1482">
        <f>E1482*'user input'!$C$21</f>
        <v>0</v>
      </c>
    </row>
    <row r="1483" spans="1:6" x14ac:dyDescent="0.2">
      <c r="A1483" s="1">
        <v>41659</v>
      </c>
      <c r="B1483">
        <v>21</v>
      </c>
      <c r="C1483">
        <f>'weather data'!E1483</f>
        <v>6.5222222222222221</v>
      </c>
      <c r="D1483">
        <f>LAI!F1483</f>
        <v>0</v>
      </c>
      <c r="E1483">
        <f>0.5*C1483*(1-EXP(-'user input'!$C$19*D1483))</f>
        <v>0</v>
      </c>
      <c r="F1483">
        <f>E1483*'user input'!$C$21</f>
        <v>0</v>
      </c>
    </row>
    <row r="1484" spans="1:6" x14ac:dyDescent="0.2">
      <c r="A1484" s="1">
        <v>41660</v>
      </c>
      <c r="B1484">
        <v>22</v>
      </c>
      <c r="C1484">
        <f>'weather data'!E1484</f>
        <v>6.1199999999999992</v>
      </c>
      <c r="D1484">
        <f>LAI!F1484</f>
        <v>0</v>
      </c>
      <c r="E1484">
        <f>0.5*C1484*(1-EXP(-'user input'!$C$19*D1484))</f>
        <v>0</v>
      </c>
      <c r="F1484">
        <f>E1484*'user input'!$C$21</f>
        <v>0</v>
      </c>
    </row>
    <row r="1485" spans="1:6" x14ac:dyDescent="0.2">
      <c r="A1485" s="1">
        <v>41661</v>
      </c>
      <c r="B1485">
        <v>23</v>
      </c>
      <c r="C1485">
        <f>'weather data'!E1485</f>
        <v>7.2466666666666661</v>
      </c>
      <c r="D1485">
        <f>LAI!F1485</f>
        <v>0</v>
      </c>
      <c r="E1485">
        <f>0.5*C1485*(1-EXP(-'user input'!$C$19*D1485))</f>
        <v>0</v>
      </c>
      <c r="F1485">
        <f>E1485*'user input'!$C$21</f>
        <v>0</v>
      </c>
    </row>
    <row r="1486" spans="1:6" x14ac:dyDescent="0.2">
      <c r="A1486" s="1">
        <v>41662</v>
      </c>
      <c r="B1486">
        <v>24</v>
      </c>
      <c r="C1486">
        <f>'weather data'!E1486</f>
        <v>6.8688888888888879</v>
      </c>
      <c r="D1486">
        <f>LAI!F1486</f>
        <v>0</v>
      </c>
      <c r="E1486">
        <f>0.5*C1486*(1-EXP(-'user input'!$C$19*D1486))</f>
        <v>0</v>
      </c>
      <c r="F1486">
        <f>E1486*'user input'!$C$21</f>
        <v>0</v>
      </c>
    </row>
    <row r="1487" spans="1:6" x14ac:dyDescent="0.2">
      <c r="A1487" s="1">
        <v>41663</v>
      </c>
      <c r="B1487">
        <v>25</v>
      </c>
      <c r="C1487">
        <f>'weather data'!E1487</f>
        <v>7.0244444444444447</v>
      </c>
      <c r="D1487">
        <f>LAI!F1487</f>
        <v>0</v>
      </c>
      <c r="E1487">
        <f>0.5*C1487*(1-EXP(-'user input'!$C$19*D1487))</f>
        <v>0</v>
      </c>
      <c r="F1487">
        <f>E1487*'user input'!$C$21</f>
        <v>0</v>
      </c>
    </row>
    <row r="1488" spans="1:6" x14ac:dyDescent="0.2">
      <c r="A1488" s="1">
        <v>41664</v>
      </c>
      <c r="B1488">
        <v>26</v>
      </c>
      <c r="C1488">
        <f>'weather data'!E1488</f>
        <v>7.3288888888888888</v>
      </c>
      <c r="D1488">
        <f>LAI!F1488</f>
        <v>0</v>
      </c>
      <c r="E1488">
        <f>0.5*C1488*(1-EXP(-'user input'!$C$19*D1488))</f>
        <v>0</v>
      </c>
      <c r="F1488">
        <f>E1488*'user input'!$C$21</f>
        <v>0</v>
      </c>
    </row>
    <row r="1489" spans="1:6" x14ac:dyDescent="0.2">
      <c r="A1489" s="1">
        <v>41665</v>
      </c>
      <c r="B1489">
        <v>27</v>
      </c>
      <c r="C1489">
        <f>'weather data'!E1489</f>
        <v>7.4177777777777756</v>
      </c>
      <c r="D1489">
        <f>LAI!F1489</f>
        <v>0</v>
      </c>
      <c r="E1489">
        <f>0.5*C1489*(1-EXP(-'user input'!$C$19*D1489))</f>
        <v>0</v>
      </c>
      <c r="F1489">
        <f>E1489*'user input'!$C$21</f>
        <v>0</v>
      </c>
    </row>
    <row r="1490" spans="1:6" x14ac:dyDescent="0.2">
      <c r="A1490" s="1">
        <v>41666</v>
      </c>
      <c r="B1490">
        <v>28</v>
      </c>
      <c r="C1490">
        <f>'weather data'!E1490</f>
        <v>7.677777777777778</v>
      </c>
      <c r="D1490">
        <f>LAI!F1490</f>
        <v>0</v>
      </c>
      <c r="E1490">
        <f>0.5*C1490*(1-EXP(-'user input'!$C$19*D1490))</f>
        <v>0</v>
      </c>
      <c r="F1490">
        <f>E1490*'user input'!$C$21</f>
        <v>0</v>
      </c>
    </row>
    <row r="1491" spans="1:6" x14ac:dyDescent="0.2">
      <c r="A1491" s="1">
        <v>41667</v>
      </c>
      <c r="B1491">
        <v>29</v>
      </c>
      <c r="C1491">
        <f>'weather data'!E1491</f>
        <v>7.3044444444444458</v>
      </c>
      <c r="D1491">
        <f>LAI!F1491</f>
        <v>0</v>
      </c>
      <c r="E1491">
        <f>0.5*C1491*(1-EXP(-'user input'!$C$19*D1491))</f>
        <v>0</v>
      </c>
      <c r="F1491">
        <f>E1491*'user input'!$C$21</f>
        <v>0</v>
      </c>
    </row>
    <row r="1492" spans="1:6" x14ac:dyDescent="0.2">
      <c r="A1492" s="1">
        <v>41668</v>
      </c>
      <c r="B1492">
        <v>30</v>
      </c>
      <c r="C1492">
        <f>'weather data'!E1492</f>
        <v>8</v>
      </c>
      <c r="D1492">
        <f>LAI!F1492</f>
        <v>0</v>
      </c>
      <c r="E1492">
        <f>0.5*C1492*(1-EXP(-'user input'!$C$19*D1492))</f>
        <v>0</v>
      </c>
      <c r="F1492">
        <f>E1492*'user input'!$C$21</f>
        <v>0</v>
      </c>
    </row>
    <row r="1493" spans="1:6" x14ac:dyDescent="0.2">
      <c r="A1493" s="1">
        <v>41669</v>
      </c>
      <c r="B1493">
        <v>31</v>
      </c>
      <c r="C1493">
        <f>'weather data'!E1493</f>
        <v>7.6400000000000041</v>
      </c>
      <c r="D1493">
        <f>LAI!F1493</f>
        <v>0</v>
      </c>
      <c r="E1493">
        <f>0.5*C1493*(1-EXP(-'user input'!$C$19*D1493))</f>
        <v>0</v>
      </c>
      <c r="F1493">
        <f>E1493*'user input'!$C$21</f>
        <v>0</v>
      </c>
    </row>
    <row r="1494" spans="1:6" x14ac:dyDescent="0.2">
      <c r="A1494" s="1">
        <v>41670</v>
      </c>
      <c r="B1494">
        <v>32</v>
      </c>
      <c r="C1494">
        <f>'weather data'!E1494</f>
        <v>7.5244444444444474</v>
      </c>
      <c r="D1494">
        <f>LAI!F1494</f>
        <v>0</v>
      </c>
      <c r="E1494">
        <f>0.5*C1494*(1-EXP(-'user input'!$C$19*D1494))</f>
        <v>0</v>
      </c>
      <c r="F1494">
        <f>E1494*'user input'!$C$21</f>
        <v>0</v>
      </c>
    </row>
    <row r="1495" spans="1:6" x14ac:dyDescent="0.2">
      <c r="A1495" s="1">
        <v>41671</v>
      </c>
      <c r="B1495">
        <v>33</v>
      </c>
      <c r="C1495">
        <f>'weather data'!E1495</f>
        <v>7.8222222222222237</v>
      </c>
      <c r="D1495">
        <f>LAI!F1495</f>
        <v>0</v>
      </c>
      <c r="E1495">
        <f>0.5*C1495*(1-EXP(-'user input'!$C$19*D1495))</f>
        <v>0</v>
      </c>
      <c r="F1495">
        <f>E1495*'user input'!$C$21</f>
        <v>0</v>
      </c>
    </row>
    <row r="1496" spans="1:6" x14ac:dyDescent="0.2">
      <c r="A1496" s="1">
        <v>41672</v>
      </c>
      <c r="B1496">
        <v>34</v>
      </c>
      <c r="C1496">
        <f>'weather data'!E1496</f>
        <v>7.9933333333333367</v>
      </c>
      <c r="D1496">
        <f>LAI!F1496</f>
        <v>0</v>
      </c>
      <c r="E1496">
        <f>0.5*C1496*(1-EXP(-'user input'!$C$19*D1496))</f>
        <v>0</v>
      </c>
      <c r="F1496">
        <f>E1496*'user input'!$C$21</f>
        <v>0</v>
      </c>
    </row>
    <row r="1497" spans="1:6" x14ac:dyDescent="0.2">
      <c r="A1497" s="1">
        <v>41673</v>
      </c>
      <c r="B1497">
        <v>35</v>
      </c>
      <c r="C1497">
        <f>'weather data'!E1497</f>
        <v>8.8044444444444458</v>
      </c>
      <c r="D1497">
        <f>LAI!F1497</f>
        <v>0</v>
      </c>
      <c r="E1497">
        <f>0.5*C1497*(1-EXP(-'user input'!$C$19*D1497))</f>
        <v>0</v>
      </c>
      <c r="F1497">
        <f>E1497*'user input'!$C$21</f>
        <v>0</v>
      </c>
    </row>
    <row r="1498" spans="1:6" x14ac:dyDescent="0.2">
      <c r="A1498" s="1">
        <v>41674</v>
      </c>
      <c r="B1498">
        <v>36</v>
      </c>
      <c r="C1498">
        <f>'weather data'!E1498</f>
        <v>8.4622222222222199</v>
      </c>
      <c r="D1498">
        <f>LAI!F1498</f>
        <v>0</v>
      </c>
      <c r="E1498">
        <f>0.5*C1498*(1-EXP(-'user input'!$C$19*D1498))</f>
        <v>0</v>
      </c>
      <c r="F1498">
        <f>E1498*'user input'!$C$21</f>
        <v>0</v>
      </c>
    </row>
    <row r="1499" spans="1:6" x14ac:dyDescent="0.2">
      <c r="A1499" s="1">
        <v>41675</v>
      </c>
      <c r="B1499">
        <v>37</v>
      </c>
      <c r="C1499">
        <f>'weather data'!E1499</f>
        <v>8.9911111111111115</v>
      </c>
      <c r="D1499">
        <f>LAI!F1499</f>
        <v>0</v>
      </c>
      <c r="E1499">
        <f>0.5*C1499*(1-EXP(-'user input'!$C$19*D1499))</f>
        <v>0</v>
      </c>
      <c r="F1499">
        <f>E1499*'user input'!$C$21</f>
        <v>0</v>
      </c>
    </row>
    <row r="1500" spans="1:6" x14ac:dyDescent="0.2">
      <c r="A1500" s="1">
        <v>41676</v>
      </c>
      <c r="B1500">
        <v>38</v>
      </c>
      <c r="C1500">
        <f>'weather data'!E1500</f>
        <v>9.43333333333333</v>
      </c>
      <c r="D1500">
        <f>LAI!F1500</f>
        <v>0</v>
      </c>
      <c r="E1500">
        <f>0.5*C1500*(1-EXP(-'user input'!$C$19*D1500))</f>
        <v>0</v>
      </c>
      <c r="F1500">
        <f>E1500*'user input'!$C$21</f>
        <v>0</v>
      </c>
    </row>
    <row r="1501" spans="1:6" x14ac:dyDescent="0.2">
      <c r="A1501" s="1">
        <v>41677</v>
      </c>
      <c r="B1501">
        <v>39</v>
      </c>
      <c r="C1501">
        <f>'weather data'!E1501</f>
        <v>9.0800000000000036</v>
      </c>
      <c r="D1501">
        <f>LAI!F1501</f>
        <v>0</v>
      </c>
      <c r="E1501">
        <f>0.5*C1501*(1-EXP(-'user input'!$C$19*D1501))</f>
        <v>0</v>
      </c>
      <c r="F1501">
        <f>E1501*'user input'!$C$21</f>
        <v>0</v>
      </c>
    </row>
    <row r="1502" spans="1:6" x14ac:dyDescent="0.2">
      <c r="A1502" s="1">
        <v>41678</v>
      </c>
      <c r="B1502">
        <v>40</v>
      </c>
      <c r="C1502">
        <f>'weather data'!E1502</f>
        <v>9.9822222222222212</v>
      </c>
      <c r="D1502">
        <f>LAI!F1502</f>
        <v>0</v>
      </c>
      <c r="E1502">
        <f>0.5*C1502*(1-EXP(-'user input'!$C$19*D1502))</f>
        <v>0</v>
      </c>
      <c r="F1502">
        <f>E1502*'user input'!$C$21</f>
        <v>0</v>
      </c>
    </row>
    <row r="1503" spans="1:6" x14ac:dyDescent="0.2">
      <c r="A1503" s="1">
        <v>41679</v>
      </c>
      <c r="B1503">
        <v>41</v>
      </c>
      <c r="C1503">
        <f>'weather data'!E1503</f>
        <v>8.9066666666666627</v>
      </c>
      <c r="D1503">
        <f>LAI!F1503</f>
        <v>0</v>
      </c>
      <c r="E1503">
        <f>0.5*C1503*(1-EXP(-'user input'!$C$19*D1503))</f>
        <v>0</v>
      </c>
      <c r="F1503">
        <f>E1503*'user input'!$C$21</f>
        <v>0</v>
      </c>
    </row>
    <row r="1504" spans="1:6" x14ac:dyDescent="0.2">
      <c r="A1504" s="1">
        <v>41680</v>
      </c>
      <c r="B1504">
        <v>42</v>
      </c>
      <c r="C1504">
        <f>'weather data'!E1504</f>
        <v>9.7333333333333325</v>
      </c>
      <c r="D1504">
        <f>LAI!F1504</f>
        <v>0</v>
      </c>
      <c r="E1504">
        <f>0.5*C1504*(1-EXP(-'user input'!$C$19*D1504))</f>
        <v>0</v>
      </c>
      <c r="F1504">
        <f>E1504*'user input'!$C$21</f>
        <v>0</v>
      </c>
    </row>
    <row r="1505" spans="1:6" x14ac:dyDescent="0.2">
      <c r="A1505" s="1">
        <v>41681</v>
      </c>
      <c r="B1505">
        <v>43</v>
      </c>
      <c r="C1505">
        <f>'weather data'!E1505</f>
        <v>10.073333333333336</v>
      </c>
      <c r="D1505">
        <f>LAI!F1505</f>
        <v>0</v>
      </c>
      <c r="E1505">
        <f>0.5*C1505*(1-EXP(-'user input'!$C$19*D1505))</f>
        <v>0</v>
      </c>
      <c r="F1505">
        <f>E1505*'user input'!$C$21</f>
        <v>0</v>
      </c>
    </row>
    <row r="1506" spans="1:6" x14ac:dyDescent="0.2">
      <c r="A1506" s="1">
        <v>41682</v>
      </c>
      <c r="B1506">
        <v>44</v>
      </c>
      <c r="C1506">
        <f>'weather data'!E1506</f>
        <v>8.4711111111111101</v>
      </c>
      <c r="D1506">
        <f>LAI!F1506</f>
        <v>0</v>
      </c>
      <c r="E1506">
        <f>0.5*C1506*(1-EXP(-'user input'!$C$19*D1506))</f>
        <v>0</v>
      </c>
      <c r="F1506">
        <f>E1506*'user input'!$C$21</f>
        <v>0</v>
      </c>
    </row>
    <row r="1507" spans="1:6" x14ac:dyDescent="0.2">
      <c r="A1507" s="1">
        <v>41683</v>
      </c>
      <c r="B1507">
        <v>45</v>
      </c>
      <c r="C1507">
        <f>'weather data'!E1507</f>
        <v>9.2622222222222241</v>
      </c>
      <c r="D1507">
        <f>LAI!F1507</f>
        <v>0</v>
      </c>
      <c r="E1507">
        <f>0.5*C1507*(1-EXP(-'user input'!$C$19*D1507))</f>
        <v>0</v>
      </c>
      <c r="F1507">
        <f>E1507*'user input'!$C$21</f>
        <v>0</v>
      </c>
    </row>
    <row r="1508" spans="1:6" x14ac:dyDescent="0.2">
      <c r="A1508" s="1">
        <v>41684</v>
      </c>
      <c r="B1508">
        <v>46</v>
      </c>
      <c r="C1508">
        <f>'weather data'!E1508</f>
        <v>9.7844444444444445</v>
      </c>
      <c r="D1508">
        <f>LAI!F1508</f>
        <v>0</v>
      </c>
      <c r="E1508">
        <f>0.5*C1508*(1-EXP(-'user input'!$C$19*D1508))</f>
        <v>0</v>
      </c>
      <c r="F1508">
        <f>E1508*'user input'!$C$21</f>
        <v>0</v>
      </c>
    </row>
    <row r="1509" spans="1:6" x14ac:dyDescent="0.2">
      <c r="A1509" s="1">
        <v>41685</v>
      </c>
      <c r="B1509">
        <v>47</v>
      </c>
      <c r="C1509">
        <f>'weather data'!E1509</f>
        <v>10.419999999999996</v>
      </c>
      <c r="D1509">
        <f>LAI!F1509</f>
        <v>0</v>
      </c>
      <c r="E1509">
        <f>0.5*C1509*(1-EXP(-'user input'!$C$19*D1509))</f>
        <v>0</v>
      </c>
      <c r="F1509">
        <f>E1509*'user input'!$C$21</f>
        <v>0</v>
      </c>
    </row>
    <row r="1510" spans="1:6" x14ac:dyDescent="0.2">
      <c r="A1510" s="1">
        <v>41686</v>
      </c>
      <c r="B1510">
        <v>48</v>
      </c>
      <c r="C1510">
        <f>'weather data'!E1510</f>
        <v>10.89111111111111</v>
      </c>
      <c r="D1510">
        <f>LAI!F1510</f>
        <v>0</v>
      </c>
      <c r="E1510">
        <f>0.5*C1510*(1-EXP(-'user input'!$C$19*D1510))</f>
        <v>0</v>
      </c>
      <c r="F1510">
        <f>E1510*'user input'!$C$21</f>
        <v>0</v>
      </c>
    </row>
    <row r="1511" spans="1:6" x14ac:dyDescent="0.2">
      <c r="A1511" s="1">
        <v>41687</v>
      </c>
      <c r="B1511">
        <v>49</v>
      </c>
      <c r="C1511">
        <f>'weather data'!E1511</f>
        <v>8.7977777777777799</v>
      </c>
      <c r="D1511">
        <f>LAI!F1511</f>
        <v>0</v>
      </c>
      <c r="E1511">
        <f>0.5*C1511*(1-EXP(-'user input'!$C$19*D1511))</f>
        <v>0</v>
      </c>
      <c r="F1511">
        <f>E1511*'user input'!$C$21</f>
        <v>0</v>
      </c>
    </row>
    <row r="1512" spans="1:6" x14ac:dyDescent="0.2">
      <c r="A1512" s="1">
        <v>41688</v>
      </c>
      <c r="B1512">
        <v>50</v>
      </c>
      <c r="C1512">
        <f>'weather data'!E1512</f>
        <v>9.6266666666666687</v>
      </c>
      <c r="D1512">
        <f>LAI!F1512</f>
        <v>0</v>
      </c>
      <c r="E1512">
        <f>0.5*C1512*(1-EXP(-'user input'!$C$19*D1512))</f>
        <v>0</v>
      </c>
      <c r="F1512">
        <f>E1512*'user input'!$C$21</f>
        <v>0</v>
      </c>
    </row>
    <row r="1513" spans="1:6" x14ac:dyDescent="0.2">
      <c r="A1513" s="1">
        <v>41689</v>
      </c>
      <c r="B1513">
        <v>51</v>
      </c>
      <c r="C1513">
        <f>'weather data'!E1513</f>
        <v>10.488888888888887</v>
      </c>
      <c r="D1513">
        <f>LAI!F1513</f>
        <v>0</v>
      </c>
      <c r="E1513">
        <f>0.5*C1513*(1-EXP(-'user input'!$C$19*D1513))</f>
        <v>0</v>
      </c>
      <c r="F1513">
        <f>E1513*'user input'!$C$21</f>
        <v>0</v>
      </c>
    </row>
    <row r="1514" spans="1:6" x14ac:dyDescent="0.2">
      <c r="A1514" s="1">
        <v>41690</v>
      </c>
      <c r="B1514">
        <v>52</v>
      </c>
      <c r="C1514">
        <f>'weather data'!E1514</f>
        <v>10.06</v>
      </c>
      <c r="D1514">
        <f>LAI!F1514</f>
        <v>0</v>
      </c>
      <c r="E1514">
        <f>0.5*C1514*(1-EXP(-'user input'!$C$19*D1514))</f>
        <v>0</v>
      </c>
      <c r="F1514">
        <f>E1514*'user input'!$C$21</f>
        <v>0</v>
      </c>
    </row>
    <row r="1515" spans="1:6" x14ac:dyDescent="0.2">
      <c r="A1515" s="1">
        <v>41691</v>
      </c>
      <c r="B1515">
        <v>53</v>
      </c>
      <c r="C1515">
        <f>'weather data'!E1515</f>
        <v>10.406666666666665</v>
      </c>
      <c r="D1515">
        <f>LAI!F1515</f>
        <v>0</v>
      </c>
      <c r="E1515">
        <f>0.5*C1515*(1-EXP(-'user input'!$C$19*D1515))</f>
        <v>0</v>
      </c>
      <c r="F1515">
        <f>E1515*'user input'!$C$21</f>
        <v>0</v>
      </c>
    </row>
    <row r="1516" spans="1:6" x14ac:dyDescent="0.2">
      <c r="A1516" s="1">
        <v>41692</v>
      </c>
      <c r="B1516">
        <v>54</v>
      </c>
      <c r="C1516">
        <f>'weather data'!E1516</f>
        <v>10.113333333333337</v>
      </c>
      <c r="D1516">
        <f>LAI!F1516</f>
        <v>0</v>
      </c>
      <c r="E1516">
        <f>0.5*C1516*(1-EXP(-'user input'!$C$19*D1516))</f>
        <v>0</v>
      </c>
      <c r="F1516">
        <f>E1516*'user input'!$C$21</f>
        <v>0</v>
      </c>
    </row>
    <row r="1517" spans="1:6" x14ac:dyDescent="0.2">
      <c r="A1517" s="1">
        <v>41693</v>
      </c>
      <c r="B1517">
        <v>55</v>
      </c>
      <c r="C1517">
        <f>'weather data'!E1517</f>
        <v>10.037777777777777</v>
      </c>
      <c r="D1517">
        <f>LAI!F1517</f>
        <v>0</v>
      </c>
      <c r="E1517">
        <f>0.5*C1517*(1-EXP(-'user input'!$C$19*D1517))</f>
        <v>0</v>
      </c>
      <c r="F1517">
        <f>E1517*'user input'!$C$21</f>
        <v>0</v>
      </c>
    </row>
    <row r="1518" spans="1:6" x14ac:dyDescent="0.2">
      <c r="A1518" s="1">
        <v>41694</v>
      </c>
      <c r="B1518">
        <v>56</v>
      </c>
      <c r="C1518">
        <f>'weather data'!E1518</f>
        <v>11.8</v>
      </c>
      <c r="D1518">
        <f>LAI!F1518</f>
        <v>0</v>
      </c>
      <c r="E1518">
        <f>0.5*C1518*(1-EXP(-'user input'!$C$19*D1518))</f>
        <v>0</v>
      </c>
      <c r="F1518">
        <f>E1518*'user input'!$C$21</f>
        <v>0</v>
      </c>
    </row>
    <row r="1519" spans="1:6" x14ac:dyDescent="0.2">
      <c r="A1519" s="1">
        <v>41695</v>
      </c>
      <c r="B1519">
        <v>57</v>
      </c>
      <c r="C1519">
        <f>'weather data'!E1519</f>
        <v>11.313333333333336</v>
      </c>
      <c r="D1519">
        <f>LAI!F1519</f>
        <v>0</v>
      </c>
      <c r="E1519">
        <f>0.5*C1519*(1-EXP(-'user input'!$C$19*D1519))</f>
        <v>0</v>
      </c>
      <c r="F1519">
        <f>E1519*'user input'!$C$21</f>
        <v>0</v>
      </c>
    </row>
    <row r="1520" spans="1:6" x14ac:dyDescent="0.2">
      <c r="A1520" s="1">
        <v>41696</v>
      </c>
      <c r="B1520">
        <v>58</v>
      </c>
      <c r="C1520">
        <f>'weather data'!E1520</f>
        <v>11.128888888888891</v>
      </c>
      <c r="D1520">
        <f>LAI!F1520</f>
        <v>0</v>
      </c>
      <c r="E1520">
        <f>0.5*C1520*(1-EXP(-'user input'!$C$19*D1520))</f>
        <v>0</v>
      </c>
      <c r="F1520">
        <f>E1520*'user input'!$C$21</f>
        <v>0</v>
      </c>
    </row>
    <row r="1521" spans="1:6" x14ac:dyDescent="0.2">
      <c r="A1521" s="1">
        <v>41697</v>
      </c>
      <c r="B1521">
        <v>59</v>
      </c>
      <c r="C1521">
        <f>'weather data'!E1521</f>
        <v>11.87555555555555</v>
      </c>
      <c r="D1521">
        <f>LAI!F1521</f>
        <v>0</v>
      </c>
      <c r="E1521">
        <f>0.5*C1521*(1-EXP(-'user input'!$C$19*D1521))</f>
        <v>0</v>
      </c>
      <c r="F1521">
        <f>E1521*'user input'!$C$21</f>
        <v>0</v>
      </c>
    </row>
    <row r="1522" spans="1:6" x14ac:dyDescent="0.2">
      <c r="A1522" s="1">
        <v>41698</v>
      </c>
      <c r="B1522">
        <v>60</v>
      </c>
      <c r="C1522">
        <f>'weather data'!E1522</f>
        <v>11.59555555555556</v>
      </c>
      <c r="D1522">
        <f>LAI!F1522</f>
        <v>0</v>
      </c>
      <c r="E1522">
        <f>0.5*C1522*(1-EXP(-'user input'!$C$19*D1522))</f>
        <v>0</v>
      </c>
      <c r="F1522">
        <f>E1522*'user input'!$C$21</f>
        <v>0</v>
      </c>
    </row>
    <row r="1523" spans="1:6" x14ac:dyDescent="0.2">
      <c r="A1523" s="1">
        <v>41699</v>
      </c>
      <c r="B1523">
        <v>61</v>
      </c>
      <c r="C1523">
        <f>'weather data'!E1523</f>
        <v>11.271111111111111</v>
      </c>
      <c r="D1523">
        <f>LAI!F1523</f>
        <v>0</v>
      </c>
      <c r="E1523">
        <f>0.5*C1523*(1-EXP(-'user input'!$C$19*D1523))</f>
        <v>0</v>
      </c>
      <c r="F1523">
        <f>E1523*'user input'!$C$21</f>
        <v>0</v>
      </c>
    </row>
    <row r="1524" spans="1:6" x14ac:dyDescent="0.2">
      <c r="A1524" s="1">
        <v>41700</v>
      </c>
      <c r="B1524">
        <v>62</v>
      </c>
      <c r="C1524">
        <f>'weather data'!E1524</f>
        <v>11.388888888888886</v>
      </c>
      <c r="D1524">
        <f>LAI!F1524</f>
        <v>0</v>
      </c>
      <c r="E1524">
        <f>0.5*C1524*(1-EXP(-'user input'!$C$19*D1524))</f>
        <v>0</v>
      </c>
      <c r="F1524">
        <f>E1524*'user input'!$C$21</f>
        <v>0</v>
      </c>
    </row>
    <row r="1525" spans="1:6" x14ac:dyDescent="0.2">
      <c r="A1525" s="1">
        <v>41701</v>
      </c>
      <c r="B1525">
        <v>63</v>
      </c>
      <c r="C1525">
        <f>'weather data'!E1525</f>
        <v>10.191111111111111</v>
      </c>
      <c r="D1525">
        <f>LAI!F1525</f>
        <v>0</v>
      </c>
      <c r="E1525">
        <f>0.5*C1525*(1-EXP(-'user input'!$C$19*D1525))</f>
        <v>0</v>
      </c>
      <c r="F1525">
        <f>E1525*'user input'!$C$21</f>
        <v>0</v>
      </c>
    </row>
    <row r="1526" spans="1:6" x14ac:dyDescent="0.2">
      <c r="A1526" s="1">
        <v>41702</v>
      </c>
      <c r="B1526">
        <v>64</v>
      </c>
      <c r="C1526">
        <f>'weather data'!E1526</f>
        <v>11.199999999999996</v>
      </c>
      <c r="D1526">
        <f>LAI!F1526</f>
        <v>0</v>
      </c>
      <c r="E1526">
        <f>0.5*C1526*(1-EXP(-'user input'!$C$19*D1526))</f>
        <v>0</v>
      </c>
      <c r="F1526">
        <f>E1526*'user input'!$C$21</f>
        <v>0</v>
      </c>
    </row>
    <row r="1527" spans="1:6" x14ac:dyDescent="0.2">
      <c r="A1527" s="1">
        <v>41703</v>
      </c>
      <c r="B1527">
        <v>65</v>
      </c>
      <c r="C1527">
        <f>'weather data'!E1527</f>
        <v>12.780000000000003</v>
      </c>
      <c r="D1527">
        <f>LAI!F1527</f>
        <v>0</v>
      </c>
      <c r="E1527">
        <f>0.5*C1527*(1-EXP(-'user input'!$C$19*D1527))</f>
        <v>0</v>
      </c>
      <c r="F1527">
        <f>E1527*'user input'!$C$21</f>
        <v>0</v>
      </c>
    </row>
    <row r="1528" spans="1:6" x14ac:dyDescent="0.2">
      <c r="A1528" s="1">
        <v>41704</v>
      </c>
      <c r="B1528">
        <v>66</v>
      </c>
      <c r="C1528">
        <f>'weather data'!E1528</f>
        <v>13.068888888888889</v>
      </c>
      <c r="D1528">
        <f>LAI!F1528</f>
        <v>0</v>
      </c>
      <c r="E1528">
        <f>0.5*C1528*(1-EXP(-'user input'!$C$19*D1528))</f>
        <v>0</v>
      </c>
      <c r="F1528">
        <f>E1528*'user input'!$C$21</f>
        <v>0</v>
      </c>
    </row>
    <row r="1529" spans="1:6" x14ac:dyDescent="0.2">
      <c r="A1529" s="1">
        <v>41705</v>
      </c>
      <c r="B1529">
        <v>67</v>
      </c>
      <c r="C1529">
        <f>'weather data'!E1529</f>
        <v>11.393333333333333</v>
      </c>
      <c r="D1529">
        <f>LAI!F1529</f>
        <v>0</v>
      </c>
      <c r="E1529">
        <f>0.5*C1529*(1-EXP(-'user input'!$C$19*D1529))</f>
        <v>0</v>
      </c>
      <c r="F1529">
        <f>E1529*'user input'!$C$21</f>
        <v>0</v>
      </c>
    </row>
    <row r="1530" spans="1:6" x14ac:dyDescent="0.2">
      <c r="A1530" s="1">
        <v>41706</v>
      </c>
      <c r="B1530">
        <v>68</v>
      </c>
      <c r="C1530">
        <f>'weather data'!E1530</f>
        <v>12.291111111111112</v>
      </c>
      <c r="D1530">
        <f>LAI!F1530</f>
        <v>0</v>
      </c>
      <c r="E1530">
        <f>0.5*C1530*(1-EXP(-'user input'!$C$19*D1530))</f>
        <v>0</v>
      </c>
      <c r="F1530">
        <f>E1530*'user input'!$C$21</f>
        <v>0</v>
      </c>
    </row>
    <row r="1531" spans="1:6" x14ac:dyDescent="0.2">
      <c r="A1531" s="1">
        <v>41707</v>
      </c>
      <c r="B1531">
        <v>69</v>
      </c>
      <c r="C1531">
        <f>'weather data'!E1531</f>
        <v>13.813333333333336</v>
      </c>
      <c r="D1531">
        <f>LAI!F1531</f>
        <v>0</v>
      </c>
      <c r="E1531">
        <f>0.5*C1531*(1-EXP(-'user input'!$C$19*D1531))</f>
        <v>0</v>
      </c>
      <c r="F1531">
        <f>E1531*'user input'!$C$21</f>
        <v>0</v>
      </c>
    </row>
    <row r="1532" spans="1:6" x14ac:dyDescent="0.2">
      <c r="A1532" s="1">
        <v>41708</v>
      </c>
      <c r="B1532">
        <v>70</v>
      </c>
      <c r="C1532">
        <f>'weather data'!E1532</f>
        <v>12.808888888888891</v>
      </c>
      <c r="D1532">
        <f>LAI!F1532</f>
        <v>0</v>
      </c>
      <c r="E1532">
        <f>0.5*C1532*(1-EXP(-'user input'!$C$19*D1532))</f>
        <v>0</v>
      </c>
      <c r="F1532">
        <f>E1532*'user input'!$C$21</f>
        <v>0</v>
      </c>
    </row>
    <row r="1533" spans="1:6" x14ac:dyDescent="0.2">
      <c r="A1533" s="1">
        <v>41709</v>
      </c>
      <c r="B1533">
        <v>71</v>
      </c>
      <c r="C1533">
        <f>'weather data'!E1533</f>
        <v>12.691111111111107</v>
      </c>
      <c r="D1533">
        <f>LAI!F1533</f>
        <v>0</v>
      </c>
      <c r="E1533">
        <f>0.5*C1533*(1-EXP(-'user input'!$C$19*D1533))</f>
        <v>0</v>
      </c>
      <c r="F1533">
        <f>E1533*'user input'!$C$21</f>
        <v>0</v>
      </c>
    </row>
    <row r="1534" spans="1:6" x14ac:dyDescent="0.2">
      <c r="A1534" s="1">
        <v>41710</v>
      </c>
      <c r="B1534">
        <v>72</v>
      </c>
      <c r="C1534">
        <f>'weather data'!E1534</f>
        <v>11.371111111111109</v>
      </c>
      <c r="D1534">
        <f>LAI!F1534</f>
        <v>0</v>
      </c>
      <c r="E1534">
        <f>0.5*C1534*(1-EXP(-'user input'!$C$19*D1534))</f>
        <v>0</v>
      </c>
      <c r="F1534">
        <f>E1534*'user input'!$C$21</f>
        <v>0</v>
      </c>
    </row>
    <row r="1535" spans="1:6" x14ac:dyDescent="0.2">
      <c r="A1535" s="1">
        <v>41711</v>
      </c>
      <c r="B1535">
        <v>73</v>
      </c>
      <c r="C1535">
        <f>'weather data'!E1535</f>
        <v>13.164444444444442</v>
      </c>
      <c r="D1535">
        <f>LAI!F1535</f>
        <v>0</v>
      </c>
      <c r="E1535">
        <f>0.5*C1535*(1-EXP(-'user input'!$C$19*D1535))</f>
        <v>0</v>
      </c>
      <c r="F1535">
        <f>E1535*'user input'!$C$21</f>
        <v>0</v>
      </c>
    </row>
    <row r="1536" spans="1:6" x14ac:dyDescent="0.2">
      <c r="A1536" s="1">
        <v>41712</v>
      </c>
      <c r="B1536">
        <v>74</v>
      </c>
      <c r="C1536">
        <f>'weather data'!E1536</f>
        <v>12.719999999999995</v>
      </c>
      <c r="D1536">
        <f>LAI!F1536</f>
        <v>0</v>
      </c>
      <c r="E1536">
        <f>0.5*C1536*(1-EXP(-'user input'!$C$19*D1536))</f>
        <v>0</v>
      </c>
      <c r="F1536">
        <f>E1536*'user input'!$C$21</f>
        <v>0</v>
      </c>
    </row>
    <row r="1537" spans="1:6" x14ac:dyDescent="0.2">
      <c r="A1537" s="1">
        <v>41713</v>
      </c>
      <c r="B1537">
        <v>75</v>
      </c>
      <c r="C1537">
        <f>'weather data'!E1537</f>
        <v>14.366666666666664</v>
      </c>
      <c r="D1537">
        <f>LAI!F1537</f>
        <v>0</v>
      </c>
      <c r="E1537">
        <f>0.5*C1537*(1-EXP(-'user input'!$C$19*D1537))</f>
        <v>0</v>
      </c>
      <c r="F1537">
        <f>E1537*'user input'!$C$21</f>
        <v>0</v>
      </c>
    </row>
    <row r="1538" spans="1:6" x14ac:dyDescent="0.2">
      <c r="A1538" s="1">
        <v>41714</v>
      </c>
      <c r="B1538">
        <v>76</v>
      </c>
      <c r="C1538">
        <f>'weather data'!E1538</f>
        <v>13.237777777777776</v>
      </c>
      <c r="D1538">
        <f>LAI!F1538</f>
        <v>0</v>
      </c>
      <c r="E1538">
        <f>0.5*C1538*(1-EXP(-'user input'!$C$19*D1538))</f>
        <v>0</v>
      </c>
      <c r="F1538">
        <f>E1538*'user input'!$C$21</f>
        <v>0</v>
      </c>
    </row>
    <row r="1539" spans="1:6" x14ac:dyDescent="0.2">
      <c r="A1539" s="1">
        <v>41715</v>
      </c>
      <c r="B1539">
        <v>77</v>
      </c>
      <c r="C1539">
        <f>'weather data'!E1539</f>
        <v>12.584444444444451</v>
      </c>
      <c r="D1539">
        <f>LAI!F1539</f>
        <v>0</v>
      </c>
      <c r="E1539">
        <f>0.5*C1539*(1-EXP(-'user input'!$C$19*D1539))</f>
        <v>0</v>
      </c>
      <c r="F1539">
        <f>E1539*'user input'!$C$21</f>
        <v>0</v>
      </c>
    </row>
    <row r="1540" spans="1:6" x14ac:dyDescent="0.2">
      <c r="A1540" s="1">
        <v>41716</v>
      </c>
      <c r="B1540">
        <v>78</v>
      </c>
      <c r="C1540">
        <f>'weather data'!E1540</f>
        <v>12.284444444444446</v>
      </c>
      <c r="D1540">
        <f>LAI!F1540</f>
        <v>0</v>
      </c>
      <c r="E1540">
        <f>0.5*C1540*(1-EXP(-'user input'!$C$19*D1540))</f>
        <v>0</v>
      </c>
      <c r="F1540">
        <f>E1540*'user input'!$C$21</f>
        <v>0</v>
      </c>
    </row>
    <row r="1541" spans="1:6" x14ac:dyDescent="0.2">
      <c r="A1541" s="1">
        <v>41717</v>
      </c>
      <c r="B1541">
        <v>79</v>
      </c>
      <c r="C1541">
        <f>'weather data'!E1541</f>
        <v>13.337777777777776</v>
      </c>
      <c r="D1541">
        <f>LAI!F1541</f>
        <v>0</v>
      </c>
      <c r="E1541">
        <f>0.5*C1541*(1-EXP(-'user input'!$C$19*D1541))</f>
        <v>0</v>
      </c>
      <c r="F1541">
        <f>E1541*'user input'!$C$21</f>
        <v>0</v>
      </c>
    </row>
    <row r="1542" spans="1:6" x14ac:dyDescent="0.2">
      <c r="A1542" s="1">
        <v>41718</v>
      </c>
      <c r="B1542">
        <v>80</v>
      </c>
      <c r="C1542">
        <f>'weather data'!E1542</f>
        <v>15</v>
      </c>
      <c r="D1542">
        <f>LAI!F1542</f>
        <v>0</v>
      </c>
      <c r="E1542">
        <f>0.5*C1542*(1-EXP(-'user input'!$C$19*D1542))</f>
        <v>0</v>
      </c>
      <c r="F1542">
        <f>E1542*'user input'!$C$21</f>
        <v>0</v>
      </c>
    </row>
    <row r="1543" spans="1:6" x14ac:dyDescent="0.2">
      <c r="A1543" s="1">
        <v>41719</v>
      </c>
      <c r="B1543">
        <v>81</v>
      </c>
      <c r="C1543">
        <f>'weather data'!E1543</f>
        <v>14.926666666666668</v>
      </c>
      <c r="D1543">
        <f>LAI!F1543</f>
        <v>0</v>
      </c>
      <c r="E1543">
        <f>0.5*C1543*(1-EXP(-'user input'!$C$19*D1543))</f>
        <v>0</v>
      </c>
      <c r="F1543">
        <f>E1543*'user input'!$C$21</f>
        <v>0</v>
      </c>
    </row>
    <row r="1544" spans="1:6" x14ac:dyDescent="0.2">
      <c r="A1544" s="1">
        <v>41720</v>
      </c>
      <c r="B1544">
        <v>82</v>
      </c>
      <c r="C1544">
        <f>'weather data'!E1544</f>
        <v>16.43333333333333</v>
      </c>
      <c r="D1544">
        <f>LAI!F1544</f>
        <v>0</v>
      </c>
      <c r="E1544">
        <f>0.5*C1544*(1-EXP(-'user input'!$C$19*D1544))</f>
        <v>0</v>
      </c>
      <c r="F1544">
        <f>E1544*'user input'!$C$21</f>
        <v>0</v>
      </c>
    </row>
    <row r="1545" spans="1:6" x14ac:dyDescent="0.2">
      <c r="A1545" s="1">
        <v>41721</v>
      </c>
      <c r="B1545">
        <v>83</v>
      </c>
      <c r="C1545">
        <f>'weather data'!E1545</f>
        <v>14.304444444444442</v>
      </c>
      <c r="D1545">
        <f>LAI!F1545</f>
        <v>0</v>
      </c>
      <c r="E1545">
        <f>0.5*C1545*(1-EXP(-'user input'!$C$19*D1545))</f>
        <v>0</v>
      </c>
      <c r="F1545">
        <f>E1545*'user input'!$C$21</f>
        <v>0</v>
      </c>
    </row>
    <row r="1546" spans="1:6" x14ac:dyDescent="0.2">
      <c r="A1546" s="1">
        <v>41722</v>
      </c>
      <c r="B1546">
        <v>84</v>
      </c>
      <c r="C1546">
        <f>'weather data'!E1546</f>
        <v>14.604444444444443</v>
      </c>
      <c r="D1546">
        <f>LAI!F1546</f>
        <v>0</v>
      </c>
      <c r="E1546">
        <f>0.5*C1546*(1-EXP(-'user input'!$C$19*D1546))</f>
        <v>0</v>
      </c>
      <c r="F1546">
        <f>E1546*'user input'!$C$21</f>
        <v>0</v>
      </c>
    </row>
    <row r="1547" spans="1:6" x14ac:dyDescent="0.2">
      <c r="A1547" s="1">
        <v>41723</v>
      </c>
      <c r="B1547">
        <v>85</v>
      </c>
      <c r="C1547">
        <f>'weather data'!E1547</f>
        <v>15.69777777777778</v>
      </c>
      <c r="D1547">
        <f>LAI!F1547</f>
        <v>0</v>
      </c>
      <c r="E1547">
        <f>0.5*C1547*(1-EXP(-'user input'!$C$19*D1547))</f>
        <v>0</v>
      </c>
      <c r="F1547">
        <f>E1547*'user input'!$C$21</f>
        <v>0</v>
      </c>
    </row>
    <row r="1548" spans="1:6" x14ac:dyDescent="0.2">
      <c r="A1548" s="1">
        <v>41724</v>
      </c>
      <c r="B1548">
        <v>86</v>
      </c>
      <c r="C1548">
        <f>'weather data'!E1548</f>
        <v>14.977777777777776</v>
      </c>
      <c r="D1548">
        <f>LAI!F1548</f>
        <v>0</v>
      </c>
      <c r="E1548">
        <f>0.5*C1548*(1-EXP(-'user input'!$C$19*D1548))</f>
        <v>0</v>
      </c>
      <c r="F1548">
        <f>E1548*'user input'!$C$21</f>
        <v>0</v>
      </c>
    </row>
    <row r="1549" spans="1:6" x14ac:dyDescent="0.2">
      <c r="A1549" s="1">
        <v>41725</v>
      </c>
      <c r="B1549">
        <v>87</v>
      </c>
      <c r="C1549">
        <f>'weather data'!E1549</f>
        <v>12.684444444444447</v>
      </c>
      <c r="D1549">
        <f>LAI!F1549</f>
        <v>0</v>
      </c>
      <c r="E1549">
        <f>0.5*C1549*(1-EXP(-'user input'!$C$19*D1549))</f>
        <v>0</v>
      </c>
      <c r="F1549">
        <f>E1549*'user input'!$C$21</f>
        <v>0</v>
      </c>
    </row>
    <row r="1550" spans="1:6" x14ac:dyDescent="0.2">
      <c r="A1550" s="1">
        <v>41726</v>
      </c>
      <c r="B1550">
        <v>88</v>
      </c>
      <c r="C1550">
        <f>'weather data'!E1550</f>
        <v>14.022222222222222</v>
      </c>
      <c r="D1550">
        <f>LAI!F1550</f>
        <v>0</v>
      </c>
      <c r="E1550">
        <f>0.5*C1550*(1-EXP(-'user input'!$C$19*D1550))</f>
        <v>0</v>
      </c>
      <c r="F1550">
        <f>E1550*'user input'!$C$21</f>
        <v>0</v>
      </c>
    </row>
    <row r="1551" spans="1:6" x14ac:dyDescent="0.2">
      <c r="A1551" s="1">
        <v>41727</v>
      </c>
      <c r="B1551">
        <v>89</v>
      </c>
      <c r="C1551">
        <f>'weather data'!E1551</f>
        <v>15.895555555555557</v>
      </c>
      <c r="D1551">
        <f>LAI!F1551</f>
        <v>0</v>
      </c>
      <c r="E1551">
        <f>0.5*C1551*(1-EXP(-'user input'!$C$19*D1551))</f>
        <v>0</v>
      </c>
      <c r="F1551">
        <f>E1551*'user input'!$C$21</f>
        <v>0</v>
      </c>
    </row>
    <row r="1552" spans="1:6" x14ac:dyDescent="0.2">
      <c r="A1552" s="1">
        <v>41728</v>
      </c>
      <c r="B1552">
        <v>90</v>
      </c>
      <c r="C1552">
        <f>'weather data'!E1552</f>
        <v>14.608888888888893</v>
      </c>
      <c r="D1552">
        <f>LAI!F1552</f>
        <v>0</v>
      </c>
      <c r="E1552">
        <f>0.5*C1552*(1-EXP(-'user input'!$C$19*D1552))</f>
        <v>0</v>
      </c>
      <c r="F1552">
        <f>E1552*'user input'!$C$21</f>
        <v>0</v>
      </c>
    </row>
    <row r="1553" spans="1:6" x14ac:dyDescent="0.2">
      <c r="A1553" s="1">
        <v>41729</v>
      </c>
      <c r="B1553">
        <v>91</v>
      </c>
      <c r="C1553">
        <f>'weather data'!E1553</f>
        <v>13.344444444444447</v>
      </c>
      <c r="D1553">
        <f>LAI!F1553</f>
        <v>0</v>
      </c>
      <c r="E1553">
        <f>0.5*C1553*(1-EXP(-'user input'!$C$19*D1553))</f>
        <v>0</v>
      </c>
      <c r="F1553">
        <f>E1553*'user input'!$C$21</f>
        <v>0</v>
      </c>
    </row>
    <row r="1554" spans="1:6" x14ac:dyDescent="0.2">
      <c r="A1554" s="1">
        <v>41730</v>
      </c>
      <c r="B1554">
        <v>92</v>
      </c>
      <c r="C1554">
        <f>'weather data'!E1554</f>
        <v>14.593333333333337</v>
      </c>
      <c r="D1554">
        <f>LAI!F1554</f>
        <v>0</v>
      </c>
      <c r="E1554">
        <f>0.5*C1554*(1-EXP(-'user input'!$C$19*D1554))</f>
        <v>0</v>
      </c>
      <c r="F1554">
        <f>E1554*'user input'!$C$21</f>
        <v>0</v>
      </c>
    </row>
    <row r="1555" spans="1:6" x14ac:dyDescent="0.2">
      <c r="A1555" s="1">
        <v>41731</v>
      </c>
      <c r="B1555">
        <v>93</v>
      </c>
      <c r="C1555">
        <f>'weather data'!E1555</f>
        <v>13.820000000000002</v>
      </c>
      <c r="D1555">
        <f>LAI!F1555</f>
        <v>0</v>
      </c>
      <c r="E1555">
        <f>0.5*C1555*(1-EXP(-'user input'!$C$19*D1555))</f>
        <v>0</v>
      </c>
      <c r="F1555">
        <f>E1555*'user input'!$C$21</f>
        <v>0</v>
      </c>
    </row>
    <row r="1556" spans="1:6" x14ac:dyDescent="0.2">
      <c r="A1556" s="1">
        <v>41732</v>
      </c>
      <c r="B1556">
        <v>94</v>
      </c>
      <c r="C1556">
        <f>'weather data'!E1556</f>
        <v>15.273333333333332</v>
      </c>
      <c r="D1556">
        <f>LAI!F1556</f>
        <v>0</v>
      </c>
      <c r="E1556">
        <f>0.5*C1556*(1-EXP(-'user input'!$C$19*D1556))</f>
        <v>0</v>
      </c>
      <c r="F1556">
        <f>E1556*'user input'!$C$21</f>
        <v>0</v>
      </c>
    </row>
    <row r="1557" spans="1:6" x14ac:dyDescent="0.2">
      <c r="A1557" s="1">
        <v>41733</v>
      </c>
      <c r="B1557">
        <v>95</v>
      </c>
      <c r="C1557">
        <f>'weather data'!E1557</f>
        <v>14.677777777777782</v>
      </c>
      <c r="D1557">
        <f>LAI!F1557</f>
        <v>0</v>
      </c>
      <c r="E1557">
        <f>0.5*C1557*(1-EXP(-'user input'!$C$19*D1557))</f>
        <v>0</v>
      </c>
      <c r="F1557">
        <f>E1557*'user input'!$C$21</f>
        <v>0</v>
      </c>
    </row>
    <row r="1558" spans="1:6" x14ac:dyDescent="0.2">
      <c r="A1558" s="1">
        <v>41734</v>
      </c>
      <c r="B1558">
        <v>96</v>
      </c>
      <c r="C1558">
        <f>'weather data'!E1558</f>
        <v>17.008888888888887</v>
      </c>
      <c r="D1558">
        <f>LAI!F1558</f>
        <v>0</v>
      </c>
      <c r="E1558">
        <f>0.5*C1558*(1-EXP(-'user input'!$C$19*D1558))</f>
        <v>0</v>
      </c>
      <c r="F1558">
        <f>E1558*'user input'!$C$21</f>
        <v>0</v>
      </c>
    </row>
    <row r="1559" spans="1:6" x14ac:dyDescent="0.2">
      <c r="A1559" s="1">
        <v>41735</v>
      </c>
      <c r="B1559">
        <v>97</v>
      </c>
      <c r="C1559">
        <f>'weather data'!E1559</f>
        <v>16.526666666666664</v>
      </c>
      <c r="D1559">
        <f>LAI!F1559</f>
        <v>0</v>
      </c>
      <c r="E1559">
        <f>0.5*C1559*(1-EXP(-'user input'!$C$19*D1559))</f>
        <v>0</v>
      </c>
      <c r="F1559">
        <f>E1559*'user input'!$C$21</f>
        <v>0</v>
      </c>
    </row>
    <row r="1560" spans="1:6" x14ac:dyDescent="0.2">
      <c r="A1560" s="1">
        <v>41736</v>
      </c>
      <c r="B1560">
        <v>98</v>
      </c>
      <c r="C1560">
        <f>'weather data'!E1560</f>
        <v>14.875555555555552</v>
      </c>
      <c r="D1560">
        <f>LAI!F1560</f>
        <v>0</v>
      </c>
      <c r="E1560">
        <f>0.5*C1560*(1-EXP(-'user input'!$C$19*D1560))</f>
        <v>0</v>
      </c>
      <c r="F1560">
        <f>E1560*'user input'!$C$21</f>
        <v>0</v>
      </c>
    </row>
    <row r="1561" spans="1:6" x14ac:dyDescent="0.2">
      <c r="A1561" s="1">
        <v>41737</v>
      </c>
      <c r="B1561">
        <v>99</v>
      </c>
      <c r="C1561">
        <f>'weather data'!E1561</f>
        <v>17.475555555555555</v>
      </c>
      <c r="D1561">
        <f>LAI!F1561</f>
        <v>0</v>
      </c>
      <c r="E1561">
        <f>0.5*C1561*(1-EXP(-'user input'!$C$19*D1561))</f>
        <v>0</v>
      </c>
      <c r="F1561">
        <f>E1561*'user input'!$C$21</f>
        <v>0</v>
      </c>
    </row>
    <row r="1562" spans="1:6" x14ac:dyDescent="0.2">
      <c r="A1562" s="1">
        <v>41738</v>
      </c>
      <c r="B1562">
        <v>100</v>
      </c>
      <c r="C1562">
        <f>'weather data'!E1562</f>
        <v>17.055555555555557</v>
      </c>
      <c r="D1562">
        <f>LAI!F1562</f>
        <v>0</v>
      </c>
      <c r="E1562">
        <f>0.5*C1562*(1-EXP(-'user input'!$C$19*D1562))</f>
        <v>0</v>
      </c>
      <c r="F1562">
        <f>E1562*'user input'!$C$21</f>
        <v>0</v>
      </c>
    </row>
    <row r="1563" spans="1:6" x14ac:dyDescent="0.2">
      <c r="A1563" s="1">
        <v>41739</v>
      </c>
      <c r="B1563">
        <v>101</v>
      </c>
      <c r="C1563">
        <f>'weather data'!E1563</f>
        <v>15.882222222222218</v>
      </c>
      <c r="D1563">
        <f>LAI!F1563</f>
        <v>0</v>
      </c>
      <c r="E1563">
        <f>0.5*C1563*(1-EXP(-'user input'!$C$19*D1563))</f>
        <v>0</v>
      </c>
      <c r="F1563">
        <f>E1563*'user input'!$C$21</f>
        <v>0</v>
      </c>
    </row>
    <row r="1564" spans="1:6" x14ac:dyDescent="0.2">
      <c r="A1564" s="1">
        <v>41740</v>
      </c>
      <c r="B1564">
        <v>102</v>
      </c>
      <c r="C1564">
        <f>'weather data'!E1564</f>
        <v>15.497777777777774</v>
      </c>
      <c r="D1564">
        <f>LAI!F1564</f>
        <v>0</v>
      </c>
      <c r="E1564">
        <f>0.5*C1564*(1-EXP(-'user input'!$C$19*D1564))</f>
        <v>0</v>
      </c>
      <c r="F1564">
        <f>E1564*'user input'!$C$21</f>
        <v>0</v>
      </c>
    </row>
    <row r="1565" spans="1:6" x14ac:dyDescent="0.2">
      <c r="A1565" s="1">
        <v>41741</v>
      </c>
      <c r="B1565">
        <v>103</v>
      </c>
      <c r="C1565">
        <f>'weather data'!E1565</f>
        <v>18.066666666666666</v>
      </c>
      <c r="D1565">
        <f>LAI!F1565</f>
        <v>0</v>
      </c>
      <c r="E1565">
        <f>0.5*C1565*(1-EXP(-'user input'!$C$19*D1565))</f>
        <v>0</v>
      </c>
      <c r="F1565">
        <f>E1565*'user input'!$C$21</f>
        <v>0</v>
      </c>
    </row>
    <row r="1566" spans="1:6" x14ac:dyDescent="0.2">
      <c r="A1566" s="1">
        <v>41742</v>
      </c>
      <c r="B1566">
        <v>104</v>
      </c>
      <c r="C1566">
        <f>'weather data'!E1566</f>
        <v>17.306666666666665</v>
      </c>
      <c r="D1566">
        <f>LAI!F1566</f>
        <v>0</v>
      </c>
      <c r="E1566">
        <f>0.5*C1566*(1-EXP(-'user input'!$C$19*D1566))</f>
        <v>0</v>
      </c>
      <c r="F1566">
        <f>E1566*'user input'!$C$21</f>
        <v>0</v>
      </c>
    </row>
    <row r="1567" spans="1:6" x14ac:dyDescent="0.2">
      <c r="A1567" s="1">
        <v>41743</v>
      </c>
      <c r="B1567">
        <v>105</v>
      </c>
      <c r="C1567">
        <f>'weather data'!E1567</f>
        <v>18.091111111111108</v>
      </c>
      <c r="D1567">
        <f>LAI!F1567</f>
        <v>0</v>
      </c>
      <c r="E1567">
        <f>0.5*C1567*(1-EXP(-'user input'!$C$19*D1567))</f>
        <v>0</v>
      </c>
      <c r="F1567">
        <f>E1567*'user input'!$C$21</f>
        <v>0</v>
      </c>
    </row>
    <row r="1568" spans="1:6" x14ac:dyDescent="0.2">
      <c r="A1568" s="1">
        <v>41744</v>
      </c>
      <c r="B1568">
        <v>106</v>
      </c>
      <c r="C1568">
        <f>'weather data'!E1568</f>
        <v>15.755555555555551</v>
      </c>
      <c r="D1568">
        <f>LAI!F1568</f>
        <v>0</v>
      </c>
      <c r="E1568">
        <f>0.5*C1568*(1-EXP(-'user input'!$C$19*D1568))</f>
        <v>0</v>
      </c>
      <c r="F1568">
        <f>E1568*'user input'!$C$21</f>
        <v>0</v>
      </c>
    </row>
    <row r="1569" spans="1:6" x14ac:dyDescent="0.2">
      <c r="A1569" s="1">
        <v>41745</v>
      </c>
      <c r="B1569">
        <v>107</v>
      </c>
      <c r="C1569">
        <f>'weather data'!E1569</f>
        <v>18.606666666666669</v>
      </c>
      <c r="D1569">
        <f>LAI!F1569</f>
        <v>0</v>
      </c>
      <c r="E1569">
        <f>0.5*C1569*(1-EXP(-'user input'!$C$19*D1569))</f>
        <v>0</v>
      </c>
      <c r="F1569">
        <f>E1569*'user input'!$C$21</f>
        <v>0</v>
      </c>
    </row>
    <row r="1570" spans="1:6" x14ac:dyDescent="0.2">
      <c r="A1570" s="1">
        <v>41746</v>
      </c>
      <c r="B1570">
        <v>108</v>
      </c>
      <c r="C1570">
        <f>'weather data'!E1570</f>
        <v>17.028888888888886</v>
      </c>
      <c r="D1570">
        <f>LAI!F1570</f>
        <v>0</v>
      </c>
      <c r="E1570">
        <f>0.5*C1570*(1-EXP(-'user input'!$C$19*D1570))</f>
        <v>0</v>
      </c>
      <c r="F1570">
        <f>E1570*'user input'!$C$21</f>
        <v>0</v>
      </c>
    </row>
    <row r="1571" spans="1:6" x14ac:dyDescent="0.2">
      <c r="A1571" s="1">
        <v>41747</v>
      </c>
      <c r="B1571">
        <v>109</v>
      </c>
      <c r="C1571">
        <f>'weather data'!E1571</f>
        <v>16.00888888888889</v>
      </c>
      <c r="D1571">
        <f>LAI!F1571</f>
        <v>0</v>
      </c>
      <c r="E1571">
        <f>0.5*C1571*(1-EXP(-'user input'!$C$19*D1571))</f>
        <v>0</v>
      </c>
      <c r="F1571">
        <f>E1571*'user input'!$C$21</f>
        <v>0</v>
      </c>
    </row>
    <row r="1572" spans="1:6" x14ac:dyDescent="0.2">
      <c r="A1572" s="1">
        <v>41748</v>
      </c>
      <c r="B1572">
        <v>110</v>
      </c>
      <c r="C1572">
        <f>'weather data'!E1572</f>
        <v>14.822222222222214</v>
      </c>
      <c r="D1572">
        <f>LAI!F1572</f>
        <v>0</v>
      </c>
      <c r="E1572">
        <f>0.5*C1572*(1-EXP(-'user input'!$C$19*D1572))</f>
        <v>0</v>
      </c>
      <c r="F1572">
        <f>E1572*'user input'!$C$21</f>
        <v>0</v>
      </c>
    </row>
    <row r="1573" spans="1:6" x14ac:dyDescent="0.2">
      <c r="A1573" s="1">
        <v>41749</v>
      </c>
      <c r="B1573">
        <v>111</v>
      </c>
      <c r="C1573">
        <f>'weather data'!E1573</f>
        <v>16.506666666666668</v>
      </c>
      <c r="D1573">
        <f>LAI!F1573</f>
        <v>0</v>
      </c>
      <c r="E1573">
        <f>0.5*C1573*(1-EXP(-'user input'!$C$19*D1573))</f>
        <v>0</v>
      </c>
      <c r="F1573">
        <f>E1573*'user input'!$C$21</f>
        <v>0</v>
      </c>
    </row>
    <row r="1574" spans="1:6" x14ac:dyDescent="0.2">
      <c r="A1574" s="1">
        <v>41750</v>
      </c>
      <c r="B1574">
        <v>112</v>
      </c>
      <c r="C1574">
        <f>'weather data'!E1574</f>
        <v>16.88</v>
      </c>
      <c r="D1574">
        <f>LAI!F1574</f>
        <v>0</v>
      </c>
      <c r="E1574">
        <f>0.5*C1574*(1-EXP(-'user input'!$C$19*D1574))</f>
        <v>0</v>
      </c>
      <c r="F1574">
        <f>E1574*'user input'!$C$21</f>
        <v>0</v>
      </c>
    </row>
    <row r="1575" spans="1:6" x14ac:dyDescent="0.2">
      <c r="A1575" s="1">
        <v>41751</v>
      </c>
      <c r="B1575">
        <v>113</v>
      </c>
      <c r="C1575">
        <f>'weather data'!E1575</f>
        <v>17.740000000000009</v>
      </c>
      <c r="D1575">
        <f>LAI!F1575</f>
        <v>0</v>
      </c>
      <c r="E1575">
        <f>0.5*C1575*(1-EXP(-'user input'!$C$19*D1575))</f>
        <v>0</v>
      </c>
      <c r="F1575">
        <f>E1575*'user input'!$C$21</f>
        <v>0</v>
      </c>
    </row>
    <row r="1576" spans="1:6" x14ac:dyDescent="0.2">
      <c r="A1576" s="1">
        <v>41752</v>
      </c>
      <c r="B1576">
        <v>114</v>
      </c>
      <c r="C1576">
        <f>'weather data'!E1576</f>
        <v>19.917777777777768</v>
      </c>
      <c r="D1576">
        <f>LAI!F1576</f>
        <v>0</v>
      </c>
      <c r="E1576">
        <f>0.5*C1576*(1-EXP(-'user input'!$C$19*D1576))</f>
        <v>0</v>
      </c>
      <c r="F1576">
        <f>E1576*'user input'!$C$21</f>
        <v>0</v>
      </c>
    </row>
    <row r="1577" spans="1:6" x14ac:dyDescent="0.2">
      <c r="A1577" s="1">
        <v>41753</v>
      </c>
      <c r="B1577">
        <v>115</v>
      </c>
      <c r="C1577">
        <f>'weather data'!E1577</f>
        <v>19.82888888888888</v>
      </c>
      <c r="D1577">
        <f>LAI!F1577</f>
        <v>0</v>
      </c>
      <c r="E1577">
        <f>0.5*C1577*(1-EXP(-'user input'!$C$19*D1577))</f>
        <v>0</v>
      </c>
      <c r="F1577">
        <f>E1577*'user input'!$C$21</f>
        <v>0</v>
      </c>
    </row>
    <row r="1578" spans="1:6" x14ac:dyDescent="0.2">
      <c r="A1578" s="1">
        <v>41754</v>
      </c>
      <c r="B1578">
        <v>116</v>
      </c>
      <c r="C1578">
        <f>'weather data'!E1578</f>
        <v>19.919999999999998</v>
      </c>
      <c r="D1578">
        <f>LAI!F1578</f>
        <v>0</v>
      </c>
      <c r="E1578">
        <f>0.5*C1578*(1-EXP(-'user input'!$C$19*D1578))</f>
        <v>0</v>
      </c>
      <c r="F1578">
        <f>E1578*'user input'!$C$21</f>
        <v>0</v>
      </c>
    </row>
    <row r="1579" spans="1:6" x14ac:dyDescent="0.2">
      <c r="A1579" s="1">
        <v>41755</v>
      </c>
      <c r="B1579">
        <v>117</v>
      </c>
      <c r="C1579">
        <f>'weather data'!E1579</f>
        <v>18.355555555555554</v>
      </c>
      <c r="D1579">
        <f>LAI!F1579</f>
        <v>0</v>
      </c>
      <c r="E1579">
        <f>0.5*C1579*(1-EXP(-'user input'!$C$19*D1579))</f>
        <v>0</v>
      </c>
      <c r="F1579">
        <f>E1579*'user input'!$C$21</f>
        <v>0</v>
      </c>
    </row>
    <row r="1580" spans="1:6" x14ac:dyDescent="0.2">
      <c r="A1580" s="1">
        <v>41756</v>
      </c>
      <c r="B1580">
        <v>118</v>
      </c>
      <c r="C1580">
        <f>'weather data'!E1580</f>
        <v>18.562222222222225</v>
      </c>
      <c r="D1580">
        <f>LAI!F1580</f>
        <v>0</v>
      </c>
      <c r="E1580">
        <f>0.5*C1580*(1-EXP(-'user input'!$C$19*D1580))</f>
        <v>0</v>
      </c>
      <c r="F1580">
        <f>E1580*'user input'!$C$21</f>
        <v>0</v>
      </c>
    </row>
    <row r="1581" spans="1:6" x14ac:dyDescent="0.2">
      <c r="A1581" s="1">
        <v>41757</v>
      </c>
      <c r="B1581">
        <v>119</v>
      </c>
      <c r="C1581">
        <f>'weather data'!E1581</f>
        <v>18.202222222222229</v>
      </c>
      <c r="D1581">
        <f>LAI!F1581</f>
        <v>0</v>
      </c>
      <c r="E1581">
        <f>0.5*C1581*(1-EXP(-'user input'!$C$19*D1581))</f>
        <v>0</v>
      </c>
      <c r="F1581">
        <f>E1581*'user input'!$C$21</f>
        <v>0</v>
      </c>
    </row>
    <row r="1582" spans="1:6" x14ac:dyDescent="0.2">
      <c r="A1582" s="1">
        <v>41758</v>
      </c>
      <c r="B1582">
        <v>120</v>
      </c>
      <c r="C1582">
        <f>'weather data'!E1582</f>
        <v>17.571111111111119</v>
      </c>
      <c r="D1582">
        <f>LAI!F1582</f>
        <v>0</v>
      </c>
      <c r="E1582">
        <f>0.5*C1582*(1-EXP(-'user input'!$C$19*D1582))</f>
        <v>0</v>
      </c>
      <c r="F1582">
        <f>E1582*'user input'!$C$21</f>
        <v>0</v>
      </c>
    </row>
    <row r="1583" spans="1:6" x14ac:dyDescent="0.2">
      <c r="A1583" s="1">
        <v>41759</v>
      </c>
      <c r="B1583">
        <v>121</v>
      </c>
      <c r="C1583">
        <f>'weather data'!E1583</f>
        <v>19.524444444444448</v>
      </c>
      <c r="D1583">
        <f>LAI!F1583</f>
        <v>0</v>
      </c>
      <c r="E1583">
        <f>0.5*C1583*(1-EXP(-'user input'!$C$19*D1583))</f>
        <v>0</v>
      </c>
      <c r="F1583">
        <f>E1583*'user input'!$C$21</f>
        <v>0</v>
      </c>
    </row>
    <row r="1584" spans="1:6" x14ac:dyDescent="0.2">
      <c r="A1584" s="1">
        <v>41760</v>
      </c>
      <c r="B1584">
        <v>122</v>
      </c>
      <c r="C1584">
        <f>'weather data'!E1584</f>
        <v>19.262222222222217</v>
      </c>
      <c r="D1584">
        <f>LAI!F1584</f>
        <v>0</v>
      </c>
      <c r="E1584">
        <f>0.5*C1584*(1-EXP(-'user input'!$C$19*D1584))</f>
        <v>0</v>
      </c>
      <c r="F1584">
        <f>E1584*'user input'!$C$21</f>
        <v>0</v>
      </c>
    </row>
    <row r="1585" spans="1:6" x14ac:dyDescent="0.2">
      <c r="A1585" s="1">
        <v>41761</v>
      </c>
      <c r="B1585">
        <v>123</v>
      </c>
      <c r="C1585">
        <f>'weather data'!E1585</f>
        <v>21.293333333333326</v>
      </c>
      <c r="D1585">
        <f>LAI!F1585</f>
        <v>3.2820847648948253E-5</v>
      </c>
      <c r="E1585">
        <f>0.5*C1585*(1-EXP(-'user input'!$C$19*D1585))</f>
        <v>2.2712878327309905E-4</v>
      </c>
      <c r="F1585">
        <f>E1585*'user input'!$C$21</f>
        <v>8.8580225476508623E-3</v>
      </c>
    </row>
    <row r="1586" spans="1:6" x14ac:dyDescent="0.2">
      <c r="A1586" s="1">
        <v>41762</v>
      </c>
      <c r="B1586">
        <v>124</v>
      </c>
      <c r="C1586">
        <f>'weather data'!E1586</f>
        <v>20.195555555555561</v>
      </c>
      <c r="D1586">
        <f>LAI!F1586</f>
        <v>1.6614340676174999E-4</v>
      </c>
      <c r="E1586">
        <f>0.5*C1586*(1-EXP(-'user input'!$C$19*D1586))</f>
        <v>1.0904325997491864E-3</v>
      </c>
      <c r="F1586">
        <f>E1586*'user input'!$C$21</f>
        <v>4.2526871390218268E-2</v>
      </c>
    </row>
    <row r="1587" spans="1:6" x14ac:dyDescent="0.2">
      <c r="A1587" s="1">
        <v>41763</v>
      </c>
      <c r="B1587">
        <v>125</v>
      </c>
      <c r="C1587">
        <f>'weather data'!E1587</f>
        <v>19.100000000000005</v>
      </c>
      <c r="D1587">
        <f>LAI!F1587</f>
        <v>6.5922621517254206E-4</v>
      </c>
      <c r="E1587">
        <f>0.5*C1587*(1-EXP(-'user input'!$C$19*D1587))</f>
        <v>4.091270119515684E-3</v>
      </c>
      <c r="F1587">
        <f>E1587*'user input'!$C$21</f>
        <v>0.15955953466111167</v>
      </c>
    </row>
    <row r="1588" spans="1:6" x14ac:dyDescent="0.2">
      <c r="A1588" s="1">
        <v>41764</v>
      </c>
      <c r="B1588">
        <v>126</v>
      </c>
      <c r="C1588">
        <f>'weather data'!E1588</f>
        <v>20.082222222222224</v>
      </c>
      <c r="D1588">
        <f>LAI!F1588</f>
        <v>1.2355522996242876E-3</v>
      </c>
      <c r="E1588">
        <f>0.5*C1588*(1-EXP(-'user input'!$C$19*D1588))</f>
        <v>8.060869339078203E-3</v>
      </c>
      <c r="F1588">
        <f>E1588*'user input'!$C$21</f>
        <v>0.31437390422404993</v>
      </c>
    </row>
    <row r="1589" spans="1:6" x14ac:dyDescent="0.2">
      <c r="A1589" s="1">
        <v>41765</v>
      </c>
      <c r="B1589">
        <v>127</v>
      </c>
      <c r="C1589">
        <f>'weather data'!E1589</f>
        <v>17.606666666666673</v>
      </c>
      <c r="D1589">
        <f>LAI!F1589</f>
        <v>1.6490413378318829E-3</v>
      </c>
      <c r="E1589">
        <f>0.5*C1589*(1-EXP(-'user input'!$C$19*D1589))</f>
        <v>9.4310340187276544E-3</v>
      </c>
      <c r="F1589">
        <f>E1589*'user input'!$C$21</f>
        <v>0.3678103267303785</v>
      </c>
    </row>
    <row r="1590" spans="1:6" x14ac:dyDescent="0.2">
      <c r="A1590" s="1">
        <v>41766</v>
      </c>
      <c r="B1590">
        <v>128</v>
      </c>
      <c r="C1590">
        <f>'weather data'!E1590</f>
        <v>18.580000000000002</v>
      </c>
      <c r="D1590">
        <f>LAI!F1590</f>
        <v>2.3158961602271263E-3</v>
      </c>
      <c r="E1590">
        <f>0.5*C1590*(1-EXP(-'user input'!$C$19*D1590))</f>
        <v>1.3974018552570633E-2</v>
      </c>
      <c r="F1590">
        <f>E1590*'user input'!$C$21</f>
        <v>0.54498672355025468</v>
      </c>
    </row>
    <row r="1591" spans="1:6" x14ac:dyDescent="0.2">
      <c r="A1591" s="1">
        <v>41767</v>
      </c>
      <c r="B1591">
        <v>129</v>
      </c>
      <c r="C1591">
        <f>'weather data'!E1591</f>
        <v>20.891111111111112</v>
      </c>
      <c r="D1591">
        <f>LAI!F1591</f>
        <v>2.7932097021845089E-3</v>
      </c>
      <c r="E1591">
        <f>0.5*C1591*(1-EXP(-'user input'!$C$19*D1591))</f>
        <v>1.8947601921488678E-2</v>
      </c>
      <c r="F1591">
        <f>E1591*'user input'!$C$21</f>
        <v>0.73895647493805849</v>
      </c>
    </row>
    <row r="1592" spans="1:6" x14ac:dyDescent="0.2">
      <c r="A1592" s="1">
        <v>41768</v>
      </c>
      <c r="B1592">
        <v>130</v>
      </c>
      <c r="C1592">
        <f>'weather data'!E1592</f>
        <v>21.2911111111111</v>
      </c>
      <c r="D1592">
        <f>LAI!F1592</f>
        <v>4.9300232545601442E-3</v>
      </c>
      <c r="E1592">
        <f>0.5*C1592*(1-EXP(-'user input'!$C$19*D1592))</f>
        <v>3.405924286504268E-2</v>
      </c>
      <c r="F1592">
        <f>E1592*'user input'!$C$21</f>
        <v>1.3283104717366645</v>
      </c>
    </row>
    <row r="1593" spans="1:6" x14ac:dyDescent="0.2">
      <c r="A1593" s="1">
        <v>41769</v>
      </c>
      <c r="B1593">
        <v>131</v>
      </c>
      <c r="C1593">
        <f>'weather data'!E1593</f>
        <v>17.644444444444446</v>
      </c>
      <c r="D1593">
        <f>LAI!F1593</f>
        <v>5.8800004323128121E-3</v>
      </c>
      <c r="E1593">
        <f>0.5*C1593*(1-EXP(-'user input'!$C$19*D1593))</f>
        <v>3.3654181698985104E-2</v>
      </c>
      <c r="F1593">
        <f>E1593*'user input'!$C$21</f>
        <v>1.3125130862604191</v>
      </c>
    </row>
    <row r="1594" spans="1:6" x14ac:dyDescent="0.2">
      <c r="A1594" s="1">
        <v>41770</v>
      </c>
      <c r="B1594">
        <v>132</v>
      </c>
      <c r="C1594">
        <f>'weather data'!E1594</f>
        <v>19.975555555555552</v>
      </c>
      <c r="D1594">
        <f>LAI!F1594</f>
        <v>7.416886776691339E-3</v>
      </c>
      <c r="E1594">
        <f>0.5*C1594*(1-EXP(-'user input'!$C$19*D1594))</f>
        <v>4.8034960263596174E-2</v>
      </c>
      <c r="F1594">
        <f>E1594*'user input'!$C$21</f>
        <v>1.8733634502802508</v>
      </c>
    </row>
    <row r="1595" spans="1:6" x14ac:dyDescent="0.2">
      <c r="A1595" s="1">
        <v>41771</v>
      </c>
      <c r="B1595">
        <v>133</v>
      </c>
      <c r="C1595">
        <f>'weather data'!E1595</f>
        <v>19.571111111111115</v>
      </c>
      <c r="D1595">
        <f>LAI!F1595</f>
        <v>1.0699779730635852E-2</v>
      </c>
      <c r="E1595">
        <f>0.5*C1595*(1-EXP(-'user input'!$C$19*D1595))</f>
        <v>6.7821021718035862E-2</v>
      </c>
      <c r="F1595">
        <f>E1595*'user input'!$C$21</f>
        <v>2.6450198470033985</v>
      </c>
    </row>
    <row r="1596" spans="1:6" x14ac:dyDescent="0.2">
      <c r="A1596" s="1">
        <v>41772</v>
      </c>
      <c r="B1596">
        <v>134</v>
      </c>
      <c r="C1596">
        <f>'weather data'!E1596</f>
        <v>18.477777777777774</v>
      </c>
      <c r="D1596">
        <f>LAI!F1596</f>
        <v>1.363279341705396E-2</v>
      </c>
      <c r="E1596">
        <f>0.5*C1596*(1-EXP(-'user input'!$C$19*D1596))</f>
        <v>8.15070481659282E-2</v>
      </c>
      <c r="F1596">
        <f>E1596*'user input'!$C$21</f>
        <v>3.1787748784712</v>
      </c>
    </row>
    <row r="1597" spans="1:6" x14ac:dyDescent="0.2">
      <c r="A1597" s="1">
        <v>41773</v>
      </c>
      <c r="B1597">
        <v>135</v>
      </c>
      <c r="C1597">
        <f>'weather data'!E1597</f>
        <v>19.902222222222221</v>
      </c>
      <c r="D1597">
        <f>LAI!F1597</f>
        <v>1.5841852205832715E-2</v>
      </c>
      <c r="E1597">
        <f>0.5*C1597*(1-EXP(-'user input'!$C$19*D1597))</f>
        <v>0.10194285651838393</v>
      </c>
      <c r="F1597">
        <f>E1597*'user input'!$C$21</f>
        <v>3.9757714042169732</v>
      </c>
    </row>
    <row r="1598" spans="1:6" x14ac:dyDescent="0.2">
      <c r="A1598" s="1">
        <v>41774</v>
      </c>
      <c r="B1598">
        <v>136</v>
      </c>
      <c r="C1598">
        <f>'weather data'!E1598</f>
        <v>20.839999999999996</v>
      </c>
      <c r="D1598">
        <f>LAI!F1598</f>
        <v>1.6547271231590447E-2</v>
      </c>
      <c r="E1598">
        <f>0.5*C1598*(1-EXP(-'user input'!$C$19*D1598))</f>
        <v>0.11147410093122452</v>
      </c>
      <c r="F1598">
        <f>E1598*'user input'!$C$21</f>
        <v>4.3474899363177562</v>
      </c>
    </row>
    <row r="1599" spans="1:6" x14ac:dyDescent="0.2">
      <c r="A1599" s="1">
        <v>41775</v>
      </c>
      <c r="B1599">
        <v>137</v>
      </c>
      <c r="C1599">
        <f>'weather data'!E1599</f>
        <v>20.335555555555548</v>
      </c>
      <c r="D1599">
        <f>LAI!F1599</f>
        <v>1.7150818566420669E-2</v>
      </c>
      <c r="E1599">
        <f>0.5*C1599*(1-EXP(-'user input'!$C$19*D1599))</f>
        <v>0.1127212353546089</v>
      </c>
      <c r="F1599">
        <f>E1599*'user input'!$C$21</f>
        <v>4.3961281788297475</v>
      </c>
    </row>
    <row r="1600" spans="1:6" x14ac:dyDescent="0.2">
      <c r="A1600" s="1">
        <v>41776</v>
      </c>
      <c r="B1600">
        <v>138</v>
      </c>
      <c r="C1600">
        <f>'weather data'!E1600</f>
        <v>19.555555555555557</v>
      </c>
      <c r="D1600">
        <f>LAI!F1600</f>
        <v>1.7768948481615199E-2</v>
      </c>
      <c r="E1600">
        <f>0.5*C1600*(1-EXP(-'user input'!$C$19*D1600))</f>
        <v>0.11228187353903213</v>
      </c>
      <c r="F1600">
        <f>E1600*'user input'!$C$21</f>
        <v>4.3789930680222531</v>
      </c>
    </row>
    <row r="1601" spans="1:6" x14ac:dyDescent="0.2">
      <c r="A1601" s="1">
        <v>41777</v>
      </c>
      <c r="B1601">
        <v>139</v>
      </c>
      <c r="C1601">
        <f>'weather data'!E1601</f>
        <v>21.506666666666671</v>
      </c>
      <c r="D1601">
        <f>LAI!F1601</f>
        <v>1.9446482980216093E-2</v>
      </c>
      <c r="E1601">
        <f>0.5*C1601*(1-EXP(-'user input'!$C$19*D1601))</f>
        <v>0.13506898505447429</v>
      </c>
      <c r="F1601">
        <f>E1601*'user input'!$C$21</f>
        <v>5.2676904171244976</v>
      </c>
    </row>
    <row r="1602" spans="1:6" x14ac:dyDescent="0.2">
      <c r="A1602" s="1">
        <v>41778</v>
      </c>
      <c r="B1602">
        <v>140</v>
      </c>
      <c r="C1602">
        <f>'weather data'!E1602</f>
        <v>22.404444444444444</v>
      </c>
      <c r="D1602">
        <f>LAI!F1602</f>
        <v>2.2975334061316331E-2</v>
      </c>
      <c r="E1602">
        <f>0.5*C1602*(1-EXP(-'user input'!$C$19*D1602))</f>
        <v>0.16605063510960977</v>
      </c>
      <c r="F1602">
        <f>E1602*'user input'!$C$21</f>
        <v>6.4759747692747807</v>
      </c>
    </row>
    <row r="1603" spans="1:6" x14ac:dyDescent="0.2">
      <c r="A1603" s="1">
        <v>41779</v>
      </c>
      <c r="B1603">
        <v>141</v>
      </c>
      <c r="C1603">
        <f>'weather data'!E1603</f>
        <v>22.526666666666674</v>
      </c>
      <c r="D1603">
        <f>LAI!F1603</f>
        <v>2.6937457012411611E-2</v>
      </c>
      <c r="E1603">
        <f>0.5*C1603*(1-EXP(-'user input'!$C$19*D1603))</f>
        <v>0.19549710448379221</v>
      </c>
      <c r="F1603">
        <f>E1603*'user input'!$C$21</f>
        <v>7.6243870748678964</v>
      </c>
    </row>
    <row r="1604" spans="1:6" x14ac:dyDescent="0.2">
      <c r="A1604" s="1">
        <v>41780</v>
      </c>
      <c r="B1604">
        <v>142</v>
      </c>
      <c r="C1604">
        <f>'weather data'!E1604</f>
        <v>20.664444444444445</v>
      </c>
      <c r="D1604">
        <f>LAI!F1604</f>
        <v>3.4492296544919573E-2</v>
      </c>
      <c r="E1604">
        <f>0.5*C1604*(1-EXP(-'user input'!$C$19*D1604))</f>
        <v>0.22907086850930639</v>
      </c>
      <c r="F1604">
        <f>E1604*'user input'!$C$21</f>
        <v>8.9337638718629488</v>
      </c>
    </row>
    <row r="1605" spans="1:6" x14ac:dyDescent="0.2">
      <c r="A1605" s="1">
        <v>41781</v>
      </c>
      <c r="B1605">
        <v>143</v>
      </c>
      <c r="C1605">
        <f>'weather data'!E1605</f>
        <v>19.966666666666665</v>
      </c>
      <c r="D1605">
        <f>LAI!F1605</f>
        <v>4.1890046272896782E-2</v>
      </c>
      <c r="E1605">
        <f>0.5*C1605*(1-EXP(-'user input'!$C$19*D1605))</f>
        <v>0.26816406754432714</v>
      </c>
      <c r="F1605">
        <f>E1605*'user input'!$C$21</f>
        <v>10.458398634228759</v>
      </c>
    </row>
    <row r="1606" spans="1:6" x14ac:dyDescent="0.2">
      <c r="A1606" s="1">
        <v>41782</v>
      </c>
      <c r="B1606">
        <v>144</v>
      </c>
      <c r="C1606">
        <f>'weather data'!E1606</f>
        <v>21.091111111111118</v>
      </c>
      <c r="D1606">
        <f>LAI!F1606</f>
        <v>4.7811974503510261E-2</v>
      </c>
      <c r="E1606">
        <f>0.5*C1606*(1-EXP(-'user input'!$C$19*D1606))</f>
        <v>0.32269224019986475</v>
      </c>
      <c r="F1606">
        <f>E1606*'user input'!$C$21</f>
        <v>12.584997367794726</v>
      </c>
    </row>
    <row r="1607" spans="1:6" x14ac:dyDescent="0.2">
      <c r="A1607" s="1">
        <v>41783</v>
      </c>
      <c r="B1607">
        <v>145</v>
      </c>
      <c r="C1607">
        <f>'weather data'!E1607</f>
        <v>21.435555555555553</v>
      </c>
      <c r="D1607">
        <f>LAI!F1607</f>
        <v>5.4087753254096101E-2</v>
      </c>
      <c r="E1607">
        <f>0.5*C1607*(1-EXP(-'user input'!$C$19*D1607))</f>
        <v>0.37025860333865568</v>
      </c>
      <c r="F1607">
        <f>E1607*'user input'!$C$21</f>
        <v>14.440085530207572</v>
      </c>
    </row>
    <row r="1608" spans="1:6" x14ac:dyDescent="0.2">
      <c r="A1608" s="1">
        <v>41784</v>
      </c>
      <c r="B1608">
        <v>146</v>
      </c>
      <c r="C1608">
        <f>'weather data'!E1608</f>
        <v>22.319999999999986</v>
      </c>
      <c r="D1608">
        <f>LAI!F1608</f>
        <v>6.195551664072084E-2</v>
      </c>
      <c r="E1608">
        <f>0.5*C1608*(1-EXP(-'user input'!$C$19*D1608))</f>
        <v>0.44049615842157397</v>
      </c>
      <c r="F1608">
        <f>E1608*'user input'!$C$21</f>
        <v>17.179350178441386</v>
      </c>
    </row>
    <row r="1609" spans="1:6" x14ac:dyDescent="0.2">
      <c r="A1609" s="1">
        <v>41785</v>
      </c>
      <c r="B1609">
        <v>147</v>
      </c>
      <c r="C1609">
        <f>'weather data'!E1609</f>
        <v>21.086666666666666</v>
      </c>
      <c r="D1609">
        <f>LAI!F1609</f>
        <v>7.8513973165558124E-2</v>
      </c>
      <c r="E1609">
        <f>0.5*C1609*(1-EXP(-'user input'!$C$19*D1609))</f>
        <v>0.52457002124997321</v>
      </c>
      <c r="F1609">
        <f>E1609*'user input'!$C$21</f>
        <v>20.458230828748956</v>
      </c>
    </row>
    <row r="1610" spans="1:6" x14ac:dyDescent="0.2">
      <c r="A1610" s="1">
        <v>41786</v>
      </c>
      <c r="B1610">
        <v>148</v>
      </c>
      <c r="C1610">
        <f>'weather data'!E1610</f>
        <v>19.986666666666665</v>
      </c>
      <c r="D1610">
        <f>LAI!F1610</f>
        <v>9.8063264364163377E-2</v>
      </c>
      <c r="E1610">
        <f>0.5*C1610*(1-EXP(-'user input'!$C$19*D1610))</f>
        <v>0.61710971930205849</v>
      </c>
      <c r="F1610">
        <f>E1610*'user input'!$C$21</f>
        <v>24.067279052780282</v>
      </c>
    </row>
    <row r="1611" spans="1:6" x14ac:dyDescent="0.2">
      <c r="A1611" s="1">
        <v>41787</v>
      </c>
      <c r="B1611">
        <v>149</v>
      </c>
      <c r="C1611">
        <f>'weather data'!E1611</f>
        <v>20.988888888888894</v>
      </c>
      <c r="D1611">
        <f>LAI!F1611</f>
        <v>0.12091643935700613</v>
      </c>
      <c r="E1611">
        <f>0.5*C1611*(1-EXP(-'user input'!$C$19*D1611))</f>
        <v>0.7932372477877867</v>
      </c>
      <c r="F1611">
        <f>E1611*'user input'!$C$21</f>
        <v>30.936252663723682</v>
      </c>
    </row>
    <row r="1612" spans="1:6" x14ac:dyDescent="0.2">
      <c r="A1612" s="1">
        <v>41788</v>
      </c>
      <c r="B1612">
        <v>150</v>
      </c>
      <c r="C1612">
        <f>'weather data'!E1612</f>
        <v>21.175555555555562</v>
      </c>
      <c r="D1612">
        <f>LAI!F1612</f>
        <v>0.13602250020986575</v>
      </c>
      <c r="E1612">
        <f>0.5*C1612*(1-EXP(-'user input'!$C$19*D1612))</f>
        <v>0.89592443665971588</v>
      </c>
      <c r="F1612">
        <f>E1612*'user input'!$C$21</f>
        <v>34.94105302972892</v>
      </c>
    </row>
    <row r="1613" spans="1:6" x14ac:dyDescent="0.2">
      <c r="A1613" s="1">
        <v>41789</v>
      </c>
      <c r="B1613">
        <v>151</v>
      </c>
      <c r="C1613">
        <f>'weather data'!E1613</f>
        <v>21.524444444444448</v>
      </c>
      <c r="D1613">
        <f>LAI!F1613</f>
        <v>0.15673669999067089</v>
      </c>
      <c r="E1613">
        <f>0.5*C1613*(1-EXP(-'user input'!$C$19*D1613))</f>
        <v>1.0424400821831987</v>
      </c>
      <c r="F1613">
        <f>E1613*'user input'!$C$21</f>
        <v>40.655163205144753</v>
      </c>
    </row>
    <row r="1614" spans="1:6" x14ac:dyDescent="0.2">
      <c r="A1614" s="1">
        <v>41790</v>
      </c>
      <c r="B1614">
        <v>152</v>
      </c>
      <c r="C1614">
        <f>'weather data'!E1614</f>
        <v>22.935555555555549</v>
      </c>
      <c r="D1614">
        <f>LAI!F1614</f>
        <v>0.18310546295040486</v>
      </c>
      <c r="E1614">
        <f>0.5*C1614*(1-EXP(-'user input'!$C$19*D1614))</f>
        <v>1.2867840777908381</v>
      </c>
      <c r="F1614">
        <f>E1614*'user input'!$C$21</f>
        <v>50.184579033842688</v>
      </c>
    </row>
    <row r="1615" spans="1:6" x14ac:dyDescent="0.2">
      <c r="A1615" s="1">
        <v>41791</v>
      </c>
      <c r="B1615">
        <v>153</v>
      </c>
      <c r="C1615">
        <f>'weather data'!E1615</f>
        <v>22.097777777777782</v>
      </c>
      <c r="D1615">
        <f>LAI!F1615</f>
        <v>0.22572340628730236</v>
      </c>
      <c r="E1615">
        <f>0.5*C1615*(1-EXP(-'user input'!$C$19*D1615))</f>
        <v>1.507780559666585</v>
      </c>
      <c r="F1615">
        <f>E1615*'user input'!$C$21</f>
        <v>58.803441826996817</v>
      </c>
    </row>
    <row r="1616" spans="1:6" x14ac:dyDescent="0.2">
      <c r="A1616" s="1">
        <v>41792</v>
      </c>
      <c r="B1616">
        <v>154</v>
      </c>
      <c r="C1616">
        <f>'weather data'!E1616</f>
        <v>23.393333333333331</v>
      </c>
      <c r="D1616">
        <f>LAI!F1616</f>
        <v>0.28054581720322808</v>
      </c>
      <c r="E1616">
        <f>0.5*C1616*(1-EXP(-'user input'!$C$19*D1616))</f>
        <v>1.9497682845591526</v>
      </c>
      <c r="F1616">
        <f>E1616*'user input'!$C$21</f>
        <v>76.040963097806952</v>
      </c>
    </row>
    <row r="1617" spans="1:6" x14ac:dyDescent="0.2">
      <c r="A1617" s="1">
        <v>41793</v>
      </c>
      <c r="B1617">
        <v>155</v>
      </c>
      <c r="C1617">
        <f>'weather data'!E1617</f>
        <v>22.279999999999998</v>
      </c>
      <c r="D1617">
        <f>LAI!F1617</f>
        <v>0.32644779184873562</v>
      </c>
      <c r="E1617">
        <f>0.5*C1617*(1-EXP(-'user input'!$C$19*D1617))</f>
        <v>2.1298549542558258</v>
      </c>
      <c r="F1617">
        <f>E1617*'user input'!$C$21</f>
        <v>83.064343215977203</v>
      </c>
    </row>
    <row r="1618" spans="1:6" x14ac:dyDescent="0.2">
      <c r="A1618" s="1">
        <v>41794</v>
      </c>
      <c r="B1618">
        <v>156</v>
      </c>
      <c r="C1618">
        <f>'weather data'!E1618</f>
        <v>21.313333333333325</v>
      </c>
      <c r="D1618">
        <f>LAI!F1618</f>
        <v>0.37530096309076438</v>
      </c>
      <c r="E1618">
        <f>0.5*C1618*(1-EXP(-'user input'!$C$19*D1618))</f>
        <v>2.3068461101473039</v>
      </c>
      <c r="F1618">
        <f>E1618*'user input'!$C$21</f>
        <v>89.966998295744858</v>
      </c>
    </row>
    <row r="1619" spans="1:6" x14ac:dyDescent="0.2">
      <c r="A1619" s="1">
        <v>41795</v>
      </c>
      <c r="B1619">
        <v>157</v>
      </c>
      <c r="C1619">
        <f>'weather data'!E1619</f>
        <v>22.002222222222226</v>
      </c>
      <c r="D1619">
        <f>LAI!F1619</f>
        <v>0.41438988998973109</v>
      </c>
      <c r="E1619">
        <f>0.5*C1619*(1-EXP(-'user input'!$C$19*D1619))</f>
        <v>2.5976567960231201</v>
      </c>
      <c r="F1619">
        <f>E1619*'user input'!$C$21</f>
        <v>101.30861504490169</v>
      </c>
    </row>
    <row r="1620" spans="1:6" x14ac:dyDescent="0.2">
      <c r="A1620" s="1">
        <v>41796</v>
      </c>
      <c r="B1620">
        <v>158</v>
      </c>
      <c r="C1620">
        <f>'weather data'!E1620</f>
        <v>22.086666666666659</v>
      </c>
      <c r="D1620">
        <f>LAI!F1620</f>
        <v>0.46626776675831866</v>
      </c>
      <c r="E1620">
        <f>0.5*C1620*(1-EXP(-'user input'!$C$19*D1620))</f>
        <v>2.8873412728808177</v>
      </c>
      <c r="F1620">
        <f>E1620*'user input'!$C$21</f>
        <v>112.60630964235189</v>
      </c>
    </row>
    <row r="1621" spans="1:6" x14ac:dyDescent="0.2">
      <c r="A1621" s="1">
        <v>41797</v>
      </c>
      <c r="B1621">
        <v>159</v>
      </c>
      <c r="C1621">
        <f>'weather data'!E1621</f>
        <v>23.813333333333325</v>
      </c>
      <c r="D1621">
        <f>LAI!F1621</f>
        <v>0.53176048345928129</v>
      </c>
      <c r="E1621">
        <f>0.5*C1621*(1-EXP(-'user input'!$C$19*D1621))</f>
        <v>3.4795544494472779</v>
      </c>
      <c r="F1621">
        <f>E1621*'user input'!$C$21</f>
        <v>135.70262352844384</v>
      </c>
    </row>
    <row r="1622" spans="1:6" x14ac:dyDescent="0.2">
      <c r="A1622" s="1">
        <v>41798</v>
      </c>
      <c r="B1622">
        <v>160</v>
      </c>
      <c r="C1622">
        <f>'weather data'!E1622</f>
        <v>21.76222222222221</v>
      </c>
      <c r="D1622">
        <f>LAI!F1622</f>
        <v>0.60352070614841213</v>
      </c>
      <c r="E1622">
        <f>0.5*C1622*(1-EXP(-'user input'!$C$19*D1622))</f>
        <v>3.5308201322632478</v>
      </c>
      <c r="F1622">
        <f>E1622*'user input'!$C$21</f>
        <v>137.70198515826667</v>
      </c>
    </row>
    <row r="1623" spans="1:6" x14ac:dyDescent="0.2">
      <c r="A1623" s="1">
        <v>41799</v>
      </c>
      <c r="B1623">
        <v>161</v>
      </c>
      <c r="C1623">
        <f>'weather data'!E1623</f>
        <v>23.468888888888888</v>
      </c>
      <c r="D1623">
        <f>LAI!F1623</f>
        <v>0.65000209238694295</v>
      </c>
      <c r="E1623">
        <f>0.5*C1623*(1-EXP(-'user input'!$C$19*D1623))</f>
        <v>4.0436266244202326</v>
      </c>
      <c r="F1623">
        <f>E1623*'user input'!$C$21</f>
        <v>157.70143835238906</v>
      </c>
    </row>
    <row r="1624" spans="1:6" x14ac:dyDescent="0.2">
      <c r="A1624" s="1">
        <v>41800</v>
      </c>
      <c r="B1624">
        <v>162</v>
      </c>
      <c r="C1624">
        <f>'weather data'!E1624</f>
        <v>20.566666666666666</v>
      </c>
      <c r="D1624">
        <f>LAI!F1624</f>
        <v>0.70964748482484186</v>
      </c>
      <c r="E1624">
        <f>0.5*C1624*(1-EXP(-'user input'!$C$19*D1624))</f>
        <v>3.7998780139580948</v>
      </c>
      <c r="F1624">
        <f>E1624*'user input'!$C$21</f>
        <v>148.1952425443657</v>
      </c>
    </row>
    <row r="1625" spans="1:6" x14ac:dyDescent="0.2">
      <c r="A1625" s="1">
        <v>41801</v>
      </c>
      <c r="B1625">
        <v>163</v>
      </c>
      <c r="C1625">
        <f>'weather data'!E1625</f>
        <v>21.984444444444435</v>
      </c>
      <c r="D1625">
        <f>LAI!F1625</f>
        <v>0.77718204055534401</v>
      </c>
      <c r="E1625">
        <f>0.5*C1625*(1-EXP(-'user input'!$C$19*D1625))</f>
        <v>4.3594713855603464</v>
      </c>
      <c r="F1625">
        <f>E1625*'user input'!$C$21</f>
        <v>170.01938403685352</v>
      </c>
    </row>
    <row r="1626" spans="1:6" x14ac:dyDescent="0.2">
      <c r="A1626" s="1">
        <v>41802</v>
      </c>
      <c r="B1626">
        <v>164</v>
      </c>
      <c r="C1626">
        <f>'weather data'!E1626</f>
        <v>23.388888888888882</v>
      </c>
      <c r="D1626">
        <f>LAI!F1626</f>
        <v>0.84345289941089396</v>
      </c>
      <c r="E1626">
        <f>0.5*C1626*(1-EXP(-'user input'!$C$19*D1626))</f>
        <v>4.9354812099859622</v>
      </c>
      <c r="F1626">
        <f>E1626*'user input'!$C$21</f>
        <v>192.48376718945252</v>
      </c>
    </row>
    <row r="1627" spans="1:6" x14ac:dyDescent="0.2">
      <c r="A1627" s="1">
        <v>41803</v>
      </c>
      <c r="B1627">
        <v>165</v>
      </c>
      <c r="C1627">
        <f>'weather data'!E1627</f>
        <v>21.657777777777785</v>
      </c>
      <c r="D1627">
        <f>LAI!F1627</f>
        <v>0.90009285783421378</v>
      </c>
      <c r="E1627">
        <f>0.5*C1627*(1-EXP(-'user input'!$C$19*D1627))</f>
        <v>4.7964155285319379</v>
      </c>
      <c r="F1627">
        <f>E1627*'user input'!$C$21</f>
        <v>187.06020561274556</v>
      </c>
    </row>
    <row r="1628" spans="1:6" x14ac:dyDescent="0.2">
      <c r="A1628" s="1">
        <v>41804</v>
      </c>
      <c r="B1628">
        <v>166</v>
      </c>
      <c r="C1628">
        <f>'weather data'!E1628</f>
        <v>20.875555555555547</v>
      </c>
      <c r="D1628">
        <f>LAI!F1628</f>
        <v>0.96374846552876003</v>
      </c>
      <c r="E1628">
        <f>0.5*C1628*(1-EXP(-'user input'!$C$19*D1628))</f>
        <v>4.8588578257803698</v>
      </c>
      <c r="F1628">
        <f>E1628*'user input'!$C$21</f>
        <v>189.49545520543441</v>
      </c>
    </row>
    <row r="1629" spans="1:6" x14ac:dyDescent="0.2">
      <c r="A1629" s="1">
        <v>41805</v>
      </c>
      <c r="B1629">
        <v>167</v>
      </c>
      <c r="C1629">
        <f>'weather data'!E1629</f>
        <v>21.88</v>
      </c>
      <c r="D1629">
        <f>LAI!F1629</f>
        <v>1.0723331934745994</v>
      </c>
      <c r="E1629">
        <f>0.5*C1629*(1-EXP(-'user input'!$C$19*D1629))</f>
        <v>5.4911246954814468</v>
      </c>
      <c r="F1629">
        <f>E1629*'user input'!$C$21</f>
        <v>214.15386312377643</v>
      </c>
    </row>
    <row r="1630" spans="1:6" x14ac:dyDescent="0.2">
      <c r="A1630" s="1">
        <v>41806</v>
      </c>
      <c r="B1630">
        <v>168</v>
      </c>
      <c r="C1630">
        <f>'weather data'!E1630</f>
        <v>23.36666666666666</v>
      </c>
      <c r="D1630">
        <f>LAI!F1630</f>
        <v>1.1768189214163827</v>
      </c>
      <c r="E1630">
        <f>0.5*C1630*(1-EXP(-'user input'!$C$19*D1630))</f>
        <v>6.2463138268208942</v>
      </c>
      <c r="F1630">
        <f>E1630*'user input'!$C$21</f>
        <v>243.60623924601487</v>
      </c>
    </row>
    <row r="1631" spans="1:6" x14ac:dyDescent="0.2">
      <c r="A1631" s="1">
        <v>41807</v>
      </c>
      <c r="B1631">
        <v>169</v>
      </c>
      <c r="C1631">
        <f>'weather data'!E1631</f>
        <v>21.613333333333337</v>
      </c>
      <c r="D1631">
        <f>LAI!F1631</f>
        <v>1.2954107014516656</v>
      </c>
      <c r="E1631">
        <f>0.5*C1631*(1-EXP(-'user input'!$C$19*D1631))</f>
        <v>6.1507152691552331</v>
      </c>
      <c r="F1631">
        <f>E1631*'user input'!$C$21</f>
        <v>239.87789549705408</v>
      </c>
    </row>
    <row r="1632" spans="1:6" x14ac:dyDescent="0.2">
      <c r="A1632" s="1">
        <v>41808</v>
      </c>
      <c r="B1632">
        <v>170</v>
      </c>
      <c r="C1632">
        <f>'weather data'!E1632</f>
        <v>23.11333333333333</v>
      </c>
      <c r="D1632">
        <f>LAI!F1632</f>
        <v>1.441769620230078</v>
      </c>
      <c r="E1632">
        <f>0.5*C1632*(1-EXP(-'user input'!$C$19*D1632))</f>
        <v>7.0294278637193495</v>
      </c>
      <c r="F1632">
        <f>E1632*'user input'!$C$21</f>
        <v>274.14768668505462</v>
      </c>
    </row>
    <row r="1633" spans="1:6" x14ac:dyDescent="0.2">
      <c r="A1633" s="1">
        <v>41809</v>
      </c>
      <c r="B1633">
        <v>171</v>
      </c>
      <c r="C1633">
        <f>'weather data'!E1633</f>
        <v>23.373333333333328</v>
      </c>
      <c r="D1633">
        <f>LAI!F1633</f>
        <v>1.5624200760034921</v>
      </c>
      <c r="E1633">
        <f>0.5*C1633*(1-EXP(-'user input'!$C$19*D1633))</f>
        <v>7.4538165973627253</v>
      </c>
      <c r="F1633">
        <f>E1633*'user input'!$C$21</f>
        <v>290.6988472971463</v>
      </c>
    </row>
    <row r="1634" spans="1:6" x14ac:dyDescent="0.2">
      <c r="A1634" s="1">
        <v>41810</v>
      </c>
      <c r="B1634">
        <v>172</v>
      </c>
      <c r="C1634">
        <f>'weather data'!E1634</f>
        <v>22.980000000000004</v>
      </c>
      <c r="D1634">
        <f>LAI!F1634</f>
        <v>1.6731125982154982</v>
      </c>
      <c r="E1634">
        <f>0.5*C1634*(1-EXP(-'user input'!$C$19*D1634))</f>
        <v>7.6172923908265435</v>
      </c>
      <c r="F1634">
        <f>E1634*'user input'!$C$21</f>
        <v>297.07440324223518</v>
      </c>
    </row>
    <row r="1635" spans="1:6" x14ac:dyDescent="0.2">
      <c r="A1635" s="1">
        <v>41811</v>
      </c>
      <c r="B1635">
        <v>173</v>
      </c>
      <c r="C1635">
        <f>'weather data'!E1635</f>
        <v>22.42444444444444</v>
      </c>
      <c r="D1635">
        <f>LAI!F1635</f>
        <v>1.8085428506688948</v>
      </c>
      <c r="E1635">
        <f>0.5*C1635*(1-EXP(-'user input'!$C$19*D1635))</f>
        <v>7.7515889457457847</v>
      </c>
      <c r="F1635">
        <f>E1635*'user input'!$C$21</f>
        <v>302.31196888408562</v>
      </c>
    </row>
    <row r="1636" spans="1:6" x14ac:dyDescent="0.2">
      <c r="A1636" s="1">
        <v>41812</v>
      </c>
      <c r="B1636">
        <v>174</v>
      </c>
      <c r="C1636">
        <f>'weather data'!E1636</f>
        <v>22.90444444444444</v>
      </c>
      <c r="D1636">
        <f>LAI!F1636</f>
        <v>1.9147191966538706</v>
      </c>
      <c r="E1636">
        <f>0.5*C1636*(1-EXP(-'user input'!$C$19*D1636))</f>
        <v>8.1532323777128592</v>
      </c>
      <c r="F1636">
        <f>E1636*'user input'!$C$21</f>
        <v>317.97606273080152</v>
      </c>
    </row>
    <row r="1637" spans="1:6" x14ac:dyDescent="0.2">
      <c r="A1637" s="1">
        <v>41813</v>
      </c>
      <c r="B1637">
        <v>175</v>
      </c>
      <c r="C1637">
        <f>'weather data'!E1637</f>
        <v>23.068888888888885</v>
      </c>
      <c r="D1637">
        <f>LAI!F1637</f>
        <v>2.030631863445798</v>
      </c>
      <c r="E1637">
        <f>0.5*C1637*(1-EXP(-'user input'!$C$19*D1637))</f>
        <v>8.4529120108422084</v>
      </c>
      <c r="F1637">
        <f>E1637*'user input'!$C$21</f>
        <v>329.66356842284614</v>
      </c>
    </row>
    <row r="1638" spans="1:6" x14ac:dyDescent="0.2">
      <c r="A1638" s="1">
        <v>41814</v>
      </c>
      <c r="B1638">
        <v>176</v>
      </c>
      <c r="C1638">
        <f>'weather data'!E1638</f>
        <v>23.437777777777779</v>
      </c>
      <c r="D1638">
        <f>LAI!F1638</f>
        <v>2.1410324486058996</v>
      </c>
      <c r="E1638">
        <f>0.5*C1638*(1-EXP(-'user input'!$C$19*D1638))</f>
        <v>8.804876721207469</v>
      </c>
      <c r="F1638">
        <f>E1638*'user input'!$C$21</f>
        <v>343.39019212709127</v>
      </c>
    </row>
    <row r="1639" spans="1:6" x14ac:dyDescent="0.2">
      <c r="A1639" s="1">
        <v>41815</v>
      </c>
      <c r="B1639">
        <v>177</v>
      </c>
      <c r="C1639">
        <f>'weather data'!E1639</f>
        <v>24.166666666666679</v>
      </c>
      <c r="D1639">
        <f>LAI!F1639</f>
        <v>2.2485465941164704</v>
      </c>
      <c r="E1639">
        <f>0.5*C1639*(1-EXP(-'user input'!$C$19*D1639))</f>
        <v>9.2815060473752773</v>
      </c>
      <c r="F1639">
        <f>E1639*'user input'!$C$21</f>
        <v>361.97873584763579</v>
      </c>
    </row>
    <row r="1640" spans="1:6" x14ac:dyDescent="0.2">
      <c r="A1640" s="1">
        <v>41816</v>
      </c>
      <c r="B1640">
        <v>178</v>
      </c>
      <c r="C1640">
        <f>'weather data'!E1640</f>
        <v>24.371111111111112</v>
      </c>
      <c r="D1640">
        <f>LAI!F1640</f>
        <v>2.3228433316930155</v>
      </c>
      <c r="E1640">
        <f>0.5*C1640*(1-EXP(-'user input'!$C$19*D1640))</f>
        <v>9.4932359906628676</v>
      </c>
      <c r="F1640">
        <f>E1640*'user input'!$C$21</f>
        <v>370.23620363585184</v>
      </c>
    </row>
    <row r="1641" spans="1:6" x14ac:dyDescent="0.2">
      <c r="A1641" s="1">
        <v>41817</v>
      </c>
      <c r="B1641">
        <v>179</v>
      </c>
      <c r="C1641">
        <f>'weather data'!E1641</f>
        <v>22.171111111111113</v>
      </c>
      <c r="D1641">
        <f>LAI!F1641</f>
        <v>2.3991227117941309</v>
      </c>
      <c r="E1641">
        <f>0.5*C1641*(1-EXP(-'user input'!$C$19*D1641))</f>
        <v>8.7547517315574961</v>
      </c>
      <c r="F1641">
        <f>E1641*'user input'!$C$21</f>
        <v>341.43531753074234</v>
      </c>
    </row>
    <row r="1642" spans="1:6" x14ac:dyDescent="0.2">
      <c r="A1642" s="1">
        <v>41818</v>
      </c>
      <c r="B1642">
        <v>180</v>
      </c>
      <c r="C1642">
        <f>'weather data'!E1642</f>
        <v>22.31111111111111</v>
      </c>
      <c r="D1642">
        <f>LAI!F1642</f>
        <v>2.4804078795821298</v>
      </c>
      <c r="E1642">
        <f>0.5*C1642*(1-EXP(-'user input'!$C$19*D1642))</f>
        <v>8.9307433541506676</v>
      </c>
      <c r="F1642">
        <f>E1642*'user input'!$C$21</f>
        <v>348.29899081187602</v>
      </c>
    </row>
    <row r="1643" spans="1:6" x14ac:dyDescent="0.2">
      <c r="A1643" s="1">
        <v>41819</v>
      </c>
      <c r="B1643">
        <v>181</v>
      </c>
      <c r="C1643">
        <f>'weather data'!E1643</f>
        <v>25.455555555555552</v>
      </c>
      <c r="D1643">
        <f>LAI!F1643</f>
        <v>2.5474055777609124</v>
      </c>
      <c r="E1643">
        <f>0.5*C1643*(1-EXP(-'user input'!$C$19*D1643))</f>
        <v>10.297578634359168</v>
      </c>
      <c r="F1643">
        <f>E1643*'user input'!$C$21</f>
        <v>401.60556674000753</v>
      </c>
    </row>
    <row r="1644" spans="1:6" x14ac:dyDescent="0.2">
      <c r="A1644" s="1">
        <v>41820</v>
      </c>
      <c r="B1644">
        <v>182</v>
      </c>
      <c r="C1644">
        <f>'weather data'!E1644</f>
        <v>25.371111111111109</v>
      </c>
      <c r="D1644">
        <f>LAI!F1644</f>
        <v>2.5977635082975197</v>
      </c>
      <c r="E1644">
        <f>0.5*C1644*(1-EXP(-'user input'!$C$19*D1644))</f>
        <v>10.341417639342746</v>
      </c>
      <c r="F1644">
        <f>E1644*'user input'!$C$21</f>
        <v>403.31528793436706</v>
      </c>
    </row>
    <row r="1645" spans="1:6" x14ac:dyDescent="0.2">
      <c r="A1645" s="1">
        <v>41821</v>
      </c>
      <c r="B1645">
        <v>183</v>
      </c>
      <c r="C1645">
        <f>'weather data'!E1645</f>
        <v>23.746666666666659</v>
      </c>
      <c r="D1645">
        <f>LAI!F1645</f>
        <v>2.6444761059997175</v>
      </c>
      <c r="E1645">
        <f>0.5*C1645*(1-EXP(-'user input'!$C$19*D1645))</f>
        <v>9.7449014144294974</v>
      </c>
      <c r="F1645">
        <f>E1645*'user input'!$C$21</f>
        <v>380.05115516275038</v>
      </c>
    </row>
    <row r="1646" spans="1:6" x14ac:dyDescent="0.2">
      <c r="A1646" s="1">
        <v>41822</v>
      </c>
      <c r="B1646">
        <v>184</v>
      </c>
      <c r="C1646">
        <f>'weather data'!E1646</f>
        <v>22.228888888888893</v>
      </c>
      <c r="D1646">
        <f>LAI!F1646</f>
        <v>2.673440757442723</v>
      </c>
      <c r="E1646">
        <f>0.5*C1646*(1-EXP(-'user input'!$C$19*D1646))</f>
        <v>9.1592120243632333</v>
      </c>
      <c r="F1646">
        <f>E1646*'user input'!$C$21</f>
        <v>357.20926895016612</v>
      </c>
    </row>
    <row r="1647" spans="1:6" x14ac:dyDescent="0.2">
      <c r="A1647" s="1">
        <v>41823</v>
      </c>
      <c r="B1647">
        <v>185</v>
      </c>
      <c r="C1647">
        <f>'weather data'!E1647</f>
        <v>22.664444444444449</v>
      </c>
      <c r="D1647">
        <f>LAI!F1647</f>
        <v>2.6860467281808549</v>
      </c>
      <c r="E1647">
        <f>0.5*C1647*(1-EXP(-'user input'!$C$19*D1647))</f>
        <v>9.3549468575183585</v>
      </c>
      <c r="F1647">
        <f>E1647*'user input'!$C$21</f>
        <v>364.84292744321596</v>
      </c>
    </row>
    <row r="1648" spans="1:6" x14ac:dyDescent="0.2">
      <c r="A1648" s="1">
        <v>41824</v>
      </c>
      <c r="B1648">
        <v>186</v>
      </c>
      <c r="C1648">
        <f>'weather data'!E1648</f>
        <v>24.606666666666666</v>
      </c>
      <c r="D1648">
        <f>LAI!F1648</f>
        <v>2.7044875962309596</v>
      </c>
      <c r="E1648">
        <f>0.5*C1648*(1-EXP(-'user input'!$C$19*D1648))</f>
        <v>10.182194158840966</v>
      </c>
      <c r="F1648">
        <f>E1648*'user input'!$C$21</f>
        <v>397.10557219479767</v>
      </c>
    </row>
    <row r="1649" spans="1:6" x14ac:dyDescent="0.2">
      <c r="A1649" s="1">
        <v>41825</v>
      </c>
      <c r="B1649">
        <v>187</v>
      </c>
      <c r="C1649">
        <f>'weather data'!E1649</f>
        <v>23.071111111111112</v>
      </c>
      <c r="D1649">
        <f>LAI!F1649</f>
        <v>2.725102269812012</v>
      </c>
      <c r="E1649">
        <f>0.5*C1649*(1-EXP(-'user input'!$C$19*D1649))</f>
        <v>9.5732549216699248</v>
      </c>
      <c r="F1649">
        <f>E1649*'user input'!$C$21</f>
        <v>373.35694194512706</v>
      </c>
    </row>
    <row r="1650" spans="1:6" x14ac:dyDescent="0.2">
      <c r="A1650" s="1">
        <v>41826</v>
      </c>
      <c r="B1650">
        <v>188</v>
      </c>
      <c r="C1650">
        <f>'weather data'!E1650</f>
        <v>23.468888888888888</v>
      </c>
      <c r="D1650">
        <f>LAI!F1650</f>
        <v>2.7440451949595768</v>
      </c>
      <c r="E1650">
        <f>0.5*C1650*(1-EXP(-'user input'!$C$19*D1650))</f>
        <v>9.7627385393748014</v>
      </c>
      <c r="F1650">
        <f>E1650*'user input'!$C$21</f>
        <v>380.74680303561723</v>
      </c>
    </row>
    <row r="1651" spans="1:6" x14ac:dyDescent="0.2">
      <c r="A1651" s="1">
        <v>41827</v>
      </c>
      <c r="B1651">
        <v>189</v>
      </c>
      <c r="C1651">
        <f>'weather data'!E1651</f>
        <v>22.911111111111111</v>
      </c>
      <c r="D1651">
        <f>LAI!F1651</f>
        <v>2.763339908413041</v>
      </c>
      <c r="E1651">
        <f>0.5*C1651*(1-EXP(-'user input'!$C$19*D1651))</f>
        <v>9.5547003877757106</v>
      </c>
      <c r="F1651">
        <f>E1651*'user input'!$C$21</f>
        <v>372.63331512325271</v>
      </c>
    </row>
    <row r="1652" spans="1:6" x14ac:dyDescent="0.2">
      <c r="A1652" s="1">
        <v>41828</v>
      </c>
      <c r="B1652">
        <v>190</v>
      </c>
      <c r="C1652">
        <f>'weather data'!E1652</f>
        <v>22.133333333333333</v>
      </c>
      <c r="D1652">
        <f>LAI!F1652</f>
        <v>2.7808732639475937</v>
      </c>
      <c r="E1652">
        <f>0.5*C1652*(1-EXP(-'user input'!$C$19*D1652))</f>
        <v>9.2511502293890473</v>
      </c>
      <c r="F1652">
        <f>E1652*'user input'!$C$21</f>
        <v>360.79485894617284</v>
      </c>
    </row>
    <row r="1653" spans="1:6" x14ac:dyDescent="0.2">
      <c r="A1653" s="1">
        <v>41829</v>
      </c>
      <c r="B1653">
        <v>191</v>
      </c>
      <c r="C1653">
        <f>'weather data'!E1653</f>
        <v>23.479999999999993</v>
      </c>
      <c r="D1653">
        <f>LAI!F1653</f>
        <v>2.7912342132255938</v>
      </c>
      <c r="E1653">
        <f>0.5*C1653*(1-EXP(-'user input'!$C$19*D1653))</f>
        <v>9.8269485676432478</v>
      </c>
      <c r="F1653">
        <f>E1653*'user input'!$C$21</f>
        <v>383.25099413808664</v>
      </c>
    </row>
    <row r="1654" spans="1:6" x14ac:dyDescent="0.2">
      <c r="A1654" s="1">
        <v>41830</v>
      </c>
      <c r="B1654">
        <v>192</v>
      </c>
      <c r="C1654">
        <f>'weather data'!E1654</f>
        <v>23.637777777777778</v>
      </c>
      <c r="D1654">
        <f>LAI!F1654</f>
        <v>2.7981756406002161</v>
      </c>
      <c r="E1654">
        <f>0.5*C1654*(1-EXP(-'user input'!$C$19*D1654))</f>
        <v>9.9016523654326161</v>
      </c>
      <c r="F1654">
        <f>E1654*'user input'!$C$21</f>
        <v>386.164442251872</v>
      </c>
    </row>
    <row r="1655" spans="1:6" x14ac:dyDescent="0.2">
      <c r="A1655" s="1">
        <v>41831</v>
      </c>
      <c r="B1655">
        <v>193</v>
      </c>
      <c r="C1655">
        <f>'weather data'!E1655</f>
        <v>22.757777777777775</v>
      </c>
      <c r="D1655">
        <f>LAI!F1655</f>
        <v>2.8063390292869927</v>
      </c>
      <c r="E1655">
        <f>0.5*C1655*(1-EXP(-'user input'!$C$19*D1655))</f>
        <v>9.5427968561344176</v>
      </c>
      <c r="F1655">
        <f>E1655*'user input'!$C$21</f>
        <v>372.16907738924226</v>
      </c>
    </row>
    <row r="1656" spans="1:6" x14ac:dyDescent="0.2">
      <c r="A1656" s="1">
        <v>41832</v>
      </c>
      <c r="B1656">
        <v>194</v>
      </c>
      <c r="C1656">
        <f>'weather data'!E1656</f>
        <v>22.486666666666665</v>
      </c>
      <c r="D1656">
        <f>LAI!F1656</f>
        <v>2.8142877967813451</v>
      </c>
      <c r="E1656">
        <f>0.5*C1656*(1-EXP(-'user input'!$C$19*D1656))</f>
        <v>9.4384638288294305</v>
      </c>
      <c r="F1656">
        <f>E1656*'user input'!$C$21</f>
        <v>368.10008932434778</v>
      </c>
    </row>
    <row r="1657" spans="1:6" x14ac:dyDescent="0.2">
      <c r="A1657" s="1">
        <v>41833</v>
      </c>
      <c r="B1657">
        <v>195</v>
      </c>
      <c r="C1657">
        <f>'weather data'!E1657</f>
        <v>23.213333333333335</v>
      </c>
      <c r="D1657">
        <f>LAI!F1657</f>
        <v>2.8218221468283016</v>
      </c>
      <c r="E1657">
        <f>0.5*C1657*(1-EXP(-'user input'!$C$19*D1657))</f>
        <v>9.752574366520566</v>
      </c>
      <c r="F1657">
        <f>E1657*'user input'!$C$21</f>
        <v>380.35040029430206</v>
      </c>
    </row>
    <row r="1658" spans="1:6" x14ac:dyDescent="0.2">
      <c r="A1658" s="1">
        <v>41834</v>
      </c>
      <c r="B1658">
        <v>196</v>
      </c>
      <c r="C1658">
        <f>'weather data'!E1658</f>
        <v>23.213333333333335</v>
      </c>
      <c r="D1658">
        <f>LAI!F1658</f>
        <v>2.8274830248742884</v>
      </c>
      <c r="E1658">
        <f>0.5*C1658*(1-EXP(-'user input'!$C$19*D1658))</f>
        <v>9.7593840941582446</v>
      </c>
      <c r="F1658">
        <f>E1658*'user input'!$C$21</f>
        <v>380.61597967217153</v>
      </c>
    </row>
    <row r="1659" spans="1:6" x14ac:dyDescent="0.2">
      <c r="A1659" s="1">
        <v>41835</v>
      </c>
      <c r="B1659">
        <v>197</v>
      </c>
      <c r="C1659">
        <f>'weather data'!E1659</f>
        <v>24.926666666666669</v>
      </c>
      <c r="D1659">
        <f>LAI!F1659</f>
        <v>2.8312204938440844</v>
      </c>
      <c r="E1659">
        <f>0.5*C1659*(1-EXP(-'user input'!$C$19*D1659))</f>
        <v>10.48451932545583</v>
      </c>
      <c r="F1659">
        <f>E1659*'user input'!$C$21</f>
        <v>408.89625369277735</v>
      </c>
    </row>
    <row r="1660" spans="1:6" x14ac:dyDescent="0.2">
      <c r="A1660" s="1">
        <v>41836</v>
      </c>
      <c r="B1660">
        <v>198</v>
      </c>
      <c r="C1660">
        <f>'weather data'!E1660</f>
        <v>22.395555555555553</v>
      </c>
      <c r="D1660">
        <f>LAI!F1660</f>
        <v>2.8343438246013699</v>
      </c>
      <c r="E1660">
        <f>0.5*C1660*(1-EXP(-'user input'!$C$19*D1660))</f>
        <v>9.4235028289817588</v>
      </c>
      <c r="F1660">
        <f>E1660*'user input'!$C$21</f>
        <v>367.51661033028859</v>
      </c>
    </row>
    <row r="1661" spans="1:6" x14ac:dyDescent="0.2">
      <c r="A1661" s="1">
        <v>41837</v>
      </c>
      <c r="B1661">
        <v>199</v>
      </c>
      <c r="C1661">
        <f>'weather data'!E1661</f>
        <v>20.604444444444447</v>
      </c>
      <c r="D1661">
        <f>LAI!F1661</f>
        <v>2.8368500215307195</v>
      </c>
      <c r="E1661">
        <f>0.5*C1661*(1-EXP(-'user input'!$C$19*D1661))</f>
        <v>8.672504036460607</v>
      </c>
      <c r="F1661">
        <f>E1661*'user input'!$C$21</f>
        <v>338.22765742196367</v>
      </c>
    </row>
    <row r="1662" spans="1:6" x14ac:dyDescent="0.2">
      <c r="A1662" s="1">
        <v>41838</v>
      </c>
      <c r="B1662">
        <v>200</v>
      </c>
      <c r="C1662">
        <f>'weather data'!E1662</f>
        <v>19.959999999999997</v>
      </c>
      <c r="D1662">
        <f>LAI!F1662</f>
        <v>2.8395518604262961</v>
      </c>
      <c r="E1662">
        <f>0.5*C1662*(1-EXP(-'user input'!$C$19*D1662))</f>
        <v>8.4040246017816838</v>
      </c>
      <c r="F1662">
        <f>E1662*'user input'!$C$21</f>
        <v>327.75695946948565</v>
      </c>
    </row>
    <row r="1663" spans="1:6" x14ac:dyDescent="0.2">
      <c r="A1663" s="1">
        <v>41839</v>
      </c>
      <c r="B1663">
        <v>201</v>
      </c>
      <c r="C1663">
        <f>'weather data'!E1663</f>
        <v>21.315555555555552</v>
      </c>
      <c r="D1663">
        <f>LAI!F1663</f>
        <v>2.8425304361080905</v>
      </c>
      <c r="E1663">
        <f>0.5*C1663*(1-EXP(-'user input'!$C$19*D1663))</f>
        <v>8.9780274803029982</v>
      </c>
      <c r="F1663">
        <f>E1663*'user input'!$C$21</f>
        <v>350.14307173181692</v>
      </c>
    </row>
    <row r="1664" spans="1:6" x14ac:dyDescent="0.2">
      <c r="A1664" s="1">
        <v>41840</v>
      </c>
      <c r="B1664">
        <v>202</v>
      </c>
      <c r="C1664">
        <f>'weather data'!E1664</f>
        <v>21.008888888888883</v>
      </c>
      <c r="D1664">
        <f>LAI!F1664</f>
        <v>2.8452441776776545</v>
      </c>
      <c r="E1664">
        <f>0.5*C1664*(1-EXP(-'user input'!$C$19*D1664))</f>
        <v>8.8517784593481004</v>
      </c>
      <c r="F1664">
        <f>E1664*'user input'!$C$21</f>
        <v>345.21935991457593</v>
      </c>
    </row>
    <row r="1665" spans="1:6" x14ac:dyDescent="0.2">
      <c r="A1665" s="1">
        <v>41841</v>
      </c>
      <c r="B1665">
        <v>203</v>
      </c>
      <c r="C1665">
        <f>'weather data'!E1665</f>
        <v>22.064444444444447</v>
      </c>
      <c r="D1665">
        <f>LAI!F1665</f>
        <v>2.8482462514064717</v>
      </c>
      <c r="E1665">
        <f>0.5*C1665*(1-EXP(-'user input'!$C$19*D1665))</f>
        <v>9.2999045267006508</v>
      </c>
      <c r="F1665">
        <f>E1665*'user input'!$C$21</f>
        <v>362.6962765413254</v>
      </c>
    </row>
    <row r="1666" spans="1:6" x14ac:dyDescent="0.2">
      <c r="A1666" s="1">
        <v>41842</v>
      </c>
      <c r="B1666">
        <v>204</v>
      </c>
      <c r="C1666">
        <f>'weather data'!E1666</f>
        <v>21.877777777777776</v>
      </c>
      <c r="D1666">
        <f>LAI!F1666</f>
        <v>2.8512025130481145</v>
      </c>
      <c r="E1666">
        <f>0.5*C1666*(1-EXP(-'user input'!$C$19*D1666))</f>
        <v>9.2245241552935564</v>
      </c>
      <c r="F1666">
        <f>E1666*'user input'!$C$21</f>
        <v>359.75644205644869</v>
      </c>
    </row>
    <row r="1667" spans="1:6" x14ac:dyDescent="0.2">
      <c r="A1667" s="1">
        <v>41843</v>
      </c>
      <c r="B1667">
        <v>205</v>
      </c>
      <c r="C1667">
        <f>'weather data'!E1667</f>
        <v>23.522222222222226</v>
      </c>
      <c r="D1667">
        <f>LAI!F1667</f>
        <v>2.8533864220402325</v>
      </c>
      <c r="E1667">
        <f>0.5*C1667*(1-EXP(-'user input'!$C$19*D1667))</f>
        <v>9.9205007291851093</v>
      </c>
      <c r="F1667">
        <f>E1667*'user input'!$C$21</f>
        <v>386.89952843821925</v>
      </c>
    </row>
    <row r="1668" spans="1:6" x14ac:dyDescent="0.2">
      <c r="A1668" s="1">
        <v>41844</v>
      </c>
      <c r="B1668">
        <v>206</v>
      </c>
      <c r="C1668">
        <f>'weather data'!E1668</f>
        <v>21.008888888888887</v>
      </c>
      <c r="D1668">
        <f>LAI!F1668</f>
        <v>2.8547576654315332</v>
      </c>
      <c r="E1668">
        <f>0.5*C1668*(1-EXP(-'user input'!$C$19*D1668))</f>
        <v>8.8619666276996742</v>
      </c>
      <c r="F1668">
        <f>E1668*'user input'!$C$21</f>
        <v>345.61669848028731</v>
      </c>
    </row>
    <row r="1669" spans="1:6" x14ac:dyDescent="0.2">
      <c r="A1669" s="1">
        <v>41845</v>
      </c>
      <c r="B1669">
        <v>207</v>
      </c>
      <c r="C1669">
        <f>'weather data'!E1669</f>
        <v>20.684444444444445</v>
      </c>
      <c r="D1669">
        <f>LAI!F1669</f>
        <v>2.8560564020862844</v>
      </c>
      <c r="E1669">
        <f>0.5*C1669*(1-EXP(-'user input'!$C$19*D1669))</f>
        <v>8.7264740729320422</v>
      </c>
      <c r="F1669">
        <f>E1669*'user input'!$C$21</f>
        <v>340.33248884434965</v>
      </c>
    </row>
    <row r="1670" spans="1:6" x14ac:dyDescent="0.2">
      <c r="A1670" s="1">
        <v>41846</v>
      </c>
      <c r="B1670">
        <v>208</v>
      </c>
      <c r="C1670">
        <f>'weather data'!E1670</f>
        <v>21.106666666666669</v>
      </c>
      <c r="D1670">
        <f>LAI!F1670</f>
        <v>2.8574681247805991</v>
      </c>
      <c r="E1670">
        <f>0.5*C1670*(1-EXP(-'user input'!$C$19*D1670))</f>
        <v>8.9061158598321288</v>
      </c>
      <c r="F1670">
        <f>E1670*'user input'!$C$21</f>
        <v>347.338518533453</v>
      </c>
    </row>
    <row r="1671" spans="1:6" x14ac:dyDescent="0.2">
      <c r="A1671" s="1">
        <v>41847</v>
      </c>
      <c r="B1671">
        <v>209</v>
      </c>
      <c r="C1671">
        <f>'weather data'!E1671</f>
        <v>20.757777777777772</v>
      </c>
      <c r="D1671">
        <f>LAI!F1671</f>
        <v>2.8587127645760808</v>
      </c>
      <c r="E1671">
        <f>0.5*C1671*(1-EXP(-'user input'!$C$19*D1671))</f>
        <v>8.7602096508230183</v>
      </c>
      <c r="F1671">
        <f>E1671*'user input'!$C$21</f>
        <v>341.64817638209769</v>
      </c>
    </row>
    <row r="1672" spans="1:6" x14ac:dyDescent="0.2">
      <c r="A1672" s="1">
        <v>41848</v>
      </c>
      <c r="B1672">
        <v>210</v>
      </c>
      <c r="C1672">
        <f>'weather data'!E1672</f>
        <v>21.942222222222224</v>
      </c>
      <c r="D1672">
        <f>LAI!F1672</f>
        <v>2.8594927992347228</v>
      </c>
      <c r="E1672">
        <f>0.5*C1672*(1-EXP(-'user input'!$C$19*D1672))</f>
        <v>9.2609369122725553</v>
      </c>
      <c r="F1672">
        <f>E1672*'user input'!$C$21</f>
        <v>361.17653957862967</v>
      </c>
    </row>
    <row r="1673" spans="1:6" x14ac:dyDescent="0.2">
      <c r="A1673" s="1">
        <v>41849</v>
      </c>
      <c r="B1673">
        <v>211</v>
      </c>
      <c r="C1673">
        <f>'weather data'!E1673</f>
        <v>21.31999999999999</v>
      </c>
      <c r="D1673">
        <f>LAI!F1673</f>
        <v>2.8601265605667625</v>
      </c>
      <c r="E1673">
        <f>0.5*C1673*(1-EXP(-'user input'!$C$19*D1673))</f>
        <v>8.9990061062597135</v>
      </c>
      <c r="F1673">
        <f>E1673*'user input'!$C$21</f>
        <v>350.96123814412886</v>
      </c>
    </row>
    <row r="1674" spans="1:6" x14ac:dyDescent="0.2">
      <c r="A1674" s="1">
        <v>41850</v>
      </c>
      <c r="B1674">
        <v>212</v>
      </c>
      <c r="C1674">
        <f>'weather data'!E1674</f>
        <v>21.69777777777778</v>
      </c>
      <c r="D1674">
        <f>LAI!F1674</f>
        <v>2.8608029512274489</v>
      </c>
      <c r="E1674">
        <f>0.5*C1674*(1-EXP(-'user input'!$C$19*D1674))</f>
        <v>9.1592062056800749</v>
      </c>
      <c r="F1674">
        <f>E1674*'user input'!$C$21</f>
        <v>357.20904202152292</v>
      </c>
    </row>
    <row r="1675" spans="1:6" x14ac:dyDescent="0.2">
      <c r="A1675" s="1">
        <v>41851</v>
      </c>
      <c r="B1675">
        <v>213</v>
      </c>
      <c r="C1675">
        <f>'weather data'!E1675</f>
        <v>21.27999999999999</v>
      </c>
      <c r="D1675">
        <f>LAI!F1675</f>
        <v>2.8613887353419436</v>
      </c>
      <c r="E1675">
        <f>0.5*C1675*(1-EXP(-'user input'!$C$19*D1675))</f>
        <v>8.9834820050389173</v>
      </c>
      <c r="F1675">
        <f>E1675*'user input'!$C$21</f>
        <v>350.35579819651775</v>
      </c>
    </row>
    <row r="1676" spans="1:6" x14ac:dyDescent="0.2">
      <c r="A1676" s="1">
        <v>41852</v>
      </c>
      <c r="B1676">
        <v>214</v>
      </c>
      <c r="C1676">
        <f>'weather data'!E1676</f>
        <v>22.631111111111117</v>
      </c>
      <c r="D1676">
        <f>LAI!F1676</f>
        <v>2.861977316290599</v>
      </c>
      <c r="E1676">
        <f>0.5*C1676*(1-EXP(-'user input'!$C$19*D1676))</f>
        <v>9.5545356705659259</v>
      </c>
      <c r="F1676">
        <f>E1676*'user input'!$C$21</f>
        <v>372.6268911520711</v>
      </c>
    </row>
    <row r="1677" spans="1:6" x14ac:dyDescent="0.2">
      <c r="A1677" s="1">
        <v>41853</v>
      </c>
      <c r="B1677">
        <v>215</v>
      </c>
      <c r="C1677">
        <f>'weather data'!E1677</f>
        <v>21.322222222222216</v>
      </c>
      <c r="D1677">
        <f>LAI!F1677</f>
        <v>2.8625114302329835</v>
      </c>
      <c r="E1677">
        <f>0.5*C1677*(1-EXP(-'user input'!$C$19*D1677))</f>
        <v>9.0025171775438189</v>
      </c>
      <c r="F1677">
        <f>E1677*'user input'!$C$21</f>
        <v>351.09816992420895</v>
      </c>
    </row>
    <row r="1678" spans="1:6" x14ac:dyDescent="0.2">
      <c r="A1678" s="1">
        <v>41854</v>
      </c>
      <c r="B1678">
        <v>216</v>
      </c>
      <c r="C1678">
        <f>'weather data'!E1678</f>
        <v>19.813333333333325</v>
      </c>
      <c r="D1678">
        <f>LAI!F1678</f>
        <v>2.8630669028144387</v>
      </c>
      <c r="E1678">
        <f>0.5*C1678*(1-EXP(-'user input'!$C$19*D1678))</f>
        <v>8.3660011999200545</v>
      </c>
      <c r="F1678">
        <f>E1678*'user input'!$C$21</f>
        <v>326.27404679688215</v>
      </c>
    </row>
    <row r="1679" spans="1:6" x14ac:dyDescent="0.2">
      <c r="A1679" s="1">
        <v>41855</v>
      </c>
      <c r="B1679">
        <v>217</v>
      </c>
      <c r="C1679">
        <f>'weather data'!E1679</f>
        <v>19.868888888888886</v>
      </c>
      <c r="D1679">
        <f>LAI!F1679</f>
        <v>2.8635651652366945</v>
      </c>
      <c r="E1679">
        <f>0.5*C1679*(1-EXP(-'user input'!$C$19*D1679))</f>
        <v>8.3899593262006977</v>
      </c>
      <c r="F1679">
        <f>E1679*'user input'!$C$21</f>
        <v>327.20841372182718</v>
      </c>
    </row>
    <row r="1680" spans="1:6" x14ac:dyDescent="0.2">
      <c r="A1680" s="1">
        <v>41856</v>
      </c>
      <c r="B1680">
        <v>218</v>
      </c>
      <c r="C1680">
        <f>'weather data'!E1680</f>
        <v>20.691111111111113</v>
      </c>
      <c r="D1680">
        <f>LAI!F1680</f>
        <v>2.8639733639615375</v>
      </c>
      <c r="E1680">
        <f>0.5*C1680*(1-EXP(-'user input'!$C$19*D1680))</f>
        <v>8.7375826417136544</v>
      </c>
      <c r="F1680">
        <f>E1680*'user input'!$C$21</f>
        <v>340.76572302683252</v>
      </c>
    </row>
    <row r="1681" spans="1:6" x14ac:dyDescent="0.2">
      <c r="A1681" s="1">
        <v>41857</v>
      </c>
      <c r="B1681">
        <v>219</v>
      </c>
      <c r="C1681">
        <f>'weather data'!E1681</f>
        <v>21.084444444444447</v>
      </c>
      <c r="D1681">
        <f>LAI!F1681</f>
        <v>2.8642788009277043</v>
      </c>
      <c r="E1681">
        <f>0.5*C1681*(1-EXP(-'user input'!$C$19*D1681))</f>
        <v>8.9040073813558287</v>
      </c>
      <c r="F1681">
        <f>E1681*'user input'!$C$21</f>
        <v>347.25628787287729</v>
      </c>
    </row>
    <row r="1682" spans="1:6" x14ac:dyDescent="0.2">
      <c r="A1682" s="1">
        <v>41858</v>
      </c>
      <c r="B1682">
        <v>220</v>
      </c>
      <c r="C1682">
        <f>'weather data'!E1682</f>
        <v>20.291111111111103</v>
      </c>
      <c r="D1682">
        <f>LAI!F1682</f>
        <v>2.8645337289146666</v>
      </c>
      <c r="E1682">
        <f>0.5*C1682*(1-EXP(-'user input'!$C$19*D1682))</f>
        <v>8.5692421871395243</v>
      </c>
      <c r="F1682">
        <f>E1682*'user input'!$C$21</f>
        <v>334.20044529844142</v>
      </c>
    </row>
    <row r="1683" spans="1:6" x14ac:dyDescent="0.2">
      <c r="A1683" s="1">
        <v>41859</v>
      </c>
      <c r="B1683">
        <v>221</v>
      </c>
      <c r="C1683">
        <f>'weather data'!E1683</f>
        <v>20.335555555555551</v>
      </c>
      <c r="D1683">
        <f>LAI!F1683</f>
        <v>2.8647776520882928</v>
      </c>
      <c r="E1683">
        <f>0.5*C1683*(1-EXP(-'user input'!$C$19*D1683))</f>
        <v>8.5882621983442746</v>
      </c>
      <c r="F1683">
        <f>E1683*'user input'!$C$21</f>
        <v>334.94222573542669</v>
      </c>
    </row>
    <row r="1684" spans="1:6" x14ac:dyDescent="0.2">
      <c r="A1684" s="1">
        <v>41860</v>
      </c>
      <c r="B1684">
        <v>222</v>
      </c>
      <c r="C1684">
        <f>'weather data'!E1684</f>
        <v>20.286666666666665</v>
      </c>
      <c r="D1684">
        <f>LAI!F1684</f>
        <v>2.8649915301792732</v>
      </c>
      <c r="E1684">
        <f>0.5*C1684*(1-EXP(-'user input'!$C$19*D1684))</f>
        <v>8.5678341235896767</v>
      </c>
      <c r="F1684">
        <f>E1684*'user input'!$C$21</f>
        <v>334.14553081999736</v>
      </c>
    </row>
    <row r="1685" spans="1:6" x14ac:dyDescent="0.2">
      <c r="A1685" s="1">
        <v>41861</v>
      </c>
      <c r="B1685">
        <v>223</v>
      </c>
      <c r="C1685">
        <f>'weather data'!E1685</f>
        <v>19.695555555555561</v>
      </c>
      <c r="D1685">
        <f>LAI!F1685</f>
        <v>2.8651974796091606</v>
      </c>
      <c r="E1685">
        <f>0.5*C1685*(1-EXP(-'user input'!$C$19*D1685))</f>
        <v>8.3183900740429522</v>
      </c>
      <c r="F1685">
        <f>E1685*'user input'!$C$21</f>
        <v>324.41721288767513</v>
      </c>
    </row>
    <row r="1686" spans="1:6" x14ac:dyDescent="0.2">
      <c r="A1686" s="1">
        <v>41862</v>
      </c>
      <c r="B1686">
        <v>224</v>
      </c>
      <c r="C1686">
        <f>'weather data'!E1686</f>
        <v>19.864444444444441</v>
      </c>
      <c r="D1686">
        <f>LAI!F1686</f>
        <v>2.8653717351597021</v>
      </c>
      <c r="E1686">
        <f>0.5*C1686*(1-EXP(-'user input'!$C$19*D1686))</f>
        <v>8.3898947610759258</v>
      </c>
      <c r="F1686">
        <f>E1686*'user input'!$C$21</f>
        <v>327.20589568196112</v>
      </c>
    </row>
    <row r="1687" spans="1:6" x14ac:dyDescent="0.2">
      <c r="A1687" s="1">
        <v>41863</v>
      </c>
      <c r="B1687">
        <v>225</v>
      </c>
      <c r="C1687">
        <f>'weather data'!E1687</f>
        <v>19.211111111111116</v>
      </c>
      <c r="D1687">
        <f>LAI!F1687</f>
        <v>2.8655230811391763</v>
      </c>
      <c r="E1687">
        <f>0.5*C1687*(1-EXP(-'user input'!$C$19*D1687))</f>
        <v>8.1141013333432817</v>
      </c>
      <c r="F1687">
        <f>E1687*'user input'!$C$21</f>
        <v>316.44995200038801</v>
      </c>
    </row>
    <row r="1688" spans="1:6" x14ac:dyDescent="0.2">
      <c r="A1688" s="1">
        <v>41864</v>
      </c>
      <c r="B1688">
        <v>226</v>
      </c>
      <c r="C1688">
        <f>'weather data'!E1688</f>
        <v>19.971111111111117</v>
      </c>
      <c r="D1688">
        <f>LAI!F1688</f>
        <v>2.8656179648924098</v>
      </c>
      <c r="E1688">
        <f>0.5*C1688*(1-EXP(-'user input'!$C$19*D1688))</f>
        <v>8.4351943693342761</v>
      </c>
      <c r="F1688">
        <f>E1688*'user input'!$C$21</f>
        <v>328.97258040403676</v>
      </c>
    </row>
    <row r="1689" spans="1:6" x14ac:dyDescent="0.2">
      <c r="A1689" s="1">
        <v>41865</v>
      </c>
      <c r="B1689">
        <v>227</v>
      </c>
      <c r="C1689">
        <f>'weather data'!E1689</f>
        <v>19.895555555555553</v>
      </c>
      <c r="D1689">
        <f>LAI!F1689</f>
        <v>2.8657206107070952</v>
      </c>
      <c r="E1689">
        <f>0.5*C1689*(1-EXP(-'user input'!$C$19*D1689))</f>
        <v>8.4033850288078842</v>
      </c>
      <c r="F1689">
        <f>E1689*'user input'!$C$21</f>
        <v>327.73201612350749</v>
      </c>
    </row>
    <row r="1690" spans="1:6" x14ac:dyDescent="0.2">
      <c r="A1690" s="1">
        <v>41866</v>
      </c>
      <c r="B1690">
        <v>228</v>
      </c>
      <c r="C1690">
        <f>'weather data'!E1690</f>
        <v>19.86</v>
      </c>
      <c r="D1690">
        <f>LAI!F1690</f>
        <v>2.8658018034727322</v>
      </c>
      <c r="E1690">
        <f>0.5*C1690*(1-EXP(-'user input'!$C$19*D1690))</f>
        <v>8.3884486094553701</v>
      </c>
      <c r="F1690">
        <f>E1690*'user input'!$C$21</f>
        <v>327.14949576875944</v>
      </c>
    </row>
    <row r="1691" spans="1:6" x14ac:dyDescent="0.2">
      <c r="A1691" s="1">
        <v>41867</v>
      </c>
      <c r="B1691">
        <v>229</v>
      </c>
      <c r="C1691">
        <f>'weather data'!E1691</f>
        <v>19.584444444444447</v>
      </c>
      <c r="D1691">
        <f>LAI!F1691</f>
        <v>2.8658748331397645</v>
      </c>
      <c r="E1691">
        <f>0.5*C1691*(1-EXP(-'user input'!$C$19*D1691))</f>
        <v>8.2721318656046954</v>
      </c>
      <c r="F1691">
        <f>E1691*'user input'!$C$21</f>
        <v>322.61314275858314</v>
      </c>
    </row>
    <row r="1692" spans="1:6" x14ac:dyDescent="0.2">
      <c r="A1692" s="1">
        <v>41868</v>
      </c>
      <c r="B1692">
        <v>230</v>
      </c>
      <c r="C1692">
        <f>'weather data'!E1692</f>
        <v>18.513333333333335</v>
      </c>
      <c r="D1692">
        <f>LAI!F1692</f>
        <v>2.8659718214980812</v>
      </c>
      <c r="E1692">
        <f>0.5*C1692*(1-EXP(-'user input'!$C$19*D1692))</f>
        <v>7.8198035752339488</v>
      </c>
      <c r="F1692">
        <f>E1692*'user input'!$C$21</f>
        <v>304.97233943412402</v>
      </c>
    </row>
    <row r="1693" spans="1:6" x14ac:dyDescent="0.2">
      <c r="A1693" s="1">
        <v>41869</v>
      </c>
      <c r="B1693">
        <v>231</v>
      </c>
      <c r="C1693">
        <f>'weather data'!E1693</f>
        <v>18.513333333333335</v>
      </c>
      <c r="D1693">
        <f>LAI!F1693</f>
        <v>2.8660479214413006</v>
      </c>
      <c r="E1693">
        <f>0.5*C1693*(1-EXP(-'user input'!$C$19*D1693))</f>
        <v>7.8198746478559187</v>
      </c>
      <c r="F1693">
        <f>E1693*'user input'!$C$21</f>
        <v>304.97511126638085</v>
      </c>
    </row>
    <row r="1694" spans="1:6" x14ac:dyDescent="0.2">
      <c r="A1694" s="1">
        <v>41870</v>
      </c>
      <c r="B1694">
        <v>232</v>
      </c>
      <c r="C1694">
        <f>'weather data'!E1694</f>
        <v>20.05777777777778</v>
      </c>
      <c r="D1694">
        <f>LAI!F1694</f>
        <v>2.866119301611429</v>
      </c>
      <c r="E1694">
        <f>0.5*C1694*(1-EXP(-'user input'!$C$19*D1694))</f>
        <v>8.4723070769188276</v>
      </c>
      <c r="F1694">
        <f>E1694*'user input'!$C$21</f>
        <v>330.41997599983426</v>
      </c>
    </row>
    <row r="1695" spans="1:6" x14ac:dyDescent="0.2">
      <c r="A1695" s="1">
        <v>41871</v>
      </c>
      <c r="B1695">
        <v>233</v>
      </c>
      <c r="C1695">
        <f>'weather data'!E1695</f>
        <v>18.846666666666664</v>
      </c>
      <c r="D1695">
        <f>LAI!F1695</f>
        <v>2.8661741218327328</v>
      </c>
      <c r="E1695">
        <f>0.5*C1695*(1-EXP(-'user input'!$C$19*D1695))</f>
        <v>7.9607917922996005</v>
      </c>
      <c r="F1695">
        <f>E1695*'user input'!$C$21</f>
        <v>310.47087989968441</v>
      </c>
    </row>
    <row r="1696" spans="1:6" x14ac:dyDescent="0.2">
      <c r="A1696" s="1">
        <v>41872</v>
      </c>
      <c r="B1696">
        <v>234</v>
      </c>
      <c r="C1696">
        <f>'weather data'!E1696</f>
        <v>16.657777777777788</v>
      </c>
      <c r="D1696">
        <f>LAI!F1696</f>
        <v>2.8662268803346032</v>
      </c>
      <c r="E1696">
        <f>0.5*C1696*(1-EXP(-'user input'!$C$19*D1696))</f>
        <v>7.0362541245521948</v>
      </c>
      <c r="F1696">
        <f>E1696*'user input'!$C$21</f>
        <v>274.4139108575356</v>
      </c>
    </row>
    <row r="1697" spans="1:6" x14ac:dyDescent="0.2">
      <c r="A1697" s="1">
        <v>41873</v>
      </c>
      <c r="B1697">
        <v>235</v>
      </c>
      <c r="C1697">
        <f>'weather data'!E1697</f>
        <v>17.182222222222222</v>
      </c>
      <c r="D1697">
        <f>LAI!F1697</f>
        <v>2.8662727504851322</v>
      </c>
      <c r="E1697">
        <f>0.5*C1697*(1-EXP(-'user input'!$C$19*D1697))</f>
        <v>7.2578194881429647</v>
      </c>
      <c r="F1697">
        <f>E1697*'user input'!$C$21</f>
        <v>283.0549600375756</v>
      </c>
    </row>
    <row r="1698" spans="1:6" x14ac:dyDescent="0.2">
      <c r="A1698" s="1">
        <v>41874</v>
      </c>
      <c r="B1698">
        <v>236</v>
      </c>
      <c r="C1698">
        <f>'weather data'!E1698</f>
        <v>17.515555555555554</v>
      </c>
      <c r="D1698">
        <f>LAI!F1698</f>
        <v>2.8663183740004272</v>
      </c>
      <c r="E1698">
        <f>0.5*C1698*(1-EXP(-'user input'!$C$19*D1698))</f>
        <v>7.3986607408751857</v>
      </c>
      <c r="F1698">
        <f>E1698*'user input'!$C$21</f>
        <v>288.54776889413222</v>
      </c>
    </row>
    <row r="1699" spans="1:6" x14ac:dyDescent="0.2">
      <c r="A1699" s="1">
        <v>41875</v>
      </c>
      <c r="B1699">
        <v>237</v>
      </c>
      <c r="C1699">
        <f>'weather data'!E1699</f>
        <v>17.753333333333327</v>
      </c>
      <c r="D1699">
        <f>LAI!F1699</f>
        <v>2.7986111111111205</v>
      </c>
      <c r="E1699">
        <f>0.5*C1699*(1-EXP(-'user input'!$C$19*D1699))</f>
        <v>7.4371190790828399</v>
      </c>
      <c r="F1699">
        <f>E1699*'user input'!$C$21</f>
        <v>290.04764408423074</v>
      </c>
    </row>
    <row r="1700" spans="1:6" x14ac:dyDescent="0.2">
      <c r="A1700" s="1">
        <v>41876</v>
      </c>
      <c r="B1700">
        <v>238</v>
      </c>
      <c r="C1700">
        <f>'weather data'!E1700</f>
        <v>17.366666666666664</v>
      </c>
      <c r="D1700">
        <f>LAI!F1700</f>
        <v>2.3958333333333419</v>
      </c>
      <c r="E1700">
        <f>0.5*C1700*(1-EXP(-'user input'!$C$19*D1700))</f>
        <v>6.853703237742633</v>
      </c>
      <c r="F1700">
        <f>E1700*'user input'!$C$21</f>
        <v>267.29442627196266</v>
      </c>
    </row>
    <row r="1701" spans="1:6" x14ac:dyDescent="0.2">
      <c r="A1701" s="1">
        <v>41877</v>
      </c>
      <c r="B1701">
        <v>239</v>
      </c>
      <c r="C1701">
        <f>'weather data'!E1701</f>
        <v>17.388888888888886</v>
      </c>
      <c r="D1701">
        <f>LAI!F1701</f>
        <v>2.0625000000000129</v>
      </c>
      <c r="E1701">
        <f>0.5*C1701*(1-EXP(-'user input'!$C$19*D1701))</f>
        <v>6.4192642580346337</v>
      </c>
      <c r="F1701">
        <f>E1701*'user input'!$C$21</f>
        <v>250.35130606335071</v>
      </c>
    </row>
    <row r="1702" spans="1:6" x14ac:dyDescent="0.2">
      <c r="A1702" s="1">
        <v>41878</v>
      </c>
      <c r="B1702">
        <v>240</v>
      </c>
      <c r="C1702">
        <f>'weather data'!E1702</f>
        <v>18.282222222222217</v>
      </c>
      <c r="D1702">
        <f>LAI!F1702</f>
        <v>1.8055555555555673</v>
      </c>
      <c r="E1702">
        <f>0.5*C1702*(1-EXP(-'user input'!$C$19*D1702))</f>
        <v>6.3142390185971085</v>
      </c>
      <c r="F1702">
        <f>E1702*'user input'!$C$21</f>
        <v>246.25532172528722</v>
      </c>
    </row>
    <row r="1703" spans="1:6" x14ac:dyDescent="0.2">
      <c r="A1703" s="1">
        <v>41879</v>
      </c>
      <c r="B1703">
        <v>241</v>
      </c>
      <c r="C1703">
        <f>'weather data'!E1703</f>
        <v>19.166666666666675</v>
      </c>
      <c r="D1703">
        <f>LAI!F1703</f>
        <v>1.5972222222222348</v>
      </c>
      <c r="E1703">
        <f>0.5*C1703*(1-EXP(-'user input'!$C$19*D1703))</f>
        <v>6.1899378618087173</v>
      </c>
      <c r="F1703">
        <f>E1703*'user input'!$C$21</f>
        <v>241.40757661053996</v>
      </c>
    </row>
    <row r="1704" spans="1:6" x14ac:dyDescent="0.2">
      <c r="A1704" s="1">
        <v>41880</v>
      </c>
      <c r="B1704">
        <v>242</v>
      </c>
      <c r="C1704">
        <f>'weather data'!E1704</f>
        <v>17.893333333333331</v>
      </c>
      <c r="D1704">
        <f>LAI!F1704</f>
        <v>1.3819444444444589</v>
      </c>
      <c r="E1704">
        <f>0.5*C1704*(1-EXP(-'user input'!$C$19*D1704))</f>
        <v>5.3029029536435006</v>
      </c>
      <c r="F1704">
        <f>E1704*'user input'!$C$21</f>
        <v>206.81321519209652</v>
      </c>
    </row>
    <row r="1705" spans="1:6" x14ac:dyDescent="0.2">
      <c r="A1705" s="1">
        <v>41881</v>
      </c>
      <c r="B1705">
        <v>243</v>
      </c>
      <c r="C1705">
        <f>'weather data'!E1705</f>
        <v>18.108888888888892</v>
      </c>
      <c r="D1705">
        <f>LAI!F1705</f>
        <v>1.0208333333333499</v>
      </c>
      <c r="E1705">
        <f>0.5*C1705*(1-EXP(-'user input'!$C$19*D1705))</f>
        <v>4.3911877322196009</v>
      </c>
      <c r="F1705">
        <f>E1705*'user input'!$C$21</f>
        <v>171.25632155656444</v>
      </c>
    </row>
    <row r="1706" spans="1:6" x14ac:dyDescent="0.2">
      <c r="A1706" s="1">
        <v>41882</v>
      </c>
      <c r="B1706">
        <v>244</v>
      </c>
      <c r="C1706">
        <f>'weather data'!E1706</f>
        <v>18.124444444444446</v>
      </c>
      <c r="D1706">
        <f>LAI!F1706</f>
        <v>0.73611111111112426</v>
      </c>
      <c r="E1706">
        <f>0.5*C1706*(1-EXP(-'user input'!$C$19*D1706))</f>
        <v>3.4460959763564243</v>
      </c>
      <c r="F1706">
        <f>E1706*'user input'!$C$21</f>
        <v>134.39774307790054</v>
      </c>
    </row>
    <row r="1707" spans="1:6" x14ac:dyDescent="0.2">
      <c r="A1707" s="1">
        <v>41883</v>
      </c>
      <c r="B1707">
        <v>245</v>
      </c>
      <c r="C1707">
        <f>'weather data'!E1707</f>
        <v>17.782222222222217</v>
      </c>
      <c r="D1707">
        <f>LAI!F1707</f>
        <v>0.40972222222223531</v>
      </c>
      <c r="E1707">
        <f>0.5*C1707*(1-EXP(-'user input'!$C$19*D1707))</f>
        <v>2.0787921736526225</v>
      </c>
      <c r="F1707">
        <f>E1707*'user input'!$C$21</f>
        <v>81.072894772452273</v>
      </c>
    </row>
    <row r="1708" spans="1:6" x14ac:dyDescent="0.2">
      <c r="A1708" s="1">
        <v>41884</v>
      </c>
      <c r="B1708">
        <v>246</v>
      </c>
      <c r="C1708">
        <f>'weather data'!E1708</f>
        <v>18.233333333333341</v>
      </c>
      <c r="D1708">
        <f>LAI!F1708</f>
        <v>0.15972222222223281</v>
      </c>
      <c r="E1708">
        <f>0.5*C1708*(1-EXP(-'user input'!$C$19*D1708))</f>
        <v>0.89901242932485737</v>
      </c>
      <c r="F1708">
        <f>E1708*'user input'!$C$21</f>
        <v>35.061484743669439</v>
      </c>
    </row>
    <row r="1709" spans="1:6" x14ac:dyDescent="0.2">
      <c r="A1709" s="1">
        <v>41885</v>
      </c>
      <c r="B1709">
        <v>247</v>
      </c>
      <c r="C1709">
        <f>'weather data'!E1709</f>
        <v>17.279999999999994</v>
      </c>
      <c r="D1709">
        <f>LAI!F1709</f>
        <v>0</v>
      </c>
      <c r="E1709">
        <f>0.5*C1709*(1-EXP(-'user input'!$C$19*D1709))</f>
        <v>0</v>
      </c>
      <c r="F1709">
        <f>E1709*'user input'!$C$21</f>
        <v>0</v>
      </c>
    </row>
    <row r="1710" spans="1:6" x14ac:dyDescent="0.2">
      <c r="A1710" s="1">
        <v>41886</v>
      </c>
      <c r="B1710">
        <v>248</v>
      </c>
      <c r="C1710">
        <f>'weather data'!E1710</f>
        <v>17.504444444444449</v>
      </c>
      <c r="D1710">
        <f>LAI!F1710</f>
        <v>0</v>
      </c>
      <c r="E1710">
        <f>0.5*C1710*(1-EXP(-'user input'!$C$19*D1710))</f>
        <v>0</v>
      </c>
      <c r="F1710">
        <f>E1710*'user input'!$C$21</f>
        <v>0</v>
      </c>
    </row>
    <row r="1711" spans="1:6" x14ac:dyDescent="0.2">
      <c r="A1711" s="1">
        <v>41887</v>
      </c>
      <c r="B1711">
        <v>249</v>
      </c>
      <c r="C1711">
        <f>'weather data'!E1711</f>
        <v>17.331111111111102</v>
      </c>
      <c r="D1711">
        <f>LAI!F1711</f>
        <v>0</v>
      </c>
      <c r="E1711">
        <f>0.5*C1711*(1-EXP(-'user input'!$C$19*D1711))</f>
        <v>0</v>
      </c>
      <c r="F1711">
        <f>E1711*'user input'!$C$21</f>
        <v>0</v>
      </c>
    </row>
    <row r="1712" spans="1:6" x14ac:dyDescent="0.2">
      <c r="A1712" s="1">
        <v>41888</v>
      </c>
      <c r="B1712">
        <v>250</v>
      </c>
      <c r="C1712">
        <f>'weather data'!E1712</f>
        <v>16.582222222222228</v>
      </c>
      <c r="D1712">
        <f>LAI!F1712</f>
        <v>0</v>
      </c>
      <c r="E1712">
        <f>0.5*C1712*(1-EXP(-'user input'!$C$19*D1712))</f>
        <v>0</v>
      </c>
      <c r="F1712">
        <f>E1712*'user input'!$C$21</f>
        <v>0</v>
      </c>
    </row>
    <row r="1713" spans="1:6" x14ac:dyDescent="0.2">
      <c r="A1713" s="1">
        <v>41889</v>
      </c>
      <c r="B1713">
        <v>251</v>
      </c>
      <c r="C1713">
        <f>'weather data'!E1713</f>
        <v>15.802222222222218</v>
      </c>
      <c r="D1713">
        <f>LAI!F1713</f>
        <v>0</v>
      </c>
      <c r="E1713">
        <f>0.5*C1713*(1-EXP(-'user input'!$C$19*D1713))</f>
        <v>0</v>
      </c>
      <c r="F1713">
        <f>E1713*'user input'!$C$21</f>
        <v>0</v>
      </c>
    </row>
    <row r="1714" spans="1:6" x14ac:dyDescent="0.2">
      <c r="A1714" s="1">
        <v>41890</v>
      </c>
      <c r="B1714">
        <v>252</v>
      </c>
      <c r="C1714">
        <f>'weather data'!E1714</f>
        <v>16.022222222222219</v>
      </c>
      <c r="D1714">
        <f>LAI!F1714</f>
        <v>0</v>
      </c>
      <c r="E1714">
        <f>0.5*C1714*(1-EXP(-'user input'!$C$19*D1714))</f>
        <v>0</v>
      </c>
      <c r="F1714">
        <f>E1714*'user input'!$C$21</f>
        <v>0</v>
      </c>
    </row>
    <row r="1715" spans="1:6" x14ac:dyDescent="0.2">
      <c r="A1715" s="1">
        <v>41891</v>
      </c>
      <c r="B1715">
        <v>253</v>
      </c>
      <c r="C1715">
        <f>'weather data'!E1715</f>
        <v>15.893333333333333</v>
      </c>
      <c r="D1715">
        <f>LAI!F1715</f>
        <v>0</v>
      </c>
      <c r="E1715">
        <f>0.5*C1715*(1-EXP(-'user input'!$C$19*D1715))</f>
        <v>0</v>
      </c>
      <c r="F1715">
        <f>E1715*'user input'!$C$21</f>
        <v>0</v>
      </c>
    </row>
    <row r="1716" spans="1:6" x14ac:dyDescent="0.2">
      <c r="A1716" s="1">
        <v>41892</v>
      </c>
      <c r="B1716">
        <v>254</v>
      </c>
      <c r="C1716">
        <f>'weather data'!E1716</f>
        <v>17.87555555555555</v>
      </c>
      <c r="D1716">
        <f>LAI!F1716</f>
        <v>0</v>
      </c>
      <c r="E1716">
        <f>0.5*C1716*(1-EXP(-'user input'!$C$19*D1716))</f>
        <v>0</v>
      </c>
      <c r="F1716">
        <f>E1716*'user input'!$C$21</f>
        <v>0</v>
      </c>
    </row>
    <row r="1717" spans="1:6" x14ac:dyDescent="0.2">
      <c r="A1717" s="1">
        <v>41893</v>
      </c>
      <c r="B1717">
        <v>255</v>
      </c>
      <c r="C1717">
        <f>'weather data'!E1717</f>
        <v>15.27777777777778</v>
      </c>
      <c r="D1717">
        <f>LAI!F1717</f>
        <v>0</v>
      </c>
      <c r="E1717">
        <f>0.5*C1717*(1-EXP(-'user input'!$C$19*D1717))</f>
        <v>0</v>
      </c>
      <c r="F1717">
        <f>E1717*'user input'!$C$21</f>
        <v>0</v>
      </c>
    </row>
    <row r="1718" spans="1:6" x14ac:dyDescent="0.2">
      <c r="A1718" s="1">
        <v>41894</v>
      </c>
      <c r="B1718">
        <v>256</v>
      </c>
      <c r="C1718">
        <f>'weather data'!E1718</f>
        <v>14.684444444444448</v>
      </c>
      <c r="D1718">
        <f>LAI!F1718</f>
        <v>0</v>
      </c>
      <c r="E1718">
        <f>0.5*C1718*(1-EXP(-'user input'!$C$19*D1718))</f>
        <v>0</v>
      </c>
      <c r="F1718">
        <f>E1718*'user input'!$C$21</f>
        <v>0</v>
      </c>
    </row>
    <row r="1719" spans="1:6" x14ac:dyDescent="0.2">
      <c r="A1719" s="1">
        <v>41895</v>
      </c>
      <c r="B1719">
        <v>257</v>
      </c>
      <c r="C1719">
        <f>'weather data'!E1719</f>
        <v>14.008888888888889</v>
      </c>
      <c r="D1719">
        <f>LAI!F1719</f>
        <v>0</v>
      </c>
      <c r="E1719">
        <f>0.5*C1719*(1-EXP(-'user input'!$C$19*D1719))</f>
        <v>0</v>
      </c>
      <c r="F1719">
        <f>E1719*'user input'!$C$21</f>
        <v>0</v>
      </c>
    </row>
    <row r="1720" spans="1:6" x14ac:dyDescent="0.2">
      <c r="A1720" s="1">
        <v>41896</v>
      </c>
      <c r="B1720">
        <v>258</v>
      </c>
      <c r="C1720">
        <f>'weather data'!E1720</f>
        <v>14.540000000000001</v>
      </c>
      <c r="D1720">
        <f>LAI!F1720</f>
        <v>0</v>
      </c>
      <c r="E1720">
        <f>0.5*C1720*(1-EXP(-'user input'!$C$19*D1720))</f>
        <v>0</v>
      </c>
      <c r="F1720">
        <f>E1720*'user input'!$C$21</f>
        <v>0</v>
      </c>
    </row>
    <row r="1721" spans="1:6" x14ac:dyDescent="0.2">
      <c r="A1721" s="1">
        <v>41897</v>
      </c>
      <c r="B1721">
        <v>259</v>
      </c>
      <c r="C1721">
        <f>'weather data'!E1721</f>
        <v>14.833333333333339</v>
      </c>
      <c r="D1721">
        <f>LAI!F1721</f>
        <v>0</v>
      </c>
      <c r="E1721">
        <f>0.5*C1721*(1-EXP(-'user input'!$C$19*D1721))</f>
        <v>0</v>
      </c>
      <c r="F1721">
        <f>E1721*'user input'!$C$21</f>
        <v>0</v>
      </c>
    </row>
    <row r="1722" spans="1:6" x14ac:dyDescent="0.2">
      <c r="A1722" s="1">
        <v>41898</v>
      </c>
      <c r="B1722">
        <v>260</v>
      </c>
      <c r="C1722">
        <f>'weather data'!E1722</f>
        <v>14.604444444444445</v>
      </c>
      <c r="D1722">
        <f>LAI!F1722</f>
        <v>0</v>
      </c>
      <c r="E1722">
        <f>0.5*C1722*(1-EXP(-'user input'!$C$19*D1722))</f>
        <v>0</v>
      </c>
      <c r="F1722">
        <f>E1722*'user input'!$C$21</f>
        <v>0</v>
      </c>
    </row>
    <row r="1723" spans="1:6" x14ac:dyDescent="0.2">
      <c r="A1723" s="1">
        <v>41899</v>
      </c>
      <c r="B1723">
        <v>261</v>
      </c>
      <c r="C1723">
        <f>'weather data'!E1723</f>
        <v>14.57555555555556</v>
      </c>
      <c r="D1723">
        <f>LAI!F1723</f>
        <v>0</v>
      </c>
      <c r="E1723">
        <f>0.5*C1723*(1-EXP(-'user input'!$C$19*D1723))</f>
        <v>0</v>
      </c>
      <c r="F1723">
        <f>E1723*'user input'!$C$21</f>
        <v>0</v>
      </c>
    </row>
    <row r="1724" spans="1:6" x14ac:dyDescent="0.2">
      <c r="A1724" s="1">
        <v>41900</v>
      </c>
      <c r="B1724">
        <v>262</v>
      </c>
      <c r="C1724">
        <f>'weather data'!E1724</f>
        <v>13.008888888888889</v>
      </c>
      <c r="D1724">
        <f>LAI!F1724</f>
        <v>0</v>
      </c>
      <c r="E1724">
        <f>0.5*C1724*(1-EXP(-'user input'!$C$19*D1724))</f>
        <v>0</v>
      </c>
      <c r="F1724">
        <f>E1724*'user input'!$C$21</f>
        <v>0</v>
      </c>
    </row>
    <row r="1725" spans="1:6" x14ac:dyDescent="0.2">
      <c r="A1725" s="1">
        <v>41901</v>
      </c>
      <c r="B1725">
        <v>263</v>
      </c>
      <c r="C1725">
        <f>'weather data'!E1725</f>
        <v>13.331111111111113</v>
      </c>
      <c r="D1725">
        <f>LAI!F1725</f>
        <v>0</v>
      </c>
      <c r="E1725">
        <f>0.5*C1725*(1-EXP(-'user input'!$C$19*D1725))</f>
        <v>0</v>
      </c>
      <c r="F1725">
        <f>E1725*'user input'!$C$21</f>
        <v>0</v>
      </c>
    </row>
    <row r="1726" spans="1:6" x14ac:dyDescent="0.2">
      <c r="A1726" s="1">
        <v>41902</v>
      </c>
      <c r="B1726">
        <v>264</v>
      </c>
      <c r="C1726">
        <f>'weather data'!E1726</f>
        <v>13.533333333333333</v>
      </c>
      <c r="D1726">
        <f>LAI!F1726</f>
        <v>0</v>
      </c>
      <c r="E1726">
        <f>0.5*C1726*(1-EXP(-'user input'!$C$19*D1726))</f>
        <v>0</v>
      </c>
      <c r="F1726">
        <f>E1726*'user input'!$C$21</f>
        <v>0</v>
      </c>
    </row>
    <row r="1727" spans="1:6" x14ac:dyDescent="0.2">
      <c r="A1727" s="1">
        <v>41903</v>
      </c>
      <c r="B1727">
        <v>265</v>
      </c>
      <c r="C1727">
        <f>'weather data'!E1727</f>
        <v>13.317777777777776</v>
      </c>
      <c r="D1727">
        <f>LAI!F1727</f>
        <v>0</v>
      </c>
      <c r="E1727">
        <f>0.5*C1727*(1-EXP(-'user input'!$C$19*D1727))</f>
        <v>0</v>
      </c>
      <c r="F1727">
        <f>E1727*'user input'!$C$21</f>
        <v>0</v>
      </c>
    </row>
    <row r="1728" spans="1:6" x14ac:dyDescent="0.2">
      <c r="A1728" s="1">
        <v>41904</v>
      </c>
      <c r="B1728">
        <v>266</v>
      </c>
      <c r="C1728">
        <f>'weather data'!E1728</f>
        <v>13.562222222222227</v>
      </c>
      <c r="D1728">
        <f>LAI!F1728</f>
        <v>0</v>
      </c>
      <c r="E1728">
        <f>0.5*C1728*(1-EXP(-'user input'!$C$19*D1728))</f>
        <v>0</v>
      </c>
      <c r="F1728">
        <f>E1728*'user input'!$C$21</f>
        <v>0</v>
      </c>
    </row>
    <row r="1729" spans="1:6" x14ac:dyDescent="0.2">
      <c r="A1729" s="1">
        <v>41905</v>
      </c>
      <c r="B1729">
        <v>267</v>
      </c>
      <c r="C1729">
        <f>'weather data'!E1729</f>
        <v>13.764444444444443</v>
      </c>
      <c r="D1729">
        <f>LAI!F1729</f>
        <v>0</v>
      </c>
      <c r="E1729">
        <f>0.5*C1729*(1-EXP(-'user input'!$C$19*D1729))</f>
        <v>0</v>
      </c>
      <c r="F1729">
        <f>E1729*'user input'!$C$21</f>
        <v>0</v>
      </c>
    </row>
    <row r="1730" spans="1:6" x14ac:dyDescent="0.2">
      <c r="A1730" s="1">
        <v>41906</v>
      </c>
      <c r="B1730">
        <v>268</v>
      </c>
      <c r="C1730">
        <f>'weather data'!E1730</f>
        <v>13.388888888888891</v>
      </c>
      <c r="D1730">
        <f>LAI!F1730</f>
        <v>0</v>
      </c>
      <c r="E1730">
        <f>0.5*C1730*(1-EXP(-'user input'!$C$19*D1730))</f>
        <v>0</v>
      </c>
      <c r="F1730">
        <f>E1730*'user input'!$C$21</f>
        <v>0</v>
      </c>
    </row>
    <row r="1731" spans="1:6" x14ac:dyDescent="0.2">
      <c r="A1731" s="1">
        <v>41907</v>
      </c>
      <c r="B1731">
        <v>269</v>
      </c>
      <c r="C1731">
        <f>'weather data'!E1731</f>
        <v>13.502222222222223</v>
      </c>
      <c r="D1731">
        <f>LAI!F1731</f>
        <v>0</v>
      </c>
      <c r="E1731">
        <f>0.5*C1731*(1-EXP(-'user input'!$C$19*D1731))</f>
        <v>0</v>
      </c>
      <c r="F1731">
        <f>E1731*'user input'!$C$21</f>
        <v>0</v>
      </c>
    </row>
    <row r="1732" spans="1:6" x14ac:dyDescent="0.2">
      <c r="A1732" s="1">
        <v>41908</v>
      </c>
      <c r="B1732">
        <v>270</v>
      </c>
      <c r="C1732">
        <f>'weather data'!E1732</f>
        <v>14.011111111111109</v>
      </c>
      <c r="D1732">
        <f>LAI!F1732</f>
        <v>0</v>
      </c>
      <c r="E1732">
        <f>0.5*C1732*(1-EXP(-'user input'!$C$19*D1732))</f>
        <v>0</v>
      </c>
      <c r="F1732">
        <f>E1732*'user input'!$C$21</f>
        <v>0</v>
      </c>
    </row>
    <row r="1733" spans="1:6" x14ac:dyDescent="0.2">
      <c r="A1733" s="1">
        <v>41909</v>
      </c>
      <c r="B1733">
        <v>271</v>
      </c>
      <c r="C1733">
        <f>'weather data'!E1733</f>
        <v>12.597777777777782</v>
      </c>
      <c r="D1733">
        <f>LAI!F1733</f>
        <v>0</v>
      </c>
      <c r="E1733">
        <f>0.5*C1733*(1-EXP(-'user input'!$C$19*D1733))</f>
        <v>0</v>
      </c>
      <c r="F1733">
        <f>E1733*'user input'!$C$21</f>
        <v>0</v>
      </c>
    </row>
    <row r="1734" spans="1:6" x14ac:dyDescent="0.2">
      <c r="A1734" s="1">
        <v>41910</v>
      </c>
      <c r="B1734">
        <v>272</v>
      </c>
      <c r="C1734">
        <f>'weather data'!E1734</f>
        <v>13.12666666666667</v>
      </c>
      <c r="D1734">
        <f>LAI!F1734</f>
        <v>0</v>
      </c>
      <c r="E1734">
        <f>0.5*C1734*(1-EXP(-'user input'!$C$19*D1734))</f>
        <v>0</v>
      </c>
      <c r="F1734">
        <f>E1734*'user input'!$C$21</f>
        <v>0</v>
      </c>
    </row>
    <row r="1735" spans="1:6" x14ac:dyDescent="0.2">
      <c r="A1735" s="1">
        <v>41911</v>
      </c>
      <c r="B1735">
        <v>273</v>
      </c>
      <c r="C1735">
        <f>'weather data'!E1735</f>
        <v>13.026666666666667</v>
      </c>
      <c r="D1735">
        <f>LAI!F1735</f>
        <v>0</v>
      </c>
      <c r="E1735">
        <f>0.5*C1735*(1-EXP(-'user input'!$C$19*D1735))</f>
        <v>0</v>
      </c>
      <c r="F1735">
        <f>E1735*'user input'!$C$21</f>
        <v>0</v>
      </c>
    </row>
    <row r="1736" spans="1:6" x14ac:dyDescent="0.2">
      <c r="A1736" s="1">
        <v>41912</v>
      </c>
      <c r="B1736">
        <v>274</v>
      </c>
      <c r="C1736">
        <f>'weather data'!E1736</f>
        <v>13.155555555555559</v>
      </c>
      <c r="D1736">
        <f>LAI!F1736</f>
        <v>0</v>
      </c>
      <c r="E1736">
        <f>0.5*C1736*(1-EXP(-'user input'!$C$19*D1736))</f>
        <v>0</v>
      </c>
      <c r="F1736">
        <f>E1736*'user input'!$C$21</f>
        <v>0</v>
      </c>
    </row>
    <row r="1737" spans="1:6" x14ac:dyDescent="0.2">
      <c r="A1737" s="1">
        <v>41913</v>
      </c>
      <c r="B1737">
        <v>275</v>
      </c>
      <c r="C1737">
        <f>'weather data'!E1737</f>
        <v>13.037777777777777</v>
      </c>
      <c r="D1737">
        <f>LAI!F1737</f>
        <v>0</v>
      </c>
      <c r="E1737">
        <f>0.5*C1737*(1-EXP(-'user input'!$C$19*D1737))</f>
        <v>0</v>
      </c>
      <c r="F1737">
        <f>E1737*'user input'!$C$21</f>
        <v>0</v>
      </c>
    </row>
    <row r="1738" spans="1:6" x14ac:dyDescent="0.2">
      <c r="A1738" s="1">
        <v>41914</v>
      </c>
      <c r="B1738">
        <v>276</v>
      </c>
      <c r="C1738">
        <f>'weather data'!E1738</f>
        <v>12.082222222222223</v>
      </c>
      <c r="D1738">
        <f>LAI!F1738</f>
        <v>0</v>
      </c>
      <c r="E1738">
        <f>0.5*C1738*(1-EXP(-'user input'!$C$19*D1738))</f>
        <v>0</v>
      </c>
      <c r="F1738">
        <f>E1738*'user input'!$C$21</f>
        <v>0</v>
      </c>
    </row>
    <row r="1739" spans="1:6" x14ac:dyDescent="0.2">
      <c r="A1739" s="1">
        <v>41915</v>
      </c>
      <c r="B1739">
        <v>277</v>
      </c>
      <c r="C1739">
        <f>'weather data'!E1739</f>
        <v>12.068888888888893</v>
      </c>
      <c r="D1739">
        <f>LAI!F1739</f>
        <v>0</v>
      </c>
      <c r="E1739">
        <f>0.5*C1739*(1-EXP(-'user input'!$C$19*D1739))</f>
        <v>0</v>
      </c>
      <c r="F1739">
        <f>E1739*'user input'!$C$21</f>
        <v>0</v>
      </c>
    </row>
    <row r="1740" spans="1:6" x14ac:dyDescent="0.2">
      <c r="A1740" s="1">
        <v>41916</v>
      </c>
      <c r="B1740">
        <v>278</v>
      </c>
      <c r="C1740">
        <f>'weather data'!E1740</f>
        <v>12.471111111111115</v>
      </c>
      <c r="D1740">
        <f>LAI!F1740</f>
        <v>0</v>
      </c>
      <c r="E1740">
        <f>0.5*C1740*(1-EXP(-'user input'!$C$19*D1740))</f>
        <v>0</v>
      </c>
      <c r="F1740">
        <f>E1740*'user input'!$C$21</f>
        <v>0</v>
      </c>
    </row>
    <row r="1741" spans="1:6" x14ac:dyDescent="0.2">
      <c r="A1741" s="1">
        <v>41917</v>
      </c>
      <c r="B1741">
        <v>279</v>
      </c>
      <c r="C1741">
        <f>'weather data'!E1741</f>
        <v>11.631111111111114</v>
      </c>
      <c r="D1741">
        <f>LAI!F1741</f>
        <v>0</v>
      </c>
      <c r="E1741">
        <f>0.5*C1741*(1-EXP(-'user input'!$C$19*D1741))</f>
        <v>0</v>
      </c>
      <c r="F1741">
        <f>E1741*'user input'!$C$21</f>
        <v>0</v>
      </c>
    </row>
    <row r="1742" spans="1:6" x14ac:dyDescent="0.2">
      <c r="A1742" s="1">
        <v>41918</v>
      </c>
      <c r="B1742">
        <v>280</v>
      </c>
      <c r="C1742">
        <f>'weather data'!E1742</f>
        <v>11.757777777777779</v>
      </c>
      <c r="D1742">
        <f>LAI!F1742</f>
        <v>0</v>
      </c>
      <c r="E1742">
        <f>0.5*C1742*(1-EXP(-'user input'!$C$19*D1742))</f>
        <v>0</v>
      </c>
      <c r="F1742">
        <f>E1742*'user input'!$C$21</f>
        <v>0</v>
      </c>
    </row>
    <row r="1743" spans="1:6" x14ac:dyDescent="0.2">
      <c r="A1743" s="1">
        <v>41919</v>
      </c>
      <c r="B1743">
        <v>281</v>
      </c>
      <c r="C1743">
        <f>'weather data'!E1743</f>
        <v>10.711111111111109</v>
      </c>
      <c r="D1743">
        <f>LAI!F1743</f>
        <v>0</v>
      </c>
      <c r="E1743">
        <f>0.5*C1743*(1-EXP(-'user input'!$C$19*D1743))</f>
        <v>0</v>
      </c>
      <c r="F1743">
        <f>E1743*'user input'!$C$21</f>
        <v>0</v>
      </c>
    </row>
    <row r="1744" spans="1:6" x14ac:dyDescent="0.2">
      <c r="A1744" s="1">
        <v>41920</v>
      </c>
      <c r="B1744">
        <v>282</v>
      </c>
      <c r="C1744">
        <f>'weather data'!E1744</f>
        <v>11.008888888888887</v>
      </c>
      <c r="D1744">
        <f>LAI!F1744</f>
        <v>0</v>
      </c>
      <c r="E1744">
        <f>0.5*C1744*(1-EXP(-'user input'!$C$19*D1744))</f>
        <v>0</v>
      </c>
      <c r="F1744">
        <f>E1744*'user input'!$C$21</f>
        <v>0</v>
      </c>
    </row>
    <row r="1745" spans="1:6" x14ac:dyDescent="0.2">
      <c r="A1745" s="1">
        <v>41921</v>
      </c>
      <c r="B1745">
        <v>283</v>
      </c>
      <c r="C1745">
        <f>'weather data'!E1745</f>
        <v>11.120000000000003</v>
      </c>
      <c r="D1745">
        <f>LAI!F1745</f>
        <v>0</v>
      </c>
      <c r="E1745">
        <f>0.5*C1745*(1-EXP(-'user input'!$C$19*D1745))</f>
        <v>0</v>
      </c>
      <c r="F1745">
        <f>E1745*'user input'!$C$21</f>
        <v>0</v>
      </c>
    </row>
    <row r="1746" spans="1:6" x14ac:dyDescent="0.2">
      <c r="A1746" s="1">
        <v>41922</v>
      </c>
      <c r="B1746">
        <v>284</v>
      </c>
      <c r="C1746">
        <f>'weather data'!E1746</f>
        <v>11.48</v>
      </c>
      <c r="D1746">
        <f>LAI!F1746</f>
        <v>0</v>
      </c>
      <c r="E1746">
        <f>0.5*C1746*(1-EXP(-'user input'!$C$19*D1746))</f>
        <v>0</v>
      </c>
      <c r="F1746">
        <f>E1746*'user input'!$C$21</f>
        <v>0</v>
      </c>
    </row>
    <row r="1747" spans="1:6" x14ac:dyDescent="0.2">
      <c r="A1747" s="1">
        <v>41923</v>
      </c>
      <c r="B1747">
        <v>285</v>
      </c>
      <c r="C1747">
        <f>'weather data'!E1747</f>
        <v>10.637777777777782</v>
      </c>
      <c r="D1747">
        <f>LAI!F1747</f>
        <v>0</v>
      </c>
      <c r="E1747">
        <f>0.5*C1747*(1-EXP(-'user input'!$C$19*D1747))</f>
        <v>0</v>
      </c>
      <c r="F1747">
        <f>E1747*'user input'!$C$21</f>
        <v>0</v>
      </c>
    </row>
    <row r="1748" spans="1:6" x14ac:dyDescent="0.2">
      <c r="A1748" s="1">
        <v>41924</v>
      </c>
      <c r="B1748">
        <v>286</v>
      </c>
      <c r="C1748">
        <f>'weather data'!E1748</f>
        <v>10.895555555555555</v>
      </c>
      <c r="D1748">
        <f>LAI!F1748</f>
        <v>0</v>
      </c>
      <c r="E1748">
        <f>0.5*C1748*(1-EXP(-'user input'!$C$19*D1748))</f>
        <v>0</v>
      </c>
      <c r="F1748">
        <f>E1748*'user input'!$C$21</f>
        <v>0</v>
      </c>
    </row>
    <row r="1749" spans="1:6" x14ac:dyDescent="0.2">
      <c r="A1749" s="1">
        <v>41925</v>
      </c>
      <c r="B1749">
        <v>287</v>
      </c>
      <c r="C1749">
        <f>'weather data'!E1749</f>
        <v>10.784444444444448</v>
      </c>
      <c r="D1749">
        <f>LAI!F1749</f>
        <v>0</v>
      </c>
      <c r="E1749">
        <f>0.5*C1749*(1-EXP(-'user input'!$C$19*D1749))</f>
        <v>0</v>
      </c>
      <c r="F1749">
        <f>E1749*'user input'!$C$21</f>
        <v>0</v>
      </c>
    </row>
    <row r="1750" spans="1:6" x14ac:dyDescent="0.2">
      <c r="A1750" s="1">
        <v>41926</v>
      </c>
      <c r="B1750">
        <v>288</v>
      </c>
      <c r="C1750">
        <f>'weather data'!E1750</f>
        <v>10.637777777777782</v>
      </c>
      <c r="D1750">
        <f>LAI!F1750</f>
        <v>0</v>
      </c>
      <c r="E1750">
        <f>0.5*C1750*(1-EXP(-'user input'!$C$19*D1750))</f>
        <v>0</v>
      </c>
      <c r="F1750">
        <f>E1750*'user input'!$C$21</f>
        <v>0</v>
      </c>
    </row>
    <row r="1751" spans="1:6" x14ac:dyDescent="0.2">
      <c r="A1751" s="1">
        <v>41927</v>
      </c>
      <c r="B1751">
        <v>289</v>
      </c>
      <c r="C1751">
        <f>'weather data'!E1751</f>
        <v>10.64666666666667</v>
      </c>
      <c r="D1751">
        <f>LAI!F1751</f>
        <v>0</v>
      </c>
      <c r="E1751">
        <f>0.5*C1751*(1-EXP(-'user input'!$C$19*D1751))</f>
        <v>0</v>
      </c>
      <c r="F1751">
        <f>E1751*'user input'!$C$21</f>
        <v>0</v>
      </c>
    </row>
    <row r="1752" spans="1:6" x14ac:dyDescent="0.2">
      <c r="A1752" s="1">
        <v>41928</v>
      </c>
      <c r="B1752">
        <v>290</v>
      </c>
      <c r="C1752">
        <f>'weather data'!E1752</f>
        <v>10.311111111111112</v>
      </c>
      <c r="D1752">
        <f>LAI!F1752</f>
        <v>0</v>
      </c>
      <c r="E1752">
        <f>0.5*C1752*(1-EXP(-'user input'!$C$19*D1752))</f>
        <v>0</v>
      </c>
      <c r="F1752">
        <f>E1752*'user input'!$C$21</f>
        <v>0</v>
      </c>
    </row>
    <row r="1753" spans="1:6" x14ac:dyDescent="0.2">
      <c r="A1753" s="1">
        <v>41929</v>
      </c>
      <c r="B1753">
        <v>291</v>
      </c>
      <c r="C1753">
        <f>'weather data'!E1753</f>
        <v>9.4244444444444415</v>
      </c>
      <c r="D1753">
        <f>LAI!F1753</f>
        <v>0</v>
      </c>
      <c r="E1753">
        <f>0.5*C1753*(1-EXP(-'user input'!$C$19*D1753))</f>
        <v>0</v>
      </c>
      <c r="F1753">
        <f>E1753*'user input'!$C$21</f>
        <v>0</v>
      </c>
    </row>
    <row r="1754" spans="1:6" x14ac:dyDescent="0.2">
      <c r="A1754" s="1">
        <v>41930</v>
      </c>
      <c r="B1754">
        <v>292</v>
      </c>
      <c r="C1754">
        <f>'weather data'!E1754</f>
        <v>9.5977777777777806</v>
      </c>
      <c r="D1754">
        <f>LAI!F1754</f>
        <v>0</v>
      </c>
      <c r="E1754">
        <f>0.5*C1754*(1-EXP(-'user input'!$C$19*D1754))</f>
        <v>0</v>
      </c>
      <c r="F1754">
        <f>E1754*'user input'!$C$21</f>
        <v>0</v>
      </c>
    </row>
    <row r="1755" spans="1:6" x14ac:dyDescent="0.2">
      <c r="A1755" s="1">
        <v>41931</v>
      </c>
      <c r="B1755">
        <v>293</v>
      </c>
      <c r="C1755">
        <f>'weather data'!E1755</f>
        <v>9.0800000000000036</v>
      </c>
      <c r="D1755">
        <f>LAI!F1755</f>
        <v>0</v>
      </c>
      <c r="E1755">
        <f>0.5*C1755*(1-EXP(-'user input'!$C$19*D1755))</f>
        <v>0</v>
      </c>
      <c r="F1755">
        <f>E1755*'user input'!$C$21</f>
        <v>0</v>
      </c>
    </row>
    <row r="1756" spans="1:6" x14ac:dyDescent="0.2">
      <c r="A1756" s="1">
        <v>41932</v>
      </c>
      <c r="B1756">
        <v>294</v>
      </c>
      <c r="C1756">
        <f>'weather data'!E1756</f>
        <v>8.8311111111111114</v>
      </c>
      <c r="D1756">
        <f>LAI!F1756</f>
        <v>0</v>
      </c>
      <c r="E1756">
        <f>0.5*C1756*(1-EXP(-'user input'!$C$19*D1756))</f>
        <v>0</v>
      </c>
      <c r="F1756">
        <f>E1756*'user input'!$C$21</f>
        <v>0</v>
      </c>
    </row>
    <row r="1757" spans="1:6" x14ac:dyDescent="0.2">
      <c r="A1757" s="1">
        <v>41933</v>
      </c>
      <c r="B1757">
        <v>295</v>
      </c>
      <c r="C1757">
        <f>'weather data'!E1757</f>
        <v>8.6733333333333285</v>
      </c>
      <c r="D1757">
        <f>LAI!F1757</f>
        <v>0</v>
      </c>
      <c r="E1757">
        <f>0.5*C1757*(1-EXP(-'user input'!$C$19*D1757))</f>
        <v>0</v>
      </c>
      <c r="F1757">
        <f>E1757*'user input'!$C$21</f>
        <v>0</v>
      </c>
    </row>
    <row r="1758" spans="1:6" x14ac:dyDescent="0.2">
      <c r="A1758" s="1">
        <v>41934</v>
      </c>
      <c r="B1758">
        <v>296</v>
      </c>
      <c r="C1758">
        <f>'weather data'!E1758</f>
        <v>7.8955555555555543</v>
      </c>
      <c r="D1758">
        <f>LAI!F1758</f>
        <v>0</v>
      </c>
      <c r="E1758">
        <f>0.5*C1758*(1-EXP(-'user input'!$C$19*D1758))</f>
        <v>0</v>
      </c>
      <c r="F1758">
        <f>E1758*'user input'!$C$21</f>
        <v>0</v>
      </c>
    </row>
    <row r="1759" spans="1:6" x14ac:dyDescent="0.2">
      <c r="A1759" s="1">
        <v>41935</v>
      </c>
      <c r="B1759">
        <v>297</v>
      </c>
      <c r="C1759">
        <f>'weather data'!E1759</f>
        <v>8.4711111111111119</v>
      </c>
      <c r="D1759">
        <f>LAI!F1759</f>
        <v>0</v>
      </c>
      <c r="E1759">
        <f>0.5*C1759*(1-EXP(-'user input'!$C$19*D1759))</f>
        <v>0</v>
      </c>
      <c r="F1759">
        <f>E1759*'user input'!$C$21</f>
        <v>0</v>
      </c>
    </row>
    <row r="1760" spans="1:6" x14ac:dyDescent="0.2">
      <c r="A1760" s="1">
        <v>41936</v>
      </c>
      <c r="B1760">
        <v>298</v>
      </c>
      <c r="C1760">
        <f>'weather data'!E1760</f>
        <v>8.9599999999999991</v>
      </c>
      <c r="D1760">
        <f>LAI!F1760</f>
        <v>0</v>
      </c>
      <c r="E1760">
        <f>0.5*C1760*(1-EXP(-'user input'!$C$19*D1760))</f>
        <v>0</v>
      </c>
      <c r="F1760">
        <f>E1760*'user input'!$C$21</f>
        <v>0</v>
      </c>
    </row>
    <row r="1761" spans="1:6" x14ac:dyDescent="0.2">
      <c r="A1761" s="1">
        <v>41937</v>
      </c>
      <c r="B1761">
        <v>299</v>
      </c>
      <c r="C1761">
        <f>'weather data'!E1761</f>
        <v>9.0155555555555544</v>
      </c>
      <c r="D1761">
        <f>LAI!F1761</f>
        <v>0</v>
      </c>
      <c r="E1761">
        <f>0.5*C1761*(1-EXP(-'user input'!$C$19*D1761))</f>
        <v>0</v>
      </c>
      <c r="F1761">
        <f>E1761*'user input'!$C$21</f>
        <v>0</v>
      </c>
    </row>
    <row r="1762" spans="1:6" x14ac:dyDescent="0.2">
      <c r="A1762" s="1">
        <v>41938</v>
      </c>
      <c r="B1762">
        <v>300</v>
      </c>
      <c r="C1762">
        <f>'weather data'!E1762</f>
        <v>8.5622222222222231</v>
      </c>
      <c r="D1762">
        <f>LAI!F1762</f>
        <v>0</v>
      </c>
      <c r="E1762">
        <f>0.5*C1762*(1-EXP(-'user input'!$C$19*D1762))</f>
        <v>0</v>
      </c>
      <c r="F1762">
        <f>E1762*'user input'!$C$21</f>
        <v>0</v>
      </c>
    </row>
    <row r="1763" spans="1:6" x14ac:dyDescent="0.2">
      <c r="A1763" s="1">
        <v>41939</v>
      </c>
      <c r="B1763">
        <v>301</v>
      </c>
      <c r="C1763">
        <f>'weather data'!E1763</f>
        <v>9.3444444444444468</v>
      </c>
      <c r="D1763">
        <f>LAI!F1763</f>
        <v>0</v>
      </c>
      <c r="E1763">
        <f>0.5*C1763*(1-EXP(-'user input'!$C$19*D1763))</f>
        <v>0</v>
      </c>
      <c r="F1763">
        <f>E1763*'user input'!$C$21</f>
        <v>0</v>
      </c>
    </row>
    <row r="1764" spans="1:6" x14ac:dyDescent="0.2">
      <c r="A1764" s="1">
        <v>41940</v>
      </c>
      <c r="B1764">
        <v>302</v>
      </c>
      <c r="C1764">
        <f>'weather data'!E1764</f>
        <v>8.6866666666666656</v>
      </c>
      <c r="D1764">
        <f>LAI!F1764</f>
        <v>0</v>
      </c>
      <c r="E1764">
        <f>0.5*C1764*(1-EXP(-'user input'!$C$19*D1764))</f>
        <v>0</v>
      </c>
      <c r="F1764">
        <f>E1764*'user input'!$C$21</f>
        <v>0</v>
      </c>
    </row>
    <row r="1765" spans="1:6" x14ac:dyDescent="0.2">
      <c r="A1765" s="1">
        <v>41941</v>
      </c>
      <c r="B1765">
        <v>303</v>
      </c>
      <c r="C1765">
        <f>'weather data'!E1765</f>
        <v>8.1999999999999975</v>
      </c>
      <c r="D1765">
        <f>LAI!F1765</f>
        <v>0</v>
      </c>
      <c r="E1765">
        <f>0.5*C1765*(1-EXP(-'user input'!$C$19*D1765))</f>
        <v>0</v>
      </c>
      <c r="F1765">
        <f>E1765*'user input'!$C$21</f>
        <v>0</v>
      </c>
    </row>
    <row r="1766" spans="1:6" x14ac:dyDescent="0.2">
      <c r="A1766" s="1">
        <v>41942</v>
      </c>
      <c r="B1766">
        <v>304</v>
      </c>
      <c r="C1766">
        <f>'weather data'!E1766</f>
        <v>7.120000000000001</v>
      </c>
      <c r="D1766">
        <f>LAI!F1766</f>
        <v>0</v>
      </c>
      <c r="E1766">
        <f>0.5*C1766*(1-EXP(-'user input'!$C$19*D1766))</f>
        <v>0</v>
      </c>
      <c r="F1766">
        <f>E1766*'user input'!$C$21</f>
        <v>0</v>
      </c>
    </row>
    <row r="1767" spans="1:6" x14ac:dyDescent="0.2">
      <c r="A1767" s="1">
        <v>41943</v>
      </c>
      <c r="B1767">
        <v>305</v>
      </c>
      <c r="C1767">
        <f>'weather data'!E1767</f>
        <v>6.913333333333334</v>
      </c>
      <c r="D1767">
        <f>LAI!F1767</f>
        <v>0</v>
      </c>
      <c r="E1767">
        <f>0.5*C1767*(1-EXP(-'user input'!$C$19*D1767))</f>
        <v>0</v>
      </c>
      <c r="F1767">
        <f>E1767*'user input'!$C$21</f>
        <v>0</v>
      </c>
    </row>
    <row r="1768" spans="1:6" x14ac:dyDescent="0.2">
      <c r="A1768" s="1">
        <v>41944</v>
      </c>
      <c r="B1768">
        <v>306</v>
      </c>
      <c r="C1768">
        <f>'weather data'!E1768</f>
        <v>7.6555555555555559</v>
      </c>
      <c r="D1768">
        <f>LAI!F1768</f>
        <v>0</v>
      </c>
      <c r="E1768">
        <f>0.5*C1768*(1-EXP(-'user input'!$C$19*D1768))</f>
        <v>0</v>
      </c>
      <c r="F1768">
        <f>E1768*'user input'!$C$21</f>
        <v>0</v>
      </c>
    </row>
    <row r="1769" spans="1:6" x14ac:dyDescent="0.2">
      <c r="A1769" s="1">
        <v>41945</v>
      </c>
      <c r="B1769">
        <v>307</v>
      </c>
      <c r="C1769">
        <f>'weather data'!E1769</f>
        <v>7.1822222222222205</v>
      </c>
      <c r="D1769">
        <f>LAI!F1769</f>
        <v>0</v>
      </c>
      <c r="E1769">
        <f>0.5*C1769*(1-EXP(-'user input'!$C$19*D1769))</f>
        <v>0</v>
      </c>
      <c r="F1769">
        <f>E1769*'user input'!$C$21</f>
        <v>0</v>
      </c>
    </row>
    <row r="1770" spans="1:6" x14ac:dyDescent="0.2">
      <c r="A1770" s="1">
        <v>41946</v>
      </c>
      <c r="B1770">
        <v>308</v>
      </c>
      <c r="C1770">
        <f>'weather data'!E1770</f>
        <v>7.5955555555555545</v>
      </c>
      <c r="D1770">
        <f>LAI!F1770</f>
        <v>0</v>
      </c>
      <c r="E1770">
        <f>0.5*C1770*(1-EXP(-'user input'!$C$19*D1770))</f>
        <v>0</v>
      </c>
      <c r="F1770">
        <f>E1770*'user input'!$C$21</f>
        <v>0</v>
      </c>
    </row>
    <row r="1771" spans="1:6" x14ac:dyDescent="0.2">
      <c r="A1771" s="1">
        <v>41947</v>
      </c>
      <c r="B1771">
        <v>309</v>
      </c>
      <c r="C1771">
        <f>'weather data'!E1771</f>
        <v>6.7955555555555573</v>
      </c>
      <c r="D1771">
        <f>LAI!F1771</f>
        <v>0</v>
      </c>
      <c r="E1771">
        <f>0.5*C1771*(1-EXP(-'user input'!$C$19*D1771))</f>
        <v>0</v>
      </c>
      <c r="F1771">
        <f>E1771*'user input'!$C$21</f>
        <v>0</v>
      </c>
    </row>
    <row r="1772" spans="1:6" x14ac:dyDescent="0.2">
      <c r="A1772" s="1">
        <v>41948</v>
      </c>
      <c r="B1772">
        <v>310</v>
      </c>
      <c r="C1772">
        <f>'weather data'!E1772</f>
        <v>6.6288888888888904</v>
      </c>
      <c r="D1772">
        <f>LAI!F1772</f>
        <v>0</v>
      </c>
      <c r="E1772">
        <f>0.5*C1772*(1-EXP(-'user input'!$C$19*D1772))</f>
        <v>0</v>
      </c>
      <c r="F1772">
        <f>E1772*'user input'!$C$21</f>
        <v>0</v>
      </c>
    </row>
    <row r="1773" spans="1:6" x14ac:dyDescent="0.2">
      <c r="A1773" s="1">
        <v>41949</v>
      </c>
      <c r="B1773">
        <v>311</v>
      </c>
      <c r="C1773">
        <f>'weather data'!E1773</f>
        <v>7.4622222222222225</v>
      </c>
      <c r="D1773">
        <f>LAI!F1773</f>
        <v>0</v>
      </c>
      <c r="E1773">
        <f>0.5*C1773*(1-EXP(-'user input'!$C$19*D1773))</f>
        <v>0</v>
      </c>
      <c r="F1773">
        <f>E1773*'user input'!$C$21</f>
        <v>0</v>
      </c>
    </row>
    <row r="1774" spans="1:6" x14ac:dyDescent="0.2">
      <c r="A1774" s="1">
        <v>41950</v>
      </c>
      <c r="B1774">
        <v>312</v>
      </c>
      <c r="C1774">
        <f>'weather data'!E1774</f>
        <v>6.4088888888888897</v>
      </c>
      <c r="D1774">
        <f>LAI!F1774</f>
        <v>0</v>
      </c>
      <c r="E1774">
        <f>0.5*C1774*(1-EXP(-'user input'!$C$19*D1774))</f>
        <v>0</v>
      </c>
      <c r="F1774">
        <f>E1774*'user input'!$C$21</f>
        <v>0</v>
      </c>
    </row>
    <row r="1775" spans="1:6" x14ac:dyDescent="0.2">
      <c r="A1775" s="1">
        <v>41951</v>
      </c>
      <c r="B1775">
        <v>313</v>
      </c>
      <c r="C1775">
        <f>'weather data'!E1775</f>
        <v>6.8622222222222238</v>
      </c>
      <c r="D1775">
        <f>LAI!F1775</f>
        <v>0</v>
      </c>
      <c r="E1775">
        <f>0.5*C1775*(1-EXP(-'user input'!$C$19*D1775))</f>
        <v>0</v>
      </c>
      <c r="F1775">
        <f>E1775*'user input'!$C$21</f>
        <v>0</v>
      </c>
    </row>
    <row r="1776" spans="1:6" x14ac:dyDescent="0.2">
      <c r="A1776" s="1">
        <v>41952</v>
      </c>
      <c r="B1776">
        <v>314</v>
      </c>
      <c r="C1776">
        <f>'weather data'!E1776</f>
        <v>6.8200000000000012</v>
      </c>
      <c r="D1776">
        <f>LAI!F1776</f>
        <v>0</v>
      </c>
      <c r="E1776">
        <f>0.5*C1776*(1-EXP(-'user input'!$C$19*D1776))</f>
        <v>0</v>
      </c>
      <c r="F1776">
        <f>E1776*'user input'!$C$21</f>
        <v>0</v>
      </c>
    </row>
    <row r="1777" spans="1:6" x14ac:dyDescent="0.2">
      <c r="A1777" s="1">
        <v>41953</v>
      </c>
      <c r="B1777">
        <v>315</v>
      </c>
      <c r="C1777">
        <f>'weather data'!E1777</f>
        <v>7.075555555555554</v>
      </c>
      <c r="D1777">
        <f>LAI!F1777</f>
        <v>0</v>
      </c>
      <c r="E1777">
        <f>0.5*C1777*(1-EXP(-'user input'!$C$19*D1777))</f>
        <v>0</v>
      </c>
      <c r="F1777">
        <f>E1777*'user input'!$C$21</f>
        <v>0</v>
      </c>
    </row>
    <row r="1778" spans="1:6" x14ac:dyDescent="0.2">
      <c r="A1778" s="1">
        <v>41954</v>
      </c>
      <c r="B1778">
        <v>316</v>
      </c>
      <c r="C1778">
        <f>'weather data'!E1778</f>
        <v>6.7977777777777781</v>
      </c>
      <c r="D1778">
        <f>LAI!F1778</f>
        <v>0</v>
      </c>
      <c r="E1778">
        <f>0.5*C1778*(1-EXP(-'user input'!$C$19*D1778))</f>
        <v>0</v>
      </c>
      <c r="F1778">
        <f>E1778*'user input'!$C$21</f>
        <v>0</v>
      </c>
    </row>
    <row r="1779" spans="1:6" x14ac:dyDescent="0.2">
      <c r="A1779" s="1">
        <v>41955</v>
      </c>
      <c r="B1779">
        <v>317</v>
      </c>
      <c r="C1779">
        <f>'weather data'!E1779</f>
        <v>6.2888888888888914</v>
      </c>
      <c r="D1779">
        <f>LAI!F1779</f>
        <v>0</v>
      </c>
      <c r="E1779">
        <f>0.5*C1779*(1-EXP(-'user input'!$C$19*D1779))</f>
        <v>0</v>
      </c>
      <c r="F1779">
        <f>E1779*'user input'!$C$21</f>
        <v>0</v>
      </c>
    </row>
    <row r="1780" spans="1:6" x14ac:dyDescent="0.2">
      <c r="A1780" s="1">
        <v>41956</v>
      </c>
      <c r="B1780">
        <v>318</v>
      </c>
      <c r="C1780">
        <f>'weather data'!E1780</f>
        <v>6.3822222222222242</v>
      </c>
      <c r="D1780">
        <f>LAI!F1780</f>
        <v>0</v>
      </c>
      <c r="E1780">
        <f>0.5*C1780*(1-EXP(-'user input'!$C$19*D1780))</f>
        <v>0</v>
      </c>
      <c r="F1780">
        <f>E1780*'user input'!$C$21</f>
        <v>0</v>
      </c>
    </row>
    <row r="1781" spans="1:6" x14ac:dyDescent="0.2">
      <c r="A1781" s="1">
        <v>41957</v>
      </c>
      <c r="B1781">
        <v>319</v>
      </c>
      <c r="C1781">
        <f>'weather data'!E1781</f>
        <v>5.5888888888888895</v>
      </c>
      <c r="D1781">
        <f>LAI!F1781</f>
        <v>0</v>
      </c>
      <c r="E1781">
        <f>0.5*C1781*(1-EXP(-'user input'!$C$19*D1781))</f>
        <v>0</v>
      </c>
      <c r="F1781">
        <f>E1781*'user input'!$C$21</f>
        <v>0</v>
      </c>
    </row>
    <row r="1782" spans="1:6" x14ac:dyDescent="0.2">
      <c r="A1782" s="1">
        <v>41958</v>
      </c>
      <c r="B1782">
        <v>320</v>
      </c>
      <c r="C1782">
        <f>'weather data'!E1782</f>
        <v>6.2133333333333303</v>
      </c>
      <c r="D1782">
        <f>LAI!F1782</f>
        <v>0</v>
      </c>
      <c r="E1782">
        <f>0.5*C1782*(1-EXP(-'user input'!$C$19*D1782))</f>
        <v>0</v>
      </c>
      <c r="F1782">
        <f>E1782*'user input'!$C$21</f>
        <v>0</v>
      </c>
    </row>
    <row r="1783" spans="1:6" x14ac:dyDescent="0.2">
      <c r="A1783" s="1">
        <v>41959</v>
      </c>
      <c r="B1783">
        <v>321</v>
      </c>
      <c r="C1783">
        <f>'weather data'!E1783</f>
        <v>6.3666666666666654</v>
      </c>
      <c r="D1783">
        <f>LAI!F1783</f>
        <v>0</v>
      </c>
      <c r="E1783">
        <f>0.5*C1783*(1-EXP(-'user input'!$C$19*D1783))</f>
        <v>0</v>
      </c>
      <c r="F1783">
        <f>E1783*'user input'!$C$21</f>
        <v>0</v>
      </c>
    </row>
    <row r="1784" spans="1:6" x14ac:dyDescent="0.2">
      <c r="A1784" s="1">
        <v>41960</v>
      </c>
      <c r="B1784">
        <v>322</v>
      </c>
      <c r="C1784">
        <f>'weather data'!E1784</f>
        <v>6.0955555555555545</v>
      </c>
      <c r="D1784">
        <f>LAI!F1784</f>
        <v>0</v>
      </c>
      <c r="E1784">
        <f>0.5*C1784*(1-EXP(-'user input'!$C$19*D1784))</f>
        <v>0</v>
      </c>
      <c r="F1784">
        <f>E1784*'user input'!$C$21</f>
        <v>0</v>
      </c>
    </row>
    <row r="1785" spans="1:6" x14ac:dyDescent="0.2">
      <c r="A1785" s="1">
        <v>41961</v>
      </c>
      <c r="B1785">
        <v>323</v>
      </c>
      <c r="C1785">
        <f>'weather data'!E1785</f>
        <v>5.8177777777777795</v>
      </c>
      <c r="D1785">
        <f>LAI!F1785</f>
        <v>0</v>
      </c>
      <c r="E1785">
        <f>0.5*C1785*(1-EXP(-'user input'!$C$19*D1785))</f>
        <v>0</v>
      </c>
      <c r="F1785">
        <f>E1785*'user input'!$C$21</f>
        <v>0</v>
      </c>
    </row>
    <row r="1786" spans="1:6" x14ac:dyDescent="0.2">
      <c r="A1786" s="1">
        <v>41962</v>
      </c>
      <c r="B1786">
        <v>324</v>
      </c>
      <c r="C1786">
        <f>'weather data'!E1786</f>
        <v>5.0466666666666669</v>
      </c>
      <c r="D1786">
        <f>LAI!F1786</f>
        <v>0</v>
      </c>
      <c r="E1786">
        <f>0.5*C1786*(1-EXP(-'user input'!$C$19*D1786))</f>
        <v>0</v>
      </c>
      <c r="F1786">
        <f>E1786*'user input'!$C$21</f>
        <v>0</v>
      </c>
    </row>
    <row r="1787" spans="1:6" x14ac:dyDescent="0.2">
      <c r="A1787" s="1">
        <v>41963</v>
      </c>
      <c r="B1787">
        <v>325</v>
      </c>
      <c r="C1787">
        <f>'weather data'!E1787</f>
        <v>6.0044444444444434</v>
      </c>
      <c r="D1787">
        <f>LAI!F1787</f>
        <v>0</v>
      </c>
      <c r="E1787">
        <f>0.5*C1787*(1-EXP(-'user input'!$C$19*D1787))</f>
        <v>0</v>
      </c>
      <c r="F1787">
        <f>E1787*'user input'!$C$21</f>
        <v>0</v>
      </c>
    </row>
    <row r="1788" spans="1:6" x14ac:dyDescent="0.2">
      <c r="A1788" s="1">
        <v>41964</v>
      </c>
      <c r="B1788">
        <v>326</v>
      </c>
      <c r="C1788">
        <f>'weather data'!E1788</f>
        <v>6.1799999999999979</v>
      </c>
      <c r="D1788">
        <f>LAI!F1788</f>
        <v>0</v>
      </c>
      <c r="E1788">
        <f>0.5*C1788*(1-EXP(-'user input'!$C$19*D1788))</f>
        <v>0</v>
      </c>
      <c r="F1788">
        <f>E1788*'user input'!$C$21</f>
        <v>0</v>
      </c>
    </row>
    <row r="1789" spans="1:6" x14ac:dyDescent="0.2">
      <c r="A1789" s="1">
        <v>41965</v>
      </c>
      <c r="B1789">
        <v>327</v>
      </c>
      <c r="C1789">
        <f>'weather data'!E1789</f>
        <v>5.3200000000000021</v>
      </c>
      <c r="D1789">
        <f>LAI!F1789</f>
        <v>0</v>
      </c>
      <c r="E1789">
        <f>0.5*C1789*(1-EXP(-'user input'!$C$19*D1789))</f>
        <v>0</v>
      </c>
      <c r="F1789">
        <f>E1789*'user input'!$C$21</f>
        <v>0</v>
      </c>
    </row>
    <row r="1790" spans="1:6" x14ac:dyDescent="0.2">
      <c r="A1790" s="1">
        <v>41966</v>
      </c>
      <c r="B1790">
        <v>328</v>
      </c>
      <c r="C1790">
        <f>'weather data'!E1790</f>
        <v>5.6422222222222205</v>
      </c>
      <c r="D1790">
        <f>LAI!F1790</f>
        <v>0</v>
      </c>
      <c r="E1790">
        <f>0.5*C1790*(1-EXP(-'user input'!$C$19*D1790))</f>
        <v>0</v>
      </c>
      <c r="F1790">
        <f>E1790*'user input'!$C$21</f>
        <v>0</v>
      </c>
    </row>
    <row r="1791" spans="1:6" x14ac:dyDescent="0.2">
      <c r="A1791" s="1">
        <v>41967</v>
      </c>
      <c r="B1791">
        <v>329</v>
      </c>
      <c r="C1791">
        <f>'weather data'!E1791</f>
        <v>5.8155555555555578</v>
      </c>
      <c r="D1791">
        <f>LAI!F1791</f>
        <v>0</v>
      </c>
      <c r="E1791">
        <f>0.5*C1791*(1-EXP(-'user input'!$C$19*D1791))</f>
        <v>0</v>
      </c>
      <c r="F1791">
        <f>E1791*'user input'!$C$21</f>
        <v>0</v>
      </c>
    </row>
    <row r="1792" spans="1:6" x14ac:dyDescent="0.2">
      <c r="A1792" s="1">
        <v>41968</v>
      </c>
      <c r="B1792">
        <v>330</v>
      </c>
      <c r="C1792">
        <f>'weather data'!E1792</f>
        <v>4.8911111111111119</v>
      </c>
      <c r="D1792">
        <f>LAI!F1792</f>
        <v>0</v>
      </c>
      <c r="E1792">
        <f>0.5*C1792*(1-EXP(-'user input'!$C$19*D1792))</f>
        <v>0</v>
      </c>
      <c r="F1792">
        <f>E1792*'user input'!$C$21</f>
        <v>0</v>
      </c>
    </row>
    <row r="1793" spans="1:6" x14ac:dyDescent="0.2">
      <c r="A1793" s="1">
        <v>41969</v>
      </c>
      <c r="B1793">
        <v>331</v>
      </c>
      <c r="C1793">
        <f>'weather data'!E1793</f>
        <v>4.6599999999999984</v>
      </c>
      <c r="D1793">
        <f>LAI!F1793</f>
        <v>0</v>
      </c>
      <c r="E1793">
        <f>0.5*C1793*(1-EXP(-'user input'!$C$19*D1793))</f>
        <v>0</v>
      </c>
      <c r="F1793">
        <f>E1793*'user input'!$C$21</f>
        <v>0</v>
      </c>
    </row>
    <row r="1794" spans="1:6" x14ac:dyDescent="0.2">
      <c r="A1794" s="1">
        <v>41970</v>
      </c>
      <c r="B1794">
        <v>332</v>
      </c>
      <c r="C1794">
        <f>'weather data'!E1794</f>
        <v>5.6022222222222222</v>
      </c>
      <c r="D1794">
        <f>LAI!F1794</f>
        <v>0</v>
      </c>
      <c r="E1794">
        <f>0.5*C1794*(1-EXP(-'user input'!$C$19*D1794))</f>
        <v>0</v>
      </c>
      <c r="F1794">
        <f>E1794*'user input'!$C$21</f>
        <v>0</v>
      </c>
    </row>
    <row r="1795" spans="1:6" x14ac:dyDescent="0.2">
      <c r="A1795" s="1">
        <v>41971</v>
      </c>
      <c r="B1795">
        <v>333</v>
      </c>
      <c r="C1795">
        <f>'weather data'!E1795</f>
        <v>5.1000000000000005</v>
      </c>
      <c r="D1795">
        <f>LAI!F1795</f>
        <v>0</v>
      </c>
      <c r="E1795">
        <f>0.5*C1795*(1-EXP(-'user input'!$C$19*D1795))</f>
        <v>0</v>
      </c>
      <c r="F1795">
        <f>E1795*'user input'!$C$21</f>
        <v>0</v>
      </c>
    </row>
    <row r="1796" spans="1:6" x14ac:dyDescent="0.2">
      <c r="A1796" s="1">
        <v>41972</v>
      </c>
      <c r="B1796">
        <v>334</v>
      </c>
      <c r="C1796">
        <f>'weather data'!E1796</f>
        <v>5.0266666666666673</v>
      </c>
      <c r="D1796">
        <f>LAI!F1796</f>
        <v>0</v>
      </c>
      <c r="E1796">
        <f>0.5*C1796*(1-EXP(-'user input'!$C$19*D1796))</f>
        <v>0</v>
      </c>
      <c r="F1796">
        <f>E1796*'user input'!$C$21</f>
        <v>0</v>
      </c>
    </row>
    <row r="1797" spans="1:6" x14ac:dyDescent="0.2">
      <c r="A1797" s="1">
        <v>41973</v>
      </c>
      <c r="B1797">
        <v>335</v>
      </c>
      <c r="C1797">
        <f>'weather data'!E1797</f>
        <v>5.1866666666666648</v>
      </c>
      <c r="D1797">
        <f>LAI!F1797</f>
        <v>0</v>
      </c>
      <c r="E1797">
        <f>0.5*C1797*(1-EXP(-'user input'!$C$19*D1797))</f>
        <v>0</v>
      </c>
      <c r="F1797">
        <f>E1797*'user input'!$C$21</f>
        <v>0</v>
      </c>
    </row>
    <row r="1798" spans="1:6" x14ac:dyDescent="0.2">
      <c r="A1798" s="1">
        <v>41974</v>
      </c>
      <c r="B1798">
        <v>336</v>
      </c>
      <c r="C1798">
        <f>'weather data'!E1798</f>
        <v>5.5222222222222221</v>
      </c>
      <c r="D1798">
        <f>LAI!F1798</f>
        <v>0</v>
      </c>
      <c r="E1798">
        <f>0.5*C1798*(1-EXP(-'user input'!$C$19*D1798))</f>
        <v>0</v>
      </c>
      <c r="F1798">
        <f>E1798*'user input'!$C$21</f>
        <v>0</v>
      </c>
    </row>
    <row r="1799" spans="1:6" x14ac:dyDescent="0.2">
      <c r="A1799" s="1">
        <v>41975</v>
      </c>
      <c r="B1799">
        <v>337</v>
      </c>
      <c r="C1799">
        <f>'weather data'!E1799</f>
        <v>4.9666666666666659</v>
      </c>
      <c r="D1799">
        <f>LAI!F1799</f>
        <v>0</v>
      </c>
      <c r="E1799">
        <f>0.5*C1799*(1-EXP(-'user input'!$C$19*D1799))</f>
        <v>0</v>
      </c>
      <c r="F1799">
        <f>E1799*'user input'!$C$21</f>
        <v>0</v>
      </c>
    </row>
    <row r="1800" spans="1:6" x14ac:dyDescent="0.2">
      <c r="A1800" s="1">
        <v>41976</v>
      </c>
      <c r="B1800">
        <v>338</v>
      </c>
      <c r="C1800">
        <f>'weather data'!E1800</f>
        <v>5.1911111111111108</v>
      </c>
      <c r="D1800">
        <f>LAI!F1800</f>
        <v>0</v>
      </c>
      <c r="E1800">
        <f>0.5*C1800*(1-EXP(-'user input'!$C$19*D1800))</f>
        <v>0</v>
      </c>
      <c r="F1800">
        <f>E1800*'user input'!$C$21</f>
        <v>0</v>
      </c>
    </row>
    <row r="1801" spans="1:6" x14ac:dyDescent="0.2">
      <c r="A1801" s="1">
        <v>41977</v>
      </c>
      <c r="B1801">
        <v>339</v>
      </c>
      <c r="C1801">
        <f>'weather data'!E1801</f>
        <v>5.08</v>
      </c>
      <c r="D1801">
        <f>LAI!F1801</f>
        <v>0</v>
      </c>
      <c r="E1801">
        <f>0.5*C1801*(1-EXP(-'user input'!$C$19*D1801))</f>
        <v>0</v>
      </c>
      <c r="F1801">
        <f>E1801*'user input'!$C$21</f>
        <v>0</v>
      </c>
    </row>
    <row r="1802" spans="1:6" x14ac:dyDescent="0.2">
      <c r="A1802" s="1">
        <v>41978</v>
      </c>
      <c r="B1802">
        <v>340</v>
      </c>
      <c r="C1802">
        <f>'weather data'!E1802</f>
        <v>5.3800000000000008</v>
      </c>
      <c r="D1802">
        <f>LAI!F1802</f>
        <v>0</v>
      </c>
      <c r="E1802">
        <f>0.5*C1802*(1-EXP(-'user input'!$C$19*D1802))</f>
        <v>0</v>
      </c>
      <c r="F1802">
        <f>E1802*'user input'!$C$21</f>
        <v>0</v>
      </c>
    </row>
    <row r="1803" spans="1:6" x14ac:dyDescent="0.2">
      <c r="A1803" s="1">
        <v>41979</v>
      </c>
      <c r="B1803">
        <v>341</v>
      </c>
      <c r="C1803">
        <f>'weather data'!E1803</f>
        <v>5.1688888888888878</v>
      </c>
      <c r="D1803">
        <f>LAI!F1803</f>
        <v>0</v>
      </c>
      <c r="E1803">
        <f>0.5*C1803*(1-EXP(-'user input'!$C$19*D1803))</f>
        <v>0</v>
      </c>
      <c r="F1803">
        <f>E1803*'user input'!$C$21</f>
        <v>0</v>
      </c>
    </row>
    <row r="1804" spans="1:6" x14ac:dyDescent="0.2">
      <c r="A1804" s="1">
        <v>41980</v>
      </c>
      <c r="B1804">
        <v>342</v>
      </c>
      <c r="C1804">
        <f>'weather data'!E1804</f>
        <v>5.0244444444444447</v>
      </c>
      <c r="D1804">
        <f>LAI!F1804</f>
        <v>0</v>
      </c>
      <c r="E1804">
        <f>0.5*C1804*(1-EXP(-'user input'!$C$19*D1804))</f>
        <v>0</v>
      </c>
      <c r="F1804">
        <f>E1804*'user input'!$C$21</f>
        <v>0</v>
      </c>
    </row>
    <row r="1805" spans="1:6" x14ac:dyDescent="0.2">
      <c r="A1805" s="1">
        <v>41981</v>
      </c>
      <c r="B1805">
        <v>343</v>
      </c>
      <c r="C1805">
        <f>'weather data'!E1805</f>
        <v>4.9955555555555549</v>
      </c>
      <c r="D1805">
        <f>LAI!F1805</f>
        <v>0</v>
      </c>
      <c r="E1805">
        <f>0.5*C1805*(1-EXP(-'user input'!$C$19*D1805))</f>
        <v>0</v>
      </c>
      <c r="F1805">
        <f>E1805*'user input'!$C$21</f>
        <v>0</v>
      </c>
    </row>
    <row r="1806" spans="1:6" x14ac:dyDescent="0.2">
      <c r="A1806" s="1">
        <v>41982</v>
      </c>
      <c r="B1806">
        <v>344</v>
      </c>
      <c r="C1806">
        <f>'weather data'!E1806</f>
        <v>4.9866666666666664</v>
      </c>
      <c r="D1806">
        <f>LAI!F1806</f>
        <v>0</v>
      </c>
      <c r="E1806">
        <f>0.5*C1806*(1-EXP(-'user input'!$C$19*D1806))</f>
        <v>0</v>
      </c>
      <c r="F1806">
        <f>E1806*'user input'!$C$21</f>
        <v>0</v>
      </c>
    </row>
    <row r="1807" spans="1:6" x14ac:dyDescent="0.2">
      <c r="A1807" s="1">
        <v>41983</v>
      </c>
      <c r="B1807">
        <v>345</v>
      </c>
      <c r="C1807">
        <f>'weather data'!E1807</f>
        <v>5.0311111111111106</v>
      </c>
      <c r="D1807">
        <f>LAI!F1807</f>
        <v>0</v>
      </c>
      <c r="E1807">
        <f>0.5*C1807*(1-EXP(-'user input'!$C$19*D1807))</f>
        <v>0</v>
      </c>
      <c r="F1807">
        <f>E1807*'user input'!$C$21</f>
        <v>0</v>
      </c>
    </row>
    <row r="1808" spans="1:6" x14ac:dyDescent="0.2">
      <c r="A1808" s="1">
        <v>41984</v>
      </c>
      <c r="B1808">
        <v>346</v>
      </c>
      <c r="C1808">
        <f>'weather data'!E1808</f>
        <v>4.826666666666668</v>
      </c>
      <c r="D1808">
        <f>LAI!F1808</f>
        <v>0</v>
      </c>
      <c r="E1808">
        <f>0.5*C1808*(1-EXP(-'user input'!$C$19*D1808))</f>
        <v>0</v>
      </c>
      <c r="F1808">
        <f>E1808*'user input'!$C$21</f>
        <v>0</v>
      </c>
    </row>
    <row r="1809" spans="1:6" x14ac:dyDescent="0.2">
      <c r="A1809" s="1">
        <v>41985</v>
      </c>
      <c r="B1809">
        <v>347</v>
      </c>
      <c r="C1809">
        <f>'weather data'!E1809</f>
        <v>5.126666666666666</v>
      </c>
      <c r="D1809">
        <f>LAI!F1809</f>
        <v>0</v>
      </c>
      <c r="E1809">
        <f>0.5*C1809*(1-EXP(-'user input'!$C$19*D1809))</f>
        <v>0</v>
      </c>
      <c r="F1809">
        <f>E1809*'user input'!$C$21</f>
        <v>0</v>
      </c>
    </row>
    <row r="1810" spans="1:6" x14ac:dyDescent="0.2">
      <c r="A1810" s="1">
        <v>41986</v>
      </c>
      <c r="B1810">
        <v>348</v>
      </c>
      <c r="C1810">
        <f>'weather data'!E1810</f>
        <v>4.9755555555555553</v>
      </c>
      <c r="D1810">
        <f>LAI!F1810</f>
        <v>0</v>
      </c>
      <c r="E1810">
        <f>0.5*C1810*(1-EXP(-'user input'!$C$19*D1810))</f>
        <v>0</v>
      </c>
      <c r="F1810">
        <f>E1810*'user input'!$C$21</f>
        <v>0</v>
      </c>
    </row>
    <row r="1811" spans="1:6" x14ac:dyDescent="0.2">
      <c r="A1811" s="1">
        <v>41987</v>
      </c>
      <c r="B1811">
        <v>349</v>
      </c>
      <c r="C1811">
        <f>'weather data'!E1811</f>
        <v>4.8177777777777795</v>
      </c>
      <c r="D1811">
        <f>LAI!F1811</f>
        <v>0</v>
      </c>
      <c r="E1811">
        <f>0.5*C1811*(1-EXP(-'user input'!$C$19*D1811))</f>
        <v>0</v>
      </c>
      <c r="F1811">
        <f>E1811*'user input'!$C$21</f>
        <v>0</v>
      </c>
    </row>
    <row r="1812" spans="1:6" x14ac:dyDescent="0.2">
      <c r="A1812" s="1">
        <v>41988</v>
      </c>
      <c r="B1812">
        <v>350</v>
      </c>
      <c r="C1812">
        <f>'weather data'!E1812</f>
        <v>5.1622222222222209</v>
      </c>
      <c r="D1812">
        <f>LAI!F1812</f>
        <v>0</v>
      </c>
      <c r="E1812">
        <f>0.5*C1812*(1-EXP(-'user input'!$C$19*D1812))</f>
        <v>0</v>
      </c>
      <c r="F1812">
        <f>E1812*'user input'!$C$21</f>
        <v>0</v>
      </c>
    </row>
    <row r="1813" spans="1:6" x14ac:dyDescent="0.2">
      <c r="A1813" s="1">
        <v>41989</v>
      </c>
      <c r="B1813">
        <v>351</v>
      </c>
      <c r="C1813">
        <f>'weather data'!E1813</f>
        <v>5.1977777777777758</v>
      </c>
      <c r="D1813">
        <f>LAI!F1813</f>
        <v>0</v>
      </c>
      <c r="E1813">
        <f>0.5*C1813*(1-EXP(-'user input'!$C$19*D1813))</f>
        <v>0</v>
      </c>
      <c r="F1813">
        <f>E1813*'user input'!$C$21</f>
        <v>0</v>
      </c>
    </row>
    <row r="1814" spans="1:6" x14ac:dyDescent="0.2">
      <c r="A1814" s="1">
        <v>41990</v>
      </c>
      <c r="B1814">
        <v>352</v>
      </c>
      <c r="C1814">
        <f>'weather data'!E1814</f>
        <v>5.0222222222222221</v>
      </c>
      <c r="D1814">
        <f>LAI!F1814</f>
        <v>0</v>
      </c>
      <c r="E1814">
        <f>0.5*C1814*(1-EXP(-'user input'!$C$19*D1814))</f>
        <v>0</v>
      </c>
      <c r="F1814">
        <f>E1814*'user input'!$C$21</f>
        <v>0</v>
      </c>
    </row>
    <row r="1815" spans="1:6" x14ac:dyDescent="0.2">
      <c r="A1815" s="1">
        <v>41991</v>
      </c>
      <c r="B1815">
        <v>353</v>
      </c>
      <c r="C1815">
        <f>'weather data'!E1815</f>
        <v>4.9799999999999986</v>
      </c>
      <c r="D1815">
        <f>LAI!F1815</f>
        <v>0</v>
      </c>
      <c r="E1815">
        <f>0.5*C1815*(1-EXP(-'user input'!$C$19*D1815))</f>
        <v>0</v>
      </c>
      <c r="F1815">
        <f>E1815*'user input'!$C$21</f>
        <v>0</v>
      </c>
    </row>
    <row r="1816" spans="1:6" x14ac:dyDescent="0.2">
      <c r="A1816" s="1">
        <v>41992</v>
      </c>
      <c r="B1816">
        <v>354</v>
      </c>
      <c r="C1816">
        <f>'weather data'!E1816</f>
        <v>5.408888888888888</v>
      </c>
      <c r="D1816">
        <f>LAI!F1816</f>
        <v>0</v>
      </c>
      <c r="E1816">
        <f>0.5*C1816*(1-EXP(-'user input'!$C$19*D1816))</f>
        <v>0</v>
      </c>
      <c r="F1816">
        <f>E1816*'user input'!$C$21</f>
        <v>0</v>
      </c>
    </row>
    <row r="1817" spans="1:6" x14ac:dyDescent="0.2">
      <c r="A1817" s="1">
        <v>41993</v>
      </c>
      <c r="B1817">
        <v>355</v>
      </c>
      <c r="C1817">
        <f>'weather data'!E1817</f>
        <v>5.52</v>
      </c>
      <c r="D1817">
        <f>LAI!F1817</f>
        <v>0</v>
      </c>
      <c r="E1817">
        <f>0.5*C1817*(1-EXP(-'user input'!$C$19*D1817))</f>
        <v>0</v>
      </c>
      <c r="F1817">
        <f>E1817*'user input'!$C$21</f>
        <v>0</v>
      </c>
    </row>
    <row r="1818" spans="1:6" x14ac:dyDescent="0.2">
      <c r="A1818" s="1">
        <v>41994</v>
      </c>
      <c r="B1818">
        <v>356</v>
      </c>
      <c r="C1818">
        <f>'weather data'!E1818</f>
        <v>4.9644444444444442</v>
      </c>
      <c r="D1818">
        <f>LAI!F1818</f>
        <v>0</v>
      </c>
      <c r="E1818">
        <f>0.5*C1818*(1-EXP(-'user input'!$C$19*D1818))</f>
        <v>0</v>
      </c>
      <c r="F1818">
        <f>E1818*'user input'!$C$21</f>
        <v>0</v>
      </c>
    </row>
    <row r="1819" spans="1:6" x14ac:dyDescent="0.2">
      <c r="A1819" s="1">
        <v>41995</v>
      </c>
      <c r="B1819">
        <v>357</v>
      </c>
      <c r="C1819">
        <f>'weather data'!E1819</f>
        <v>4.83777777777778</v>
      </c>
      <c r="D1819">
        <f>LAI!F1819</f>
        <v>0</v>
      </c>
      <c r="E1819">
        <f>0.5*C1819*(1-EXP(-'user input'!$C$19*D1819))</f>
        <v>0</v>
      </c>
      <c r="F1819">
        <f>E1819*'user input'!$C$21</f>
        <v>0</v>
      </c>
    </row>
    <row r="1820" spans="1:6" x14ac:dyDescent="0.2">
      <c r="A1820" s="1">
        <v>41996</v>
      </c>
      <c r="B1820">
        <v>358</v>
      </c>
      <c r="C1820">
        <f>'weather data'!E1820</f>
        <v>5.028888888888889</v>
      </c>
      <c r="D1820">
        <f>LAI!F1820</f>
        <v>0</v>
      </c>
      <c r="E1820">
        <f>0.5*C1820*(1-EXP(-'user input'!$C$19*D1820))</f>
        <v>0</v>
      </c>
      <c r="F1820">
        <f>E1820*'user input'!$C$21</f>
        <v>0</v>
      </c>
    </row>
    <row r="1821" spans="1:6" x14ac:dyDescent="0.2">
      <c r="A1821" s="1">
        <v>41997</v>
      </c>
      <c r="B1821">
        <v>359</v>
      </c>
      <c r="C1821">
        <f>'weather data'!E1821</f>
        <v>5.6022222222222213</v>
      </c>
      <c r="D1821">
        <f>LAI!F1821</f>
        <v>0</v>
      </c>
      <c r="E1821">
        <f>0.5*C1821*(1-EXP(-'user input'!$C$19*D1821))</f>
        <v>0</v>
      </c>
      <c r="F1821">
        <f>E1821*'user input'!$C$21</f>
        <v>0</v>
      </c>
    </row>
    <row r="1822" spans="1:6" x14ac:dyDescent="0.2">
      <c r="A1822" s="1">
        <v>41998</v>
      </c>
      <c r="B1822">
        <v>360</v>
      </c>
      <c r="C1822">
        <f>'weather data'!E1822</f>
        <v>5.1066666666666656</v>
      </c>
      <c r="D1822">
        <f>LAI!F1822</f>
        <v>0</v>
      </c>
      <c r="E1822">
        <f>0.5*C1822*(1-EXP(-'user input'!$C$19*D1822))</f>
        <v>0</v>
      </c>
      <c r="F1822">
        <f>E1822*'user input'!$C$21</f>
        <v>0</v>
      </c>
    </row>
    <row r="1823" spans="1:6" x14ac:dyDescent="0.2">
      <c r="A1823" s="1">
        <v>41999</v>
      </c>
      <c r="B1823">
        <v>361</v>
      </c>
      <c r="C1823">
        <f>'weather data'!E1823</f>
        <v>5.1711111111111112</v>
      </c>
      <c r="D1823">
        <f>LAI!F1823</f>
        <v>0</v>
      </c>
      <c r="E1823">
        <f>0.5*C1823*(1-EXP(-'user input'!$C$19*D1823))</f>
        <v>0</v>
      </c>
      <c r="F1823">
        <f>E1823*'user input'!$C$21</f>
        <v>0</v>
      </c>
    </row>
    <row r="1824" spans="1:6" x14ac:dyDescent="0.2">
      <c r="A1824" s="1">
        <v>42000</v>
      </c>
      <c r="B1824">
        <v>362</v>
      </c>
      <c r="C1824">
        <f>'weather data'!E1824</f>
        <v>4.5044444444444451</v>
      </c>
      <c r="D1824">
        <f>LAI!F1824</f>
        <v>0</v>
      </c>
      <c r="E1824">
        <f>0.5*C1824*(1-EXP(-'user input'!$C$19*D1824))</f>
        <v>0</v>
      </c>
      <c r="F1824">
        <f>E1824*'user input'!$C$21</f>
        <v>0</v>
      </c>
    </row>
    <row r="1825" spans="1:6" x14ac:dyDescent="0.2">
      <c r="A1825" s="1">
        <v>42001</v>
      </c>
      <c r="B1825">
        <v>363</v>
      </c>
      <c r="C1825">
        <f>'weather data'!E1825</f>
        <v>5.0888888888888868</v>
      </c>
      <c r="D1825">
        <f>LAI!F1825</f>
        <v>0</v>
      </c>
      <c r="E1825">
        <f>0.5*C1825*(1-EXP(-'user input'!$C$19*D1825))</f>
        <v>0</v>
      </c>
      <c r="F1825">
        <f>E1825*'user input'!$C$21</f>
        <v>0</v>
      </c>
    </row>
    <row r="1826" spans="1:6" x14ac:dyDescent="0.2">
      <c r="A1826" s="1">
        <v>42002</v>
      </c>
      <c r="B1826">
        <v>364</v>
      </c>
      <c r="C1826">
        <f>'weather data'!E1826</f>
        <v>4.8688888888888897</v>
      </c>
      <c r="D1826">
        <f>LAI!F1826</f>
        <v>0</v>
      </c>
      <c r="E1826">
        <f>0.5*C1826*(1-EXP(-'user input'!$C$19*D1826))</f>
        <v>0</v>
      </c>
      <c r="F1826">
        <f>E1826*'user input'!$C$21</f>
        <v>0</v>
      </c>
    </row>
    <row r="1827" spans="1:6" x14ac:dyDescent="0.2">
      <c r="A1827" s="1">
        <v>42003</v>
      </c>
      <c r="B1827">
        <v>365</v>
      </c>
      <c r="C1827">
        <f>'weather data'!E1827</f>
        <v>5.3977777777777805</v>
      </c>
      <c r="D1827">
        <f>LAI!F1827</f>
        <v>0</v>
      </c>
      <c r="E1827">
        <f>0.5*C1827*(1-EXP(-'user input'!$C$19*D1827))</f>
        <v>0</v>
      </c>
      <c r="F1827">
        <f>E1827*'user input'!$C$21</f>
        <v>0</v>
      </c>
    </row>
    <row r="1828" spans="1:6" x14ac:dyDescent="0.2">
      <c r="A1828" s="1">
        <v>42004</v>
      </c>
      <c r="B1828">
        <v>1</v>
      </c>
      <c r="C1828">
        <f>'weather data'!E1828</f>
        <v>4.9911111111111106</v>
      </c>
      <c r="D1828">
        <f>LAI!F1828</f>
        <v>0</v>
      </c>
      <c r="E1828">
        <f>0.5*C1828*(1-EXP(-'user input'!$C$19*D1828))</f>
        <v>0</v>
      </c>
      <c r="F1828">
        <f>E1828*'user input'!$C$21</f>
        <v>0</v>
      </c>
    </row>
    <row r="1829" spans="1:6" x14ac:dyDescent="0.2">
      <c r="A1829" s="1">
        <v>42005</v>
      </c>
      <c r="B1829">
        <v>2</v>
      </c>
      <c r="C1829">
        <f>'weather data'!E1829</f>
        <v>5.0022222222222226</v>
      </c>
      <c r="D1829">
        <f>LAI!F1829</f>
        <v>0</v>
      </c>
      <c r="E1829">
        <f>0.5*C1829*(1-EXP(-'user input'!$C$19*D1829))</f>
        <v>0</v>
      </c>
      <c r="F1829">
        <f>E1829*'user input'!$C$21</f>
        <v>0</v>
      </c>
    </row>
    <row r="1830" spans="1:6" x14ac:dyDescent="0.2">
      <c r="A1830" s="1">
        <v>42006</v>
      </c>
      <c r="B1830">
        <v>3</v>
      </c>
      <c r="C1830">
        <f>'weather data'!E1830</f>
        <v>5.4333333333333336</v>
      </c>
      <c r="D1830">
        <f>LAI!F1830</f>
        <v>0</v>
      </c>
      <c r="E1830">
        <f>0.5*C1830*(1-EXP(-'user input'!$C$19*D1830))</f>
        <v>0</v>
      </c>
      <c r="F1830">
        <f>E1830*'user input'!$C$21</f>
        <v>0</v>
      </c>
    </row>
    <row r="1831" spans="1:6" x14ac:dyDescent="0.2">
      <c r="A1831" s="1">
        <v>42007</v>
      </c>
      <c r="B1831">
        <v>4</v>
      </c>
      <c r="C1831">
        <f>'weather data'!E1831</f>
        <v>5.8600000000000012</v>
      </c>
      <c r="D1831">
        <f>LAI!F1831</f>
        <v>0</v>
      </c>
      <c r="E1831">
        <f>0.5*C1831*(1-EXP(-'user input'!$C$19*D1831))</f>
        <v>0</v>
      </c>
      <c r="F1831">
        <f>E1831*'user input'!$C$21</f>
        <v>0</v>
      </c>
    </row>
    <row r="1832" spans="1:6" x14ac:dyDescent="0.2">
      <c r="A1832" s="1">
        <v>42008</v>
      </c>
      <c r="B1832">
        <v>5</v>
      </c>
      <c r="C1832">
        <f>'weather data'!E1832</f>
        <v>5.8844444444444459</v>
      </c>
      <c r="D1832">
        <f>LAI!F1832</f>
        <v>0</v>
      </c>
      <c r="E1832">
        <f>0.5*C1832*(1-EXP(-'user input'!$C$19*D1832))</f>
        <v>0</v>
      </c>
      <c r="F1832">
        <f>E1832*'user input'!$C$21</f>
        <v>0</v>
      </c>
    </row>
    <row r="1833" spans="1:6" x14ac:dyDescent="0.2">
      <c r="A1833" s="1">
        <v>42009</v>
      </c>
      <c r="B1833">
        <v>6</v>
      </c>
      <c r="C1833">
        <f>'weather data'!E1833</f>
        <v>5.9622222222222225</v>
      </c>
      <c r="D1833">
        <f>LAI!F1833</f>
        <v>0</v>
      </c>
      <c r="E1833">
        <f>0.5*C1833*(1-EXP(-'user input'!$C$19*D1833))</f>
        <v>0</v>
      </c>
      <c r="F1833">
        <f>E1833*'user input'!$C$21</f>
        <v>0</v>
      </c>
    </row>
    <row r="1834" spans="1:6" x14ac:dyDescent="0.2">
      <c r="A1834" s="1">
        <v>42010</v>
      </c>
      <c r="B1834">
        <v>7</v>
      </c>
      <c r="C1834">
        <f>'weather data'!E1834</f>
        <v>6.1066666666666682</v>
      </c>
      <c r="D1834">
        <f>LAI!F1834</f>
        <v>0</v>
      </c>
      <c r="E1834">
        <f>0.5*C1834*(1-EXP(-'user input'!$C$19*D1834))</f>
        <v>0</v>
      </c>
      <c r="F1834">
        <f>E1834*'user input'!$C$21</f>
        <v>0</v>
      </c>
    </row>
    <row r="1835" spans="1:6" x14ac:dyDescent="0.2">
      <c r="A1835" s="1">
        <v>42011</v>
      </c>
      <c r="B1835">
        <v>8</v>
      </c>
      <c r="C1835">
        <f>'weather data'!E1835</f>
        <v>6.2755555555555587</v>
      </c>
      <c r="D1835">
        <f>LAI!F1835</f>
        <v>0</v>
      </c>
      <c r="E1835">
        <f>0.5*C1835*(1-EXP(-'user input'!$C$19*D1835))</f>
        <v>0</v>
      </c>
      <c r="F1835">
        <f>E1835*'user input'!$C$21</f>
        <v>0</v>
      </c>
    </row>
    <row r="1836" spans="1:6" x14ac:dyDescent="0.2">
      <c r="A1836" s="1">
        <v>42012</v>
      </c>
      <c r="B1836">
        <v>9</v>
      </c>
      <c r="C1836">
        <f>'weather data'!E1836</f>
        <v>6.2377777777777776</v>
      </c>
      <c r="D1836">
        <f>LAI!F1836</f>
        <v>0</v>
      </c>
      <c r="E1836">
        <f>0.5*C1836*(1-EXP(-'user input'!$C$19*D1836))</f>
        <v>0</v>
      </c>
      <c r="F1836">
        <f>E1836*'user input'!$C$21</f>
        <v>0</v>
      </c>
    </row>
    <row r="1837" spans="1:6" x14ac:dyDescent="0.2">
      <c r="A1837" s="1">
        <v>42013</v>
      </c>
      <c r="B1837">
        <v>10</v>
      </c>
      <c r="C1837">
        <f>'weather data'!E1837</f>
        <v>6.6755555555555537</v>
      </c>
      <c r="D1837">
        <f>LAI!F1837</f>
        <v>0</v>
      </c>
      <c r="E1837">
        <f>0.5*C1837*(1-EXP(-'user input'!$C$19*D1837))</f>
        <v>0</v>
      </c>
      <c r="F1837">
        <f>E1837*'user input'!$C$21</f>
        <v>0</v>
      </c>
    </row>
    <row r="1838" spans="1:6" x14ac:dyDescent="0.2">
      <c r="A1838" s="1">
        <v>42014</v>
      </c>
      <c r="B1838">
        <v>11</v>
      </c>
      <c r="C1838">
        <f>'weather data'!E1838</f>
        <v>5.9155555555555575</v>
      </c>
      <c r="D1838">
        <f>LAI!F1838</f>
        <v>0</v>
      </c>
      <c r="E1838">
        <f>0.5*C1838*(1-EXP(-'user input'!$C$19*D1838))</f>
        <v>0</v>
      </c>
      <c r="F1838">
        <f>E1838*'user input'!$C$21</f>
        <v>0</v>
      </c>
    </row>
    <row r="1839" spans="1:6" x14ac:dyDescent="0.2">
      <c r="A1839" s="1">
        <v>42015</v>
      </c>
      <c r="B1839">
        <v>12</v>
      </c>
      <c r="C1839">
        <f>'weather data'!E1839</f>
        <v>5.7666666666666666</v>
      </c>
      <c r="D1839">
        <f>LAI!F1839</f>
        <v>0</v>
      </c>
      <c r="E1839">
        <f>0.5*C1839*(1-EXP(-'user input'!$C$19*D1839))</f>
        <v>0</v>
      </c>
      <c r="F1839">
        <f>E1839*'user input'!$C$21</f>
        <v>0</v>
      </c>
    </row>
    <row r="1840" spans="1:6" x14ac:dyDescent="0.2">
      <c r="A1840" s="1">
        <v>42016</v>
      </c>
      <c r="B1840">
        <v>13</v>
      </c>
      <c r="C1840">
        <f>'weather data'!E1840</f>
        <v>6.44</v>
      </c>
      <c r="D1840">
        <f>LAI!F1840</f>
        <v>0</v>
      </c>
      <c r="E1840">
        <f>0.5*C1840*(1-EXP(-'user input'!$C$19*D1840))</f>
        <v>0</v>
      </c>
      <c r="F1840">
        <f>E1840*'user input'!$C$21</f>
        <v>0</v>
      </c>
    </row>
    <row r="1841" spans="1:6" x14ac:dyDescent="0.2">
      <c r="A1841" s="1">
        <v>42017</v>
      </c>
      <c r="B1841">
        <v>14</v>
      </c>
      <c r="C1841">
        <f>'weather data'!E1841</f>
        <v>6.0333333333333332</v>
      </c>
      <c r="D1841">
        <f>LAI!F1841</f>
        <v>0</v>
      </c>
      <c r="E1841">
        <f>0.5*C1841*(1-EXP(-'user input'!$C$19*D1841))</f>
        <v>0</v>
      </c>
      <c r="F1841">
        <f>E1841*'user input'!$C$21</f>
        <v>0</v>
      </c>
    </row>
    <row r="1842" spans="1:6" x14ac:dyDescent="0.2">
      <c r="A1842" s="1">
        <v>42018</v>
      </c>
      <c r="B1842">
        <v>15</v>
      </c>
      <c r="C1842">
        <f>'weather data'!E1842</f>
        <v>6.6888888888888864</v>
      </c>
      <c r="D1842">
        <f>LAI!F1842</f>
        <v>0</v>
      </c>
      <c r="E1842">
        <f>0.5*C1842*(1-EXP(-'user input'!$C$19*D1842))</f>
        <v>0</v>
      </c>
      <c r="F1842">
        <f>E1842*'user input'!$C$21</f>
        <v>0</v>
      </c>
    </row>
    <row r="1843" spans="1:6" x14ac:dyDescent="0.2">
      <c r="A1843" s="1">
        <v>42019</v>
      </c>
      <c r="B1843">
        <v>16</v>
      </c>
      <c r="C1843">
        <f>'weather data'!E1843</f>
        <v>6.5733333333333333</v>
      </c>
      <c r="D1843">
        <f>LAI!F1843</f>
        <v>0</v>
      </c>
      <c r="E1843">
        <f>0.5*C1843*(1-EXP(-'user input'!$C$19*D1843))</f>
        <v>0</v>
      </c>
      <c r="F1843">
        <f>E1843*'user input'!$C$21</f>
        <v>0</v>
      </c>
    </row>
    <row r="1844" spans="1:6" x14ac:dyDescent="0.2">
      <c r="A1844" s="1">
        <v>42020</v>
      </c>
      <c r="B1844">
        <v>17</v>
      </c>
      <c r="C1844">
        <f>'weather data'!E1844</f>
        <v>6.46</v>
      </c>
      <c r="D1844">
        <f>LAI!F1844</f>
        <v>0</v>
      </c>
      <c r="E1844">
        <f>0.5*C1844*(1-EXP(-'user input'!$C$19*D1844))</f>
        <v>0</v>
      </c>
      <c r="F1844">
        <f>E1844*'user input'!$C$21</f>
        <v>0</v>
      </c>
    </row>
    <row r="1845" spans="1:6" x14ac:dyDescent="0.2">
      <c r="A1845" s="1">
        <v>42021</v>
      </c>
      <c r="B1845">
        <v>18</v>
      </c>
      <c r="C1845">
        <f>'weather data'!E1845</f>
        <v>6.8355555555555547</v>
      </c>
      <c r="D1845">
        <f>LAI!F1845</f>
        <v>0</v>
      </c>
      <c r="E1845">
        <f>0.5*C1845*(1-EXP(-'user input'!$C$19*D1845))</f>
        <v>0</v>
      </c>
      <c r="F1845">
        <f>E1845*'user input'!$C$21</f>
        <v>0</v>
      </c>
    </row>
    <row r="1846" spans="1:6" x14ac:dyDescent="0.2">
      <c r="A1846" s="1">
        <v>42022</v>
      </c>
      <c r="B1846">
        <v>19</v>
      </c>
      <c r="C1846">
        <f>'weather data'!E1846</f>
        <v>6.5555555555555554</v>
      </c>
      <c r="D1846">
        <f>LAI!F1846</f>
        <v>0</v>
      </c>
      <c r="E1846">
        <f>0.5*C1846*(1-EXP(-'user input'!$C$19*D1846))</f>
        <v>0</v>
      </c>
      <c r="F1846">
        <f>E1846*'user input'!$C$21</f>
        <v>0</v>
      </c>
    </row>
    <row r="1847" spans="1:6" x14ac:dyDescent="0.2">
      <c r="A1847" s="1">
        <v>42023</v>
      </c>
      <c r="B1847">
        <v>20</v>
      </c>
      <c r="C1847">
        <f>'weather data'!E1847</f>
        <v>6.5533333333333337</v>
      </c>
      <c r="D1847">
        <f>LAI!F1847</f>
        <v>0</v>
      </c>
      <c r="E1847">
        <f>0.5*C1847*(1-EXP(-'user input'!$C$19*D1847))</f>
        <v>0</v>
      </c>
      <c r="F1847">
        <f>E1847*'user input'!$C$21</f>
        <v>0</v>
      </c>
    </row>
    <row r="1848" spans="1:6" x14ac:dyDescent="0.2">
      <c r="A1848" s="1">
        <v>42024</v>
      </c>
      <c r="B1848">
        <v>21</v>
      </c>
      <c r="C1848">
        <f>'weather data'!E1848</f>
        <v>6.5222222222222221</v>
      </c>
      <c r="D1848">
        <f>LAI!F1848</f>
        <v>0</v>
      </c>
      <c r="E1848">
        <f>0.5*C1848*(1-EXP(-'user input'!$C$19*D1848))</f>
        <v>0</v>
      </c>
      <c r="F1848">
        <f>E1848*'user input'!$C$21</f>
        <v>0</v>
      </c>
    </row>
    <row r="1849" spans="1:6" x14ac:dyDescent="0.2">
      <c r="A1849" s="1">
        <v>42025</v>
      </c>
      <c r="B1849">
        <v>22</v>
      </c>
      <c r="C1849">
        <f>'weather data'!E1849</f>
        <v>6.1199999999999992</v>
      </c>
      <c r="D1849">
        <f>LAI!F1849</f>
        <v>0</v>
      </c>
      <c r="E1849">
        <f>0.5*C1849*(1-EXP(-'user input'!$C$19*D1849))</f>
        <v>0</v>
      </c>
      <c r="F1849">
        <f>E1849*'user input'!$C$21</f>
        <v>0</v>
      </c>
    </row>
    <row r="1850" spans="1:6" x14ac:dyDescent="0.2">
      <c r="A1850" s="1">
        <v>42026</v>
      </c>
      <c r="B1850">
        <v>23</v>
      </c>
      <c r="C1850">
        <f>'weather data'!E1850</f>
        <v>7.2466666666666661</v>
      </c>
      <c r="D1850">
        <f>LAI!F1850</f>
        <v>0</v>
      </c>
      <c r="E1850">
        <f>0.5*C1850*(1-EXP(-'user input'!$C$19*D1850))</f>
        <v>0</v>
      </c>
      <c r="F1850">
        <f>E1850*'user input'!$C$21</f>
        <v>0</v>
      </c>
    </row>
    <row r="1851" spans="1:6" x14ac:dyDescent="0.2">
      <c r="A1851" s="1">
        <v>42027</v>
      </c>
      <c r="B1851">
        <v>24</v>
      </c>
      <c r="C1851">
        <f>'weather data'!E1851</f>
        <v>6.8688888888888879</v>
      </c>
      <c r="D1851">
        <f>LAI!F1851</f>
        <v>0</v>
      </c>
      <c r="E1851">
        <f>0.5*C1851*(1-EXP(-'user input'!$C$19*D1851))</f>
        <v>0</v>
      </c>
      <c r="F1851">
        <f>E1851*'user input'!$C$21</f>
        <v>0</v>
      </c>
    </row>
    <row r="1852" spans="1:6" x14ac:dyDescent="0.2">
      <c r="A1852" s="1">
        <v>42028</v>
      </c>
      <c r="B1852">
        <v>25</v>
      </c>
      <c r="C1852">
        <f>'weather data'!E1852</f>
        <v>7.0244444444444447</v>
      </c>
      <c r="D1852">
        <f>LAI!F1852</f>
        <v>0</v>
      </c>
      <c r="E1852">
        <f>0.5*C1852*(1-EXP(-'user input'!$C$19*D1852))</f>
        <v>0</v>
      </c>
      <c r="F1852">
        <f>E1852*'user input'!$C$21</f>
        <v>0</v>
      </c>
    </row>
    <row r="1853" spans="1:6" x14ac:dyDescent="0.2">
      <c r="A1853" s="1">
        <v>42029</v>
      </c>
      <c r="B1853">
        <v>26</v>
      </c>
      <c r="C1853">
        <f>'weather data'!E1853</f>
        <v>7.3288888888888888</v>
      </c>
      <c r="D1853">
        <f>LAI!F1853</f>
        <v>0</v>
      </c>
      <c r="E1853">
        <f>0.5*C1853*(1-EXP(-'user input'!$C$19*D1853))</f>
        <v>0</v>
      </c>
      <c r="F1853">
        <f>E1853*'user input'!$C$21</f>
        <v>0</v>
      </c>
    </row>
    <row r="1854" spans="1:6" x14ac:dyDescent="0.2">
      <c r="A1854" s="1">
        <v>42030</v>
      </c>
      <c r="B1854">
        <v>27</v>
      </c>
      <c r="C1854">
        <f>'weather data'!E1854</f>
        <v>7.4177777777777756</v>
      </c>
      <c r="D1854">
        <f>LAI!F1854</f>
        <v>0</v>
      </c>
      <c r="E1854">
        <f>0.5*C1854*(1-EXP(-'user input'!$C$19*D1854))</f>
        <v>0</v>
      </c>
      <c r="F1854">
        <f>E1854*'user input'!$C$21</f>
        <v>0</v>
      </c>
    </row>
    <row r="1855" spans="1:6" x14ac:dyDescent="0.2">
      <c r="A1855" s="1">
        <v>42031</v>
      </c>
      <c r="B1855">
        <v>28</v>
      </c>
      <c r="C1855">
        <f>'weather data'!E1855</f>
        <v>7.677777777777778</v>
      </c>
      <c r="D1855">
        <f>LAI!F1855</f>
        <v>0</v>
      </c>
      <c r="E1855">
        <f>0.5*C1855*(1-EXP(-'user input'!$C$19*D1855))</f>
        <v>0</v>
      </c>
      <c r="F1855">
        <f>E1855*'user input'!$C$21</f>
        <v>0</v>
      </c>
    </row>
    <row r="1856" spans="1:6" x14ac:dyDescent="0.2">
      <c r="A1856" s="1">
        <v>42032</v>
      </c>
      <c r="B1856">
        <v>29</v>
      </c>
      <c r="C1856">
        <f>'weather data'!E1856</f>
        <v>7.3044444444444458</v>
      </c>
      <c r="D1856">
        <f>LAI!F1856</f>
        <v>0</v>
      </c>
      <c r="E1856">
        <f>0.5*C1856*(1-EXP(-'user input'!$C$19*D1856))</f>
        <v>0</v>
      </c>
      <c r="F1856">
        <f>E1856*'user input'!$C$21</f>
        <v>0</v>
      </c>
    </row>
    <row r="1857" spans="1:6" x14ac:dyDescent="0.2">
      <c r="A1857" s="1">
        <v>42033</v>
      </c>
      <c r="B1857">
        <v>30</v>
      </c>
      <c r="C1857">
        <f>'weather data'!E1857</f>
        <v>8</v>
      </c>
      <c r="D1857">
        <f>LAI!F1857</f>
        <v>0</v>
      </c>
      <c r="E1857">
        <f>0.5*C1857*(1-EXP(-'user input'!$C$19*D1857))</f>
        <v>0</v>
      </c>
      <c r="F1857">
        <f>E1857*'user input'!$C$21</f>
        <v>0</v>
      </c>
    </row>
    <row r="1858" spans="1:6" x14ac:dyDescent="0.2">
      <c r="A1858" s="1">
        <v>42034</v>
      </c>
      <c r="B1858">
        <v>31</v>
      </c>
      <c r="C1858">
        <f>'weather data'!E1858</f>
        <v>7.6400000000000041</v>
      </c>
      <c r="D1858">
        <f>LAI!F1858</f>
        <v>0</v>
      </c>
      <c r="E1858">
        <f>0.5*C1858*(1-EXP(-'user input'!$C$19*D1858))</f>
        <v>0</v>
      </c>
      <c r="F1858">
        <f>E1858*'user input'!$C$21</f>
        <v>0</v>
      </c>
    </row>
    <row r="1859" spans="1:6" x14ac:dyDescent="0.2">
      <c r="A1859" s="1">
        <v>42035</v>
      </c>
      <c r="B1859">
        <v>32</v>
      </c>
      <c r="C1859">
        <f>'weather data'!E1859</f>
        <v>7.5244444444444474</v>
      </c>
      <c r="D1859">
        <f>LAI!F1859</f>
        <v>0</v>
      </c>
      <c r="E1859">
        <f>0.5*C1859*(1-EXP(-'user input'!$C$19*D1859))</f>
        <v>0</v>
      </c>
      <c r="F1859">
        <f>E1859*'user input'!$C$21</f>
        <v>0</v>
      </c>
    </row>
    <row r="1860" spans="1:6" x14ac:dyDescent="0.2">
      <c r="A1860" s="1">
        <v>42036</v>
      </c>
      <c r="B1860">
        <v>33</v>
      </c>
      <c r="C1860">
        <f>'weather data'!E1860</f>
        <v>7.8222222222222237</v>
      </c>
      <c r="D1860">
        <f>LAI!F1860</f>
        <v>0</v>
      </c>
      <c r="E1860">
        <f>0.5*C1860*(1-EXP(-'user input'!$C$19*D1860))</f>
        <v>0</v>
      </c>
      <c r="F1860">
        <f>E1860*'user input'!$C$21</f>
        <v>0</v>
      </c>
    </row>
    <row r="1861" spans="1:6" x14ac:dyDescent="0.2">
      <c r="A1861" s="1">
        <v>42037</v>
      </c>
      <c r="B1861">
        <v>34</v>
      </c>
      <c r="C1861">
        <f>'weather data'!E1861</f>
        <v>7.9933333333333367</v>
      </c>
      <c r="D1861">
        <f>LAI!F1861</f>
        <v>0</v>
      </c>
      <c r="E1861">
        <f>0.5*C1861*(1-EXP(-'user input'!$C$19*D1861))</f>
        <v>0</v>
      </c>
      <c r="F1861">
        <f>E1861*'user input'!$C$21</f>
        <v>0</v>
      </c>
    </row>
    <row r="1862" spans="1:6" x14ac:dyDescent="0.2">
      <c r="A1862" s="1">
        <v>42038</v>
      </c>
      <c r="B1862">
        <v>35</v>
      </c>
      <c r="C1862">
        <f>'weather data'!E1862</f>
        <v>8.8044444444444458</v>
      </c>
      <c r="D1862">
        <f>LAI!F1862</f>
        <v>0</v>
      </c>
      <c r="E1862">
        <f>0.5*C1862*(1-EXP(-'user input'!$C$19*D1862))</f>
        <v>0</v>
      </c>
      <c r="F1862">
        <f>E1862*'user input'!$C$21</f>
        <v>0</v>
      </c>
    </row>
    <row r="1863" spans="1:6" x14ac:dyDescent="0.2">
      <c r="A1863" s="1">
        <v>42039</v>
      </c>
      <c r="B1863">
        <v>36</v>
      </c>
      <c r="C1863">
        <f>'weather data'!E1863</f>
        <v>8.4622222222222199</v>
      </c>
      <c r="D1863">
        <f>LAI!F1863</f>
        <v>0</v>
      </c>
      <c r="E1863">
        <f>0.5*C1863*(1-EXP(-'user input'!$C$19*D1863))</f>
        <v>0</v>
      </c>
      <c r="F1863">
        <f>E1863*'user input'!$C$21</f>
        <v>0</v>
      </c>
    </row>
    <row r="1864" spans="1:6" x14ac:dyDescent="0.2">
      <c r="A1864" s="1">
        <v>42040</v>
      </c>
      <c r="B1864">
        <v>37</v>
      </c>
      <c r="C1864">
        <f>'weather data'!E1864</f>
        <v>8.9911111111111115</v>
      </c>
      <c r="D1864">
        <f>LAI!F1864</f>
        <v>0</v>
      </c>
      <c r="E1864">
        <f>0.5*C1864*(1-EXP(-'user input'!$C$19*D1864))</f>
        <v>0</v>
      </c>
      <c r="F1864">
        <f>E1864*'user input'!$C$21</f>
        <v>0</v>
      </c>
    </row>
    <row r="1865" spans="1:6" x14ac:dyDescent="0.2">
      <c r="A1865" s="1">
        <v>42041</v>
      </c>
      <c r="B1865">
        <v>38</v>
      </c>
      <c r="C1865">
        <f>'weather data'!E1865</f>
        <v>9.43333333333333</v>
      </c>
      <c r="D1865">
        <f>LAI!F1865</f>
        <v>0</v>
      </c>
      <c r="E1865">
        <f>0.5*C1865*(1-EXP(-'user input'!$C$19*D1865))</f>
        <v>0</v>
      </c>
      <c r="F1865">
        <f>E1865*'user input'!$C$21</f>
        <v>0</v>
      </c>
    </row>
    <row r="1866" spans="1:6" x14ac:dyDescent="0.2">
      <c r="A1866" s="1">
        <v>42042</v>
      </c>
      <c r="B1866">
        <v>39</v>
      </c>
      <c r="C1866">
        <f>'weather data'!E1866</f>
        <v>9.0800000000000036</v>
      </c>
      <c r="D1866">
        <f>LAI!F1866</f>
        <v>0</v>
      </c>
      <c r="E1866">
        <f>0.5*C1866*(1-EXP(-'user input'!$C$19*D1866))</f>
        <v>0</v>
      </c>
      <c r="F1866">
        <f>E1866*'user input'!$C$21</f>
        <v>0</v>
      </c>
    </row>
    <row r="1867" spans="1:6" x14ac:dyDescent="0.2">
      <c r="A1867" s="1">
        <v>42043</v>
      </c>
      <c r="B1867">
        <v>40</v>
      </c>
      <c r="C1867">
        <f>'weather data'!E1867</f>
        <v>9.9822222222222212</v>
      </c>
      <c r="D1867">
        <f>LAI!F1867</f>
        <v>0</v>
      </c>
      <c r="E1867">
        <f>0.5*C1867*(1-EXP(-'user input'!$C$19*D1867))</f>
        <v>0</v>
      </c>
      <c r="F1867">
        <f>E1867*'user input'!$C$21</f>
        <v>0</v>
      </c>
    </row>
    <row r="1868" spans="1:6" x14ac:dyDescent="0.2">
      <c r="A1868" s="1">
        <v>42044</v>
      </c>
      <c r="B1868">
        <v>41</v>
      </c>
      <c r="C1868">
        <f>'weather data'!E1868</f>
        <v>8.9066666666666627</v>
      </c>
      <c r="D1868">
        <f>LAI!F1868</f>
        <v>0</v>
      </c>
      <c r="E1868">
        <f>0.5*C1868*(1-EXP(-'user input'!$C$19*D1868))</f>
        <v>0</v>
      </c>
      <c r="F1868">
        <f>E1868*'user input'!$C$21</f>
        <v>0</v>
      </c>
    </row>
    <row r="1869" spans="1:6" x14ac:dyDescent="0.2">
      <c r="A1869" s="1">
        <v>42045</v>
      </c>
      <c r="B1869">
        <v>42</v>
      </c>
      <c r="C1869">
        <f>'weather data'!E1869</f>
        <v>9.7333333333333325</v>
      </c>
      <c r="D1869">
        <f>LAI!F1869</f>
        <v>0</v>
      </c>
      <c r="E1869">
        <f>0.5*C1869*(1-EXP(-'user input'!$C$19*D1869))</f>
        <v>0</v>
      </c>
      <c r="F1869">
        <f>E1869*'user input'!$C$21</f>
        <v>0</v>
      </c>
    </row>
    <row r="1870" spans="1:6" x14ac:dyDescent="0.2">
      <c r="A1870" s="1">
        <v>42046</v>
      </c>
      <c r="B1870">
        <v>43</v>
      </c>
      <c r="C1870">
        <f>'weather data'!E1870</f>
        <v>10.073333333333336</v>
      </c>
      <c r="D1870">
        <f>LAI!F1870</f>
        <v>0</v>
      </c>
      <c r="E1870">
        <f>0.5*C1870*(1-EXP(-'user input'!$C$19*D1870))</f>
        <v>0</v>
      </c>
      <c r="F1870">
        <f>E1870*'user input'!$C$21</f>
        <v>0</v>
      </c>
    </row>
    <row r="1871" spans="1:6" x14ac:dyDescent="0.2">
      <c r="A1871" s="1">
        <v>42047</v>
      </c>
      <c r="B1871">
        <v>44</v>
      </c>
      <c r="C1871">
        <f>'weather data'!E1871</f>
        <v>8.4711111111111101</v>
      </c>
      <c r="D1871">
        <f>LAI!F1871</f>
        <v>0</v>
      </c>
      <c r="E1871">
        <f>0.5*C1871*(1-EXP(-'user input'!$C$19*D1871))</f>
        <v>0</v>
      </c>
      <c r="F1871">
        <f>E1871*'user input'!$C$21</f>
        <v>0</v>
      </c>
    </row>
    <row r="1872" spans="1:6" x14ac:dyDescent="0.2">
      <c r="A1872" s="1">
        <v>42048</v>
      </c>
      <c r="B1872">
        <v>45</v>
      </c>
      <c r="C1872">
        <f>'weather data'!E1872</f>
        <v>9.2622222222222241</v>
      </c>
      <c r="D1872">
        <f>LAI!F1872</f>
        <v>0</v>
      </c>
      <c r="E1872">
        <f>0.5*C1872*(1-EXP(-'user input'!$C$19*D1872))</f>
        <v>0</v>
      </c>
      <c r="F1872">
        <f>E1872*'user input'!$C$21</f>
        <v>0</v>
      </c>
    </row>
    <row r="1873" spans="1:6" x14ac:dyDescent="0.2">
      <c r="A1873" s="1">
        <v>42049</v>
      </c>
      <c r="B1873">
        <v>46</v>
      </c>
      <c r="C1873">
        <f>'weather data'!E1873</f>
        <v>9.7844444444444445</v>
      </c>
      <c r="D1873">
        <f>LAI!F1873</f>
        <v>0</v>
      </c>
      <c r="E1873">
        <f>0.5*C1873*(1-EXP(-'user input'!$C$19*D1873))</f>
        <v>0</v>
      </c>
      <c r="F1873">
        <f>E1873*'user input'!$C$21</f>
        <v>0</v>
      </c>
    </row>
    <row r="1874" spans="1:6" x14ac:dyDescent="0.2">
      <c r="A1874" s="1">
        <v>42050</v>
      </c>
      <c r="B1874">
        <v>47</v>
      </c>
      <c r="C1874">
        <f>'weather data'!E1874</f>
        <v>10.419999999999996</v>
      </c>
      <c r="D1874">
        <f>LAI!F1874</f>
        <v>0</v>
      </c>
      <c r="E1874">
        <f>0.5*C1874*(1-EXP(-'user input'!$C$19*D1874))</f>
        <v>0</v>
      </c>
      <c r="F1874">
        <f>E1874*'user input'!$C$21</f>
        <v>0</v>
      </c>
    </row>
    <row r="1875" spans="1:6" x14ac:dyDescent="0.2">
      <c r="A1875" s="1">
        <v>42051</v>
      </c>
      <c r="B1875">
        <v>48</v>
      </c>
      <c r="C1875">
        <f>'weather data'!E1875</f>
        <v>10.89111111111111</v>
      </c>
      <c r="D1875">
        <f>LAI!F1875</f>
        <v>0</v>
      </c>
      <c r="E1875">
        <f>0.5*C1875*(1-EXP(-'user input'!$C$19*D1875))</f>
        <v>0</v>
      </c>
      <c r="F1875">
        <f>E1875*'user input'!$C$21</f>
        <v>0</v>
      </c>
    </row>
    <row r="1876" spans="1:6" x14ac:dyDescent="0.2">
      <c r="A1876" s="1">
        <v>42052</v>
      </c>
      <c r="B1876">
        <v>49</v>
      </c>
      <c r="C1876">
        <f>'weather data'!E1876</f>
        <v>8.7977777777777799</v>
      </c>
      <c r="D1876">
        <f>LAI!F1876</f>
        <v>0</v>
      </c>
      <c r="E1876">
        <f>0.5*C1876*(1-EXP(-'user input'!$C$19*D1876))</f>
        <v>0</v>
      </c>
      <c r="F1876">
        <f>E1876*'user input'!$C$21</f>
        <v>0</v>
      </c>
    </row>
    <row r="1877" spans="1:6" x14ac:dyDescent="0.2">
      <c r="A1877" s="1">
        <v>42053</v>
      </c>
      <c r="B1877">
        <v>50</v>
      </c>
      <c r="C1877">
        <f>'weather data'!E1877</f>
        <v>9.6266666666666687</v>
      </c>
      <c r="D1877">
        <f>LAI!F1877</f>
        <v>0</v>
      </c>
      <c r="E1877">
        <f>0.5*C1877*(1-EXP(-'user input'!$C$19*D1877))</f>
        <v>0</v>
      </c>
      <c r="F1877">
        <f>E1877*'user input'!$C$21</f>
        <v>0</v>
      </c>
    </row>
    <row r="1878" spans="1:6" x14ac:dyDescent="0.2">
      <c r="A1878" s="1">
        <v>42054</v>
      </c>
      <c r="B1878">
        <v>51</v>
      </c>
      <c r="C1878">
        <f>'weather data'!E1878</f>
        <v>10.488888888888887</v>
      </c>
      <c r="D1878">
        <f>LAI!F1878</f>
        <v>0</v>
      </c>
      <c r="E1878">
        <f>0.5*C1878*(1-EXP(-'user input'!$C$19*D1878))</f>
        <v>0</v>
      </c>
      <c r="F1878">
        <f>E1878*'user input'!$C$21</f>
        <v>0</v>
      </c>
    </row>
    <row r="1879" spans="1:6" x14ac:dyDescent="0.2">
      <c r="A1879" s="1">
        <v>42055</v>
      </c>
      <c r="B1879">
        <v>52</v>
      </c>
      <c r="C1879">
        <f>'weather data'!E1879</f>
        <v>10.06</v>
      </c>
      <c r="D1879">
        <f>LAI!F1879</f>
        <v>0</v>
      </c>
      <c r="E1879">
        <f>0.5*C1879*(1-EXP(-'user input'!$C$19*D1879))</f>
        <v>0</v>
      </c>
      <c r="F1879">
        <f>E1879*'user input'!$C$21</f>
        <v>0</v>
      </c>
    </row>
    <row r="1880" spans="1:6" x14ac:dyDescent="0.2">
      <c r="A1880" s="1">
        <v>42056</v>
      </c>
      <c r="B1880">
        <v>53</v>
      </c>
      <c r="C1880">
        <f>'weather data'!E1880</f>
        <v>10.406666666666665</v>
      </c>
      <c r="D1880">
        <f>LAI!F1880</f>
        <v>0</v>
      </c>
      <c r="E1880">
        <f>0.5*C1880*(1-EXP(-'user input'!$C$19*D1880))</f>
        <v>0</v>
      </c>
      <c r="F1880">
        <f>E1880*'user input'!$C$21</f>
        <v>0</v>
      </c>
    </row>
    <row r="1881" spans="1:6" x14ac:dyDescent="0.2">
      <c r="A1881" s="1">
        <v>42057</v>
      </c>
      <c r="B1881">
        <v>54</v>
      </c>
      <c r="C1881">
        <f>'weather data'!E1881</f>
        <v>10.113333333333337</v>
      </c>
      <c r="D1881">
        <f>LAI!F1881</f>
        <v>0</v>
      </c>
      <c r="E1881">
        <f>0.5*C1881*(1-EXP(-'user input'!$C$19*D1881))</f>
        <v>0</v>
      </c>
      <c r="F1881">
        <f>E1881*'user input'!$C$21</f>
        <v>0</v>
      </c>
    </row>
    <row r="1882" spans="1:6" x14ac:dyDescent="0.2">
      <c r="A1882" s="1">
        <v>42058</v>
      </c>
      <c r="B1882">
        <v>55</v>
      </c>
      <c r="C1882">
        <f>'weather data'!E1882</f>
        <v>10.037777777777777</v>
      </c>
      <c r="D1882">
        <f>LAI!F1882</f>
        <v>0</v>
      </c>
      <c r="E1882">
        <f>0.5*C1882*(1-EXP(-'user input'!$C$19*D1882))</f>
        <v>0</v>
      </c>
      <c r="F1882">
        <f>E1882*'user input'!$C$21</f>
        <v>0</v>
      </c>
    </row>
    <row r="1883" spans="1:6" x14ac:dyDescent="0.2">
      <c r="A1883" s="1">
        <v>42059</v>
      </c>
      <c r="B1883">
        <v>56</v>
      </c>
      <c r="C1883">
        <f>'weather data'!E1883</f>
        <v>11.8</v>
      </c>
      <c r="D1883">
        <f>LAI!F1883</f>
        <v>0</v>
      </c>
      <c r="E1883">
        <f>0.5*C1883*(1-EXP(-'user input'!$C$19*D1883))</f>
        <v>0</v>
      </c>
      <c r="F1883">
        <f>E1883*'user input'!$C$21</f>
        <v>0</v>
      </c>
    </row>
    <row r="1884" spans="1:6" x14ac:dyDescent="0.2">
      <c r="A1884" s="1">
        <v>42060</v>
      </c>
      <c r="B1884">
        <v>57</v>
      </c>
      <c r="C1884">
        <f>'weather data'!E1884</f>
        <v>11.313333333333336</v>
      </c>
      <c r="D1884">
        <f>LAI!F1884</f>
        <v>0</v>
      </c>
      <c r="E1884">
        <f>0.5*C1884*(1-EXP(-'user input'!$C$19*D1884))</f>
        <v>0</v>
      </c>
      <c r="F1884">
        <f>E1884*'user input'!$C$21</f>
        <v>0</v>
      </c>
    </row>
    <row r="1885" spans="1:6" x14ac:dyDescent="0.2">
      <c r="A1885" s="1">
        <v>42061</v>
      </c>
      <c r="B1885">
        <v>58</v>
      </c>
      <c r="C1885">
        <f>'weather data'!E1885</f>
        <v>11.128888888888891</v>
      </c>
      <c r="D1885">
        <f>LAI!F1885</f>
        <v>0</v>
      </c>
      <c r="E1885">
        <f>0.5*C1885*(1-EXP(-'user input'!$C$19*D1885))</f>
        <v>0</v>
      </c>
      <c r="F1885">
        <f>E1885*'user input'!$C$21</f>
        <v>0</v>
      </c>
    </row>
    <row r="1886" spans="1:6" x14ac:dyDescent="0.2">
      <c r="A1886" s="1">
        <v>42062</v>
      </c>
      <c r="B1886">
        <v>59</v>
      </c>
      <c r="C1886">
        <f>'weather data'!E1886</f>
        <v>11.87555555555555</v>
      </c>
      <c r="D1886">
        <f>LAI!F1886</f>
        <v>0</v>
      </c>
      <c r="E1886">
        <f>0.5*C1886*(1-EXP(-'user input'!$C$19*D1886))</f>
        <v>0</v>
      </c>
      <c r="F1886">
        <f>E1886*'user input'!$C$21</f>
        <v>0</v>
      </c>
    </row>
    <row r="1887" spans="1:6" x14ac:dyDescent="0.2">
      <c r="A1887" s="1">
        <v>42063</v>
      </c>
      <c r="B1887">
        <v>60</v>
      </c>
      <c r="C1887">
        <f>'weather data'!E1887</f>
        <v>11.59555555555556</v>
      </c>
      <c r="D1887">
        <f>LAI!F1887</f>
        <v>0</v>
      </c>
      <c r="E1887">
        <f>0.5*C1887*(1-EXP(-'user input'!$C$19*D1887))</f>
        <v>0</v>
      </c>
      <c r="F1887">
        <f>E1887*'user input'!$C$21</f>
        <v>0</v>
      </c>
    </row>
    <row r="1888" spans="1:6" x14ac:dyDescent="0.2">
      <c r="A1888" s="1">
        <v>42064</v>
      </c>
      <c r="B1888">
        <v>61</v>
      </c>
      <c r="C1888">
        <f>'weather data'!E1888</f>
        <v>11.271111111111111</v>
      </c>
      <c r="D1888">
        <f>LAI!F1888</f>
        <v>0</v>
      </c>
      <c r="E1888">
        <f>0.5*C1888*(1-EXP(-'user input'!$C$19*D1888))</f>
        <v>0</v>
      </c>
      <c r="F1888">
        <f>E1888*'user input'!$C$21</f>
        <v>0</v>
      </c>
    </row>
    <row r="1889" spans="1:6" x14ac:dyDescent="0.2">
      <c r="A1889" s="1">
        <v>42065</v>
      </c>
      <c r="B1889">
        <v>62</v>
      </c>
      <c r="C1889">
        <f>'weather data'!E1889</f>
        <v>11.388888888888886</v>
      </c>
      <c r="D1889">
        <f>LAI!F1889</f>
        <v>0</v>
      </c>
      <c r="E1889">
        <f>0.5*C1889*(1-EXP(-'user input'!$C$19*D1889))</f>
        <v>0</v>
      </c>
      <c r="F1889">
        <f>E1889*'user input'!$C$21</f>
        <v>0</v>
      </c>
    </row>
    <row r="1890" spans="1:6" x14ac:dyDescent="0.2">
      <c r="A1890" s="1">
        <v>42066</v>
      </c>
      <c r="B1890">
        <v>63</v>
      </c>
      <c r="C1890">
        <f>'weather data'!E1890</f>
        <v>10.191111111111111</v>
      </c>
      <c r="D1890">
        <f>LAI!F1890</f>
        <v>0</v>
      </c>
      <c r="E1890">
        <f>0.5*C1890*(1-EXP(-'user input'!$C$19*D1890))</f>
        <v>0</v>
      </c>
      <c r="F1890">
        <f>E1890*'user input'!$C$21</f>
        <v>0</v>
      </c>
    </row>
    <row r="1891" spans="1:6" x14ac:dyDescent="0.2">
      <c r="A1891" s="1">
        <v>42067</v>
      </c>
      <c r="B1891">
        <v>64</v>
      </c>
      <c r="C1891">
        <f>'weather data'!E1891</f>
        <v>11.199999999999996</v>
      </c>
      <c r="D1891">
        <f>LAI!F1891</f>
        <v>0</v>
      </c>
      <c r="E1891">
        <f>0.5*C1891*(1-EXP(-'user input'!$C$19*D1891))</f>
        <v>0</v>
      </c>
      <c r="F1891">
        <f>E1891*'user input'!$C$21</f>
        <v>0</v>
      </c>
    </row>
    <row r="1892" spans="1:6" x14ac:dyDescent="0.2">
      <c r="A1892" s="1">
        <v>42068</v>
      </c>
      <c r="B1892">
        <v>65</v>
      </c>
      <c r="C1892">
        <f>'weather data'!E1892</f>
        <v>12.780000000000003</v>
      </c>
      <c r="D1892">
        <f>LAI!F1892</f>
        <v>0</v>
      </c>
      <c r="E1892">
        <f>0.5*C1892*(1-EXP(-'user input'!$C$19*D1892))</f>
        <v>0</v>
      </c>
      <c r="F1892">
        <f>E1892*'user input'!$C$21</f>
        <v>0</v>
      </c>
    </row>
    <row r="1893" spans="1:6" x14ac:dyDescent="0.2">
      <c r="A1893" s="1">
        <v>42069</v>
      </c>
      <c r="B1893">
        <v>66</v>
      </c>
      <c r="C1893">
        <f>'weather data'!E1893</f>
        <v>13.068888888888889</v>
      </c>
      <c r="D1893">
        <f>LAI!F1893</f>
        <v>0</v>
      </c>
      <c r="E1893">
        <f>0.5*C1893*(1-EXP(-'user input'!$C$19*D1893))</f>
        <v>0</v>
      </c>
      <c r="F1893">
        <f>E1893*'user input'!$C$21</f>
        <v>0</v>
      </c>
    </row>
    <row r="1894" spans="1:6" x14ac:dyDescent="0.2">
      <c r="A1894" s="1">
        <v>42070</v>
      </c>
      <c r="B1894">
        <v>67</v>
      </c>
      <c r="C1894">
        <f>'weather data'!E1894</f>
        <v>11.393333333333333</v>
      </c>
      <c r="D1894">
        <f>LAI!F1894</f>
        <v>0</v>
      </c>
      <c r="E1894">
        <f>0.5*C1894*(1-EXP(-'user input'!$C$19*D1894))</f>
        <v>0</v>
      </c>
      <c r="F1894">
        <f>E1894*'user input'!$C$21</f>
        <v>0</v>
      </c>
    </row>
    <row r="1895" spans="1:6" x14ac:dyDescent="0.2">
      <c r="A1895" s="1">
        <v>42071</v>
      </c>
      <c r="B1895">
        <v>68</v>
      </c>
      <c r="C1895">
        <f>'weather data'!E1895</f>
        <v>12.291111111111112</v>
      </c>
      <c r="D1895">
        <f>LAI!F1895</f>
        <v>0</v>
      </c>
      <c r="E1895">
        <f>0.5*C1895*(1-EXP(-'user input'!$C$19*D1895))</f>
        <v>0</v>
      </c>
      <c r="F1895">
        <f>E1895*'user input'!$C$21</f>
        <v>0</v>
      </c>
    </row>
    <row r="1896" spans="1:6" x14ac:dyDescent="0.2">
      <c r="A1896" s="1">
        <v>42072</v>
      </c>
      <c r="B1896">
        <v>69</v>
      </c>
      <c r="C1896">
        <f>'weather data'!E1896</f>
        <v>13.813333333333336</v>
      </c>
      <c r="D1896">
        <f>LAI!F1896</f>
        <v>0</v>
      </c>
      <c r="E1896">
        <f>0.5*C1896*(1-EXP(-'user input'!$C$19*D1896))</f>
        <v>0</v>
      </c>
      <c r="F1896">
        <f>E1896*'user input'!$C$21</f>
        <v>0</v>
      </c>
    </row>
    <row r="1897" spans="1:6" x14ac:dyDescent="0.2">
      <c r="A1897" s="1">
        <v>42073</v>
      </c>
      <c r="B1897">
        <v>70</v>
      </c>
      <c r="C1897">
        <f>'weather data'!E1897</f>
        <v>12.808888888888891</v>
      </c>
      <c r="D1897">
        <f>LAI!F1897</f>
        <v>0</v>
      </c>
      <c r="E1897">
        <f>0.5*C1897*(1-EXP(-'user input'!$C$19*D1897))</f>
        <v>0</v>
      </c>
      <c r="F1897">
        <f>E1897*'user input'!$C$21</f>
        <v>0</v>
      </c>
    </row>
    <row r="1898" spans="1:6" x14ac:dyDescent="0.2">
      <c r="A1898" s="1">
        <v>42074</v>
      </c>
      <c r="B1898">
        <v>71</v>
      </c>
      <c r="C1898">
        <f>'weather data'!E1898</f>
        <v>12.691111111111107</v>
      </c>
      <c r="D1898">
        <f>LAI!F1898</f>
        <v>0</v>
      </c>
      <c r="E1898">
        <f>0.5*C1898*(1-EXP(-'user input'!$C$19*D1898))</f>
        <v>0</v>
      </c>
      <c r="F1898">
        <f>E1898*'user input'!$C$21</f>
        <v>0</v>
      </c>
    </row>
    <row r="1899" spans="1:6" x14ac:dyDescent="0.2">
      <c r="A1899" s="1">
        <v>42075</v>
      </c>
      <c r="B1899">
        <v>72</v>
      </c>
      <c r="C1899">
        <f>'weather data'!E1899</f>
        <v>11.371111111111109</v>
      </c>
      <c r="D1899">
        <f>LAI!F1899</f>
        <v>0</v>
      </c>
      <c r="E1899">
        <f>0.5*C1899*(1-EXP(-'user input'!$C$19*D1899))</f>
        <v>0</v>
      </c>
      <c r="F1899">
        <f>E1899*'user input'!$C$21</f>
        <v>0</v>
      </c>
    </row>
    <row r="1900" spans="1:6" x14ac:dyDescent="0.2">
      <c r="A1900" s="1">
        <v>42076</v>
      </c>
      <c r="B1900">
        <v>73</v>
      </c>
      <c r="C1900">
        <f>'weather data'!E1900</f>
        <v>13.164444444444442</v>
      </c>
      <c r="D1900">
        <f>LAI!F1900</f>
        <v>0</v>
      </c>
      <c r="E1900">
        <f>0.5*C1900*(1-EXP(-'user input'!$C$19*D1900))</f>
        <v>0</v>
      </c>
      <c r="F1900">
        <f>E1900*'user input'!$C$21</f>
        <v>0</v>
      </c>
    </row>
    <row r="1901" spans="1:6" x14ac:dyDescent="0.2">
      <c r="A1901" s="1">
        <v>42077</v>
      </c>
      <c r="B1901">
        <v>74</v>
      </c>
      <c r="C1901">
        <f>'weather data'!E1901</f>
        <v>12.719999999999995</v>
      </c>
      <c r="D1901">
        <f>LAI!F1901</f>
        <v>0</v>
      </c>
      <c r="E1901">
        <f>0.5*C1901*(1-EXP(-'user input'!$C$19*D1901))</f>
        <v>0</v>
      </c>
      <c r="F1901">
        <f>E1901*'user input'!$C$21</f>
        <v>0</v>
      </c>
    </row>
    <row r="1902" spans="1:6" x14ac:dyDescent="0.2">
      <c r="A1902" s="1">
        <v>42078</v>
      </c>
      <c r="B1902">
        <v>75</v>
      </c>
      <c r="C1902">
        <f>'weather data'!E1902</f>
        <v>14.366666666666664</v>
      </c>
      <c r="D1902">
        <f>LAI!F1902</f>
        <v>0</v>
      </c>
      <c r="E1902">
        <f>0.5*C1902*(1-EXP(-'user input'!$C$19*D1902))</f>
        <v>0</v>
      </c>
      <c r="F1902">
        <f>E1902*'user input'!$C$21</f>
        <v>0</v>
      </c>
    </row>
    <row r="1903" spans="1:6" x14ac:dyDescent="0.2">
      <c r="A1903" s="1">
        <v>42079</v>
      </c>
      <c r="B1903">
        <v>76</v>
      </c>
      <c r="C1903">
        <f>'weather data'!E1903</f>
        <v>13.237777777777776</v>
      </c>
      <c r="D1903">
        <f>LAI!F1903</f>
        <v>0</v>
      </c>
      <c r="E1903">
        <f>0.5*C1903*(1-EXP(-'user input'!$C$19*D1903))</f>
        <v>0</v>
      </c>
      <c r="F1903">
        <f>E1903*'user input'!$C$21</f>
        <v>0</v>
      </c>
    </row>
    <row r="1904" spans="1:6" x14ac:dyDescent="0.2">
      <c r="A1904" s="1">
        <v>42080</v>
      </c>
      <c r="B1904">
        <v>77</v>
      </c>
      <c r="C1904">
        <f>'weather data'!E1904</f>
        <v>12.584444444444451</v>
      </c>
      <c r="D1904">
        <f>LAI!F1904</f>
        <v>0</v>
      </c>
      <c r="E1904">
        <f>0.5*C1904*(1-EXP(-'user input'!$C$19*D1904))</f>
        <v>0</v>
      </c>
      <c r="F1904">
        <f>E1904*'user input'!$C$21</f>
        <v>0</v>
      </c>
    </row>
    <row r="1905" spans="1:6" x14ac:dyDescent="0.2">
      <c r="A1905" s="1">
        <v>42081</v>
      </c>
      <c r="B1905">
        <v>78</v>
      </c>
      <c r="C1905">
        <f>'weather data'!E1905</f>
        <v>12.284444444444446</v>
      </c>
      <c r="D1905">
        <f>LAI!F1905</f>
        <v>0</v>
      </c>
      <c r="E1905">
        <f>0.5*C1905*(1-EXP(-'user input'!$C$19*D1905))</f>
        <v>0</v>
      </c>
      <c r="F1905">
        <f>E1905*'user input'!$C$21</f>
        <v>0</v>
      </c>
    </row>
    <row r="1906" spans="1:6" x14ac:dyDescent="0.2">
      <c r="A1906" s="1">
        <v>42082</v>
      </c>
      <c r="B1906">
        <v>79</v>
      </c>
      <c r="C1906">
        <f>'weather data'!E1906</f>
        <v>13.337777777777776</v>
      </c>
      <c r="D1906">
        <f>LAI!F1906</f>
        <v>0</v>
      </c>
      <c r="E1906">
        <f>0.5*C1906*(1-EXP(-'user input'!$C$19*D1906))</f>
        <v>0</v>
      </c>
      <c r="F1906">
        <f>E1906*'user input'!$C$21</f>
        <v>0</v>
      </c>
    </row>
    <row r="1907" spans="1:6" x14ac:dyDescent="0.2">
      <c r="A1907" s="1">
        <v>42083</v>
      </c>
      <c r="B1907">
        <v>80</v>
      </c>
      <c r="C1907">
        <f>'weather data'!E1907</f>
        <v>15</v>
      </c>
      <c r="D1907">
        <f>LAI!F1907</f>
        <v>0</v>
      </c>
      <c r="E1907">
        <f>0.5*C1907*(1-EXP(-'user input'!$C$19*D1907))</f>
        <v>0</v>
      </c>
      <c r="F1907">
        <f>E1907*'user input'!$C$21</f>
        <v>0</v>
      </c>
    </row>
    <row r="1908" spans="1:6" x14ac:dyDescent="0.2">
      <c r="A1908" s="1">
        <v>42084</v>
      </c>
      <c r="B1908">
        <v>81</v>
      </c>
      <c r="C1908">
        <f>'weather data'!E1908</f>
        <v>14.926666666666668</v>
      </c>
      <c r="D1908">
        <f>LAI!F1908</f>
        <v>0</v>
      </c>
      <c r="E1908">
        <f>0.5*C1908*(1-EXP(-'user input'!$C$19*D1908))</f>
        <v>0</v>
      </c>
      <c r="F1908">
        <f>E1908*'user input'!$C$21</f>
        <v>0</v>
      </c>
    </row>
    <row r="1909" spans="1:6" x14ac:dyDescent="0.2">
      <c r="A1909" s="1">
        <v>42085</v>
      </c>
      <c r="B1909">
        <v>82</v>
      </c>
      <c r="C1909">
        <f>'weather data'!E1909</f>
        <v>16.43333333333333</v>
      </c>
      <c r="D1909">
        <f>LAI!F1909</f>
        <v>0</v>
      </c>
      <c r="E1909">
        <f>0.5*C1909*(1-EXP(-'user input'!$C$19*D1909))</f>
        <v>0</v>
      </c>
      <c r="F1909">
        <f>E1909*'user input'!$C$21</f>
        <v>0</v>
      </c>
    </row>
    <row r="1910" spans="1:6" x14ac:dyDescent="0.2">
      <c r="A1910" s="1">
        <v>42086</v>
      </c>
      <c r="B1910">
        <v>83</v>
      </c>
      <c r="C1910">
        <f>'weather data'!E1910</f>
        <v>14.304444444444442</v>
      </c>
      <c r="D1910">
        <f>LAI!F1910</f>
        <v>0</v>
      </c>
      <c r="E1910">
        <f>0.5*C1910*(1-EXP(-'user input'!$C$19*D1910))</f>
        <v>0</v>
      </c>
      <c r="F1910">
        <f>E1910*'user input'!$C$21</f>
        <v>0</v>
      </c>
    </row>
    <row r="1911" spans="1:6" x14ac:dyDescent="0.2">
      <c r="A1911" s="1">
        <v>42087</v>
      </c>
      <c r="B1911">
        <v>84</v>
      </c>
      <c r="C1911">
        <f>'weather data'!E1911</f>
        <v>14.604444444444443</v>
      </c>
      <c r="D1911">
        <f>LAI!F1911</f>
        <v>0</v>
      </c>
      <c r="E1911">
        <f>0.5*C1911*(1-EXP(-'user input'!$C$19*D1911))</f>
        <v>0</v>
      </c>
      <c r="F1911">
        <f>E1911*'user input'!$C$21</f>
        <v>0</v>
      </c>
    </row>
    <row r="1912" spans="1:6" x14ac:dyDescent="0.2">
      <c r="A1912" s="1">
        <v>42088</v>
      </c>
      <c r="B1912">
        <v>85</v>
      </c>
      <c r="C1912">
        <f>'weather data'!E1912</f>
        <v>15.69777777777778</v>
      </c>
      <c r="D1912">
        <f>LAI!F1912</f>
        <v>0</v>
      </c>
      <c r="E1912">
        <f>0.5*C1912*(1-EXP(-'user input'!$C$19*D1912))</f>
        <v>0</v>
      </c>
      <c r="F1912">
        <f>E1912*'user input'!$C$21</f>
        <v>0</v>
      </c>
    </row>
    <row r="1913" spans="1:6" x14ac:dyDescent="0.2">
      <c r="A1913" s="1">
        <v>42089</v>
      </c>
      <c r="B1913">
        <v>86</v>
      </c>
      <c r="C1913">
        <f>'weather data'!E1913</f>
        <v>14.977777777777776</v>
      </c>
      <c r="D1913">
        <f>LAI!F1913</f>
        <v>0</v>
      </c>
      <c r="E1913">
        <f>0.5*C1913*(1-EXP(-'user input'!$C$19*D1913))</f>
        <v>0</v>
      </c>
      <c r="F1913">
        <f>E1913*'user input'!$C$21</f>
        <v>0</v>
      </c>
    </row>
    <row r="1914" spans="1:6" x14ac:dyDescent="0.2">
      <c r="A1914" s="1">
        <v>42090</v>
      </c>
      <c r="B1914">
        <v>87</v>
      </c>
      <c r="C1914">
        <f>'weather data'!E1914</f>
        <v>12.684444444444447</v>
      </c>
      <c r="D1914">
        <f>LAI!F1914</f>
        <v>0</v>
      </c>
      <c r="E1914">
        <f>0.5*C1914*(1-EXP(-'user input'!$C$19*D1914))</f>
        <v>0</v>
      </c>
      <c r="F1914">
        <f>E1914*'user input'!$C$21</f>
        <v>0</v>
      </c>
    </row>
    <row r="1915" spans="1:6" x14ac:dyDescent="0.2">
      <c r="A1915" s="1">
        <v>42091</v>
      </c>
      <c r="B1915">
        <v>88</v>
      </c>
      <c r="C1915">
        <f>'weather data'!E1915</f>
        <v>14.022222222222222</v>
      </c>
      <c r="D1915">
        <f>LAI!F1915</f>
        <v>0</v>
      </c>
      <c r="E1915">
        <f>0.5*C1915*(1-EXP(-'user input'!$C$19*D1915))</f>
        <v>0</v>
      </c>
      <c r="F1915">
        <f>E1915*'user input'!$C$21</f>
        <v>0</v>
      </c>
    </row>
    <row r="1916" spans="1:6" x14ac:dyDescent="0.2">
      <c r="A1916" s="1">
        <v>42092</v>
      </c>
      <c r="B1916">
        <v>89</v>
      </c>
      <c r="C1916">
        <f>'weather data'!E1916</f>
        <v>15.895555555555557</v>
      </c>
      <c r="D1916">
        <f>LAI!F1916</f>
        <v>0</v>
      </c>
      <c r="E1916">
        <f>0.5*C1916*(1-EXP(-'user input'!$C$19*D1916))</f>
        <v>0</v>
      </c>
      <c r="F1916">
        <f>E1916*'user input'!$C$21</f>
        <v>0</v>
      </c>
    </row>
    <row r="1917" spans="1:6" x14ac:dyDescent="0.2">
      <c r="A1917" s="1">
        <v>42093</v>
      </c>
      <c r="B1917">
        <v>90</v>
      </c>
      <c r="C1917">
        <f>'weather data'!E1917</f>
        <v>14.608888888888893</v>
      </c>
      <c r="D1917">
        <f>LAI!F1917</f>
        <v>0</v>
      </c>
      <c r="E1917">
        <f>0.5*C1917*(1-EXP(-'user input'!$C$19*D1917))</f>
        <v>0</v>
      </c>
      <c r="F1917">
        <f>E1917*'user input'!$C$21</f>
        <v>0</v>
      </c>
    </row>
    <row r="1918" spans="1:6" x14ac:dyDescent="0.2">
      <c r="A1918" s="1">
        <v>42094</v>
      </c>
      <c r="B1918">
        <v>91</v>
      </c>
      <c r="C1918">
        <f>'weather data'!E1918</f>
        <v>13.344444444444447</v>
      </c>
      <c r="D1918">
        <f>LAI!F1918</f>
        <v>0</v>
      </c>
      <c r="E1918">
        <f>0.5*C1918*(1-EXP(-'user input'!$C$19*D1918))</f>
        <v>0</v>
      </c>
      <c r="F1918">
        <f>E1918*'user input'!$C$21</f>
        <v>0</v>
      </c>
    </row>
    <row r="1919" spans="1:6" x14ac:dyDescent="0.2">
      <c r="A1919" s="1">
        <v>42095</v>
      </c>
      <c r="B1919">
        <v>92</v>
      </c>
      <c r="C1919">
        <f>'weather data'!E1919</f>
        <v>14.593333333333337</v>
      </c>
      <c r="D1919">
        <f>LAI!F1919</f>
        <v>0</v>
      </c>
      <c r="E1919">
        <f>0.5*C1919*(1-EXP(-'user input'!$C$19*D1919))</f>
        <v>0</v>
      </c>
      <c r="F1919">
        <f>E1919*'user input'!$C$21</f>
        <v>0</v>
      </c>
    </row>
    <row r="1920" spans="1:6" x14ac:dyDescent="0.2">
      <c r="A1920" s="1">
        <v>42096</v>
      </c>
      <c r="B1920">
        <v>93</v>
      </c>
      <c r="C1920">
        <f>'weather data'!E1920</f>
        <v>13.820000000000002</v>
      </c>
      <c r="D1920">
        <f>LAI!F1920</f>
        <v>0</v>
      </c>
      <c r="E1920">
        <f>0.5*C1920*(1-EXP(-'user input'!$C$19*D1920))</f>
        <v>0</v>
      </c>
      <c r="F1920">
        <f>E1920*'user input'!$C$21</f>
        <v>0</v>
      </c>
    </row>
    <row r="1921" spans="1:6" x14ac:dyDescent="0.2">
      <c r="A1921" s="1">
        <v>42097</v>
      </c>
      <c r="B1921">
        <v>94</v>
      </c>
      <c r="C1921">
        <f>'weather data'!E1921</f>
        <v>15.273333333333332</v>
      </c>
      <c r="D1921">
        <f>LAI!F1921</f>
        <v>0</v>
      </c>
      <c r="E1921">
        <f>0.5*C1921*(1-EXP(-'user input'!$C$19*D1921))</f>
        <v>0</v>
      </c>
      <c r="F1921">
        <f>E1921*'user input'!$C$21</f>
        <v>0</v>
      </c>
    </row>
    <row r="1922" spans="1:6" x14ac:dyDescent="0.2">
      <c r="A1922" s="1">
        <v>42098</v>
      </c>
      <c r="B1922">
        <v>95</v>
      </c>
      <c r="C1922">
        <f>'weather data'!E1922</f>
        <v>14.677777777777782</v>
      </c>
      <c r="D1922">
        <f>LAI!F1922</f>
        <v>0</v>
      </c>
      <c r="E1922">
        <f>0.5*C1922*(1-EXP(-'user input'!$C$19*D1922))</f>
        <v>0</v>
      </c>
      <c r="F1922">
        <f>E1922*'user input'!$C$21</f>
        <v>0</v>
      </c>
    </row>
    <row r="1923" spans="1:6" x14ac:dyDescent="0.2">
      <c r="A1923" s="1">
        <v>42099</v>
      </c>
      <c r="B1923">
        <v>96</v>
      </c>
      <c r="C1923">
        <f>'weather data'!E1923</f>
        <v>17.008888888888887</v>
      </c>
      <c r="D1923">
        <f>LAI!F1923</f>
        <v>0</v>
      </c>
      <c r="E1923">
        <f>0.5*C1923*(1-EXP(-'user input'!$C$19*D1923))</f>
        <v>0</v>
      </c>
      <c r="F1923">
        <f>E1923*'user input'!$C$21</f>
        <v>0</v>
      </c>
    </row>
    <row r="1924" spans="1:6" x14ac:dyDescent="0.2">
      <c r="A1924" s="1">
        <v>42100</v>
      </c>
      <c r="B1924">
        <v>97</v>
      </c>
      <c r="C1924">
        <f>'weather data'!E1924</f>
        <v>16.526666666666664</v>
      </c>
      <c r="D1924">
        <f>LAI!F1924</f>
        <v>0</v>
      </c>
      <c r="E1924">
        <f>0.5*C1924*(1-EXP(-'user input'!$C$19*D1924))</f>
        <v>0</v>
      </c>
      <c r="F1924">
        <f>E1924*'user input'!$C$21</f>
        <v>0</v>
      </c>
    </row>
    <row r="1925" spans="1:6" x14ac:dyDescent="0.2">
      <c r="A1925" s="1">
        <v>42101</v>
      </c>
      <c r="B1925">
        <v>98</v>
      </c>
      <c r="C1925">
        <f>'weather data'!E1925</f>
        <v>14.875555555555552</v>
      </c>
      <c r="D1925">
        <f>LAI!F1925</f>
        <v>0</v>
      </c>
      <c r="E1925">
        <f>0.5*C1925*(1-EXP(-'user input'!$C$19*D1925))</f>
        <v>0</v>
      </c>
      <c r="F1925">
        <f>E1925*'user input'!$C$21</f>
        <v>0</v>
      </c>
    </row>
    <row r="1926" spans="1:6" x14ac:dyDescent="0.2">
      <c r="A1926" s="1">
        <v>42102</v>
      </c>
      <c r="B1926">
        <v>99</v>
      </c>
      <c r="C1926">
        <f>'weather data'!E1926</f>
        <v>17.475555555555555</v>
      </c>
      <c r="D1926">
        <f>LAI!F1926</f>
        <v>0</v>
      </c>
      <c r="E1926">
        <f>0.5*C1926*(1-EXP(-'user input'!$C$19*D1926))</f>
        <v>0</v>
      </c>
      <c r="F1926">
        <f>E1926*'user input'!$C$21</f>
        <v>0</v>
      </c>
    </row>
    <row r="1927" spans="1:6" x14ac:dyDescent="0.2">
      <c r="A1927" s="1">
        <v>42103</v>
      </c>
      <c r="B1927">
        <v>100</v>
      </c>
      <c r="C1927">
        <f>'weather data'!E1927</f>
        <v>17.055555555555557</v>
      </c>
      <c r="D1927">
        <f>LAI!F1927</f>
        <v>0</v>
      </c>
      <c r="E1927">
        <f>0.5*C1927*(1-EXP(-'user input'!$C$19*D1927))</f>
        <v>0</v>
      </c>
      <c r="F1927">
        <f>E1927*'user input'!$C$21</f>
        <v>0</v>
      </c>
    </row>
    <row r="1928" spans="1:6" x14ac:dyDescent="0.2">
      <c r="A1928" s="1">
        <v>42104</v>
      </c>
      <c r="B1928">
        <v>101</v>
      </c>
      <c r="C1928">
        <f>'weather data'!E1928</f>
        <v>15.882222222222218</v>
      </c>
      <c r="D1928">
        <f>LAI!F1928</f>
        <v>0</v>
      </c>
      <c r="E1928">
        <f>0.5*C1928*(1-EXP(-'user input'!$C$19*D1928))</f>
        <v>0</v>
      </c>
      <c r="F1928">
        <f>E1928*'user input'!$C$21</f>
        <v>0</v>
      </c>
    </row>
    <row r="1929" spans="1:6" x14ac:dyDescent="0.2">
      <c r="A1929" s="1">
        <v>42105</v>
      </c>
      <c r="B1929">
        <v>102</v>
      </c>
      <c r="C1929">
        <f>'weather data'!E1929</f>
        <v>15.497777777777774</v>
      </c>
      <c r="D1929">
        <f>LAI!F1929</f>
        <v>0</v>
      </c>
      <c r="E1929">
        <f>0.5*C1929*(1-EXP(-'user input'!$C$19*D1929))</f>
        <v>0</v>
      </c>
      <c r="F1929">
        <f>E1929*'user input'!$C$21</f>
        <v>0</v>
      </c>
    </row>
    <row r="1930" spans="1:6" x14ac:dyDescent="0.2">
      <c r="A1930" s="1">
        <v>42106</v>
      </c>
      <c r="B1930">
        <v>103</v>
      </c>
      <c r="C1930">
        <f>'weather data'!E1930</f>
        <v>18.066666666666666</v>
      </c>
      <c r="D1930">
        <f>LAI!F1930</f>
        <v>0</v>
      </c>
      <c r="E1930">
        <f>0.5*C1930*(1-EXP(-'user input'!$C$19*D1930))</f>
        <v>0</v>
      </c>
      <c r="F1930">
        <f>E1930*'user input'!$C$21</f>
        <v>0</v>
      </c>
    </row>
    <row r="1931" spans="1:6" x14ac:dyDescent="0.2">
      <c r="A1931" s="1">
        <v>42107</v>
      </c>
      <c r="B1931">
        <v>104</v>
      </c>
      <c r="C1931">
        <f>'weather data'!E1931</f>
        <v>17.306666666666665</v>
      </c>
      <c r="D1931">
        <f>LAI!F1931</f>
        <v>0</v>
      </c>
      <c r="E1931">
        <f>0.5*C1931*(1-EXP(-'user input'!$C$19*D1931))</f>
        <v>0</v>
      </c>
      <c r="F1931">
        <f>E1931*'user input'!$C$21</f>
        <v>0</v>
      </c>
    </row>
    <row r="1932" spans="1:6" x14ac:dyDescent="0.2">
      <c r="A1932" s="1">
        <v>42108</v>
      </c>
      <c r="B1932">
        <v>105</v>
      </c>
      <c r="C1932">
        <f>'weather data'!E1932</f>
        <v>18.091111111111108</v>
      </c>
      <c r="D1932">
        <f>LAI!F1932</f>
        <v>0</v>
      </c>
      <c r="E1932">
        <f>0.5*C1932*(1-EXP(-'user input'!$C$19*D1932))</f>
        <v>0</v>
      </c>
      <c r="F1932">
        <f>E1932*'user input'!$C$21</f>
        <v>0</v>
      </c>
    </row>
    <row r="1933" spans="1:6" x14ac:dyDescent="0.2">
      <c r="A1933" s="1">
        <v>42109</v>
      </c>
      <c r="B1933">
        <v>106</v>
      </c>
      <c r="C1933">
        <f>'weather data'!E1933</f>
        <v>15.755555555555551</v>
      </c>
      <c r="D1933">
        <f>LAI!F1933</f>
        <v>0</v>
      </c>
      <c r="E1933">
        <f>0.5*C1933*(1-EXP(-'user input'!$C$19*D1933))</f>
        <v>0</v>
      </c>
      <c r="F1933">
        <f>E1933*'user input'!$C$21</f>
        <v>0</v>
      </c>
    </row>
    <row r="1934" spans="1:6" x14ac:dyDescent="0.2">
      <c r="A1934" s="1">
        <v>42110</v>
      </c>
      <c r="B1934">
        <v>107</v>
      </c>
      <c r="C1934">
        <f>'weather data'!E1934</f>
        <v>18.606666666666669</v>
      </c>
      <c r="D1934">
        <f>LAI!F1934</f>
        <v>0</v>
      </c>
      <c r="E1934">
        <f>0.5*C1934*(1-EXP(-'user input'!$C$19*D1934))</f>
        <v>0</v>
      </c>
      <c r="F1934">
        <f>E1934*'user input'!$C$21</f>
        <v>0</v>
      </c>
    </row>
    <row r="1935" spans="1:6" x14ac:dyDescent="0.2">
      <c r="A1935" s="1">
        <v>42111</v>
      </c>
      <c r="B1935">
        <v>108</v>
      </c>
      <c r="C1935">
        <f>'weather data'!E1935</f>
        <v>17.028888888888886</v>
      </c>
      <c r="D1935">
        <f>LAI!F1935</f>
        <v>0</v>
      </c>
      <c r="E1935">
        <f>0.5*C1935*(1-EXP(-'user input'!$C$19*D1935))</f>
        <v>0</v>
      </c>
      <c r="F1935">
        <f>E1935*'user input'!$C$21</f>
        <v>0</v>
      </c>
    </row>
    <row r="1936" spans="1:6" x14ac:dyDescent="0.2">
      <c r="A1936" s="1">
        <v>42112</v>
      </c>
      <c r="B1936">
        <v>109</v>
      </c>
      <c r="C1936">
        <f>'weather data'!E1936</f>
        <v>16.00888888888889</v>
      </c>
      <c r="D1936">
        <f>LAI!F1936</f>
        <v>0</v>
      </c>
      <c r="E1936">
        <f>0.5*C1936*(1-EXP(-'user input'!$C$19*D1936))</f>
        <v>0</v>
      </c>
      <c r="F1936">
        <f>E1936*'user input'!$C$21</f>
        <v>0</v>
      </c>
    </row>
    <row r="1937" spans="1:6" x14ac:dyDescent="0.2">
      <c r="A1937" s="1">
        <v>42113</v>
      </c>
      <c r="B1937">
        <v>110</v>
      </c>
      <c r="C1937">
        <f>'weather data'!E1937</f>
        <v>14.822222222222214</v>
      </c>
      <c r="D1937">
        <f>LAI!F1937</f>
        <v>0</v>
      </c>
      <c r="E1937">
        <f>0.5*C1937*(1-EXP(-'user input'!$C$19*D1937))</f>
        <v>0</v>
      </c>
      <c r="F1937">
        <f>E1937*'user input'!$C$21</f>
        <v>0</v>
      </c>
    </row>
    <row r="1938" spans="1:6" x14ac:dyDescent="0.2">
      <c r="A1938" s="1">
        <v>42114</v>
      </c>
      <c r="B1938">
        <v>111</v>
      </c>
      <c r="C1938">
        <f>'weather data'!E1938</f>
        <v>16.506666666666668</v>
      </c>
      <c r="D1938">
        <f>LAI!F1938</f>
        <v>0</v>
      </c>
      <c r="E1938">
        <f>0.5*C1938*(1-EXP(-'user input'!$C$19*D1938))</f>
        <v>0</v>
      </c>
      <c r="F1938">
        <f>E1938*'user input'!$C$21</f>
        <v>0</v>
      </c>
    </row>
    <row r="1939" spans="1:6" x14ac:dyDescent="0.2">
      <c r="A1939" s="1">
        <v>42115</v>
      </c>
      <c r="B1939">
        <v>112</v>
      </c>
      <c r="C1939">
        <f>'weather data'!E1939</f>
        <v>16.88</v>
      </c>
      <c r="D1939">
        <f>LAI!F1939</f>
        <v>0</v>
      </c>
      <c r="E1939">
        <f>0.5*C1939*(1-EXP(-'user input'!$C$19*D1939))</f>
        <v>0</v>
      </c>
      <c r="F1939">
        <f>E1939*'user input'!$C$21</f>
        <v>0</v>
      </c>
    </row>
    <row r="1940" spans="1:6" x14ac:dyDescent="0.2">
      <c r="A1940" s="1">
        <v>42116</v>
      </c>
      <c r="B1940">
        <v>113</v>
      </c>
      <c r="C1940">
        <f>'weather data'!E1940</f>
        <v>17.740000000000009</v>
      </c>
      <c r="D1940">
        <f>LAI!F1940</f>
        <v>0</v>
      </c>
      <c r="E1940">
        <f>0.5*C1940*(1-EXP(-'user input'!$C$19*D1940))</f>
        <v>0</v>
      </c>
      <c r="F1940">
        <f>E1940*'user input'!$C$21</f>
        <v>0</v>
      </c>
    </row>
    <row r="1941" spans="1:6" x14ac:dyDescent="0.2">
      <c r="A1941" s="1">
        <v>42117</v>
      </c>
      <c r="B1941">
        <v>114</v>
      </c>
      <c r="C1941">
        <f>'weather data'!E1941</f>
        <v>19.917777777777768</v>
      </c>
      <c r="D1941">
        <f>LAI!F1941</f>
        <v>0</v>
      </c>
      <c r="E1941">
        <f>0.5*C1941*(1-EXP(-'user input'!$C$19*D1941))</f>
        <v>0</v>
      </c>
      <c r="F1941">
        <f>E1941*'user input'!$C$21</f>
        <v>0</v>
      </c>
    </row>
    <row r="1942" spans="1:6" x14ac:dyDescent="0.2">
      <c r="A1942" s="1">
        <v>42118</v>
      </c>
      <c r="B1942">
        <v>115</v>
      </c>
      <c r="C1942">
        <f>'weather data'!E1942</f>
        <v>19.82888888888888</v>
      </c>
      <c r="D1942">
        <f>LAI!F1942</f>
        <v>0</v>
      </c>
      <c r="E1942">
        <f>0.5*C1942*(1-EXP(-'user input'!$C$19*D1942))</f>
        <v>0</v>
      </c>
      <c r="F1942">
        <f>E1942*'user input'!$C$21</f>
        <v>0</v>
      </c>
    </row>
    <row r="1943" spans="1:6" x14ac:dyDescent="0.2">
      <c r="A1943" s="1">
        <v>42119</v>
      </c>
      <c r="B1943">
        <v>116</v>
      </c>
      <c r="C1943">
        <f>'weather data'!E1943</f>
        <v>19.919999999999998</v>
      </c>
      <c r="D1943">
        <f>LAI!F1943</f>
        <v>0</v>
      </c>
      <c r="E1943">
        <f>0.5*C1943*(1-EXP(-'user input'!$C$19*D1943))</f>
        <v>0</v>
      </c>
      <c r="F1943">
        <f>E1943*'user input'!$C$21</f>
        <v>0</v>
      </c>
    </row>
    <row r="1944" spans="1:6" x14ac:dyDescent="0.2">
      <c r="A1944" s="1">
        <v>42120</v>
      </c>
      <c r="B1944">
        <v>117</v>
      </c>
      <c r="C1944">
        <f>'weather data'!E1944</f>
        <v>18.355555555555554</v>
      </c>
      <c r="D1944">
        <f>LAI!F1944</f>
        <v>0</v>
      </c>
      <c r="E1944">
        <f>0.5*C1944*(1-EXP(-'user input'!$C$19*D1944))</f>
        <v>0</v>
      </c>
      <c r="F1944">
        <f>E1944*'user input'!$C$21</f>
        <v>0</v>
      </c>
    </row>
    <row r="1945" spans="1:6" x14ac:dyDescent="0.2">
      <c r="A1945" s="1">
        <v>42121</v>
      </c>
      <c r="B1945">
        <v>118</v>
      </c>
      <c r="C1945">
        <f>'weather data'!E1945</f>
        <v>18.562222222222225</v>
      </c>
      <c r="D1945">
        <f>LAI!F1945</f>
        <v>0</v>
      </c>
      <c r="E1945">
        <f>0.5*C1945*(1-EXP(-'user input'!$C$19*D1945))</f>
        <v>0</v>
      </c>
      <c r="F1945">
        <f>E1945*'user input'!$C$21</f>
        <v>0</v>
      </c>
    </row>
    <row r="1946" spans="1:6" x14ac:dyDescent="0.2">
      <c r="A1946" s="1">
        <v>42122</v>
      </c>
      <c r="B1946">
        <v>119</v>
      </c>
      <c r="C1946">
        <f>'weather data'!E1946</f>
        <v>18.202222222222229</v>
      </c>
      <c r="D1946">
        <f>LAI!F1946</f>
        <v>0</v>
      </c>
      <c r="E1946">
        <f>0.5*C1946*(1-EXP(-'user input'!$C$19*D1946))</f>
        <v>0</v>
      </c>
      <c r="F1946">
        <f>E1946*'user input'!$C$21</f>
        <v>0</v>
      </c>
    </row>
    <row r="1947" spans="1:6" x14ac:dyDescent="0.2">
      <c r="A1947" s="1">
        <v>42123</v>
      </c>
      <c r="B1947">
        <v>120</v>
      </c>
      <c r="C1947">
        <f>'weather data'!E1947</f>
        <v>17.571111111111119</v>
      </c>
      <c r="D1947">
        <f>LAI!F1947</f>
        <v>0</v>
      </c>
      <c r="E1947">
        <f>0.5*C1947*(1-EXP(-'user input'!$C$19*D1947))</f>
        <v>0</v>
      </c>
      <c r="F1947">
        <f>E1947*'user input'!$C$21</f>
        <v>0</v>
      </c>
    </row>
    <row r="1948" spans="1:6" x14ac:dyDescent="0.2">
      <c r="A1948" s="1">
        <v>42124</v>
      </c>
      <c r="B1948">
        <v>121</v>
      </c>
      <c r="C1948">
        <f>'weather data'!E1948</f>
        <v>19.524444444444448</v>
      </c>
      <c r="D1948">
        <f>LAI!F1948</f>
        <v>6.2260559976962744E-4</v>
      </c>
      <c r="E1948">
        <f>0.5*C1948*(1-EXP(-'user input'!$C$19*D1948))</f>
        <v>3.9499099385146919E-3</v>
      </c>
      <c r="F1948">
        <f>E1948*'user input'!$C$21</f>
        <v>0.15404648760207298</v>
      </c>
    </row>
    <row r="1949" spans="1:6" x14ac:dyDescent="0.2">
      <c r="A1949" s="1">
        <v>42125</v>
      </c>
      <c r="B1949">
        <v>122</v>
      </c>
      <c r="C1949">
        <f>'weather data'!E1949</f>
        <v>19.262222222222217</v>
      </c>
      <c r="D1949">
        <f>LAI!F1949</f>
        <v>1.116154309459268E-3</v>
      </c>
      <c r="E1949">
        <f>0.5*C1949*(1-EXP(-'user input'!$C$19*D1949))</f>
        <v>6.9848399533879498E-3</v>
      </c>
      <c r="F1949">
        <f>E1949*'user input'!$C$21</f>
        <v>0.27240875818213006</v>
      </c>
    </row>
    <row r="1950" spans="1:6" x14ac:dyDescent="0.2">
      <c r="A1950" s="1">
        <v>42126</v>
      </c>
      <c r="B1950">
        <v>123</v>
      </c>
      <c r="C1950">
        <f>'weather data'!E1950</f>
        <v>21.293333333333326</v>
      </c>
      <c r="D1950">
        <f>LAI!F1950</f>
        <v>1.8212844064969575E-3</v>
      </c>
      <c r="E1950">
        <f>0.5*C1950*(1-EXP(-'user input'!$C$19*D1950))</f>
        <v>1.2596437665602355E-2</v>
      </c>
      <c r="F1950">
        <f>E1950*'user input'!$C$21</f>
        <v>0.49126106895849181</v>
      </c>
    </row>
    <row r="1951" spans="1:6" x14ac:dyDescent="0.2">
      <c r="A1951" s="1">
        <v>42127</v>
      </c>
      <c r="B1951">
        <v>124</v>
      </c>
      <c r="C1951">
        <f>'weather data'!E1951</f>
        <v>20.195555555555561</v>
      </c>
      <c r="D1951">
        <f>LAI!F1951</f>
        <v>3.1436691642178641E-3</v>
      </c>
      <c r="E1951">
        <f>0.5*C1951*(1-EXP(-'user input'!$C$19*D1951))</f>
        <v>2.061258031717635E-2</v>
      </c>
      <c r="F1951">
        <f>E1951*'user input'!$C$21</f>
        <v>0.80389063236987768</v>
      </c>
    </row>
    <row r="1952" spans="1:6" x14ac:dyDescent="0.2">
      <c r="A1952" s="1">
        <v>42128</v>
      </c>
      <c r="B1952">
        <v>125</v>
      </c>
      <c r="C1952">
        <f>'weather data'!E1952</f>
        <v>19.100000000000005</v>
      </c>
      <c r="D1952">
        <f>LAI!F1952</f>
        <v>4.8693627840105773E-3</v>
      </c>
      <c r="E1952">
        <f>0.5*C1952*(1-EXP(-'user input'!$C$19*D1952))</f>
        <v>3.0178785065895723E-2</v>
      </c>
      <c r="F1952">
        <f>E1952*'user input'!$C$21</f>
        <v>1.1769726175699331</v>
      </c>
    </row>
    <row r="1953" spans="1:6" x14ac:dyDescent="0.2">
      <c r="A1953" s="1">
        <v>42129</v>
      </c>
      <c r="B1953">
        <v>126</v>
      </c>
      <c r="C1953">
        <f>'weather data'!E1953</f>
        <v>20.082222222222224</v>
      </c>
      <c r="D1953">
        <f>LAI!F1953</f>
        <v>6.418457387594001E-3</v>
      </c>
      <c r="E1953">
        <f>0.5*C1953*(1-EXP(-'user input'!$C$19*D1953))</f>
        <v>4.1804224273075202E-2</v>
      </c>
      <c r="F1953">
        <f>E1953*'user input'!$C$21</f>
        <v>1.6303647466499329</v>
      </c>
    </row>
    <row r="1954" spans="1:6" x14ac:dyDescent="0.2">
      <c r="A1954" s="1">
        <v>42130</v>
      </c>
      <c r="B1954">
        <v>127</v>
      </c>
      <c r="C1954">
        <f>'weather data'!E1954</f>
        <v>17.606666666666673</v>
      </c>
      <c r="D1954">
        <f>LAI!F1954</f>
        <v>6.8374327655873045E-3</v>
      </c>
      <c r="E1954">
        <f>0.5*C1954*(1-EXP(-'user input'!$C$19*D1954))</f>
        <v>3.9038116438493413E-2</v>
      </c>
      <c r="F1954">
        <f>E1954*'user input'!$C$21</f>
        <v>1.5224865411012432</v>
      </c>
    </row>
    <row r="1955" spans="1:6" x14ac:dyDescent="0.2">
      <c r="A1955" s="1">
        <v>42131</v>
      </c>
      <c r="B1955">
        <v>128</v>
      </c>
      <c r="C1955">
        <f>'weather data'!E1955</f>
        <v>18.580000000000002</v>
      </c>
      <c r="D1955">
        <f>LAI!F1955</f>
        <v>8.8930480112781492E-3</v>
      </c>
      <c r="E1955">
        <f>0.5*C1955*(1-EXP(-'user input'!$C$19*D1955))</f>
        <v>5.3545761185048495E-2</v>
      </c>
      <c r="F1955">
        <f>E1955*'user input'!$C$21</f>
        <v>2.0882846862168911</v>
      </c>
    </row>
    <row r="1956" spans="1:6" x14ac:dyDescent="0.2">
      <c r="A1956" s="1">
        <v>42132</v>
      </c>
      <c r="B1956">
        <v>129</v>
      </c>
      <c r="C1956">
        <f>'weather data'!E1956</f>
        <v>20.891111111111112</v>
      </c>
      <c r="D1956">
        <f>LAI!F1956</f>
        <v>1.2807709881920874E-2</v>
      </c>
      <c r="E1956">
        <f>0.5*C1956*(1-EXP(-'user input'!$C$19*D1956))</f>
        <v>8.6598402828622148E-2</v>
      </c>
      <c r="F1956">
        <f>E1956*'user input'!$C$21</f>
        <v>3.3773377103162638</v>
      </c>
    </row>
    <row r="1957" spans="1:6" x14ac:dyDescent="0.2">
      <c r="A1957" s="1">
        <v>42133</v>
      </c>
      <c r="B1957">
        <v>130</v>
      </c>
      <c r="C1957">
        <f>'weather data'!E1957</f>
        <v>21.2911111111111</v>
      </c>
      <c r="D1957">
        <f>LAI!F1957</f>
        <v>1.6074736210926869E-2</v>
      </c>
      <c r="E1957">
        <f>0.5*C1957*(1-EXP(-'user input'!$C$19*D1957))</f>
        <v>0.11065183939716583</v>
      </c>
      <c r="F1957">
        <f>E1957*'user input'!$C$21</f>
        <v>4.3154217364894674</v>
      </c>
    </row>
    <row r="1958" spans="1:6" x14ac:dyDescent="0.2">
      <c r="A1958" s="1">
        <v>42134</v>
      </c>
      <c r="B1958">
        <v>131</v>
      </c>
      <c r="C1958">
        <f>'weather data'!E1958</f>
        <v>17.644444444444446</v>
      </c>
      <c r="D1958">
        <f>LAI!F1958</f>
        <v>1.9050151455590022E-2</v>
      </c>
      <c r="E1958">
        <f>0.5*C1958*(1-EXP(-'user input'!$C$19*D1958))</f>
        <v>0.10856846808950625</v>
      </c>
      <c r="F1958">
        <f>E1958*'user input'!$C$21</f>
        <v>4.2341702554907439</v>
      </c>
    </row>
    <row r="1959" spans="1:6" x14ac:dyDescent="0.2">
      <c r="A1959" s="1">
        <v>42135</v>
      </c>
      <c r="B1959">
        <v>132</v>
      </c>
      <c r="C1959">
        <f>'weather data'!E1959</f>
        <v>19.975555555555552</v>
      </c>
      <c r="D1959">
        <f>LAI!F1959</f>
        <v>2.0393324148011982E-2</v>
      </c>
      <c r="E1959">
        <f>0.5*C1959*(1-EXP(-'user input'!$C$19*D1959))</f>
        <v>0.13152096884463582</v>
      </c>
      <c r="F1959">
        <f>E1959*'user input'!$C$21</f>
        <v>5.1293177849407972</v>
      </c>
    </row>
    <row r="1960" spans="1:6" x14ac:dyDescent="0.2">
      <c r="A1960" s="1">
        <v>42136</v>
      </c>
      <c r="B1960">
        <v>133</v>
      </c>
      <c r="C1960">
        <f>'weather data'!E1960</f>
        <v>19.571111111111115</v>
      </c>
      <c r="D1960">
        <f>LAI!F1960</f>
        <v>2.2382710722133197E-2</v>
      </c>
      <c r="E1960">
        <f>0.5*C1960*(1-EXP(-'user input'!$C$19*D1960))</f>
        <v>0.14133708568931985</v>
      </c>
      <c r="F1960">
        <f>E1960*'user input'!$C$21</f>
        <v>5.512146341883474</v>
      </c>
    </row>
    <row r="1961" spans="1:6" x14ac:dyDescent="0.2">
      <c r="A1961" s="1">
        <v>42137</v>
      </c>
      <c r="B1961">
        <v>134</v>
      </c>
      <c r="C1961">
        <f>'weather data'!E1961</f>
        <v>18.477777777777774</v>
      </c>
      <c r="D1961">
        <f>LAI!F1961</f>
        <v>2.2826145931022647E-2</v>
      </c>
      <c r="E1961">
        <f>0.5*C1961*(1-EXP(-'user input'!$C$19*D1961))</f>
        <v>0.13606544965276973</v>
      </c>
      <c r="F1961">
        <f>E1961*'user input'!$C$21</f>
        <v>5.3065525364580193</v>
      </c>
    </row>
    <row r="1962" spans="1:6" x14ac:dyDescent="0.2">
      <c r="A1962" s="1">
        <v>42138</v>
      </c>
      <c r="B1962">
        <v>135</v>
      </c>
      <c r="C1962">
        <f>'weather data'!E1962</f>
        <v>19.902222222222221</v>
      </c>
      <c r="D1962">
        <f>LAI!F1962</f>
        <v>2.4820417575887876E-2</v>
      </c>
      <c r="E1962">
        <f>0.5*C1962*(1-EXP(-'user input'!$C$19*D1962))</f>
        <v>0.15925586321842206</v>
      </c>
      <c r="F1962">
        <f>E1962*'user input'!$C$21</f>
        <v>6.2109786655184598</v>
      </c>
    </row>
    <row r="1963" spans="1:6" x14ac:dyDescent="0.2">
      <c r="A1963" s="1">
        <v>42139</v>
      </c>
      <c r="B1963">
        <v>136</v>
      </c>
      <c r="C1963">
        <f>'weather data'!E1963</f>
        <v>20.839999999999996</v>
      </c>
      <c r="D1963">
        <f>LAI!F1963</f>
        <v>2.7274456541703903E-2</v>
      </c>
      <c r="E1963">
        <f>0.5*C1963*(1-EXP(-'user input'!$C$19*D1963))</f>
        <v>0.18310204563898075</v>
      </c>
      <c r="F1963">
        <f>E1963*'user input'!$C$21</f>
        <v>7.140979779920249</v>
      </c>
    </row>
    <row r="1964" spans="1:6" x14ac:dyDescent="0.2">
      <c r="A1964" s="1">
        <v>42140</v>
      </c>
      <c r="B1964">
        <v>137</v>
      </c>
      <c r="C1964">
        <f>'weather data'!E1964</f>
        <v>20.335555555555548</v>
      </c>
      <c r="D1964">
        <f>LAI!F1964</f>
        <v>3.2907135994966634E-2</v>
      </c>
      <c r="E1964">
        <f>0.5*C1964*(1-EXP(-'user input'!$C$19*D1964))</f>
        <v>0.21517562178780505</v>
      </c>
      <c r="F1964">
        <f>E1964*'user input'!$C$21</f>
        <v>8.3918492497243964</v>
      </c>
    </row>
    <row r="1965" spans="1:6" x14ac:dyDescent="0.2">
      <c r="A1965" s="1">
        <v>42141</v>
      </c>
      <c r="B1965">
        <v>138</v>
      </c>
      <c r="C1965">
        <f>'weather data'!E1965</f>
        <v>19.555555555555557</v>
      </c>
      <c r="D1965">
        <f>LAI!F1965</f>
        <v>4.1656388377986714E-2</v>
      </c>
      <c r="E1965">
        <f>0.5*C1965*(1-EXP(-'user input'!$C$19*D1965))</f>
        <v>0.26119735777325342</v>
      </c>
      <c r="F1965">
        <f>E1965*'user input'!$C$21</f>
        <v>10.186696953156883</v>
      </c>
    </row>
    <row r="1966" spans="1:6" x14ac:dyDescent="0.2">
      <c r="A1966" s="1">
        <v>42142</v>
      </c>
      <c r="B1966">
        <v>139</v>
      </c>
      <c r="C1966">
        <f>'weather data'!E1966</f>
        <v>21.506666666666671</v>
      </c>
      <c r="D1966">
        <f>LAI!F1966</f>
        <v>5.1558719448012061E-2</v>
      </c>
      <c r="E1966">
        <f>0.5*C1966*(1-EXP(-'user input'!$C$19*D1966))</f>
        <v>0.35440645146462951</v>
      </c>
      <c r="F1966">
        <f>E1966*'user input'!$C$21</f>
        <v>13.821851607120552</v>
      </c>
    </row>
    <row r="1967" spans="1:6" x14ac:dyDescent="0.2">
      <c r="A1967" s="1">
        <v>42143</v>
      </c>
      <c r="B1967">
        <v>140</v>
      </c>
      <c r="C1967">
        <f>'weather data'!E1967</f>
        <v>22.404444444444444</v>
      </c>
      <c r="D1967">
        <f>LAI!F1967</f>
        <v>5.4087753277226244E-2</v>
      </c>
      <c r="E1967">
        <f>0.5*C1967*(1-EXP(-'user input'!$C$19*D1967))</f>
        <v>0.38699432307990739</v>
      </c>
      <c r="F1967">
        <f>E1967*'user input'!$C$21</f>
        <v>15.092778600116388</v>
      </c>
    </row>
    <row r="1968" spans="1:6" x14ac:dyDescent="0.2">
      <c r="A1968" s="1">
        <v>42144</v>
      </c>
      <c r="B1968">
        <v>141</v>
      </c>
      <c r="C1968">
        <f>'weather data'!E1968</f>
        <v>22.526666666666674</v>
      </c>
      <c r="D1968">
        <f>LAI!F1968</f>
        <v>5.6714733615763305E-2</v>
      </c>
      <c r="E1968">
        <f>0.5*C1968*(1-EXP(-'user input'!$C$19*D1968))</f>
        <v>0.4076577852820264</v>
      </c>
      <c r="F1968">
        <f>E1968*'user input'!$C$21</f>
        <v>15.89865362599903</v>
      </c>
    </row>
    <row r="1969" spans="1:6" x14ac:dyDescent="0.2">
      <c r="A1969" s="1">
        <v>42145</v>
      </c>
      <c r="B1969">
        <v>142</v>
      </c>
      <c r="C1969">
        <f>'weather data'!E1969</f>
        <v>20.664444444444445</v>
      </c>
      <c r="D1969">
        <f>LAI!F1969</f>
        <v>5.7312131200790824E-2</v>
      </c>
      <c r="E1969">
        <f>0.5*C1969*(1-EXP(-'user input'!$C$19*D1969))</f>
        <v>0.37782388068397338</v>
      </c>
      <c r="F1969">
        <f>E1969*'user input'!$C$21</f>
        <v>14.735131346674962</v>
      </c>
    </row>
    <row r="1970" spans="1:6" x14ac:dyDescent="0.2">
      <c r="A1970" s="1">
        <v>42146</v>
      </c>
      <c r="B1970">
        <v>143</v>
      </c>
      <c r="C1970">
        <f>'weather data'!E1970</f>
        <v>19.966666666666665</v>
      </c>
      <c r="D1970">
        <f>LAI!F1970</f>
        <v>6.5216023461571113E-2</v>
      </c>
      <c r="E1970">
        <f>0.5*C1970*(1-EXP(-'user input'!$C$19*D1970))</f>
        <v>0.41435329571820811</v>
      </c>
      <c r="F1970">
        <f>E1970*'user input'!$C$21</f>
        <v>16.159778533010115</v>
      </c>
    </row>
    <row r="1971" spans="1:6" x14ac:dyDescent="0.2">
      <c r="A1971" s="1">
        <v>42147</v>
      </c>
      <c r="B1971">
        <v>144</v>
      </c>
      <c r="C1971">
        <f>'weather data'!E1971</f>
        <v>21.091111111111118</v>
      </c>
      <c r="D1971">
        <f>LAI!F1971</f>
        <v>7.3611475644935878E-2</v>
      </c>
      <c r="E1971">
        <f>0.5*C1971*(1-EXP(-'user input'!$C$19*D1971))</f>
        <v>0.49269689759370744</v>
      </c>
      <c r="F1971">
        <f>E1971*'user input'!$C$21</f>
        <v>19.215179006154589</v>
      </c>
    </row>
    <row r="1972" spans="1:6" x14ac:dyDescent="0.2">
      <c r="A1972" s="1">
        <v>42148</v>
      </c>
      <c r="B1972">
        <v>145</v>
      </c>
      <c r="C1972">
        <f>'weather data'!E1972</f>
        <v>21.435555555555553</v>
      </c>
      <c r="D1972">
        <f>LAI!F1972</f>
        <v>8.5325200849382443E-2</v>
      </c>
      <c r="E1972">
        <f>0.5*C1972*(1-EXP(-'user input'!$C$19*D1972))</f>
        <v>0.57823955716542241</v>
      </c>
      <c r="F1972">
        <f>E1972*'user input'!$C$21</f>
        <v>22.551342729451473</v>
      </c>
    </row>
    <row r="1973" spans="1:6" x14ac:dyDescent="0.2">
      <c r="A1973" s="1">
        <v>42149</v>
      </c>
      <c r="B1973">
        <v>146</v>
      </c>
      <c r="C1973">
        <f>'weather data'!E1973</f>
        <v>22.319999999999986</v>
      </c>
      <c r="D1973">
        <f>LAI!F1973</f>
        <v>9.5761752172444745E-2</v>
      </c>
      <c r="E1973">
        <f>0.5*C1973*(1-EXP(-'user input'!$C$19*D1973))</f>
        <v>0.67347795312710079</v>
      </c>
      <c r="F1973">
        <f>E1973*'user input'!$C$21</f>
        <v>26.265640171956932</v>
      </c>
    </row>
    <row r="1974" spans="1:6" x14ac:dyDescent="0.2">
      <c r="A1974" s="1">
        <v>42150</v>
      </c>
      <c r="B1974">
        <v>147</v>
      </c>
      <c r="C1974">
        <f>'weather data'!E1974</f>
        <v>21.086666666666666</v>
      </c>
      <c r="D1974">
        <f>LAI!F1974</f>
        <v>0.11549076016614498</v>
      </c>
      <c r="E1974">
        <f>0.5*C1974*(1-EXP(-'user input'!$C$19*D1974))</f>
        <v>0.76249935233841648</v>
      </c>
      <c r="F1974">
        <f>E1974*'user input'!$C$21</f>
        <v>29.737474741198241</v>
      </c>
    </row>
    <row r="1975" spans="1:6" x14ac:dyDescent="0.2">
      <c r="A1975" s="1">
        <v>42151</v>
      </c>
      <c r="B1975">
        <v>148</v>
      </c>
      <c r="C1975">
        <f>'weather data'!E1975</f>
        <v>19.986666666666665</v>
      </c>
      <c r="D1975">
        <f>LAI!F1975</f>
        <v>0.1342033256686023</v>
      </c>
      <c r="E1975">
        <f>0.5*C1975*(1-EXP(-'user input'!$C$19*D1975))</f>
        <v>0.83480006498854376</v>
      </c>
      <c r="F1975">
        <f>E1975*'user input'!$C$21</f>
        <v>32.557202534553205</v>
      </c>
    </row>
    <row r="1976" spans="1:6" x14ac:dyDescent="0.2">
      <c r="A1976" s="1">
        <v>42152</v>
      </c>
      <c r="B1976">
        <v>149</v>
      </c>
      <c r="C1976">
        <f>'weather data'!E1976</f>
        <v>20.988888888888894</v>
      </c>
      <c r="D1976">
        <f>LAI!F1976</f>
        <v>0.15468980257909642</v>
      </c>
      <c r="E1976">
        <f>0.5*C1976*(1-EXP(-'user input'!$C$19*D1976))</f>
        <v>1.0038842112578319</v>
      </c>
      <c r="F1976">
        <f>E1976*'user input'!$C$21</f>
        <v>39.151484239055442</v>
      </c>
    </row>
    <row r="1977" spans="1:6" x14ac:dyDescent="0.2">
      <c r="A1977" s="1">
        <v>42153</v>
      </c>
      <c r="B1977">
        <v>150</v>
      </c>
      <c r="C1977">
        <f>'weather data'!E1977</f>
        <v>21.175555555555562</v>
      </c>
      <c r="D1977">
        <f>LAI!F1977</f>
        <v>0.18155004416966802</v>
      </c>
      <c r="E1977">
        <f>0.5*C1977*(1-EXP(-'user input'!$C$19*D1977))</f>
        <v>1.1785323004557593</v>
      </c>
      <c r="F1977">
        <f>E1977*'user input'!$C$21</f>
        <v>45.96275971777461</v>
      </c>
    </row>
    <row r="1978" spans="1:6" x14ac:dyDescent="0.2">
      <c r="A1978" s="1">
        <v>42154</v>
      </c>
      <c r="B1978">
        <v>151</v>
      </c>
      <c r="C1978">
        <f>'weather data'!E1978</f>
        <v>21.524444444444448</v>
      </c>
      <c r="D1978">
        <f>LAI!F1978</f>
        <v>0.21481802534958688</v>
      </c>
      <c r="E1978">
        <f>0.5*C1978*(1-EXP(-'user input'!$C$19*D1978))</f>
        <v>1.4025493234953799</v>
      </c>
      <c r="F1978">
        <f>E1978*'user input'!$C$21</f>
        <v>54.699423616319812</v>
      </c>
    </row>
    <row r="1979" spans="1:6" x14ac:dyDescent="0.2">
      <c r="A1979" s="1">
        <v>42155</v>
      </c>
      <c r="B1979">
        <v>152</v>
      </c>
      <c r="C1979">
        <f>'weather data'!E1979</f>
        <v>22.935555555555549</v>
      </c>
      <c r="D1979">
        <f>LAI!F1979</f>
        <v>0.2285195104900781</v>
      </c>
      <c r="E1979">
        <f>0.5*C1979*(1-EXP(-'user input'!$C$19*D1979))</f>
        <v>1.5829257373225718</v>
      </c>
      <c r="F1979">
        <f>E1979*'user input'!$C$21</f>
        <v>61.7341037555803</v>
      </c>
    </row>
    <row r="1980" spans="1:6" x14ac:dyDescent="0.2">
      <c r="A1980" s="1">
        <v>42156</v>
      </c>
      <c r="B1980">
        <v>153</v>
      </c>
      <c r="C1980">
        <f>'weather data'!E1980</f>
        <v>22.097777777777782</v>
      </c>
      <c r="D1980">
        <f>LAI!F1980</f>
        <v>0.24096560259576821</v>
      </c>
      <c r="E1980">
        <f>0.5*C1980*(1-EXP(-'user input'!$C$19*D1980))</f>
        <v>1.601841678408799</v>
      </c>
      <c r="F1980">
        <f>E1980*'user input'!$C$21</f>
        <v>62.471825457943162</v>
      </c>
    </row>
    <row r="1981" spans="1:6" x14ac:dyDescent="0.2">
      <c r="A1981" s="1">
        <v>42157</v>
      </c>
      <c r="B1981">
        <v>154</v>
      </c>
      <c r="C1981">
        <f>'weather data'!E1981</f>
        <v>23.393333333333331</v>
      </c>
      <c r="D1981">
        <f>LAI!F1981</f>
        <v>0.25910625224187533</v>
      </c>
      <c r="E1981">
        <f>0.5*C1981*(1-EXP(-'user input'!$C$19*D1981))</f>
        <v>1.8129874086939375</v>
      </c>
      <c r="F1981">
        <f>E1981*'user input'!$C$21</f>
        <v>70.706508939063568</v>
      </c>
    </row>
    <row r="1982" spans="1:6" x14ac:dyDescent="0.2">
      <c r="A1982" s="1">
        <v>42158</v>
      </c>
      <c r="B1982">
        <v>155</v>
      </c>
      <c r="C1982">
        <f>'weather data'!E1982</f>
        <v>22.279999999999998</v>
      </c>
      <c r="D1982">
        <f>LAI!F1982</f>
        <v>0.28276617292026512</v>
      </c>
      <c r="E1982">
        <f>0.5*C1982*(1-EXP(-'user input'!$C$19*D1982))</f>
        <v>1.8703629827031292</v>
      </c>
      <c r="F1982">
        <f>E1982*'user input'!$C$21</f>
        <v>72.944156325422043</v>
      </c>
    </row>
    <row r="1983" spans="1:6" x14ac:dyDescent="0.2">
      <c r="A1983" s="1">
        <v>42159</v>
      </c>
      <c r="B1983">
        <v>156</v>
      </c>
      <c r="C1983">
        <f>'weather data'!E1983</f>
        <v>21.313333333333325</v>
      </c>
      <c r="D1983">
        <f>LAI!F1983</f>
        <v>0.32148193157905597</v>
      </c>
      <c r="E1983">
        <f>0.5*C1983*(1-EXP(-'user input'!$C$19*D1983))</f>
        <v>2.0095803786968229</v>
      </c>
      <c r="F1983">
        <f>E1983*'user input'!$C$21</f>
        <v>78.373634769176093</v>
      </c>
    </row>
    <row r="1984" spans="1:6" x14ac:dyDescent="0.2">
      <c r="A1984" s="1">
        <v>42160</v>
      </c>
      <c r="B1984">
        <v>157</v>
      </c>
      <c r="C1984">
        <f>'weather data'!E1984</f>
        <v>22.002222222222226</v>
      </c>
      <c r="D1984">
        <f>LAI!F1984</f>
        <v>0.37113971475211288</v>
      </c>
      <c r="E1984">
        <f>0.5*C1984*(1-EXP(-'user input'!$C$19*D1984))</f>
        <v>2.3580616865029929</v>
      </c>
      <c r="F1984">
        <f>E1984*'user input'!$C$21</f>
        <v>91.964405773616718</v>
      </c>
    </row>
    <row r="1985" spans="1:6" x14ac:dyDescent="0.2">
      <c r="A1985" s="1">
        <v>42161</v>
      </c>
      <c r="B1985">
        <v>158</v>
      </c>
      <c r="C1985">
        <f>'weather data'!E1985</f>
        <v>22.086666666666659</v>
      </c>
      <c r="D1985">
        <f>LAI!F1985</f>
        <v>0.4024977793627833</v>
      </c>
      <c r="E1985">
        <f>0.5*C1985*(1-EXP(-'user input'!$C$19*D1985))</f>
        <v>2.5421669890458083</v>
      </c>
      <c r="F1985">
        <f>E1985*'user input'!$C$21</f>
        <v>99.144512572786525</v>
      </c>
    </row>
    <row r="1986" spans="1:6" x14ac:dyDescent="0.2">
      <c r="A1986" s="1">
        <v>42162</v>
      </c>
      <c r="B1986">
        <v>159</v>
      </c>
      <c r="C1986">
        <f>'weather data'!E1986</f>
        <v>23.813333333333325</v>
      </c>
      <c r="D1986">
        <f>LAI!F1986</f>
        <v>0.44687230562565716</v>
      </c>
      <c r="E1986">
        <f>0.5*C1986*(1-EXP(-'user input'!$C$19*D1986))</f>
        <v>3.0015014600917205</v>
      </c>
      <c r="F1986">
        <f>E1986*'user input'!$C$21</f>
        <v>117.0585569435771</v>
      </c>
    </row>
    <row r="1987" spans="1:6" x14ac:dyDescent="0.2">
      <c r="A1987" s="1">
        <v>42163</v>
      </c>
      <c r="B1987">
        <v>160</v>
      </c>
      <c r="C1987">
        <f>'weather data'!E1987</f>
        <v>21.76222222222221</v>
      </c>
      <c r="D1987">
        <f>LAI!F1987</f>
        <v>0.52100448695080015</v>
      </c>
      <c r="E1987">
        <f>0.5*C1987*(1-EXP(-'user input'!$C$19*D1987))</f>
        <v>3.1258191511919486</v>
      </c>
      <c r="F1987">
        <f>E1987*'user input'!$C$21</f>
        <v>121.90694689648599</v>
      </c>
    </row>
    <row r="1988" spans="1:6" x14ac:dyDescent="0.2">
      <c r="A1988" s="1">
        <v>42164</v>
      </c>
      <c r="B1988">
        <v>161</v>
      </c>
      <c r="C1988">
        <f>'weather data'!E1988</f>
        <v>23.468888888888888</v>
      </c>
      <c r="D1988">
        <f>LAI!F1988</f>
        <v>0.58018020819027039</v>
      </c>
      <c r="E1988">
        <f>0.5*C1988*(1-EXP(-'user input'!$C$19*D1988))</f>
        <v>3.6865431304989769</v>
      </c>
      <c r="F1988">
        <f>E1988*'user input'!$C$21</f>
        <v>143.77518208946009</v>
      </c>
    </row>
    <row r="1989" spans="1:6" x14ac:dyDescent="0.2">
      <c r="A1989" s="1">
        <v>42165</v>
      </c>
      <c r="B1989">
        <v>162</v>
      </c>
      <c r="C1989">
        <f>'weather data'!E1989</f>
        <v>20.566666666666666</v>
      </c>
      <c r="D1989">
        <f>LAI!F1989</f>
        <v>0.66040841627734537</v>
      </c>
      <c r="E1989">
        <f>0.5*C1989*(1-EXP(-'user input'!$C$19*D1989))</f>
        <v>3.5890161084439183</v>
      </c>
      <c r="F1989">
        <f>E1989*'user input'!$C$21</f>
        <v>139.97162822931281</v>
      </c>
    </row>
    <row r="1990" spans="1:6" x14ac:dyDescent="0.2">
      <c r="A1990" s="1">
        <v>42166</v>
      </c>
      <c r="B1990">
        <v>163</v>
      </c>
      <c r="C1990">
        <f>'weather data'!E1990</f>
        <v>21.984444444444435</v>
      </c>
      <c r="D1990">
        <f>LAI!F1990</f>
        <v>0.74746542306134423</v>
      </c>
      <c r="E1990">
        <f>0.5*C1990*(1-EXP(-'user input'!$C$19*D1990))</f>
        <v>4.2301091422214689</v>
      </c>
      <c r="F1990">
        <f>E1990*'user input'!$C$21</f>
        <v>164.97425654663729</v>
      </c>
    </row>
    <row r="1991" spans="1:6" x14ac:dyDescent="0.2">
      <c r="A1991" s="1">
        <v>42167</v>
      </c>
      <c r="B1991">
        <v>164</v>
      </c>
      <c r="C1991">
        <f>'weather data'!E1991</f>
        <v>23.388888888888882</v>
      </c>
      <c r="D1991">
        <f>LAI!F1991</f>
        <v>0.79815100464008382</v>
      </c>
      <c r="E1991">
        <f>0.5*C1991*(1-EXP(-'user input'!$C$19*D1991))</f>
        <v>4.7334959554889631</v>
      </c>
      <c r="F1991">
        <f>E1991*'user input'!$C$21</f>
        <v>184.60634226406955</v>
      </c>
    </row>
    <row r="1992" spans="1:6" x14ac:dyDescent="0.2">
      <c r="A1992" s="1">
        <v>42168</v>
      </c>
      <c r="B1992">
        <v>165</v>
      </c>
      <c r="C1992">
        <f>'weather data'!E1992</f>
        <v>21.657777777777785</v>
      </c>
      <c r="D1992">
        <f>LAI!F1992</f>
        <v>0.85804271233172646</v>
      </c>
      <c r="E1992">
        <f>0.5*C1992*(1-EXP(-'user input'!$C$19*D1992))</f>
        <v>4.6292583668019356</v>
      </c>
      <c r="F1992">
        <f>E1992*'user input'!$C$21</f>
        <v>180.54107630527548</v>
      </c>
    </row>
    <row r="1993" spans="1:6" x14ac:dyDescent="0.2">
      <c r="A1993" s="1">
        <v>42169</v>
      </c>
      <c r="B1993">
        <v>166</v>
      </c>
      <c r="C1993">
        <f>'weather data'!E1993</f>
        <v>20.875555555555547</v>
      </c>
      <c r="D1993">
        <f>LAI!F1993</f>
        <v>0.93803653195268422</v>
      </c>
      <c r="E1993">
        <f>0.5*C1993*(1-EXP(-'user input'!$C$19*D1993))</f>
        <v>4.7648351930752089</v>
      </c>
      <c r="F1993">
        <f>E1993*'user input'!$C$21</f>
        <v>185.82857252993315</v>
      </c>
    </row>
    <row r="1994" spans="1:6" x14ac:dyDescent="0.2">
      <c r="A1994" s="1">
        <v>42170</v>
      </c>
      <c r="B1994">
        <v>167</v>
      </c>
      <c r="C1994">
        <f>'weather data'!E1994</f>
        <v>21.88</v>
      </c>
      <c r="D1994">
        <f>LAI!F1994</f>
        <v>1.0615332702396263</v>
      </c>
      <c r="E1994">
        <f>0.5*C1994*(1-EXP(-'user input'!$C$19*D1994))</f>
        <v>5.4527392885420012</v>
      </c>
      <c r="F1994">
        <f>E1994*'user input'!$C$21</f>
        <v>212.65683225313805</v>
      </c>
    </row>
    <row r="1995" spans="1:6" x14ac:dyDescent="0.2">
      <c r="A1995" s="1">
        <v>42171</v>
      </c>
      <c r="B1995">
        <v>168</v>
      </c>
      <c r="C1995">
        <f>'weather data'!E1995</f>
        <v>23.36666666666666</v>
      </c>
      <c r="D1995">
        <f>LAI!F1995</f>
        <v>1.1517897531177015</v>
      </c>
      <c r="E1995">
        <f>0.5*C1995*(1-EXP(-'user input'!$C$19*D1995))</f>
        <v>6.1571357267556914</v>
      </c>
      <c r="F1995">
        <f>E1995*'user input'!$C$21</f>
        <v>240.12829334347197</v>
      </c>
    </row>
    <row r="1996" spans="1:6" x14ac:dyDescent="0.2">
      <c r="A1996" s="1">
        <v>42172</v>
      </c>
      <c r="B1996">
        <v>169</v>
      </c>
      <c r="C1996">
        <f>'weather data'!E1996</f>
        <v>21.613333333333337</v>
      </c>
      <c r="D1996">
        <f>LAI!F1996</f>
        <v>1.2414419737107265</v>
      </c>
      <c r="E1996">
        <f>0.5*C1996*(1-EXP(-'user input'!$C$19*D1996))</f>
        <v>5.9844874538585131</v>
      </c>
      <c r="F1996">
        <f>E1996*'user input'!$C$21</f>
        <v>233.395010700482</v>
      </c>
    </row>
    <row r="1997" spans="1:6" x14ac:dyDescent="0.2">
      <c r="A1997" s="1">
        <v>42173</v>
      </c>
      <c r="B1997">
        <v>170</v>
      </c>
      <c r="C1997">
        <f>'weather data'!E1997</f>
        <v>23.11333333333333</v>
      </c>
      <c r="D1997">
        <f>LAI!F1997</f>
        <v>1.3382923698400397</v>
      </c>
      <c r="E1997">
        <f>0.5*C1997*(1-EXP(-'user input'!$C$19*D1997))</f>
        <v>6.7144508436666834</v>
      </c>
      <c r="F1997">
        <f>E1997*'user input'!$C$21</f>
        <v>261.86358290300063</v>
      </c>
    </row>
    <row r="1998" spans="1:6" x14ac:dyDescent="0.2">
      <c r="A1998" s="1">
        <v>42174</v>
      </c>
      <c r="B1998">
        <v>171</v>
      </c>
      <c r="C1998">
        <f>'weather data'!E1998</f>
        <v>23.373333333333328</v>
      </c>
      <c r="D1998">
        <f>LAI!F1998</f>
        <v>1.4273709072404197</v>
      </c>
      <c r="E1998">
        <f>0.5*C1998*(1-EXP(-'user input'!$C$19*D1998))</f>
        <v>7.0654523894842756</v>
      </c>
      <c r="F1998">
        <f>E1998*'user input'!$C$21</f>
        <v>275.55264318988674</v>
      </c>
    </row>
    <row r="1999" spans="1:6" x14ac:dyDescent="0.2">
      <c r="A1999" s="1">
        <v>42175</v>
      </c>
      <c r="B1999">
        <v>172</v>
      </c>
      <c r="C1999">
        <f>'weather data'!E1999</f>
        <v>22.980000000000004</v>
      </c>
      <c r="D1999">
        <f>LAI!F1999</f>
        <v>1.5108035566991169</v>
      </c>
      <c r="E1999">
        <f>0.5*C1999*(1-EXP(-'user input'!$C$19*D1999))</f>
        <v>7.1863875269930881</v>
      </c>
      <c r="F1999">
        <f>E1999*'user input'!$C$21</f>
        <v>280.26911355273046</v>
      </c>
    </row>
    <row r="2000" spans="1:6" x14ac:dyDescent="0.2">
      <c r="A2000" s="1">
        <v>42176</v>
      </c>
      <c r="B2000">
        <v>173</v>
      </c>
      <c r="C2000">
        <f>'weather data'!E2000</f>
        <v>22.42444444444444</v>
      </c>
      <c r="D2000">
        <f>LAI!F2000</f>
        <v>1.5938141415619169</v>
      </c>
      <c r="E2000">
        <f>0.5*C2000*(1-EXP(-'user input'!$C$19*D2000))</f>
        <v>7.2332431927695229</v>
      </c>
      <c r="F2000">
        <f>E2000*'user input'!$C$21</f>
        <v>282.09648451801138</v>
      </c>
    </row>
    <row r="2001" spans="1:6" x14ac:dyDescent="0.2">
      <c r="A2001" s="1">
        <v>42177</v>
      </c>
      <c r="B2001">
        <v>174</v>
      </c>
      <c r="C2001">
        <f>'weather data'!E2001</f>
        <v>22.90444444444444</v>
      </c>
      <c r="D2001">
        <f>LAI!F2001</f>
        <v>1.7178603818705414</v>
      </c>
      <c r="E2001">
        <f>0.5*C2001*(1-EXP(-'user input'!$C$19*D2001))</f>
        <v>7.7029020224189999</v>
      </c>
      <c r="F2001">
        <f>E2001*'user input'!$C$21</f>
        <v>300.41317887434099</v>
      </c>
    </row>
    <row r="2002" spans="1:6" x14ac:dyDescent="0.2">
      <c r="A2002" s="1">
        <v>42178</v>
      </c>
      <c r="B2002">
        <v>175</v>
      </c>
      <c r="C2002">
        <f>'weather data'!E2002</f>
        <v>23.068888888888885</v>
      </c>
      <c r="D2002">
        <f>LAI!F2002</f>
        <v>1.8166321403440959</v>
      </c>
      <c r="E2002">
        <f>0.5*C2002*(1-EXP(-'user input'!$C$19*D2002))</f>
        <v>7.9930277734230293</v>
      </c>
      <c r="F2002">
        <f>E2002*'user input'!$C$21</f>
        <v>311.72808316349813</v>
      </c>
    </row>
    <row r="2003" spans="1:6" x14ac:dyDescent="0.2">
      <c r="A2003" s="1">
        <v>42179</v>
      </c>
      <c r="B2003">
        <v>176</v>
      </c>
      <c r="C2003">
        <f>'weather data'!E2003</f>
        <v>23.437777777777779</v>
      </c>
      <c r="D2003">
        <f>LAI!F2003</f>
        <v>1.9016623615172321</v>
      </c>
      <c r="E2003">
        <f>0.5*C2003*(1-EXP(-'user input'!$C$19*D2003))</f>
        <v>8.3143093791816014</v>
      </c>
      <c r="F2003">
        <f>E2003*'user input'!$C$21</f>
        <v>324.25806578808243</v>
      </c>
    </row>
    <row r="2004" spans="1:6" x14ac:dyDescent="0.2">
      <c r="A2004" s="1">
        <v>42180</v>
      </c>
      <c r="B2004">
        <v>177</v>
      </c>
      <c r="C2004">
        <f>'weather data'!E2004</f>
        <v>24.166666666666679</v>
      </c>
      <c r="D2004">
        <f>LAI!F2004</f>
        <v>1.9935738573768853</v>
      </c>
      <c r="E2004">
        <f>0.5*C2004*(1-EXP(-'user input'!$C$19*D2004))</f>
        <v>8.7764568430522854</v>
      </c>
      <c r="F2004">
        <f>E2004*'user input'!$C$21</f>
        <v>342.28181687903913</v>
      </c>
    </row>
    <row r="2005" spans="1:6" x14ac:dyDescent="0.2">
      <c r="A2005" s="1">
        <v>42181</v>
      </c>
      <c r="B2005">
        <v>178</v>
      </c>
      <c r="C2005">
        <f>'weather data'!E2005</f>
        <v>24.371111111111112</v>
      </c>
      <c r="D2005">
        <f>LAI!F2005</f>
        <v>2.0856418638304235</v>
      </c>
      <c r="E2005">
        <f>0.5*C2005*(1-EXP(-'user input'!$C$19*D2005))</f>
        <v>9.0444209690214592</v>
      </c>
      <c r="F2005">
        <f>E2005*'user input'!$C$21</f>
        <v>352.73241779183689</v>
      </c>
    </row>
    <row r="2006" spans="1:6" x14ac:dyDescent="0.2">
      <c r="A2006" s="1">
        <v>42182</v>
      </c>
      <c r="B2006">
        <v>179</v>
      </c>
      <c r="C2006">
        <f>'weather data'!E2006</f>
        <v>22.171111111111113</v>
      </c>
      <c r="D2006">
        <f>LAI!F2006</f>
        <v>2.15432266776283</v>
      </c>
      <c r="E2006">
        <f>0.5*C2006*(1-EXP(-'user input'!$C$19*D2006))</f>
        <v>8.3527377897529078</v>
      </c>
      <c r="F2006">
        <f>E2006*'user input'!$C$21</f>
        <v>325.75677380036342</v>
      </c>
    </row>
    <row r="2007" spans="1:6" x14ac:dyDescent="0.2">
      <c r="A2007" s="1">
        <v>42183</v>
      </c>
      <c r="B2007">
        <v>180</v>
      </c>
      <c r="C2007">
        <f>'weather data'!E2007</f>
        <v>22.31111111111111</v>
      </c>
      <c r="D2007">
        <f>LAI!F2007</f>
        <v>2.2255459218372646</v>
      </c>
      <c r="E2007">
        <f>0.5*C2007*(1-EXP(-'user input'!$C$19*D2007))</f>
        <v>8.5298942749813769</v>
      </c>
      <c r="F2007">
        <f>E2007*'user input'!$C$21</f>
        <v>332.66587672427369</v>
      </c>
    </row>
    <row r="2008" spans="1:6" x14ac:dyDescent="0.2">
      <c r="A2008" s="1">
        <v>42184</v>
      </c>
      <c r="B2008">
        <v>181</v>
      </c>
      <c r="C2008">
        <f>'weather data'!E2008</f>
        <v>25.455555555555552</v>
      </c>
      <c r="D2008">
        <f>LAI!F2008</f>
        <v>2.286153969651521</v>
      </c>
      <c r="E2008">
        <f>0.5*C2008*(1-EXP(-'user input'!$C$19*D2008))</f>
        <v>9.8477879811909084</v>
      </c>
      <c r="F2008">
        <f>E2008*'user input'!$C$21</f>
        <v>384.06373126644542</v>
      </c>
    </row>
    <row r="2009" spans="1:6" x14ac:dyDescent="0.2">
      <c r="A2009" s="1">
        <v>42185</v>
      </c>
      <c r="B2009">
        <v>182</v>
      </c>
      <c r="C2009">
        <f>'weather data'!E2009</f>
        <v>25.371111111111109</v>
      </c>
      <c r="D2009">
        <f>LAI!F2009</f>
        <v>2.3499997054536279</v>
      </c>
      <c r="E2009">
        <f>0.5*C2009*(1-EXP(-'user input'!$C$19*D2009))</f>
        <v>9.9318040116025568</v>
      </c>
      <c r="F2009">
        <f>E2009*'user input'!$C$21</f>
        <v>387.34035645249969</v>
      </c>
    </row>
    <row r="2010" spans="1:6" x14ac:dyDescent="0.2">
      <c r="A2010" s="1">
        <v>42186</v>
      </c>
      <c r="B2010">
        <v>183</v>
      </c>
      <c r="C2010">
        <f>'weather data'!E2010</f>
        <v>23.746666666666659</v>
      </c>
      <c r="D2010">
        <f>LAI!F2010</f>
        <v>2.4036168428388929</v>
      </c>
      <c r="E2010">
        <f>0.5*C2010*(1-EXP(-'user input'!$C$19*D2010))</f>
        <v>9.3841764766819011</v>
      </c>
      <c r="F2010">
        <f>E2010*'user input'!$C$21</f>
        <v>365.98288259059416</v>
      </c>
    </row>
    <row r="2011" spans="1:6" x14ac:dyDescent="0.2">
      <c r="A2011" s="1">
        <v>42187</v>
      </c>
      <c r="B2011">
        <v>184</v>
      </c>
      <c r="C2011">
        <f>'weather data'!E2011</f>
        <v>22.228888888888893</v>
      </c>
      <c r="D2011">
        <f>LAI!F2011</f>
        <v>2.4373920390328498</v>
      </c>
      <c r="E2011">
        <f>0.5*C2011*(1-EXP(-'user input'!$C$19*D2011))</f>
        <v>8.83497950831417</v>
      </c>
      <c r="F2011">
        <f>E2011*'user input'!$C$21</f>
        <v>344.56420082425262</v>
      </c>
    </row>
    <row r="2012" spans="1:6" x14ac:dyDescent="0.2">
      <c r="A2012" s="1">
        <v>42188</v>
      </c>
      <c r="B2012">
        <v>185</v>
      </c>
      <c r="C2012">
        <f>'weather data'!E2012</f>
        <v>22.664444444444449</v>
      </c>
      <c r="D2012">
        <f>LAI!F2012</f>
        <v>2.4721314971306385</v>
      </c>
      <c r="E2012">
        <f>0.5*C2012*(1-EXP(-'user input'!$C$19*D2012))</f>
        <v>9.0599854267408872</v>
      </c>
      <c r="F2012">
        <f>E2012*'user input'!$C$21</f>
        <v>353.33943164289462</v>
      </c>
    </row>
    <row r="2013" spans="1:6" x14ac:dyDescent="0.2">
      <c r="A2013" s="1">
        <v>42189</v>
      </c>
      <c r="B2013">
        <v>186</v>
      </c>
      <c r="C2013">
        <f>'weather data'!E2013</f>
        <v>24.606666666666666</v>
      </c>
      <c r="D2013">
        <f>LAI!F2013</f>
        <v>2.5086301216678266</v>
      </c>
      <c r="E2013">
        <f>0.5*C2013*(1-EXP(-'user input'!$C$19*D2013))</f>
        <v>9.8942154685423969</v>
      </c>
      <c r="F2013">
        <f>E2013*'user input'!$C$21</f>
        <v>385.87440327315346</v>
      </c>
    </row>
    <row r="2014" spans="1:6" x14ac:dyDescent="0.2">
      <c r="A2014" s="1">
        <v>42190</v>
      </c>
      <c r="B2014">
        <v>187</v>
      </c>
      <c r="C2014">
        <f>'weather data'!E2014</f>
        <v>23.071111111111112</v>
      </c>
      <c r="D2014">
        <f>LAI!F2014</f>
        <v>2.5569872896229122</v>
      </c>
      <c r="E2014">
        <f>0.5*C2014*(1-EXP(-'user input'!$C$19*D2014))</f>
        <v>9.3466704832094649</v>
      </c>
      <c r="F2014">
        <f>E2014*'user input'!$C$21</f>
        <v>364.52014884516916</v>
      </c>
    </row>
    <row r="2015" spans="1:6" x14ac:dyDescent="0.2">
      <c r="A2015" s="1">
        <v>42191</v>
      </c>
      <c r="B2015">
        <v>188</v>
      </c>
      <c r="C2015">
        <f>'weather data'!E2015</f>
        <v>23.468888888888888</v>
      </c>
      <c r="D2015">
        <f>LAI!F2015</f>
        <v>2.6016385910446993</v>
      </c>
      <c r="E2015">
        <f>0.5*C2015*(1-EXP(-'user input'!$C$19*D2015))</f>
        <v>9.5715152701311119</v>
      </c>
      <c r="F2015">
        <f>E2015*'user input'!$C$21</f>
        <v>373.28909553511335</v>
      </c>
    </row>
    <row r="2016" spans="1:6" x14ac:dyDescent="0.2">
      <c r="A2016" s="1">
        <v>42192</v>
      </c>
      <c r="B2016">
        <v>189</v>
      </c>
      <c r="C2016">
        <f>'weather data'!E2016</f>
        <v>22.911111111111111</v>
      </c>
      <c r="D2016">
        <f>LAI!F2016</f>
        <v>2.639416908883935</v>
      </c>
      <c r="E2016">
        <f>0.5*C2016*(1-EXP(-'user input'!$C$19*D2016))</f>
        <v>9.3952509824141135</v>
      </c>
      <c r="F2016">
        <f>E2016*'user input'!$C$21</f>
        <v>366.41478831415043</v>
      </c>
    </row>
    <row r="2017" spans="1:6" x14ac:dyDescent="0.2">
      <c r="A2017" s="1">
        <v>42193</v>
      </c>
      <c r="B2017">
        <v>190</v>
      </c>
      <c r="C2017">
        <f>'weather data'!E2017</f>
        <v>22.133333333333333</v>
      </c>
      <c r="D2017">
        <f>LAI!F2017</f>
        <v>2.6574531550461891</v>
      </c>
      <c r="E2017">
        <f>0.5*C2017*(1-EXP(-'user input'!$C$19*D2017))</f>
        <v>9.0995024210781974</v>
      </c>
      <c r="F2017">
        <f>E2017*'user input'!$C$21</f>
        <v>354.88059442204968</v>
      </c>
    </row>
    <row r="2018" spans="1:6" x14ac:dyDescent="0.2">
      <c r="A2018" s="1">
        <v>42194</v>
      </c>
      <c r="B2018">
        <v>191</v>
      </c>
      <c r="C2018">
        <f>'weather data'!E2018</f>
        <v>23.479999999999993</v>
      </c>
      <c r="D2018">
        <f>LAI!F2018</f>
        <v>2.6748586628570528</v>
      </c>
      <c r="E2018">
        <f>0.5*C2018*(1-EXP(-'user input'!$C$19*D2018))</f>
        <v>9.6766235724384515</v>
      </c>
      <c r="F2018">
        <f>E2018*'user input'!$C$21</f>
        <v>377.38831932509959</v>
      </c>
    </row>
    <row r="2019" spans="1:6" x14ac:dyDescent="0.2">
      <c r="A2019" s="1">
        <v>42195</v>
      </c>
      <c r="B2019">
        <v>192</v>
      </c>
      <c r="C2019">
        <f>'weather data'!E2019</f>
        <v>23.637777777777778</v>
      </c>
      <c r="D2019">
        <f>LAI!F2019</f>
        <v>2.6970635570874246</v>
      </c>
      <c r="E2019">
        <f>0.5*C2019*(1-EXP(-'user input'!$C$19*D2019))</f>
        <v>9.7714131391808152</v>
      </c>
      <c r="F2019">
        <f>E2019*'user input'!$C$21</f>
        <v>381.08511242805179</v>
      </c>
    </row>
    <row r="2020" spans="1:6" x14ac:dyDescent="0.2">
      <c r="A2020" s="1">
        <v>42196</v>
      </c>
      <c r="B2020">
        <v>193</v>
      </c>
      <c r="C2020">
        <f>'weather data'!E2020</f>
        <v>22.757777777777775</v>
      </c>
      <c r="D2020">
        <f>LAI!F2020</f>
        <v>2.7196783350531843</v>
      </c>
      <c r="E2020">
        <f>0.5*C2020*(1-EXP(-'user input'!$C$19*D2020))</f>
        <v>9.43640235870655</v>
      </c>
      <c r="F2020">
        <f>E2020*'user input'!$C$21</f>
        <v>368.01969198955544</v>
      </c>
    </row>
    <row r="2021" spans="1:6" x14ac:dyDescent="0.2">
      <c r="A2021" s="1">
        <v>42197</v>
      </c>
      <c r="B2021">
        <v>194</v>
      </c>
      <c r="C2021">
        <f>'weather data'!E2021</f>
        <v>22.486666666666665</v>
      </c>
      <c r="D2021">
        <f>LAI!F2021</f>
        <v>2.7392176129153647</v>
      </c>
      <c r="E2021">
        <f>0.5*C2021*(1-EXP(-'user input'!$C$19*D2021))</f>
        <v>9.3482100150838452</v>
      </c>
      <c r="F2021">
        <f>E2021*'user input'!$C$21</f>
        <v>364.58019058826994</v>
      </c>
    </row>
    <row r="2022" spans="1:6" x14ac:dyDescent="0.2">
      <c r="A2022" s="1">
        <v>42198</v>
      </c>
      <c r="B2022">
        <v>195</v>
      </c>
      <c r="C2022">
        <f>'weather data'!E2022</f>
        <v>23.213333333333335</v>
      </c>
      <c r="D2022">
        <f>LAI!F2022</f>
        <v>2.7612721576768999</v>
      </c>
      <c r="E2022">
        <f>0.5*C2022*(1-EXP(-'user input'!$C$19*D2022))</f>
        <v>9.6781469100167428</v>
      </c>
      <c r="F2022">
        <f>E2022*'user input'!$C$21</f>
        <v>377.44772949065299</v>
      </c>
    </row>
    <row r="2023" spans="1:6" x14ac:dyDescent="0.2">
      <c r="A2023" s="1">
        <v>42199</v>
      </c>
      <c r="B2023">
        <v>196</v>
      </c>
      <c r="C2023">
        <f>'weather data'!E2023</f>
        <v>23.213333333333335</v>
      </c>
      <c r="D2023">
        <f>LAI!F2023</f>
        <v>2.780387073955219</v>
      </c>
      <c r="E2023">
        <f>0.5*C2023*(1-EXP(-'user input'!$C$19*D2023))</f>
        <v>9.7019599397521539</v>
      </c>
      <c r="F2023">
        <f>E2023*'user input'!$C$21</f>
        <v>378.37643765033403</v>
      </c>
    </row>
    <row r="2024" spans="1:6" x14ac:dyDescent="0.2">
      <c r="A2024" s="1">
        <v>42200</v>
      </c>
      <c r="B2024">
        <v>197</v>
      </c>
      <c r="C2024">
        <f>'weather data'!E2024</f>
        <v>24.926666666666669</v>
      </c>
      <c r="D2024">
        <f>LAI!F2024</f>
        <v>2.7906926940215007</v>
      </c>
      <c r="E2024">
        <f>0.5*C2024*(1-EXP(-'user input'!$C$19*D2024))</f>
        <v>10.43169861449203</v>
      </c>
      <c r="F2024">
        <f>E2024*'user input'!$C$21</f>
        <v>406.83624596518916</v>
      </c>
    </row>
    <row r="2025" spans="1:6" x14ac:dyDescent="0.2">
      <c r="A2025" s="1">
        <v>42201</v>
      </c>
      <c r="B2025">
        <v>198</v>
      </c>
      <c r="C2025">
        <f>'weather data'!E2025</f>
        <v>22.395555555555553</v>
      </c>
      <c r="D2025">
        <f>LAI!F2025</f>
        <v>2.7989122161205349</v>
      </c>
      <c r="E2025">
        <f>0.5*C2025*(1-EXP(-'user input'!$C$19*D2025))</f>
        <v>9.3821661327766837</v>
      </c>
      <c r="F2025">
        <f>E2025*'user input'!$C$21</f>
        <v>365.90447917829067</v>
      </c>
    </row>
    <row r="2026" spans="1:6" x14ac:dyDescent="0.2">
      <c r="A2026" s="1">
        <v>42202</v>
      </c>
      <c r="B2026">
        <v>199</v>
      </c>
      <c r="C2026">
        <f>'weather data'!E2026</f>
        <v>20.604444444444447</v>
      </c>
      <c r="D2026">
        <f>LAI!F2026</f>
        <v>2.8064126888062639</v>
      </c>
      <c r="E2026">
        <f>0.5*C2026*(1-EXP(-'user input'!$C$19*D2026))</f>
        <v>8.6399401942279219</v>
      </c>
      <c r="F2026">
        <f>E2026*'user input'!$C$21</f>
        <v>336.95766757488894</v>
      </c>
    </row>
    <row r="2027" spans="1:6" x14ac:dyDescent="0.2">
      <c r="A2027" s="1">
        <v>42203</v>
      </c>
      <c r="B2027">
        <v>200</v>
      </c>
      <c r="C2027">
        <f>'weather data'!E2027</f>
        <v>19.959999999999997</v>
      </c>
      <c r="D2027">
        <f>LAI!F2027</f>
        <v>2.8175047141033813</v>
      </c>
      <c r="E2027">
        <f>0.5*C2027*(1-EXP(-'user input'!$C$19*D2027))</f>
        <v>8.381277254865573</v>
      </c>
      <c r="F2027">
        <f>E2027*'user input'!$C$21</f>
        <v>326.86981293975737</v>
      </c>
    </row>
    <row r="2028" spans="1:6" x14ac:dyDescent="0.2">
      <c r="A2028" s="1">
        <v>42204</v>
      </c>
      <c r="B2028">
        <v>201</v>
      </c>
      <c r="C2028">
        <f>'weather data'!E2028</f>
        <v>21.315555555555552</v>
      </c>
      <c r="D2028">
        <f>LAI!F2028</f>
        <v>2.826275184472518</v>
      </c>
      <c r="E2028">
        <f>0.5*C2028*(1-EXP(-'user input'!$C$19*D2028))</f>
        <v>8.9601852903230448</v>
      </c>
      <c r="F2028">
        <f>E2028*'user input'!$C$21</f>
        <v>349.44722632259874</v>
      </c>
    </row>
    <row r="2029" spans="1:6" x14ac:dyDescent="0.2">
      <c r="A2029" s="1">
        <v>42205</v>
      </c>
      <c r="B2029">
        <v>202</v>
      </c>
      <c r="C2029">
        <f>'weather data'!E2029</f>
        <v>21.008888888888883</v>
      </c>
      <c r="D2029">
        <f>LAI!F2029</f>
        <v>2.8316261239938956</v>
      </c>
      <c r="E2029">
        <f>0.5*C2029*(1-EXP(-'user input'!$C$19*D2029))</f>
        <v>8.8370845608747555</v>
      </c>
      <c r="F2029">
        <f>E2029*'user input'!$C$21</f>
        <v>344.64629787411548</v>
      </c>
    </row>
    <row r="2030" spans="1:6" x14ac:dyDescent="0.2">
      <c r="A2030" s="1">
        <v>42206</v>
      </c>
      <c r="B2030">
        <v>203</v>
      </c>
      <c r="C2030">
        <f>'weather data'!E2030</f>
        <v>22.064444444444447</v>
      </c>
      <c r="D2030">
        <f>LAI!F2030</f>
        <v>2.8357752408426635</v>
      </c>
      <c r="E2030">
        <f>0.5*C2030*(1-EXP(-'user input'!$C$19*D2030))</f>
        <v>9.2858050185118355</v>
      </c>
      <c r="F2030">
        <f>E2030*'user input'!$C$21</f>
        <v>362.1463957219616</v>
      </c>
    </row>
    <row r="2031" spans="1:6" x14ac:dyDescent="0.2">
      <c r="A2031" s="1">
        <v>42207</v>
      </c>
      <c r="B2031">
        <v>204</v>
      </c>
      <c r="C2031">
        <f>'weather data'!E2031</f>
        <v>21.877777777777776</v>
      </c>
      <c r="D2031">
        <f>LAI!F2031</f>
        <v>2.8393000129990296</v>
      </c>
      <c r="E2031">
        <f>0.5*C2031*(1-EXP(-'user input'!$C$19*D2031))</f>
        <v>9.2112093186461923</v>
      </c>
      <c r="F2031">
        <f>E2031*'user input'!$C$21</f>
        <v>359.23716342720149</v>
      </c>
    </row>
    <row r="2032" spans="1:6" x14ac:dyDescent="0.2">
      <c r="A2032" s="1">
        <v>42208</v>
      </c>
      <c r="B2032">
        <v>205</v>
      </c>
      <c r="C2032">
        <f>'weather data'!E2032</f>
        <v>23.522222222222226</v>
      </c>
      <c r="D2032">
        <f>LAI!F2032</f>
        <v>2.8426489195700619</v>
      </c>
      <c r="E2032">
        <f>0.5*C2032*(1-EXP(-'user input'!$C$19*D2032))</f>
        <v>9.9076094820405824</v>
      </c>
      <c r="F2032">
        <f>E2032*'user input'!$C$21</f>
        <v>386.39676979958273</v>
      </c>
    </row>
    <row r="2033" spans="1:6" x14ac:dyDescent="0.2">
      <c r="A2033" s="1">
        <v>42209</v>
      </c>
      <c r="B2033">
        <v>206</v>
      </c>
      <c r="C2033">
        <f>'weather data'!E2033</f>
        <v>21.008888888888887</v>
      </c>
      <c r="D2033">
        <f>LAI!F2033</f>
        <v>2.8458503361493874</v>
      </c>
      <c r="E2033">
        <f>0.5*C2033*(1-EXP(-'user input'!$C$19*D2033))</f>
        <v>8.8524294864534383</v>
      </c>
      <c r="F2033">
        <f>E2033*'user input'!$C$21</f>
        <v>345.24474997168409</v>
      </c>
    </row>
    <row r="2034" spans="1:6" x14ac:dyDescent="0.2">
      <c r="A2034" s="1">
        <v>42210</v>
      </c>
      <c r="B2034">
        <v>207</v>
      </c>
      <c r="C2034">
        <f>'weather data'!E2034</f>
        <v>20.684444444444445</v>
      </c>
      <c r="D2034">
        <f>LAI!F2034</f>
        <v>2.8483419170464321</v>
      </c>
      <c r="E2034">
        <f>0.5*C2034*(1-EXP(-'user input'!$C$19*D2034))</f>
        <v>8.7183516932571994</v>
      </c>
      <c r="F2034">
        <f>E2034*'user input'!$C$21</f>
        <v>340.01571603703076</v>
      </c>
    </row>
    <row r="2035" spans="1:6" x14ac:dyDescent="0.2">
      <c r="A2035" s="1">
        <v>42211</v>
      </c>
      <c r="B2035">
        <v>208</v>
      </c>
      <c r="C2035">
        <f>'weather data'!E2035</f>
        <v>21.106666666666669</v>
      </c>
      <c r="D2035">
        <f>LAI!F2035</f>
        <v>2.8509985799312623</v>
      </c>
      <c r="E2035">
        <f>0.5*C2035*(1-EXP(-'user input'!$C$19*D2035))</f>
        <v>8.8991743891517991</v>
      </c>
      <c r="F2035">
        <f>E2035*'user input'!$C$21</f>
        <v>347.06780117692017</v>
      </c>
    </row>
    <row r="2036" spans="1:6" x14ac:dyDescent="0.2">
      <c r="A2036" s="1">
        <v>42212</v>
      </c>
      <c r="B2036">
        <v>209</v>
      </c>
      <c r="C2036">
        <f>'weather data'!E2036</f>
        <v>20.757777777777772</v>
      </c>
      <c r="D2036">
        <f>LAI!F2036</f>
        <v>2.8529202003275804</v>
      </c>
      <c r="E2036">
        <f>0.5*C2036*(1-EXP(-'user input'!$C$19*D2036))</f>
        <v>8.7541035655572053</v>
      </c>
      <c r="F2036">
        <f>E2036*'user input'!$C$21</f>
        <v>341.41003905673102</v>
      </c>
    </row>
    <row r="2037" spans="1:6" x14ac:dyDescent="0.2">
      <c r="A2037" s="1">
        <v>42213</v>
      </c>
      <c r="B2037">
        <v>210</v>
      </c>
      <c r="C2037">
        <f>'weather data'!E2037</f>
        <v>21.942222222222224</v>
      </c>
      <c r="D2037">
        <f>LAI!F2037</f>
        <v>2.8548218440404005</v>
      </c>
      <c r="E2037">
        <f>0.5*C2037*(1-EXP(-'user input'!$C$19*D2037))</f>
        <v>9.2557367264836383</v>
      </c>
      <c r="F2037">
        <f>E2037*'user input'!$C$21</f>
        <v>360.97373233286191</v>
      </c>
    </row>
    <row r="2038" spans="1:6" x14ac:dyDescent="0.2">
      <c r="A2038" s="1">
        <v>42214</v>
      </c>
      <c r="B2038">
        <v>211</v>
      </c>
      <c r="C2038">
        <f>'weather data'!E2038</f>
        <v>21.31999999999999</v>
      </c>
      <c r="D2038">
        <f>LAI!F2038</f>
        <v>2.8565996862010086</v>
      </c>
      <c r="E2038">
        <f>0.5*C2038*(1-EXP(-'user input'!$C$19*D2038))</f>
        <v>8.9951939624091271</v>
      </c>
      <c r="F2038">
        <f>E2038*'user input'!$C$21</f>
        <v>350.81256453395594</v>
      </c>
    </row>
    <row r="2039" spans="1:6" x14ac:dyDescent="0.2">
      <c r="A2039" s="1">
        <v>42215</v>
      </c>
      <c r="B2039">
        <v>212</v>
      </c>
      <c r="C2039">
        <f>'weather data'!E2039</f>
        <v>21.69777777777778</v>
      </c>
      <c r="D2039">
        <f>LAI!F2039</f>
        <v>2.8578345453228291</v>
      </c>
      <c r="E2039">
        <f>0.5*C2039*(1-EXP(-'user input'!$C$19*D2039))</f>
        <v>9.1559428768200135</v>
      </c>
      <c r="F2039">
        <f>E2039*'user input'!$C$21</f>
        <v>357.08177219598053</v>
      </c>
    </row>
    <row r="2040" spans="1:6" x14ac:dyDescent="0.2">
      <c r="A2040" s="1">
        <v>42216</v>
      </c>
      <c r="B2040">
        <v>213</v>
      </c>
      <c r="C2040">
        <f>'weather data'!E2040</f>
        <v>21.27999999999999</v>
      </c>
      <c r="D2040">
        <f>LAI!F2040</f>
        <v>2.8589722236041255</v>
      </c>
      <c r="E2040">
        <f>0.5*C2040*(1-EXP(-'user input'!$C$19*D2040))</f>
        <v>8.9808780136209805</v>
      </c>
      <c r="F2040">
        <f>E2040*'user input'!$C$21</f>
        <v>350.25424253121821</v>
      </c>
    </row>
    <row r="2041" spans="1:6" x14ac:dyDescent="0.2">
      <c r="A2041" s="1">
        <v>42217</v>
      </c>
      <c r="B2041">
        <v>214</v>
      </c>
      <c r="C2041">
        <f>'weather data'!E2041</f>
        <v>22.631111111111117</v>
      </c>
      <c r="D2041">
        <f>LAI!F2041</f>
        <v>2.8597992520330777</v>
      </c>
      <c r="E2041">
        <f>0.5*C2041*(1-EXP(-'user input'!$C$19*D2041))</f>
        <v>9.5520407555005313</v>
      </c>
      <c r="F2041">
        <f>E2041*'user input'!$C$21</f>
        <v>372.52958946452071</v>
      </c>
    </row>
    <row r="2042" spans="1:6" x14ac:dyDescent="0.2">
      <c r="A2042" s="1">
        <v>42218</v>
      </c>
      <c r="B2042">
        <v>215</v>
      </c>
      <c r="C2042">
        <f>'weather data'!E2042</f>
        <v>21.322222222222216</v>
      </c>
      <c r="D2042">
        <f>LAI!F2042</f>
        <v>2.8607577263815838</v>
      </c>
      <c r="E2042">
        <f>0.5*C2042*(1-EXP(-'user input'!$C$19*D2042))</f>
        <v>9.0006254558848191</v>
      </c>
      <c r="F2042">
        <f>E2042*'user input'!$C$21</f>
        <v>351.02439277950793</v>
      </c>
    </row>
    <row r="2043" spans="1:6" x14ac:dyDescent="0.2">
      <c r="A2043" s="1">
        <v>42219</v>
      </c>
      <c r="B2043">
        <v>216</v>
      </c>
      <c r="C2043">
        <f>'weather data'!E2043</f>
        <v>19.813333333333325</v>
      </c>
      <c r="D2043">
        <f>LAI!F2043</f>
        <v>2.8614563417267767</v>
      </c>
      <c r="E2043">
        <f>0.5*C2043*(1-EXP(-'user input'!$C$19*D2043))</f>
        <v>8.364387487095529</v>
      </c>
      <c r="F2043">
        <f>E2043*'user input'!$C$21</f>
        <v>326.21111199672561</v>
      </c>
    </row>
    <row r="2044" spans="1:6" x14ac:dyDescent="0.2">
      <c r="A2044" s="1">
        <v>42220</v>
      </c>
      <c r="B2044">
        <v>217</v>
      </c>
      <c r="C2044">
        <f>'weather data'!E2044</f>
        <v>19.868888888888886</v>
      </c>
      <c r="D2044">
        <f>LAI!F2044</f>
        <v>2.8618979659551949</v>
      </c>
      <c r="E2044">
        <f>0.5*C2044*(1-EXP(-'user input'!$C$19*D2044))</f>
        <v>8.3882846920695933</v>
      </c>
      <c r="F2044">
        <f>E2044*'user input'!$C$21</f>
        <v>327.14310299071411</v>
      </c>
    </row>
    <row r="2045" spans="1:6" x14ac:dyDescent="0.2">
      <c r="A2045" s="1">
        <v>42221</v>
      </c>
      <c r="B2045">
        <v>218</v>
      </c>
      <c r="C2045">
        <f>'weather data'!E2045</f>
        <v>20.691111111111113</v>
      </c>
      <c r="D2045">
        <f>LAI!F2045</f>
        <v>2.8622818682714577</v>
      </c>
      <c r="E2045">
        <f>0.5*C2045*(1-EXP(-'user input'!$C$19*D2045))</f>
        <v>8.7358137479522959</v>
      </c>
      <c r="F2045">
        <f>E2045*'user input'!$C$21</f>
        <v>340.69673617013956</v>
      </c>
    </row>
    <row r="2046" spans="1:6" x14ac:dyDescent="0.2">
      <c r="A2046" s="1">
        <v>42222</v>
      </c>
      <c r="B2046">
        <v>219</v>
      </c>
      <c r="C2046">
        <f>'weather data'!E2046</f>
        <v>21.084444444444447</v>
      </c>
      <c r="D2046">
        <f>LAI!F2046</f>
        <v>2.8626816480895001</v>
      </c>
      <c r="E2046">
        <f>0.5*C2046*(1-EXP(-'user input'!$C$19*D2046))</f>
        <v>8.9023057865901674</v>
      </c>
      <c r="F2046">
        <f>E2046*'user input'!$C$21</f>
        <v>347.1899256770165</v>
      </c>
    </row>
    <row r="2047" spans="1:6" x14ac:dyDescent="0.2">
      <c r="A2047" s="1">
        <v>42223</v>
      </c>
      <c r="B2047">
        <v>220</v>
      </c>
      <c r="C2047">
        <f>'weather data'!E2047</f>
        <v>20.291111111111103</v>
      </c>
      <c r="D2047">
        <f>LAI!F2047</f>
        <v>2.8630731562678369</v>
      </c>
      <c r="E2047">
        <f>0.5*C2047*(1-EXP(-'user input'!$C$19*D2047))</f>
        <v>8.5677449684203673</v>
      </c>
      <c r="F2047">
        <f>E2047*'user input'!$C$21</f>
        <v>334.14205376839431</v>
      </c>
    </row>
    <row r="2048" spans="1:6" x14ac:dyDescent="0.2">
      <c r="A2048" s="1">
        <v>42224</v>
      </c>
      <c r="B2048">
        <v>221</v>
      </c>
      <c r="C2048">
        <f>'weather data'!E2048</f>
        <v>20.335555555555551</v>
      </c>
      <c r="D2048">
        <f>LAI!F2048</f>
        <v>2.863423055905316</v>
      </c>
      <c r="E2048">
        <f>0.5*C2048*(1-EXP(-'user input'!$C$19*D2048))</f>
        <v>8.5868708421446236</v>
      </c>
      <c r="F2048">
        <f>E2048*'user input'!$C$21</f>
        <v>334.88796284364031</v>
      </c>
    </row>
    <row r="2049" spans="1:6" x14ac:dyDescent="0.2">
      <c r="A2049" s="1">
        <v>42225</v>
      </c>
      <c r="B2049">
        <v>222</v>
      </c>
      <c r="C2049">
        <f>'weather data'!E2049</f>
        <v>20.286666666666665</v>
      </c>
      <c r="D2049">
        <f>LAI!F2049</f>
        <v>2.8636917042455337</v>
      </c>
      <c r="E2049">
        <f>0.5*C2049*(1-EXP(-'user input'!$C$19*D2049))</f>
        <v>8.5665024425335652</v>
      </c>
      <c r="F2049">
        <f>E2049*'user input'!$C$21</f>
        <v>334.09359525880905</v>
      </c>
    </row>
    <row r="2050" spans="1:6" x14ac:dyDescent="0.2">
      <c r="A2050" s="1">
        <v>42226</v>
      </c>
      <c r="B2050">
        <v>223</v>
      </c>
      <c r="C2050">
        <f>'weather data'!E2050</f>
        <v>19.695555555555561</v>
      </c>
      <c r="D2050">
        <f>LAI!F2050</f>
        <v>2.8640048551480564</v>
      </c>
      <c r="E2050">
        <f>0.5*C2050*(1-EXP(-'user input'!$C$19*D2050))</f>
        <v>8.3172040240149663</v>
      </c>
      <c r="F2050">
        <f>E2050*'user input'!$C$21</f>
        <v>324.3709569365837</v>
      </c>
    </row>
    <row r="2051" spans="1:6" x14ac:dyDescent="0.2">
      <c r="A2051" s="1">
        <v>42227</v>
      </c>
      <c r="B2051">
        <v>224</v>
      </c>
      <c r="C2051">
        <f>'weather data'!E2051</f>
        <v>19.864444444444441</v>
      </c>
      <c r="D2051">
        <f>LAI!F2051</f>
        <v>2.8642232954015561</v>
      </c>
      <c r="E2051">
        <f>0.5*C2051*(1-EXP(-'user input'!$C$19*D2051))</f>
        <v>8.3887430056301433</v>
      </c>
      <c r="F2051">
        <f>E2051*'user input'!$C$21</f>
        <v>327.16097721957561</v>
      </c>
    </row>
    <row r="2052" spans="1:6" x14ac:dyDescent="0.2">
      <c r="A2052" s="1">
        <v>42228</v>
      </c>
      <c r="B2052">
        <v>225</v>
      </c>
      <c r="C2052">
        <f>'weather data'!E2052</f>
        <v>19.211111111111116</v>
      </c>
      <c r="D2052">
        <f>LAI!F2052</f>
        <v>2.8644006400068984</v>
      </c>
      <c r="E2052">
        <f>0.5*C2052*(1-EXP(-'user input'!$C$19*D2052))</f>
        <v>8.1130127910807222</v>
      </c>
      <c r="F2052">
        <f>E2052*'user input'!$C$21</f>
        <v>316.40749885214814</v>
      </c>
    </row>
    <row r="2053" spans="1:6" x14ac:dyDescent="0.2">
      <c r="A2053" s="1">
        <v>42229</v>
      </c>
      <c r="B2053">
        <v>226</v>
      </c>
      <c r="C2053">
        <f>'weather data'!E2053</f>
        <v>19.971111111111117</v>
      </c>
      <c r="D2053">
        <f>LAI!F2053</f>
        <v>2.8645704516092896</v>
      </c>
      <c r="E2053">
        <f>0.5*C2053*(1-EXP(-'user input'!$C$19*D2053))</f>
        <v>8.434138394318488</v>
      </c>
      <c r="F2053">
        <f>E2053*'user input'!$C$21</f>
        <v>328.93139737842102</v>
      </c>
    </row>
    <row r="2054" spans="1:6" x14ac:dyDescent="0.2">
      <c r="A2054" s="1">
        <v>42230</v>
      </c>
      <c r="B2054">
        <v>227</v>
      </c>
      <c r="C2054">
        <f>'weather data'!E2054</f>
        <v>19.895555555555553</v>
      </c>
      <c r="D2054">
        <f>LAI!F2054</f>
        <v>2.8647626306084484</v>
      </c>
      <c r="E2054">
        <f>0.5*C2054*(1-EXP(-'user input'!$C$19*D2054))</f>
        <v>8.4024230559482334</v>
      </c>
      <c r="F2054">
        <f>E2054*'user input'!$C$21</f>
        <v>327.69449918198109</v>
      </c>
    </row>
    <row r="2055" spans="1:6" x14ac:dyDescent="0.2">
      <c r="A2055" s="1">
        <v>42231</v>
      </c>
      <c r="B2055">
        <v>228</v>
      </c>
      <c r="C2055">
        <f>'weather data'!E2055</f>
        <v>19.86</v>
      </c>
      <c r="D2055">
        <f>LAI!F2055</f>
        <v>2.8649333623721245</v>
      </c>
      <c r="E2055">
        <f>0.5*C2055*(1-EXP(-'user input'!$C$19*D2055))</f>
        <v>8.3875781785240733</v>
      </c>
      <c r="F2055">
        <f>E2055*'user input'!$C$21</f>
        <v>327.11554896243888</v>
      </c>
    </row>
    <row r="2056" spans="1:6" x14ac:dyDescent="0.2">
      <c r="A2056" s="1">
        <v>42232</v>
      </c>
      <c r="B2056">
        <v>229</v>
      </c>
      <c r="C2056">
        <f>'weather data'!E2056</f>
        <v>19.584444444444447</v>
      </c>
      <c r="D2056">
        <f>LAI!F2056</f>
        <v>2.8650732957479645</v>
      </c>
      <c r="E2056">
        <f>0.5*C2056*(1-EXP(-'user input'!$C$19*D2056))</f>
        <v>8.2713396932431564</v>
      </c>
      <c r="F2056">
        <f>E2056*'user input'!$C$21</f>
        <v>322.58224803648312</v>
      </c>
    </row>
    <row r="2057" spans="1:6" x14ac:dyDescent="0.2">
      <c r="A2057" s="1">
        <v>42233</v>
      </c>
      <c r="B2057">
        <v>230</v>
      </c>
      <c r="C2057">
        <f>'weather data'!E2057</f>
        <v>18.513333333333335</v>
      </c>
      <c r="D2057">
        <f>LAI!F2057</f>
        <v>2.8651986246354073</v>
      </c>
      <c r="E2057">
        <f>0.5*C2057*(1-EXP(-'user input'!$C$19*D2057))</f>
        <v>7.8190812580164435</v>
      </c>
      <c r="F2057">
        <f>E2057*'user input'!$C$21</f>
        <v>304.94416906264132</v>
      </c>
    </row>
    <row r="2058" spans="1:6" x14ac:dyDescent="0.2">
      <c r="A2058" s="1">
        <v>42234</v>
      </c>
      <c r="B2058">
        <v>231</v>
      </c>
      <c r="C2058">
        <f>'weather data'!E2058</f>
        <v>18.513333333333335</v>
      </c>
      <c r="D2058">
        <f>LAI!F2058</f>
        <v>2.8652936959035902</v>
      </c>
      <c r="E2058">
        <f>0.5*C2058*(1-EXP(-'user input'!$C$19*D2058))</f>
        <v>7.8191700927657335</v>
      </c>
      <c r="F2058">
        <f>E2058*'user input'!$C$21</f>
        <v>304.94763361786363</v>
      </c>
    </row>
    <row r="2059" spans="1:6" x14ac:dyDescent="0.2">
      <c r="A2059" s="1">
        <v>42235</v>
      </c>
      <c r="B2059">
        <v>232</v>
      </c>
      <c r="C2059">
        <f>'weather data'!E2059</f>
        <v>20.05777777777778</v>
      </c>
      <c r="D2059">
        <f>LAI!F2059</f>
        <v>2.8653634439715692</v>
      </c>
      <c r="E2059">
        <f>0.5*C2059*(1-EXP(-'user input'!$C$19*D2059))</f>
        <v>8.4715421287563242</v>
      </c>
      <c r="F2059">
        <f>E2059*'user input'!$C$21</f>
        <v>330.39014302149667</v>
      </c>
    </row>
    <row r="2060" spans="1:6" x14ac:dyDescent="0.2">
      <c r="A2060" s="1">
        <v>42236</v>
      </c>
      <c r="B2060">
        <v>233</v>
      </c>
      <c r="C2060">
        <f>'weather data'!E2060</f>
        <v>18.846666666666664</v>
      </c>
      <c r="D2060">
        <f>LAI!F2060</f>
        <v>2.8653973095840999</v>
      </c>
      <c r="E2060">
        <f>0.5*C2060*(1-EXP(-'user input'!$C$19*D2060))</f>
        <v>7.9600531277100064</v>
      </c>
      <c r="F2060">
        <f>E2060*'user input'!$C$21</f>
        <v>310.44207198069023</v>
      </c>
    </row>
    <row r="2061" spans="1:6" x14ac:dyDescent="0.2">
      <c r="A2061" s="1">
        <v>42237</v>
      </c>
      <c r="B2061">
        <v>234</v>
      </c>
      <c r="C2061">
        <f>'weather data'!E2061</f>
        <v>16.657777777777788</v>
      </c>
      <c r="D2061">
        <f>LAI!F2061</f>
        <v>2.8654260182788565</v>
      </c>
      <c r="E2061">
        <f>0.5*C2061*(1-EXP(-'user input'!$C$19*D2061))</f>
        <v>7.035581054993183</v>
      </c>
      <c r="F2061">
        <f>E2061*'user input'!$C$21</f>
        <v>274.38766114473412</v>
      </c>
    </row>
    <row r="2062" spans="1:6" x14ac:dyDescent="0.2">
      <c r="A2062" s="1">
        <v>42238</v>
      </c>
      <c r="B2062">
        <v>235</v>
      </c>
      <c r="C2062">
        <f>'weather data'!E2062</f>
        <v>17.182222222222222</v>
      </c>
      <c r="D2062">
        <f>LAI!F2062</f>
        <v>2.8654652559986729</v>
      </c>
      <c r="E2062">
        <f>0.5*C2062*(1-EXP(-'user input'!$C$19*D2062))</f>
        <v>7.2571194977942186</v>
      </c>
      <c r="F2062">
        <f>E2062*'user input'!$C$21</f>
        <v>283.0276604139745</v>
      </c>
    </row>
    <row r="2063" spans="1:6" x14ac:dyDescent="0.2">
      <c r="A2063" s="1">
        <v>42239</v>
      </c>
      <c r="B2063">
        <v>236</v>
      </c>
      <c r="C2063">
        <f>'weather data'!E2063</f>
        <v>17.515555555555554</v>
      </c>
      <c r="D2063">
        <f>LAI!F2063</f>
        <v>2.8655111890750966</v>
      </c>
      <c r="E2063">
        <f>0.5*C2063*(1-EXP(-'user input'!$C$19*D2063))</f>
        <v>7.3979474655648314</v>
      </c>
      <c r="F2063">
        <f>E2063*'user input'!$C$21</f>
        <v>288.5199511570284</v>
      </c>
    </row>
    <row r="2064" spans="1:6" x14ac:dyDescent="0.2">
      <c r="A2064" s="1">
        <v>42240</v>
      </c>
      <c r="B2064">
        <v>237</v>
      </c>
      <c r="C2064">
        <f>'weather data'!E2064</f>
        <v>17.753333333333327</v>
      </c>
      <c r="D2064">
        <f>LAI!F2064</f>
        <v>2.865531710608304</v>
      </c>
      <c r="E2064">
        <f>0.5*C2064*(1-EXP(-'user input'!$C$19*D2064))</f>
        <v>7.4983947236842905</v>
      </c>
      <c r="F2064">
        <f>E2064*'user input'!$C$21</f>
        <v>292.43739422368731</v>
      </c>
    </row>
    <row r="2065" spans="1:6" x14ac:dyDescent="0.2">
      <c r="A2065" s="1">
        <v>42241</v>
      </c>
      <c r="B2065">
        <v>238</v>
      </c>
      <c r="C2065">
        <f>'weather data'!E2065</f>
        <v>17.366666666666664</v>
      </c>
      <c r="D2065">
        <f>LAI!F2065</f>
        <v>2.8655465535229125</v>
      </c>
      <c r="E2065">
        <f>0.5*C2065*(1-EXP(-'user input'!$C$19*D2065))</f>
        <v>7.3350930885525916</v>
      </c>
      <c r="F2065">
        <f>E2065*'user input'!$C$21</f>
        <v>286.06863045355107</v>
      </c>
    </row>
    <row r="2066" spans="1:6" x14ac:dyDescent="0.2">
      <c r="A2066" s="1">
        <v>42242</v>
      </c>
      <c r="B2066">
        <v>239</v>
      </c>
      <c r="C2066">
        <f>'weather data'!E2066</f>
        <v>17.388888888888886</v>
      </c>
      <c r="D2066">
        <f>LAI!F2066</f>
        <v>2.8655645373648708</v>
      </c>
      <c r="E2066">
        <f>0.5*C2066*(1-EXP(-'user input'!$C$19*D2066))</f>
        <v>7.3444947845380275</v>
      </c>
      <c r="F2066">
        <f>E2066*'user input'!$C$21</f>
        <v>286.43529659698305</v>
      </c>
    </row>
    <row r="2067" spans="1:6" x14ac:dyDescent="0.2">
      <c r="A2067" s="1">
        <v>42243</v>
      </c>
      <c r="B2067">
        <v>240</v>
      </c>
      <c r="C2067">
        <f>'weather data'!E2067</f>
        <v>18.282222222222217</v>
      </c>
      <c r="D2067">
        <f>LAI!F2067</f>
        <v>2.86558268881417</v>
      </c>
      <c r="E2067">
        <f>0.5*C2067*(1-EXP(-'user input'!$C$19*D2067))</f>
        <v>7.7218261502289698</v>
      </c>
      <c r="F2067">
        <f>E2067*'user input'!$C$21</f>
        <v>301.15121985892984</v>
      </c>
    </row>
    <row r="2068" spans="1:6" x14ac:dyDescent="0.2">
      <c r="A2068" s="1">
        <v>42244</v>
      </c>
      <c r="B2068">
        <v>241</v>
      </c>
      <c r="C2068">
        <f>'weather data'!E2068</f>
        <v>19.166666666666675</v>
      </c>
      <c r="D2068">
        <f>LAI!F2068</f>
        <v>2.9444444444444469</v>
      </c>
      <c r="E2068">
        <f>0.5*C2068*(1-EXP(-'user input'!$C$19*D2068))</f>
        <v>8.1697376481103205</v>
      </c>
      <c r="F2068">
        <f>E2068*'user input'!$C$21</f>
        <v>318.61976827630252</v>
      </c>
    </row>
    <row r="2069" spans="1:6" x14ac:dyDescent="0.2">
      <c r="A2069" s="1">
        <v>42245</v>
      </c>
      <c r="B2069">
        <v>242</v>
      </c>
      <c r="C2069">
        <f>'weather data'!E2069</f>
        <v>17.893333333333331</v>
      </c>
      <c r="D2069">
        <f>LAI!F2069</f>
        <v>2.7916666666666705</v>
      </c>
      <c r="E2069">
        <f>0.5*C2069*(1-EXP(-'user input'!$C$19*D2069))</f>
        <v>7.489203029585294</v>
      </c>
      <c r="F2069">
        <f>E2069*'user input'!$C$21</f>
        <v>292.07891815382646</v>
      </c>
    </row>
    <row r="2070" spans="1:6" x14ac:dyDescent="0.2">
      <c r="A2070" s="1">
        <v>42246</v>
      </c>
      <c r="B2070">
        <v>243</v>
      </c>
      <c r="C2070">
        <f>'weather data'!E2070</f>
        <v>18.108888888888892</v>
      </c>
      <c r="D2070">
        <f>LAI!F2070</f>
        <v>2.5694444444444446</v>
      </c>
      <c r="E2070">
        <f>0.5*C2070*(1-EXP(-'user input'!$C$19*D2070))</f>
        <v>7.3502085626549736</v>
      </c>
      <c r="F2070">
        <f>E2070*'user input'!$C$21</f>
        <v>286.65813394354399</v>
      </c>
    </row>
    <row r="2071" spans="1:6" x14ac:dyDescent="0.2">
      <c r="A2071" s="1">
        <v>42247</v>
      </c>
      <c r="B2071">
        <v>244</v>
      </c>
      <c r="C2071">
        <f>'weather data'!E2071</f>
        <v>18.124444444444446</v>
      </c>
      <c r="D2071">
        <f>LAI!F2071</f>
        <v>2.3333333333333393</v>
      </c>
      <c r="E2071">
        <f>0.5*C2071*(1-EXP(-'user input'!$C$19*D2071))</f>
        <v>7.0735887575023835</v>
      </c>
      <c r="F2071">
        <f>E2071*'user input'!$C$21</f>
        <v>275.86996154259293</v>
      </c>
    </row>
    <row r="2072" spans="1:6" x14ac:dyDescent="0.2">
      <c r="A2072" s="1">
        <v>42248</v>
      </c>
      <c r="B2072">
        <v>245</v>
      </c>
      <c r="C2072">
        <f>'weather data'!E2072</f>
        <v>17.782222222222217</v>
      </c>
      <c r="D2072">
        <f>LAI!F2072</f>
        <v>2.0416666666666696</v>
      </c>
      <c r="E2072">
        <f>0.5*C2072*(1-EXP(-'user input'!$C$19*D2072))</f>
        <v>6.5327458506847389</v>
      </c>
      <c r="F2072">
        <f>E2072*'user input'!$C$21</f>
        <v>254.77708817670481</v>
      </c>
    </row>
    <row r="2073" spans="1:6" x14ac:dyDescent="0.2">
      <c r="A2073" s="1">
        <v>42249</v>
      </c>
      <c r="B2073">
        <v>246</v>
      </c>
      <c r="C2073">
        <f>'weather data'!E2073</f>
        <v>18.233333333333341</v>
      </c>
      <c r="D2073">
        <f>LAI!F2073</f>
        <v>1.6944444444444478</v>
      </c>
      <c r="E2073">
        <f>0.5*C2073*(1-EXP(-'user input'!$C$19*D2073))</f>
        <v>6.0862038540016385</v>
      </c>
      <c r="F2073">
        <f>E2073*'user input'!$C$21</f>
        <v>237.3619503060639</v>
      </c>
    </row>
    <row r="2074" spans="1:6" x14ac:dyDescent="0.2">
      <c r="A2074" s="1">
        <v>42250</v>
      </c>
      <c r="B2074">
        <v>247</v>
      </c>
      <c r="C2074">
        <f>'weather data'!E2074</f>
        <v>17.279999999999994</v>
      </c>
      <c r="D2074">
        <f>LAI!F2074</f>
        <v>1.3333333333333388</v>
      </c>
      <c r="E2074">
        <f>0.5*C2074*(1-EXP(-'user input'!$C$19*D2074))</f>
        <v>5.0081726778449989</v>
      </c>
      <c r="F2074">
        <f>E2074*'user input'!$C$21</f>
        <v>195.31873443595495</v>
      </c>
    </row>
    <row r="2075" spans="1:6" x14ac:dyDescent="0.2">
      <c r="A2075" s="1">
        <v>42251</v>
      </c>
      <c r="B2075">
        <v>248</v>
      </c>
      <c r="C2075">
        <f>'weather data'!E2075</f>
        <v>17.504444444444449</v>
      </c>
      <c r="D2075">
        <f>LAI!F2075</f>
        <v>0.97222222222223009</v>
      </c>
      <c r="E2075">
        <f>0.5*C2075*(1-EXP(-'user input'!$C$19*D2075))</f>
        <v>4.0999153788451217</v>
      </c>
      <c r="F2075">
        <f>E2075*'user input'!$C$21</f>
        <v>159.89669977495976</v>
      </c>
    </row>
    <row r="2076" spans="1:6" x14ac:dyDescent="0.2">
      <c r="A2076" s="1">
        <v>42252</v>
      </c>
      <c r="B2076">
        <v>249</v>
      </c>
      <c r="C2076">
        <f>'weather data'!E2076</f>
        <v>17.331111111111102</v>
      </c>
      <c r="D2076">
        <f>LAI!F2076</f>
        <v>0.61111111111112137</v>
      </c>
      <c r="E2076">
        <f>0.5*C2076*(1-EXP(-'user input'!$C$19*D2076))</f>
        <v>2.8407022602230878</v>
      </c>
      <c r="F2076">
        <f>E2076*'user input'!$C$21</f>
        <v>110.78738814870043</v>
      </c>
    </row>
    <row r="2077" spans="1:6" x14ac:dyDescent="0.2">
      <c r="A2077" s="1">
        <v>42253</v>
      </c>
      <c r="B2077">
        <v>250</v>
      </c>
      <c r="C2077">
        <f>'weather data'!E2077</f>
        <v>16.582222222222228</v>
      </c>
      <c r="D2077">
        <f>LAI!F2077</f>
        <v>0.25694444444445247</v>
      </c>
      <c r="E2077">
        <f>0.5*C2077*(1-EXP(-'user input'!$C$19*D2077))</f>
        <v>1.2752735542004587</v>
      </c>
      <c r="F2077">
        <f>E2077*'user input'!$C$21</f>
        <v>49.735668613817893</v>
      </c>
    </row>
    <row r="2078" spans="1:6" x14ac:dyDescent="0.2">
      <c r="A2078" s="1">
        <v>42254</v>
      </c>
      <c r="B2078">
        <v>251</v>
      </c>
      <c r="C2078">
        <f>'weather data'!E2078</f>
        <v>15.802222222222218</v>
      </c>
      <c r="D2078">
        <f>LAI!F2078</f>
        <v>0</v>
      </c>
      <c r="E2078">
        <f>0.5*C2078*(1-EXP(-'user input'!$C$19*D2078))</f>
        <v>0</v>
      </c>
      <c r="F2078">
        <f>E2078*'user input'!$C$21</f>
        <v>0</v>
      </c>
    </row>
    <row r="2079" spans="1:6" x14ac:dyDescent="0.2">
      <c r="A2079" s="1">
        <v>42255</v>
      </c>
      <c r="B2079">
        <v>252</v>
      </c>
      <c r="C2079">
        <f>'weather data'!E2079</f>
        <v>16.022222222222219</v>
      </c>
      <c r="D2079">
        <f>LAI!F2079</f>
        <v>0</v>
      </c>
      <c r="E2079">
        <f>0.5*C2079*(1-EXP(-'user input'!$C$19*D2079))</f>
        <v>0</v>
      </c>
      <c r="F2079">
        <f>E2079*'user input'!$C$21</f>
        <v>0</v>
      </c>
    </row>
    <row r="2080" spans="1:6" x14ac:dyDescent="0.2">
      <c r="A2080" s="1">
        <v>42256</v>
      </c>
      <c r="B2080">
        <v>253</v>
      </c>
      <c r="C2080">
        <f>'weather data'!E2080</f>
        <v>15.893333333333333</v>
      </c>
      <c r="D2080">
        <f>LAI!F2080</f>
        <v>0</v>
      </c>
      <c r="E2080">
        <f>0.5*C2080*(1-EXP(-'user input'!$C$19*D2080))</f>
        <v>0</v>
      </c>
      <c r="F2080">
        <f>E2080*'user input'!$C$21</f>
        <v>0</v>
      </c>
    </row>
    <row r="2081" spans="1:6" x14ac:dyDescent="0.2">
      <c r="A2081" s="1">
        <v>42257</v>
      </c>
      <c r="B2081">
        <v>254</v>
      </c>
      <c r="C2081">
        <f>'weather data'!E2081</f>
        <v>17.87555555555555</v>
      </c>
      <c r="D2081">
        <f>LAI!F2081</f>
        <v>0</v>
      </c>
      <c r="E2081">
        <f>0.5*C2081*(1-EXP(-'user input'!$C$19*D2081))</f>
        <v>0</v>
      </c>
      <c r="F2081">
        <f>E2081*'user input'!$C$21</f>
        <v>0</v>
      </c>
    </row>
    <row r="2082" spans="1:6" x14ac:dyDescent="0.2">
      <c r="A2082" s="1">
        <v>42258</v>
      </c>
      <c r="B2082">
        <v>255</v>
      </c>
      <c r="C2082">
        <f>'weather data'!E2082</f>
        <v>15.27777777777778</v>
      </c>
      <c r="D2082">
        <f>LAI!F2082</f>
        <v>0</v>
      </c>
      <c r="E2082">
        <f>0.5*C2082*(1-EXP(-'user input'!$C$19*D2082))</f>
        <v>0</v>
      </c>
      <c r="F2082">
        <f>E2082*'user input'!$C$21</f>
        <v>0</v>
      </c>
    </row>
    <row r="2083" spans="1:6" x14ac:dyDescent="0.2">
      <c r="A2083" s="1">
        <v>42259</v>
      </c>
      <c r="B2083">
        <v>256</v>
      </c>
      <c r="C2083">
        <f>'weather data'!E2083</f>
        <v>14.684444444444448</v>
      </c>
      <c r="D2083">
        <f>LAI!F2083</f>
        <v>0</v>
      </c>
      <c r="E2083">
        <f>0.5*C2083*(1-EXP(-'user input'!$C$19*D2083))</f>
        <v>0</v>
      </c>
      <c r="F2083">
        <f>E2083*'user input'!$C$21</f>
        <v>0</v>
      </c>
    </row>
    <row r="2084" spans="1:6" x14ac:dyDescent="0.2">
      <c r="A2084" s="1">
        <v>42260</v>
      </c>
      <c r="B2084">
        <v>257</v>
      </c>
      <c r="C2084">
        <f>'weather data'!E2084</f>
        <v>14.008888888888889</v>
      </c>
      <c r="D2084">
        <f>LAI!F2084</f>
        <v>0</v>
      </c>
      <c r="E2084">
        <f>0.5*C2084*(1-EXP(-'user input'!$C$19*D2084))</f>
        <v>0</v>
      </c>
      <c r="F2084">
        <f>E2084*'user input'!$C$21</f>
        <v>0</v>
      </c>
    </row>
    <row r="2085" spans="1:6" x14ac:dyDescent="0.2">
      <c r="A2085" s="1">
        <v>42261</v>
      </c>
      <c r="B2085">
        <v>258</v>
      </c>
      <c r="C2085">
        <f>'weather data'!E2085</f>
        <v>14.540000000000001</v>
      </c>
      <c r="D2085">
        <f>LAI!F2085</f>
        <v>0</v>
      </c>
      <c r="E2085">
        <f>0.5*C2085*(1-EXP(-'user input'!$C$19*D2085))</f>
        <v>0</v>
      </c>
      <c r="F2085">
        <f>E2085*'user input'!$C$21</f>
        <v>0</v>
      </c>
    </row>
    <row r="2086" spans="1:6" x14ac:dyDescent="0.2">
      <c r="A2086" s="1">
        <v>42262</v>
      </c>
      <c r="B2086">
        <v>259</v>
      </c>
      <c r="C2086">
        <f>'weather data'!E2086</f>
        <v>14.833333333333339</v>
      </c>
      <c r="D2086">
        <f>LAI!F2086</f>
        <v>0</v>
      </c>
      <c r="E2086">
        <f>0.5*C2086*(1-EXP(-'user input'!$C$19*D2086))</f>
        <v>0</v>
      </c>
      <c r="F2086">
        <f>E2086*'user input'!$C$21</f>
        <v>0</v>
      </c>
    </row>
    <row r="2087" spans="1:6" x14ac:dyDescent="0.2">
      <c r="A2087" s="1">
        <v>42263</v>
      </c>
      <c r="B2087">
        <v>260</v>
      </c>
      <c r="C2087">
        <f>'weather data'!E2087</f>
        <v>14.604444444444445</v>
      </c>
      <c r="D2087">
        <f>LAI!F2087</f>
        <v>0</v>
      </c>
      <c r="E2087">
        <f>0.5*C2087*(1-EXP(-'user input'!$C$19*D2087))</f>
        <v>0</v>
      </c>
      <c r="F2087">
        <f>E2087*'user input'!$C$21</f>
        <v>0</v>
      </c>
    </row>
    <row r="2088" spans="1:6" x14ac:dyDescent="0.2">
      <c r="A2088" s="1">
        <v>42264</v>
      </c>
      <c r="B2088">
        <v>261</v>
      </c>
      <c r="C2088">
        <f>'weather data'!E2088</f>
        <v>14.57555555555556</v>
      </c>
      <c r="D2088">
        <f>LAI!F2088</f>
        <v>0</v>
      </c>
      <c r="E2088">
        <f>0.5*C2088*(1-EXP(-'user input'!$C$19*D2088))</f>
        <v>0</v>
      </c>
      <c r="F2088">
        <f>E2088*'user input'!$C$21</f>
        <v>0</v>
      </c>
    </row>
    <row r="2089" spans="1:6" x14ac:dyDescent="0.2">
      <c r="A2089" s="1">
        <v>42265</v>
      </c>
      <c r="B2089">
        <v>262</v>
      </c>
      <c r="C2089">
        <f>'weather data'!E2089</f>
        <v>13.008888888888889</v>
      </c>
      <c r="D2089">
        <f>LAI!F2089</f>
        <v>0</v>
      </c>
      <c r="E2089">
        <f>0.5*C2089*(1-EXP(-'user input'!$C$19*D2089))</f>
        <v>0</v>
      </c>
      <c r="F2089">
        <f>E2089*'user input'!$C$21</f>
        <v>0</v>
      </c>
    </row>
    <row r="2090" spans="1:6" x14ac:dyDescent="0.2">
      <c r="A2090" s="1">
        <v>42266</v>
      </c>
      <c r="B2090">
        <v>263</v>
      </c>
      <c r="C2090">
        <f>'weather data'!E2090</f>
        <v>13.331111111111113</v>
      </c>
      <c r="D2090">
        <f>LAI!F2090</f>
        <v>0</v>
      </c>
      <c r="E2090">
        <f>0.5*C2090*(1-EXP(-'user input'!$C$19*D2090))</f>
        <v>0</v>
      </c>
      <c r="F2090">
        <f>E2090*'user input'!$C$21</f>
        <v>0</v>
      </c>
    </row>
    <row r="2091" spans="1:6" x14ac:dyDescent="0.2">
      <c r="A2091" s="1">
        <v>42267</v>
      </c>
      <c r="B2091">
        <v>264</v>
      </c>
      <c r="C2091">
        <f>'weather data'!E2091</f>
        <v>13.533333333333333</v>
      </c>
      <c r="D2091">
        <f>LAI!F2091</f>
        <v>0</v>
      </c>
      <c r="E2091">
        <f>0.5*C2091*(1-EXP(-'user input'!$C$19*D2091))</f>
        <v>0</v>
      </c>
      <c r="F2091">
        <f>E2091*'user input'!$C$21</f>
        <v>0</v>
      </c>
    </row>
    <row r="2092" spans="1:6" x14ac:dyDescent="0.2">
      <c r="A2092" s="1">
        <v>42268</v>
      </c>
      <c r="B2092">
        <v>265</v>
      </c>
      <c r="C2092">
        <f>'weather data'!E2092</f>
        <v>13.317777777777776</v>
      </c>
      <c r="D2092">
        <f>LAI!F2092</f>
        <v>0</v>
      </c>
      <c r="E2092">
        <f>0.5*C2092*(1-EXP(-'user input'!$C$19*D2092))</f>
        <v>0</v>
      </c>
      <c r="F2092">
        <f>E2092*'user input'!$C$21</f>
        <v>0</v>
      </c>
    </row>
    <row r="2093" spans="1:6" x14ac:dyDescent="0.2">
      <c r="A2093" s="1">
        <v>42269</v>
      </c>
      <c r="B2093">
        <v>266</v>
      </c>
      <c r="C2093">
        <f>'weather data'!E2093</f>
        <v>13.562222222222227</v>
      </c>
      <c r="D2093">
        <f>LAI!F2093</f>
        <v>0</v>
      </c>
      <c r="E2093">
        <f>0.5*C2093*(1-EXP(-'user input'!$C$19*D2093))</f>
        <v>0</v>
      </c>
      <c r="F2093">
        <f>E2093*'user input'!$C$21</f>
        <v>0</v>
      </c>
    </row>
    <row r="2094" spans="1:6" x14ac:dyDescent="0.2">
      <c r="A2094" s="1">
        <v>42270</v>
      </c>
      <c r="B2094">
        <v>267</v>
      </c>
      <c r="C2094">
        <f>'weather data'!E2094</f>
        <v>13.764444444444443</v>
      </c>
      <c r="D2094">
        <f>LAI!F2094</f>
        <v>0</v>
      </c>
      <c r="E2094">
        <f>0.5*C2094*(1-EXP(-'user input'!$C$19*D2094))</f>
        <v>0</v>
      </c>
      <c r="F2094">
        <f>E2094*'user input'!$C$21</f>
        <v>0</v>
      </c>
    </row>
    <row r="2095" spans="1:6" x14ac:dyDescent="0.2">
      <c r="A2095" s="1">
        <v>42271</v>
      </c>
      <c r="B2095">
        <v>268</v>
      </c>
      <c r="C2095">
        <f>'weather data'!E2095</f>
        <v>13.388888888888891</v>
      </c>
      <c r="D2095">
        <f>LAI!F2095</f>
        <v>0</v>
      </c>
      <c r="E2095">
        <f>0.5*C2095*(1-EXP(-'user input'!$C$19*D2095))</f>
        <v>0</v>
      </c>
      <c r="F2095">
        <f>E2095*'user input'!$C$21</f>
        <v>0</v>
      </c>
    </row>
    <row r="2096" spans="1:6" x14ac:dyDescent="0.2">
      <c r="A2096" s="1">
        <v>42272</v>
      </c>
      <c r="B2096">
        <v>269</v>
      </c>
      <c r="C2096">
        <f>'weather data'!E2096</f>
        <v>13.502222222222223</v>
      </c>
      <c r="D2096">
        <f>LAI!F2096</f>
        <v>0</v>
      </c>
      <c r="E2096">
        <f>0.5*C2096*(1-EXP(-'user input'!$C$19*D2096))</f>
        <v>0</v>
      </c>
      <c r="F2096">
        <f>E2096*'user input'!$C$21</f>
        <v>0</v>
      </c>
    </row>
    <row r="2097" spans="1:6" x14ac:dyDescent="0.2">
      <c r="A2097" s="1">
        <v>42273</v>
      </c>
      <c r="B2097">
        <v>270</v>
      </c>
      <c r="C2097">
        <f>'weather data'!E2097</f>
        <v>14.011111111111109</v>
      </c>
      <c r="D2097">
        <f>LAI!F2097</f>
        <v>0</v>
      </c>
      <c r="E2097">
        <f>0.5*C2097*(1-EXP(-'user input'!$C$19*D2097))</f>
        <v>0</v>
      </c>
      <c r="F2097">
        <f>E2097*'user input'!$C$21</f>
        <v>0</v>
      </c>
    </row>
    <row r="2098" spans="1:6" x14ac:dyDescent="0.2">
      <c r="A2098" s="1">
        <v>42274</v>
      </c>
      <c r="B2098">
        <v>271</v>
      </c>
      <c r="C2098">
        <f>'weather data'!E2098</f>
        <v>12.597777777777782</v>
      </c>
      <c r="D2098">
        <f>LAI!F2098</f>
        <v>0</v>
      </c>
      <c r="E2098">
        <f>0.5*C2098*(1-EXP(-'user input'!$C$19*D2098))</f>
        <v>0</v>
      </c>
      <c r="F2098">
        <f>E2098*'user input'!$C$21</f>
        <v>0</v>
      </c>
    </row>
    <row r="2099" spans="1:6" x14ac:dyDescent="0.2">
      <c r="A2099" s="1">
        <v>42275</v>
      </c>
      <c r="B2099">
        <v>272</v>
      </c>
      <c r="C2099">
        <f>'weather data'!E2099</f>
        <v>13.12666666666667</v>
      </c>
      <c r="D2099">
        <f>LAI!F2099</f>
        <v>0</v>
      </c>
      <c r="E2099">
        <f>0.5*C2099*(1-EXP(-'user input'!$C$19*D2099))</f>
        <v>0</v>
      </c>
      <c r="F2099">
        <f>E2099*'user input'!$C$21</f>
        <v>0</v>
      </c>
    </row>
    <row r="2100" spans="1:6" x14ac:dyDescent="0.2">
      <c r="A2100" s="1">
        <v>42276</v>
      </c>
      <c r="B2100">
        <v>273</v>
      </c>
      <c r="C2100">
        <f>'weather data'!E2100</f>
        <v>13.026666666666667</v>
      </c>
      <c r="D2100">
        <f>LAI!F2100</f>
        <v>0</v>
      </c>
      <c r="E2100">
        <f>0.5*C2100*(1-EXP(-'user input'!$C$19*D2100))</f>
        <v>0</v>
      </c>
      <c r="F2100">
        <f>E2100*'user input'!$C$21</f>
        <v>0</v>
      </c>
    </row>
    <row r="2101" spans="1:6" x14ac:dyDescent="0.2">
      <c r="A2101" s="1">
        <v>42277</v>
      </c>
      <c r="B2101">
        <v>274</v>
      </c>
      <c r="C2101">
        <f>'weather data'!E2101</f>
        <v>13.155555555555559</v>
      </c>
      <c r="D2101">
        <f>LAI!F2101</f>
        <v>0</v>
      </c>
      <c r="E2101">
        <f>0.5*C2101*(1-EXP(-'user input'!$C$19*D2101))</f>
        <v>0</v>
      </c>
      <c r="F2101">
        <f>E2101*'user input'!$C$21</f>
        <v>0</v>
      </c>
    </row>
    <row r="2102" spans="1:6" x14ac:dyDescent="0.2">
      <c r="A2102" s="1">
        <v>42278</v>
      </c>
      <c r="B2102">
        <v>275</v>
      </c>
      <c r="C2102">
        <f>'weather data'!E2102</f>
        <v>13.037777777777777</v>
      </c>
      <c r="D2102">
        <f>LAI!F2102</f>
        <v>0</v>
      </c>
      <c r="E2102">
        <f>0.5*C2102*(1-EXP(-'user input'!$C$19*D2102))</f>
        <v>0</v>
      </c>
      <c r="F2102">
        <f>E2102*'user input'!$C$21</f>
        <v>0</v>
      </c>
    </row>
    <row r="2103" spans="1:6" x14ac:dyDescent="0.2">
      <c r="A2103" s="1">
        <v>42279</v>
      </c>
      <c r="B2103">
        <v>276</v>
      </c>
      <c r="C2103">
        <f>'weather data'!E2103</f>
        <v>12.082222222222223</v>
      </c>
      <c r="D2103">
        <f>LAI!F2103</f>
        <v>0</v>
      </c>
      <c r="E2103">
        <f>0.5*C2103*(1-EXP(-'user input'!$C$19*D2103))</f>
        <v>0</v>
      </c>
      <c r="F2103">
        <f>E2103*'user input'!$C$21</f>
        <v>0</v>
      </c>
    </row>
    <row r="2104" spans="1:6" x14ac:dyDescent="0.2">
      <c r="A2104" s="1">
        <v>42280</v>
      </c>
      <c r="B2104">
        <v>277</v>
      </c>
      <c r="C2104">
        <f>'weather data'!E2104</f>
        <v>12.068888888888893</v>
      </c>
      <c r="D2104">
        <f>LAI!F2104</f>
        <v>0</v>
      </c>
      <c r="E2104">
        <f>0.5*C2104*(1-EXP(-'user input'!$C$19*D2104))</f>
        <v>0</v>
      </c>
      <c r="F2104">
        <f>E2104*'user input'!$C$21</f>
        <v>0</v>
      </c>
    </row>
    <row r="2105" spans="1:6" x14ac:dyDescent="0.2">
      <c r="A2105" s="1">
        <v>42281</v>
      </c>
      <c r="B2105">
        <v>278</v>
      </c>
      <c r="C2105">
        <f>'weather data'!E2105</f>
        <v>12.471111111111115</v>
      </c>
      <c r="D2105">
        <f>LAI!F2105</f>
        <v>0</v>
      </c>
      <c r="E2105">
        <f>0.5*C2105*(1-EXP(-'user input'!$C$19*D2105))</f>
        <v>0</v>
      </c>
      <c r="F2105">
        <f>E2105*'user input'!$C$21</f>
        <v>0</v>
      </c>
    </row>
    <row r="2106" spans="1:6" x14ac:dyDescent="0.2">
      <c r="A2106" s="1">
        <v>42282</v>
      </c>
      <c r="B2106">
        <v>279</v>
      </c>
      <c r="C2106">
        <f>'weather data'!E2106</f>
        <v>11.631111111111114</v>
      </c>
      <c r="D2106">
        <f>LAI!F2106</f>
        <v>0</v>
      </c>
      <c r="E2106">
        <f>0.5*C2106*(1-EXP(-'user input'!$C$19*D2106))</f>
        <v>0</v>
      </c>
      <c r="F2106">
        <f>E2106*'user input'!$C$21</f>
        <v>0</v>
      </c>
    </row>
    <row r="2107" spans="1:6" x14ac:dyDescent="0.2">
      <c r="A2107" s="1">
        <v>42283</v>
      </c>
      <c r="B2107">
        <v>280</v>
      </c>
      <c r="C2107">
        <f>'weather data'!E2107</f>
        <v>11.757777777777779</v>
      </c>
      <c r="D2107">
        <f>LAI!F2107</f>
        <v>0</v>
      </c>
      <c r="E2107">
        <f>0.5*C2107*(1-EXP(-'user input'!$C$19*D2107))</f>
        <v>0</v>
      </c>
      <c r="F2107">
        <f>E2107*'user input'!$C$21</f>
        <v>0</v>
      </c>
    </row>
    <row r="2108" spans="1:6" x14ac:dyDescent="0.2">
      <c r="A2108" s="1">
        <v>42284</v>
      </c>
      <c r="B2108">
        <v>281</v>
      </c>
      <c r="C2108">
        <f>'weather data'!E2108</f>
        <v>10.711111111111109</v>
      </c>
      <c r="D2108">
        <f>LAI!F2108</f>
        <v>0</v>
      </c>
      <c r="E2108">
        <f>0.5*C2108*(1-EXP(-'user input'!$C$19*D2108))</f>
        <v>0</v>
      </c>
      <c r="F2108">
        <f>E2108*'user input'!$C$21</f>
        <v>0</v>
      </c>
    </row>
    <row r="2109" spans="1:6" x14ac:dyDescent="0.2">
      <c r="A2109" s="1">
        <v>42285</v>
      </c>
      <c r="B2109">
        <v>282</v>
      </c>
      <c r="C2109">
        <f>'weather data'!E2109</f>
        <v>11.008888888888887</v>
      </c>
      <c r="D2109">
        <f>LAI!F2109</f>
        <v>0</v>
      </c>
      <c r="E2109">
        <f>0.5*C2109*(1-EXP(-'user input'!$C$19*D2109))</f>
        <v>0</v>
      </c>
      <c r="F2109">
        <f>E2109*'user input'!$C$21</f>
        <v>0</v>
      </c>
    </row>
    <row r="2110" spans="1:6" x14ac:dyDescent="0.2">
      <c r="A2110" s="1">
        <v>42286</v>
      </c>
      <c r="B2110">
        <v>283</v>
      </c>
      <c r="C2110">
        <f>'weather data'!E2110</f>
        <v>11.120000000000003</v>
      </c>
      <c r="D2110">
        <f>LAI!F2110</f>
        <v>0</v>
      </c>
      <c r="E2110">
        <f>0.5*C2110*(1-EXP(-'user input'!$C$19*D2110))</f>
        <v>0</v>
      </c>
      <c r="F2110">
        <f>E2110*'user input'!$C$21</f>
        <v>0</v>
      </c>
    </row>
    <row r="2111" spans="1:6" x14ac:dyDescent="0.2">
      <c r="A2111" s="1">
        <v>42287</v>
      </c>
      <c r="B2111">
        <v>284</v>
      </c>
      <c r="C2111">
        <f>'weather data'!E2111</f>
        <v>11.48</v>
      </c>
      <c r="D2111">
        <f>LAI!F2111</f>
        <v>0</v>
      </c>
      <c r="E2111">
        <f>0.5*C2111*(1-EXP(-'user input'!$C$19*D2111))</f>
        <v>0</v>
      </c>
      <c r="F2111">
        <f>E2111*'user input'!$C$21</f>
        <v>0</v>
      </c>
    </row>
    <row r="2112" spans="1:6" x14ac:dyDescent="0.2">
      <c r="A2112" s="1">
        <v>42288</v>
      </c>
      <c r="B2112">
        <v>285</v>
      </c>
      <c r="C2112">
        <f>'weather data'!E2112</f>
        <v>10.637777777777782</v>
      </c>
      <c r="D2112">
        <f>LAI!F2112</f>
        <v>0</v>
      </c>
      <c r="E2112">
        <f>0.5*C2112*(1-EXP(-'user input'!$C$19*D2112))</f>
        <v>0</v>
      </c>
      <c r="F2112">
        <f>E2112*'user input'!$C$21</f>
        <v>0</v>
      </c>
    </row>
    <row r="2113" spans="1:6" x14ac:dyDescent="0.2">
      <c r="A2113" s="1">
        <v>42289</v>
      </c>
      <c r="B2113">
        <v>286</v>
      </c>
      <c r="C2113">
        <f>'weather data'!E2113</f>
        <v>10.895555555555555</v>
      </c>
      <c r="D2113">
        <f>LAI!F2113</f>
        <v>0</v>
      </c>
      <c r="E2113">
        <f>0.5*C2113*(1-EXP(-'user input'!$C$19*D2113))</f>
        <v>0</v>
      </c>
      <c r="F2113">
        <f>E2113*'user input'!$C$21</f>
        <v>0</v>
      </c>
    </row>
    <row r="2114" spans="1:6" x14ac:dyDescent="0.2">
      <c r="A2114" s="1">
        <v>42290</v>
      </c>
      <c r="B2114">
        <v>287</v>
      </c>
      <c r="C2114">
        <f>'weather data'!E2114</f>
        <v>10.784444444444448</v>
      </c>
      <c r="D2114">
        <f>LAI!F2114</f>
        <v>0</v>
      </c>
      <c r="E2114">
        <f>0.5*C2114*(1-EXP(-'user input'!$C$19*D2114))</f>
        <v>0</v>
      </c>
      <c r="F2114">
        <f>E2114*'user input'!$C$21</f>
        <v>0</v>
      </c>
    </row>
    <row r="2115" spans="1:6" x14ac:dyDescent="0.2">
      <c r="A2115" s="1">
        <v>42291</v>
      </c>
      <c r="B2115">
        <v>288</v>
      </c>
      <c r="C2115">
        <f>'weather data'!E2115</f>
        <v>10.637777777777782</v>
      </c>
      <c r="D2115">
        <f>LAI!F2115</f>
        <v>0</v>
      </c>
      <c r="E2115">
        <f>0.5*C2115*(1-EXP(-'user input'!$C$19*D2115))</f>
        <v>0</v>
      </c>
      <c r="F2115">
        <f>E2115*'user input'!$C$21</f>
        <v>0</v>
      </c>
    </row>
    <row r="2116" spans="1:6" x14ac:dyDescent="0.2">
      <c r="A2116" s="1">
        <v>42292</v>
      </c>
      <c r="B2116">
        <v>289</v>
      </c>
      <c r="C2116">
        <f>'weather data'!E2116</f>
        <v>10.64666666666667</v>
      </c>
      <c r="D2116">
        <f>LAI!F2116</f>
        <v>0</v>
      </c>
      <c r="E2116">
        <f>0.5*C2116*(1-EXP(-'user input'!$C$19*D2116))</f>
        <v>0</v>
      </c>
      <c r="F2116">
        <f>E2116*'user input'!$C$21</f>
        <v>0</v>
      </c>
    </row>
    <row r="2117" spans="1:6" x14ac:dyDescent="0.2">
      <c r="A2117" s="1">
        <v>42293</v>
      </c>
      <c r="B2117">
        <v>290</v>
      </c>
      <c r="C2117">
        <f>'weather data'!E2117</f>
        <v>10.311111111111112</v>
      </c>
      <c r="D2117">
        <f>LAI!F2117</f>
        <v>0</v>
      </c>
      <c r="E2117">
        <f>0.5*C2117*(1-EXP(-'user input'!$C$19*D2117))</f>
        <v>0</v>
      </c>
      <c r="F2117">
        <f>E2117*'user input'!$C$21</f>
        <v>0</v>
      </c>
    </row>
    <row r="2118" spans="1:6" x14ac:dyDescent="0.2">
      <c r="A2118" s="1">
        <v>42294</v>
      </c>
      <c r="B2118">
        <v>291</v>
      </c>
      <c r="C2118">
        <f>'weather data'!E2118</f>
        <v>9.4244444444444415</v>
      </c>
      <c r="D2118">
        <f>LAI!F2118</f>
        <v>0</v>
      </c>
      <c r="E2118">
        <f>0.5*C2118*(1-EXP(-'user input'!$C$19*D2118))</f>
        <v>0</v>
      </c>
      <c r="F2118">
        <f>E2118*'user input'!$C$21</f>
        <v>0</v>
      </c>
    </row>
    <row r="2119" spans="1:6" x14ac:dyDescent="0.2">
      <c r="A2119" s="1">
        <v>42295</v>
      </c>
      <c r="B2119">
        <v>292</v>
      </c>
      <c r="C2119">
        <f>'weather data'!E2119</f>
        <v>9.5977777777777806</v>
      </c>
      <c r="D2119">
        <f>LAI!F2119</f>
        <v>0</v>
      </c>
      <c r="E2119">
        <f>0.5*C2119*(1-EXP(-'user input'!$C$19*D2119))</f>
        <v>0</v>
      </c>
      <c r="F2119">
        <f>E2119*'user input'!$C$21</f>
        <v>0</v>
      </c>
    </row>
    <row r="2120" spans="1:6" x14ac:dyDescent="0.2">
      <c r="A2120" s="1">
        <v>42296</v>
      </c>
      <c r="B2120">
        <v>293</v>
      </c>
      <c r="C2120">
        <f>'weather data'!E2120</f>
        <v>9.0800000000000036</v>
      </c>
      <c r="D2120">
        <f>LAI!F2120</f>
        <v>0</v>
      </c>
      <c r="E2120">
        <f>0.5*C2120*(1-EXP(-'user input'!$C$19*D2120))</f>
        <v>0</v>
      </c>
      <c r="F2120">
        <f>E2120*'user input'!$C$21</f>
        <v>0</v>
      </c>
    </row>
    <row r="2121" spans="1:6" x14ac:dyDescent="0.2">
      <c r="A2121" s="1">
        <v>42297</v>
      </c>
      <c r="B2121">
        <v>294</v>
      </c>
      <c r="C2121">
        <f>'weather data'!E2121</f>
        <v>8.8311111111111114</v>
      </c>
      <c r="D2121">
        <f>LAI!F2121</f>
        <v>0</v>
      </c>
      <c r="E2121">
        <f>0.5*C2121*(1-EXP(-'user input'!$C$19*D2121))</f>
        <v>0</v>
      </c>
      <c r="F2121">
        <f>E2121*'user input'!$C$21</f>
        <v>0</v>
      </c>
    </row>
    <row r="2122" spans="1:6" x14ac:dyDescent="0.2">
      <c r="A2122" s="1">
        <v>42298</v>
      </c>
      <c r="B2122">
        <v>295</v>
      </c>
      <c r="C2122">
        <f>'weather data'!E2122</f>
        <v>8.6733333333333285</v>
      </c>
      <c r="D2122">
        <f>LAI!F2122</f>
        <v>0</v>
      </c>
      <c r="E2122">
        <f>0.5*C2122*(1-EXP(-'user input'!$C$19*D2122))</f>
        <v>0</v>
      </c>
      <c r="F2122">
        <f>E2122*'user input'!$C$21</f>
        <v>0</v>
      </c>
    </row>
    <row r="2123" spans="1:6" x14ac:dyDescent="0.2">
      <c r="A2123" s="1">
        <v>42299</v>
      </c>
      <c r="B2123">
        <v>296</v>
      </c>
      <c r="C2123">
        <f>'weather data'!E2123</f>
        <v>7.8955555555555543</v>
      </c>
      <c r="D2123">
        <f>LAI!F2123</f>
        <v>0</v>
      </c>
      <c r="E2123">
        <f>0.5*C2123*(1-EXP(-'user input'!$C$19*D2123))</f>
        <v>0</v>
      </c>
      <c r="F2123">
        <f>E2123*'user input'!$C$21</f>
        <v>0</v>
      </c>
    </row>
    <row r="2124" spans="1:6" x14ac:dyDescent="0.2">
      <c r="A2124" s="1">
        <v>42300</v>
      </c>
      <c r="B2124">
        <v>297</v>
      </c>
      <c r="C2124">
        <f>'weather data'!E2124</f>
        <v>8.4711111111111119</v>
      </c>
      <c r="D2124">
        <f>LAI!F2124</f>
        <v>0</v>
      </c>
      <c r="E2124">
        <f>0.5*C2124*(1-EXP(-'user input'!$C$19*D2124))</f>
        <v>0</v>
      </c>
      <c r="F2124">
        <f>E2124*'user input'!$C$21</f>
        <v>0</v>
      </c>
    </row>
    <row r="2125" spans="1:6" x14ac:dyDescent="0.2">
      <c r="A2125" s="1">
        <v>42301</v>
      </c>
      <c r="B2125">
        <v>298</v>
      </c>
      <c r="C2125">
        <f>'weather data'!E2125</f>
        <v>8.9599999999999991</v>
      </c>
      <c r="D2125">
        <f>LAI!F2125</f>
        <v>0</v>
      </c>
      <c r="E2125">
        <f>0.5*C2125*(1-EXP(-'user input'!$C$19*D2125))</f>
        <v>0</v>
      </c>
      <c r="F2125">
        <f>E2125*'user input'!$C$21</f>
        <v>0</v>
      </c>
    </row>
    <row r="2126" spans="1:6" x14ac:dyDescent="0.2">
      <c r="A2126" s="1">
        <v>42302</v>
      </c>
      <c r="B2126">
        <v>299</v>
      </c>
      <c r="C2126">
        <f>'weather data'!E2126</f>
        <v>9.0155555555555544</v>
      </c>
      <c r="D2126">
        <f>LAI!F2126</f>
        <v>0</v>
      </c>
      <c r="E2126">
        <f>0.5*C2126*(1-EXP(-'user input'!$C$19*D2126))</f>
        <v>0</v>
      </c>
      <c r="F2126">
        <f>E2126*'user input'!$C$21</f>
        <v>0</v>
      </c>
    </row>
    <row r="2127" spans="1:6" x14ac:dyDescent="0.2">
      <c r="A2127" s="1">
        <v>42303</v>
      </c>
      <c r="B2127">
        <v>300</v>
      </c>
      <c r="C2127">
        <f>'weather data'!E2127</f>
        <v>8.5622222222222231</v>
      </c>
      <c r="D2127">
        <f>LAI!F2127</f>
        <v>0</v>
      </c>
      <c r="E2127">
        <f>0.5*C2127*(1-EXP(-'user input'!$C$19*D2127))</f>
        <v>0</v>
      </c>
      <c r="F2127">
        <f>E2127*'user input'!$C$21</f>
        <v>0</v>
      </c>
    </row>
    <row r="2128" spans="1:6" x14ac:dyDescent="0.2">
      <c r="A2128" s="1">
        <v>42304</v>
      </c>
      <c r="B2128">
        <v>301</v>
      </c>
      <c r="C2128">
        <f>'weather data'!E2128</f>
        <v>9.3444444444444468</v>
      </c>
      <c r="D2128">
        <f>LAI!F2128</f>
        <v>0</v>
      </c>
      <c r="E2128">
        <f>0.5*C2128*(1-EXP(-'user input'!$C$19*D2128))</f>
        <v>0</v>
      </c>
      <c r="F2128">
        <f>E2128*'user input'!$C$21</f>
        <v>0</v>
      </c>
    </row>
    <row r="2129" spans="1:6" x14ac:dyDescent="0.2">
      <c r="A2129" s="1">
        <v>42305</v>
      </c>
      <c r="B2129">
        <v>302</v>
      </c>
      <c r="C2129">
        <f>'weather data'!E2129</f>
        <v>8.6866666666666656</v>
      </c>
      <c r="D2129">
        <f>LAI!F2129</f>
        <v>0</v>
      </c>
      <c r="E2129">
        <f>0.5*C2129*(1-EXP(-'user input'!$C$19*D2129))</f>
        <v>0</v>
      </c>
      <c r="F2129">
        <f>E2129*'user input'!$C$21</f>
        <v>0</v>
      </c>
    </row>
    <row r="2130" spans="1:6" x14ac:dyDescent="0.2">
      <c r="A2130" s="1">
        <v>42306</v>
      </c>
      <c r="B2130">
        <v>303</v>
      </c>
      <c r="C2130">
        <f>'weather data'!E2130</f>
        <v>8.1999999999999975</v>
      </c>
      <c r="D2130">
        <f>LAI!F2130</f>
        <v>0</v>
      </c>
      <c r="E2130">
        <f>0.5*C2130*(1-EXP(-'user input'!$C$19*D2130))</f>
        <v>0</v>
      </c>
      <c r="F2130">
        <f>E2130*'user input'!$C$21</f>
        <v>0</v>
      </c>
    </row>
    <row r="2131" spans="1:6" x14ac:dyDescent="0.2">
      <c r="A2131" s="1">
        <v>42307</v>
      </c>
      <c r="B2131">
        <v>304</v>
      </c>
      <c r="C2131">
        <f>'weather data'!E2131</f>
        <v>7.120000000000001</v>
      </c>
      <c r="D2131">
        <f>LAI!F2131</f>
        <v>0</v>
      </c>
      <c r="E2131">
        <f>0.5*C2131*(1-EXP(-'user input'!$C$19*D2131))</f>
        <v>0</v>
      </c>
      <c r="F2131">
        <f>E2131*'user input'!$C$21</f>
        <v>0</v>
      </c>
    </row>
    <row r="2132" spans="1:6" x14ac:dyDescent="0.2">
      <c r="A2132" s="1">
        <v>42308</v>
      </c>
      <c r="B2132">
        <v>305</v>
      </c>
      <c r="C2132">
        <f>'weather data'!E2132</f>
        <v>6.913333333333334</v>
      </c>
      <c r="D2132">
        <f>LAI!F2132</f>
        <v>0</v>
      </c>
      <c r="E2132">
        <f>0.5*C2132*(1-EXP(-'user input'!$C$19*D2132))</f>
        <v>0</v>
      </c>
      <c r="F2132">
        <f>E2132*'user input'!$C$21</f>
        <v>0</v>
      </c>
    </row>
    <row r="2133" spans="1:6" x14ac:dyDescent="0.2">
      <c r="A2133" s="1">
        <v>42309</v>
      </c>
      <c r="B2133">
        <v>306</v>
      </c>
      <c r="C2133">
        <f>'weather data'!E2133</f>
        <v>7.6555555555555559</v>
      </c>
      <c r="D2133">
        <f>LAI!F2133</f>
        <v>0</v>
      </c>
      <c r="E2133">
        <f>0.5*C2133*(1-EXP(-'user input'!$C$19*D2133))</f>
        <v>0</v>
      </c>
      <c r="F2133">
        <f>E2133*'user input'!$C$21</f>
        <v>0</v>
      </c>
    </row>
    <row r="2134" spans="1:6" x14ac:dyDescent="0.2">
      <c r="A2134" s="1">
        <v>42310</v>
      </c>
      <c r="B2134">
        <v>307</v>
      </c>
      <c r="C2134">
        <f>'weather data'!E2134</f>
        <v>7.1822222222222205</v>
      </c>
      <c r="D2134">
        <f>LAI!F2134</f>
        <v>0</v>
      </c>
      <c r="E2134">
        <f>0.5*C2134*(1-EXP(-'user input'!$C$19*D2134))</f>
        <v>0</v>
      </c>
      <c r="F2134">
        <f>E2134*'user input'!$C$21</f>
        <v>0</v>
      </c>
    </row>
    <row r="2135" spans="1:6" x14ac:dyDescent="0.2">
      <c r="A2135" s="1">
        <v>42311</v>
      </c>
      <c r="B2135">
        <v>308</v>
      </c>
      <c r="C2135">
        <f>'weather data'!E2135</f>
        <v>7.5955555555555545</v>
      </c>
      <c r="D2135">
        <f>LAI!F2135</f>
        <v>0</v>
      </c>
      <c r="E2135">
        <f>0.5*C2135*(1-EXP(-'user input'!$C$19*D2135))</f>
        <v>0</v>
      </c>
      <c r="F2135">
        <f>E2135*'user input'!$C$21</f>
        <v>0</v>
      </c>
    </row>
    <row r="2136" spans="1:6" x14ac:dyDescent="0.2">
      <c r="A2136" s="1">
        <v>42312</v>
      </c>
      <c r="B2136">
        <v>309</v>
      </c>
      <c r="C2136">
        <f>'weather data'!E2136</f>
        <v>6.7955555555555573</v>
      </c>
      <c r="D2136">
        <f>LAI!F2136</f>
        <v>0</v>
      </c>
      <c r="E2136">
        <f>0.5*C2136*(1-EXP(-'user input'!$C$19*D2136))</f>
        <v>0</v>
      </c>
      <c r="F2136">
        <f>E2136*'user input'!$C$21</f>
        <v>0</v>
      </c>
    </row>
    <row r="2137" spans="1:6" x14ac:dyDescent="0.2">
      <c r="A2137" s="1">
        <v>42313</v>
      </c>
      <c r="B2137">
        <v>310</v>
      </c>
      <c r="C2137">
        <f>'weather data'!E2137</f>
        <v>6.6288888888888904</v>
      </c>
      <c r="D2137">
        <f>LAI!F2137</f>
        <v>0</v>
      </c>
      <c r="E2137">
        <f>0.5*C2137*(1-EXP(-'user input'!$C$19*D2137))</f>
        <v>0</v>
      </c>
      <c r="F2137">
        <f>E2137*'user input'!$C$21</f>
        <v>0</v>
      </c>
    </row>
    <row r="2138" spans="1:6" x14ac:dyDescent="0.2">
      <c r="A2138" s="1">
        <v>42314</v>
      </c>
      <c r="B2138">
        <v>311</v>
      </c>
      <c r="C2138">
        <f>'weather data'!E2138</f>
        <v>7.4622222222222225</v>
      </c>
      <c r="D2138">
        <f>LAI!F2138</f>
        <v>0</v>
      </c>
      <c r="E2138">
        <f>0.5*C2138*(1-EXP(-'user input'!$C$19*D2138))</f>
        <v>0</v>
      </c>
      <c r="F2138">
        <f>E2138*'user input'!$C$21</f>
        <v>0</v>
      </c>
    </row>
    <row r="2139" spans="1:6" x14ac:dyDescent="0.2">
      <c r="A2139" s="1">
        <v>42315</v>
      </c>
      <c r="B2139">
        <v>312</v>
      </c>
      <c r="C2139">
        <f>'weather data'!E2139</f>
        <v>6.4088888888888897</v>
      </c>
      <c r="D2139">
        <f>LAI!F2139</f>
        <v>0</v>
      </c>
      <c r="E2139">
        <f>0.5*C2139*(1-EXP(-'user input'!$C$19*D2139))</f>
        <v>0</v>
      </c>
      <c r="F2139">
        <f>E2139*'user input'!$C$21</f>
        <v>0</v>
      </c>
    </row>
    <row r="2140" spans="1:6" x14ac:dyDescent="0.2">
      <c r="A2140" s="1">
        <v>42316</v>
      </c>
      <c r="B2140">
        <v>313</v>
      </c>
      <c r="C2140">
        <f>'weather data'!E2140</f>
        <v>6.8622222222222238</v>
      </c>
      <c r="D2140">
        <f>LAI!F2140</f>
        <v>0</v>
      </c>
      <c r="E2140">
        <f>0.5*C2140*(1-EXP(-'user input'!$C$19*D2140))</f>
        <v>0</v>
      </c>
      <c r="F2140">
        <f>E2140*'user input'!$C$21</f>
        <v>0</v>
      </c>
    </row>
    <row r="2141" spans="1:6" x14ac:dyDescent="0.2">
      <c r="A2141" s="1">
        <v>42317</v>
      </c>
      <c r="B2141">
        <v>314</v>
      </c>
      <c r="C2141">
        <f>'weather data'!E2141</f>
        <v>6.8200000000000012</v>
      </c>
      <c r="D2141">
        <f>LAI!F2141</f>
        <v>0</v>
      </c>
      <c r="E2141">
        <f>0.5*C2141*(1-EXP(-'user input'!$C$19*D2141))</f>
        <v>0</v>
      </c>
      <c r="F2141">
        <f>E2141*'user input'!$C$21</f>
        <v>0</v>
      </c>
    </row>
    <row r="2142" spans="1:6" x14ac:dyDescent="0.2">
      <c r="A2142" s="1">
        <v>42318</v>
      </c>
      <c r="B2142">
        <v>315</v>
      </c>
      <c r="C2142">
        <f>'weather data'!E2142</f>
        <v>7.075555555555554</v>
      </c>
      <c r="D2142">
        <f>LAI!F2142</f>
        <v>0</v>
      </c>
      <c r="E2142">
        <f>0.5*C2142*(1-EXP(-'user input'!$C$19*D2142))</f>
        <v>0</v>
      </c>
      <c r="F2142">
        <f>E2142*'user input'!$C$21</f>
        <v>0</v>
      </c>
    </row>
    <row r="2143" spans="1:6" x14ac:dyDescent="0.2">
      <c r="A2143" s="1">
        <v>42319</v>
      </c>
      <c r="B2143">
        <v>316</v>
      </c>
      <c r="C2143">
        <f>'weather data'!E2143</f>
        <v>6.7977777777777781</v>
      </c>
      <c r="D2143">
        <f>LAI!F2143</f>
        <v>0</v>
      </c>
      <c r="E2143">
        <f>0.5*C2143*(1-EXP(-'user input'!$C$19*D2143))</f>
        <v>0</v>
      </c>
      <c r="F2143">
        <f>E2143*'user input'!$C$21</f>
        <v>0</v>
      </c>
    </row>
    <row r="2144" spans="1:6" x14ac:dyDescent="0.2">
      <c r="A2144" s="1">
        <v>42320</v>
      </c>
      <c r="B2144">
        <v>317</v>
      </c>
      <c r="C2144">
        <f>'weather data'!E2144</f>
        <v>6.2888888888888914</v>
      </c>
      <c r="D2144">
        <f>LAI!F2144</f>
        <v>0</v>
      </c>
      <c r="E2144">
        <f>0.5*C2144*(1-EXP(-'user input'!$C$19*D2144))</f>
        <v>0</v>
      </c>
      <c r="F2144">
        <f>E2144*'user input'!$C$21</f>
        <v>0</v>
      </c>
    </row>
    <row r="2145" spans="1:6" x14ac:dyDescent="0.2">
      <c r="A2145" s="1">
        <v>42321</v>
      </c>
      <c r="B2145">
        <v>318</v>
      </c>
      <c r="C2145">
        <f>'weather data'!E2145</f>
        <v>6.3822222222222242</v>
      </c>
      <c r="D2145">
        <f>LAI!F2145</f>
        <v>0</v>
      </c>
      <c r="E2145">
        <f>0.5*C2145*(1-EXP(-'user input'!$C$19*D2145))</f>
        <v>0</v>
      </c>
      <c r="F2145">
        <f>E2145*'user input'!$C$21</f>
        <v>0</v>
      </c>
    </row>
    <row r="2146" spans="1:6" x14ac:dyDescent="0.2">
      <c r="A2146" s="1">
        <v>42322</v>
      </c>
      <c r="B2146">
        <v>319</v>
      </c>
      <c r="C2146">
        <f>'weather data'!E2146</f>
        <v>5.5888888888888895</v>
      </c>
      <c r="D2146">
        <f>LAI!F2146</f>
        <v>0</v>
      </c>
      <c r="E2146">
        <f>0.5*C2146*(1-EXP(-'user input'!$C$19*D2146))</f>
        <v>0</v>
      </c>
      <c r="F2146">
        <f>E2146*'user input'!$C$21</f>
        <v>0</v>
      </c>
    </row>
    <row r="2147" spans="1:6" x14ac:dyDescent="0.2">
      <c r="A2147" s="1">
        <v>42323</v>
      </c>
      <c r="B2147">
        <v>320</v>
      </c>
      <c r="C2147">
        <f>'weather data'!E2147</f>
        <v>6.2133333333333303</v>
      </c>
      <c r="D2147">
        <f>LAI!F2147</f>
        <v>0</v>
      </c>
      <c r="E2147">
        <f>0.5*C2147*(1-EXP(-'user input'!$C$19*D2147))</f>
        <v>0</v>
      </c>
      <c r="F2147">
        <f>E2147*'user input'!$C$21</f>
        <v>0</v>
      </c>
    </row>
    <row r="2148" spans="1:6" x14ac:dyDescent="0.2">
      <c r="A2148" s="1">
        <v>42324</v>
      </c>
      <c r="B2148">
        <v>321</v>
      </c>
      <c r="C2148">
        <f>'weather data'!E2148</f>
        <v>6.3666666666666654</v>
      </c>
      <c r="D2148">
        <f>LAI!F2148</f>
        <v>0</v>
      </c>
      <c r="E2148">
        <f>0.5*C2148*(1-EXP(-'user input'!$C$19*D2148))</f>
        <v>0</v>
      </c>
      <c r="F2148">
        <f>E2148*'user input'!$C$21</f>
        <v>0</v>
      </c>
    </row>
    <row r="2149" spans="1:6" x14ac:dyDescent="0.2">
      <c r="A2149" s="1">
        <v>42325</v>
      </c>
      <c r="B2149">
        <v>322</v>
      </c>
      <c r="C2149">
        <f>'weather data'!E2149</f>
        <v>6.0955555555555545</v>
      </c>
      <c r="D2149">
        <f>LAI!F2149</f>
        <v>0</v>
      </c>
      <c r="E2149">
        <f>0.5*C2149*(1-EXP(-'user input'!$C$19*D2149))</f>
        <v>0</v>
      </c>
      <c r="F2149">
        <f>E2149*'user input'!$C$21</f>
        <v>0</v>
      </c>
    </row>
    <row r="2150" spans="1:6" x14ac:dyDescent="0.2">
      <c r="A2150" s="1">
        <v>42326</v>
      </c>
      <c r="B2150">
        <v>323</v>
      </c>
      <c r="C2150">
        <f>'weather data'!E2150</f>
        <v>5.8177777777777795</v>
      </c>
      <c r="D2150">
        <f>LAI!F2150</f>
        <v>0</v>
      </c>
      <c r="E2150">
        <f>0.5*C2150*(1-EXP(-'user input'!$C$19*D2150))</f>
        <v>0</v>
      </c>
      <c r="F2150">
        <f>E2150*'user input'!$C$21</f>
        <v>0</v>
      </c>
    </row>
    <row r="2151" spans="1:6" x14ac:dyDescent="0.2">
      <c r="A2151" s="1">
        <v>42327</v>
      </c>
      <c r="B2151">
        <v>324</v>
      </c>
      <c r="C2151">
        <f>'weather data'!E2151</f>
        <v>5.0466666666666669</v>
      </c>
      <c r="D2151">
        <f>LAI!F2151</f>
        <v>0</v>
      </c>
      <c r="E2151">
        <f>0.5*C2151*(1-EXP(-'user input'!$C$19*D2151))</f>
        <v>0</v>
      </c>
      <c r="F2151">
        <f>E2151*'user input'!$C$21</f>
        <v>0</v>
      </c>
    </row>
    <row r="2152" spans="1:6" x14ac:dyDescent="0.2">
      <c r="A2152" s="1">
        <v>42328</v>
      </c>
      <c r="B2152">
        <v>325</v>
      </c>
      <c r="C2152">
        <f>'weather data'!E2152</f>
        <v>6.0044444444444434</v>
      </c>
      <c r="D2152">
        <f>LAI!F2152</f>
        <v>0</v>
      </c>
      <c r="E2152">
        <f>0.5*C2152*(1-EXP(-'user input'!$C$19*D2152))</f>
        <v>0</v>
      </c>
      <c r="F2152">
        <f>E2152*'user input'!$C$21</f>
        <v>0</v>
      </c>
    </row>
    <row r="2153" spans="1:6" x14ac:dyDescent="0.2">
      <c r="A2153" s="1">
        <v>42329</v>
      </c>
      <c r="B2153">
        <v>326</v>
      </c>
      <c r="C2153">
        <f>'weather data'!E2153</f>
        <v>6.1799999999999979</v>
      </c>
      <c r="D2153">
        <f>LAI!F2153</f>
        <v>0</v>
      </c>
      <c r="E2153">
        <f>0.5*C2153*(1-EXP(-'user input'!$C$19*D2153))</f>
        <v>0</v>
      </c>
      <c r="F2153">
        <f>E2153*'user input'!$C$21</f>
        <v>0</v>
      </c>
    </row>
    <row r="2154" spans="1:6" x14ac:dyDescent="0.2">
      <c r="A2154" s="1">
        <v>42330</v>
      </c>
      <c r="B2154">
        <v>327</v>
      </c>
      <c r="C2154">
        <f>'weather data'!E2154</f>
        <v>5.3200000000000021</v>
      </c>
      <c r="D2154">
        <f>LAI!F2154</f>
        <v>0</v>
      </c>
      <c r="E2154">
        <f>0.5*C2154*(1-EXP(-'user input'!$C$19*D2154))</f>
        <v>0</v>
      </c>
      <c r="F2154">
        <f>E2154*'user input'!$C$21</f>
        <v>0</v>
      </c>
    </row>
    <row r="2155" spans="1:6" x14ac:dyDescent="0.2">
      <c r="A2155" s="1">
        <v>42331</v>
      </c>
      <c r="B2155">
        <v>328</v>
      </c>
      <c r="C2155">
        <f>'weather data'!E2155</f>
        <v>5.6422222222222205</v>
      </c>
      <c r="D2155">
        <f>LAI!F2155</f>
        <v>0</v>
      </c>
      <c r="E2155">
        <f>0.5*C2155*(1-EXP(-'user input'!$C$19*D2155))</f>
        <v>0</v>
      </c>
      <c r="F2155">
        <f>E2155*'user input'!$C$21</f>
        <v>0</v>
      </c>
    </row>
    <row r="2156" spans="1:6" x14ac:dyDescent="0.2">
      <c r="A2156" s="1">
        <v>42332</v>
      </c>
      <c r="B2156">
        <v>329</v>
      </c>
      <c r="C2156">
        <f>'weather data'!E2156</f>
        <v>5.8155555555555578</v>
      </c>
      <c r="D2156">
        <f>LAI!F2156</f>
        <v>0</v>
      </c>
      <c r="E2156">
        <f>0.5*C2156*(1-EXP(-'user input'!$C$19*D2156))</f>
        <v>0</v>
      </c>
      <c r="F2156">
        <f>E2156*'user input'!$C$21</f>
        <v>0</v>
      </c>
    </row>
    <row r="2157" spans="1:6" x14ac:dyDescent="0.2">
      <c r="A2157" s="1">
        <v>42333</v>
      </c>
      <c r="B2157">
        <v>330</v>
      </c>
      <c r="C2157">
        <f>'weather data'!E2157</f>
        <v>4.8911111111111119</v>
      </c>
      <c r="D2157">
        <f>LAI!F2157</f>
        <v>0</v>
      </c>
      <c r="E2157">
        <f>0.5*C2157*(1-EXP(-'user input'!$C$19*D2157))</f>
        <v>0</v>
      </c>
      <c r="F2157">
        <f>E2157*'user input'!$C$21</f>
        <v>0</v>
      </c>
    </row>
    <row r="2158" spans="1:6" x14ac:dyDescent="0.2">
      <c r="A2158" s="1">
        <v>42334</v>
      </c>
      <c r="B2158">
        <v>331</v>
      </c>
      <c r="C2158">
        <f>'weather data'!E2158</f>
        <v>4.6599999999999984</v>
      </c>
      <c r="D2158">
        <f>LAI!F2158</f>
        <v>0</v>
      </c>
      <c r="E2158">
        <f>0.5*C2158*(1-EXP(-'user input'!$C$19*D2158))</f>
        <v>0</v>
      </c>
      <c r="F2158">
        <f>E2158*'user input'!$C$21</f>
        <v>0</v>
      </c>
    </row>
    <row r="2159" spans="1:6" x14ac:dyDescent="0.2">
      <c r="A2159" s="1">
        <v>42335</v>
      </c>
      <c r="B2159">
        <v>332</v>
      </c>
      <c r="C2159">
        <f>'weather data'!E2159</f>
        <v>5.6022222222222222</v>
      </c>
      <c r="D2159">
        <f>LAI!F2159</f>
        <v>0</v>
      </c>
      <c r="E2159">
        <f>0.5*C2159*(1-EXP(-'user input'!$C$19*D2159))</f>
        <v>0</v>
      </c>
      <c r="F2159">
        <f>E2159*'user input'!$C$21</f>
        <v>0</v>
      </c>
    </row>
    <row r="2160" spans="1:6" x14ac:dyDescent="0.2">
      <c r="A2160" s="1">
        <v>42336</v>
      </c>
      <c r="B2160">
        <v>333</v>
      </c>
      <c r="C2160">
        <f>'weather data'!E2160</f>
        <v>5.1000000000000005</v>
      </c>
      <c r="D2160">
        <f>LAI!F2160</f>
        <v>0</v>
      </c>
      <c r="E2160">
        <f>0.5*C2160*(1-EXP(-'user input'!$C$19*D2160))</f>
        <v>0</v>
      </c>
      <c r="F2160">
        <f>E2160*'user input'!$C$21</f>
        <v>0</v>
      </c>
    </row>
    <row r="2161" spans="1:6" x14ac:dyDescent="0.2">
      <c r="A2161" s="1">
        <v>42337</v>
      </c>
      <c r="B2161">
        <v>334</v>
      </c>
      <c r="C2161">
        <f>'weather data'!E2161</f>
        <v>5.0266666666666673</v>
      </c>
      <c r="D2161">
        <f>LAI!F2161</f>
        <v>0</v>
      </c>
      <c r="E2161">
        <f>0.5*C2161*(1-EXP(-'user input'!$C$19*D2161))</f>
        <v>0</v>
      </c>
      <c r="F2161">
        <f>E2161*'user input'!$C$21</f>
        <v>0</v>
      </c>
    </row>
    <row r="2162" spans="1:6" x14ac:dyDescent="0.2">
      <c r="A2162" s="1">
        <v>42338</v>
      </c>
      <c r="B2162">
        <v>335</v>
      </c>
      <c r="C2162">
        <f>'weather data'!E2162</f>
        <v>5.1866666666666648</v>
      </c>
      <c r="D2162">
        <f>LAI!F2162</f>
        <v>0</v>
      </c>
      <c r="E2162">
        <f>0.5*C2162*(1-EXP(-'user input'!$C$19*D2162))</f>
        <v>0</v>
      </c>
      <c r="F2162">
        <f>E2162*'user input'!$C$21</f>
        <v>0</v>
      </c>
    </row>
    <row r="2163" spans="1:6" x14ac:dyDescent="0.2">
      <c r="A2163" s="1">
        <v>42339</v>
      </c>
      <c r="B2163">
        <v>336</v>
      </c>
      <c r="C2163">
        <f>'weather data'!E2163</f>
        <v>5.5222222222222221</v>
      </c>
      <c r="D2163">
        <f>LAI!F2163</f>
        <v>0</v>
      </c>
      <c r="E2163">
        <f>0.5*C2163*(1-EXP(-'user input'!$C$19*D2163))</f>
        <v>0</v>
      </c>
      <c r="F2163">
        <f>E2163*'user input'!$C$21</f>
        <v>0</v>
      </c>
    </row>
    <row r="2164" spans="1:6" x14ac:dyDescent="0.2">
      <c r="A2164" s="1">
        <v>42340</v>
      </c>
      <c r="B2164">
        <v>337</v>
      </c>
      <c r="C2164">
        <f>'weather data'!E2164</f>
        <v>4.9666666666666659</v>
      </c>
      <c r="D2164">
        <f>LAI!F2164</f>
        <v>0</v>
      </c>
      <c r="E2164">
        <f>0.5*C2164*(1-EXP(-'user input'!$C$19*D2164))</f>
        <v>0</v>
      </c>
      <c r="F2164">
        <f>E2164*'user input'!$C$21</f>
        <v>0</v>
      </c>
    </row>
    <row r="2165" spans="1:6" x14ac:dyDescent="0.2">
      <c r="A2165" s="1">
        <v>42341</v>
      </c>
      <c r="B2165">
        <v>338</v>
      </c>
      <c r="C2165">
        <f>'weather data'!E2165</f>
        <v>5.1911111111111108</v>
      </c>
      <c r="D2165">
        <f>LAI!F2165</f>
        <v>0</v>
      </c>
      <c r="E2165">
        <f>0.5*C2165*(1-EXP(-'user input'!$C$19*D2165))</f>
        <v>0</v>
      </c>
      <c r="F2165">
        <f>E2165*'user input'!$C$21</f>
        <v>0</v>
      </c>
    </row>
    <row r="2166" spans="1:6" x14ac:dyDescent="0.2">
      <c r="A2166" s="1">
        <v>42342</v>
      </c>
      <c r="B2166">
        <v>339</v>
      </c>
      <c r="C2166">
        <f>'weather data'!E2166</f>
        <v>5.08</v>
      </c>
      <c r="D2166">
        <f>LAI!F2166</f>
        <v>0</v>
      </c>
      <c r="E2166">
        <f>0.5*C2166*(1-EXP(-'user input'!$C$19*D2166))</f>
        <v>0</v>
      </c>
      <c r="F2166">
        <f>E2166*'user input'!$C$21</f>
        <v>0</v>
      </c>
    </row>
    <row r="2167" spans="1:6" x14ac:dyDescent="0.2">
      <c r="A2167" s="1">
        <v>42343</v>
      </c>
      <c r="B2167">
        <v>340</v>
      </c>
      <c r="C2167">
        <f>'weather data'!E2167</f>
        <v>5.3800000000000008</v>
      </c>
      <c r="D2167">
        <f>LAI!F2167</f>
        <v>0</v>
      </c>
      <c r="E2167">
        <f>0.5*C2167*(1-EXP(-'user input'!$C$19*D2167))</f>
        <v>0</v>
      </c>
      <c r="F2167">
        <f>E2167*'user input'!$C$21</f>
        <v>0</v>
      </c>
    </row>
    <row r="2168" spans="1:6" x14ac:dyDescent="0.2">
      <c r="A2168" s="1">
        <v>42344</v>
      </c>
      <c r="B2168">
        <v>341</v>
      </c>
      <c r="C2168">
        <f>'weather data'!E2168</f>
        <v>5.1688888888888878</v>
      </c>
      <c r="D2168">
        <f>LAI!F2168</f>
        <v>0</v>
      </c>
      <c r="E2168">
        <f>0.5*C2168*(1-EXP(-'user input'!$C$19*D2168))</f>
        <v>0</v>
      </c>
      <c r="F2168">
        <f>E2168*'user input'!$C$21</f>
        <v>0</v>
      </c>
    </row>
    <row r="2169" spans="1:6" x14ac:dyDescent="0.2">
      <c r="A2169" s="1">
        <v>42345</v>
      </c>
      <c r="B2169">
        <v>342</v>
      </c>
      <c r="C2169">
        <f>'weather data'!E2169</f>
        <v>5.0244444444444447</v>
      </c>
      <c r="D2169">
        <f>LAI!F2169</f>
        <v>0</v>
      </c>
      <c r="E2169">
        <f>0.5*C2169*(1-EXP(-'user input'!$C$19*D2169))</f>
        <v>0</v>
      </c>
      <c r="F2169">
        <f>E2169*'user input'!$C$21</f>
        <v>0</v>
      </c>
    </row>
    <row r="2170" spans="1:6" x14ac:dyDescent="0.2">
      <c r="A2170" s="1">
        <v>42346</v>
      </c>
      <c r="B2170">
        <v>343</v>
      </c>
      <c r="C2170">
        <f>'weather data'!E2170</f>
        <v>4.9955555555555549</v>
      </c>
      <c r="D2170">
        <f>LAI!F2170</f>
        <v>0</v>
      </c>
      <c r="E2170">
        <f>0.5*C2170*(1-EXP(-'user input'!$C$19*D2170))</f>
        <v>0</v>
      </c>
      <c r="F2170">
        <f>E2170*'user input'!$C$21</f>
        <v>0</v>
      </c>
    </row>
    <row r="2171" spans="1:6" x14ac:dyDescent="0.2">
      <c r="A2171" s="1">
        <v>42347</v>
      </c>
      <c r="B2171">
        <v>344</v>
      </c>
      <c r="C2171">
        <f>'weather data'!E2171</f>
        <v>4.9866666666666664</v>
      </c>
      <c r="D2171">
        <f>LAI!F2171</f>
        <v>0</v>
      </c>
      <c r="E2171">
        <f>0.5*C2171*(1-EXP(-'user input'!$C$19*D2171))</f>
        <v>0</v>
      </c>
      <c r="F2171">
        <f>E2171*'user input'!$C$21</f>
        <v>0</v>
      </c>
    </row>
    <row r="2172" spans="1:6" x14ac:dyDescent="0.2">
      <c r="A2172" s="1">
        <v>42348</v>
      </c>
      <c r="B2172">
        <v>345</v>
      </c>
      <c r="C2172">
        <f>'weather data'!E2172</f>
        <v>5.0311111111111106</v>
      </c>
      <c r="D2172">
        <f>LAI!F2172</f>
        <v>0</v>
      </c>
      <c r="E2172">
        <f>0.5*C2172*(1-EXP(-'user input'!$C$19*D2172))</f>
        <v>0</v>
      </c>
      <c r="F2172">
        <f>E2172*'user input'!$C$21</f>
        <v>0</v>
      </c>
    </row>
    <row r="2173" spans="1:6" x14ac:dyDescent="0.2">
      <c r="A2173" s="1">
        <v>42349</v>
      </c>
      <c r="B2173">
        <v>346</v>
      </c>
      <c r="C2173">
        <f>'weather data'!E2173</f>
        <v>4.826666666666668</v>
      </c>
      <c r="D2173">
        <f>LAI!F2173</f>
        <v>0</v>
      </c>
      <c r="E2173">
        <f>0.5*C2173*(1-EXP(-'user input'!$C$19*D2173))</f>
        <v>0</v>
      </c>
      <c r="F2173">
        <f>E2173*'user input'!$C$21</f>
        <v>0</v>
      </c>
    </row>
    <row r="2174" spans="1:6" x14ac:dyDescent="0.2">
      <c r="A2174" s="1">
        <v>42350</v>
      </c>
      <c r="B2174">
        <v>347</v>
      </c>
      <c r="C2174">
        <f>'weather data'!E2174</f>
        <v>5.126666666666666</v>
      </c>
      <c r="D2174">
        <f>LAI!F2174</f>
        <v>0</v>
      </c>
      <c r="E2174">
        <f>0.5*C2174*(1-EXP(-'user input'!$C$19*D2174))</f>
        <v>0</v>
      </c>
      <c r="F2174">
        <f>E2174*'user input'!$C$21</f>
        <v>0</v>
      </c>
    </row>
    <row r="2175" spans="1:6" x14ac:dyDescent="0.2">
      <c r="A2175" s="1">
        <v>42351</v>
      </c>
      <c r="B2175">
        <v>348</v>
      </c>
      <c r="C2175">
        <f>'weather data'!E2175</f>
        <v>4.9755555555555553</v>
      </c>
      <c r="D2175">
        <f>LAI!F2175</f>
        <v>0</v>
      </c>
      <c r="E2175">
        <f>0.5*C2175*(1-EXP(-'user input'!$C$19*D2175))</f>
        <v>0</v>
      </c>
      <c r="F2175">
        <f>E2175*'user input'!$C$21</f>
        <v>0</v>
      </c>
    </row>
    <row r="2176" spans="1:6" x14ac:dyDescent="0.2">
      <c r="A2176" s="1">
        <v>42352</v>
      </c>
      <c r="B2176">
        <v>349</v>
      </c>
      <c r="C2176">
        <f>'weather data'!E2176</f>
        <v>4.8177777777777795</v>
      </c>
      <c r="D2176">
        <f>LAI!F2176</f>
        <v>0</v>
      </c>
      <c r="E2176">
        <f>0.5*C2176*(1-EXP(-'user input'!$C$19*D2176))</f>
        <v>0</v>
      </c>
      <c r="F2176">
        <f>E2176*'user input'!$C$21</f>
        <v>0</v>
      </c>
    </row>
    <row r="2177" spans="1:6" x14ac:dyDescent="0.2">
      <c r="A2177" s="1">
        <v>42353</v>
      </c>
      <c r="B2177">
        <v>350</v>
      </c>
      <c r="C2177">
        <f>'weather data'!E2177</f>
        <v>5.1622222222222209</v>
      </c>
      <c r="D2177">
        <f>LAI!F2177</f>
        <v>0</v>
      </c>
      <c r="E2177">
        <f>0.5*C2177*(1-EXP(-'user input'!$C$19*D2177))</f>
        <v>0</v>
      </c>
      <c r="F2177">
        <f>E2177*'user input'!$C$21</f>
        <v>0</v>
      </c>
    </row>
    <row r="2178" spans="1:6" x14ac:dyDescent="0.2">
      <c r="A2178" s="1">
        <v>42354</v>
      </c>
      <c r="B2178">
        <v>351</v>
      </c>
      <c r="C2178">
        <f>'weather data'!E2178</f>
        <v>5.1977777777777758</v>
      </c>
      <c r="D2178">
        <f>LAI!F2178</f>
        <v>0</v>
      </c>
      <c r="E2178">
        <f>0.5*C2178*(1-EXP(-'user input'!$C$19*D2178))</f>
        <v>0</v>
      </c>
      <c r="F2178">
        <f>E2178*'user input'!$C$21</f>
        <v>0</v>
      </c>
    </row>
    <row r="2179" spans="1:6" x14ac:dyDescent="0.2">
      <c r="A2179" s="1">
        <v>42355</v>
      </c>
      <c r="B2179">
        <v>352</v>
      </c>
      <c r="C2179">
        <f>'weather data'!E2179</f>
        <v>5.0222222222222221</v>
      </c>
      <c r="D2179">
        <f>LAI!F2179</f>
        <v>0</v>
      </c>
      <c r="E2179">
        <f>0.5*C2179*(1-EXP(-'user input'!$C$19*D2179))</f>
        <v>0</v>
      </c>
      <c r="F2179">
        <f>E2179*'user input'!$C$21</f>
        <v>0</v>
      </c>
    </row>
    <row r="2180" spans="1:6" x14ac:dyDescent="0.2">
      <c r="A2180" s="1">
        <v>42356</v>
      </c>
      <c r="B2180">
        <v>353</v>
      </c>
      <c r="C2180">
        <f>'weather data'!E2180</f>
        <v>4.9799999999999986</v>
      </c>
      <c r="D2180">
        <f>LAI!F2180</f>
        <v>0</v>
      </c>
      <c r="E2180">
        <f>0.5*C2180*(1-EXP(-'user input'!$C$19*D2180))</f>
        <v>0</v>
      </c>
      <c r="F2180">
        <f>E2180*'user input'!$C$21</f>
        <v>0</v>
      </c>
    </row>
    <row r="2181" spans="1:6" x14ac:dyDescent="0.2">
      <c r="A2181" s="1">
        <v>42357</v>
      </c>
      <c r="B2181">
        <v>354</v>
      </c>
      <c r="C2181">
        <f>'weather data'!E2181</f>
        <v>5.408888888888888</v>
      </c>
      <c r="D2181">
        <f>LAI!F2181</f>
        <v>0</v>
      </c>
      <c r="E2181">
        <f>0.5*C2181*(1-EXP(-'user input'!$C$19*D2181))</f>
        <v>0</v>
      </c>
      <c r="F2181">
        <f>E2181*'user input'!$C$21</f>
        <v>0</v>
      </c>
    </row>
    <row r="2182" spans="1:6" x14ac:dyDescent="0.2">
      <c r="A2182" s="1">
        <v>42358</v>
      </c>
      <c r="B2182">
        <v>355</v>
      </c>
      <c r="C2182">
        <f>'weather data'!E2182</f>
        <v>5.52</v>
      </c>
      <c r="D2182">
        <f>LAI!F2182</f>
        <v>0</v>
      </c>
      <c r="E2182">
        <f>0.5*C2182*(1-EXP(-'user input'!$C$19*D2182))</f>
        <v>0</v>
      </c>
      <c r="F2182">
        <f>E2182*'user input'!$C$21</f>
        <v>0</v>
      </c>
    </row>
    <row r="2183" spans="1:6" x14ac:dyDescent="0.2">
      <c r="A2183" s="1">
        <v>42359</v>
      </c>
      <c r="B2183">
        <v>356</v>
      </c>
      <c r="C2183">
        <f>'weather data'!E2183</f>
        <v>4.9644444444444442</v>
      </c>
      <c r="D2183">
        <f>LAI!F2183</f>
        <v>0</v>
      </c>
      <c r="E2183">
        <f>0.5*C2183*(1-EXP(-'user input'!$C$19*D2183))</f>
        <v>0</v>
      </c>
      <c r="F2183">
        <f>E2183*'user input'!$C$21</f>
        <v>0</v>
      </c>
    </row>
    <row r="2184" spans="1:6" x14ac:dyDescent="0.2">
      <c r="A2184" s="1">
        <v>42360</v>
      </c>
      <c r="B2184">
        <v>357</v>
      </c>
      <c r="C2184">
        <f>'weather data'!E2184</f>
        <v>4.83777777777778</v>
      </c>
      <c r="D2184">
        <f>LAI!F2184</f>
        <v>0</v>
      </c>
      <c r="E2184">
        <f>0.5*C2184*(1-EXP(-'user input'!$C$19*D2184))</f>
        <v>0</v>
      </c>
      <c r="F2184">
        <f>E2184*'user input'!$C$21</f>
        <v>0</v>
      </c>
    </row>
    <row r="2185" spans="1:6" x14ac:dyDescent="0.2">
      <c r="A2185" s="1">
        <v>42361</v>
      </c>
      <c r="B2185">
        <v>358</v>
      </c>
      <c r="C2185">
        <f>'weather data'!E2185</f>
        <v>5.028888888888889</v>
      </c>
      <c r="D2185">
        <f>LAI!F2185</f>
        <v>0</v>
      </c>
      <c r="E2185">
        <f>0.5*C2185*(1-EXP(-'user input'!$C$19*D2185))</f>
        <v>0</v>
      </c>
      <c r="F2185">
        <f>E2185*'user input'!$C$21</f>
        <v>0</v>
      </c>
    </row>
    <row r="2186" spans="1:6" x14ac:dyDescent="0.2">
      <c r="A2186" s="1">
        <v>42362</v>
      </c>
      <c r="B2186">
        <v>359</v>
      </c>
      <c r="C2186">
        <f>'weather data'!E2186</f>
        <v>5.6022222222222213</v>
      </c>
      <c r="D2186">
        <f>LAI!F2186</f>
        <v>0</v>
      </c>
      <c r="E2186">
        <f>0.5*C2186*(1-EXP(-'user input'!$C$19*D2186))</f>
        <v>0</v>
      </c>
      <c r="F2186">
        <f>E2186*'user input'!$C$21</f>
        <v>0</v>
      </c>
    </row>
    <row r="2187" spans="1:6" x14ac:dyDescent="0.2">
      <c r="A2187" s="1">
        <v>42363</v>
      </c>
      <c r="B2187">
        <v>360</v>
      </c>
      <c r="C2187">
        <f>'weather data'!E2187</f>
        <v>5.1066666666666656</v>
      </c>
      <c r="D2187">
        <f>LAI!F2187</f>
        <v>0</v>
      </c>
      <c r="E2187">
        <f>0.5*C2187*(1-EXP(-'user input'!$C$19*D2187))</f>
        <v>0</v>
      </c>
      <c r="F2187">
        <f>E2187*'user input'!$C$21</f>
        <v>0</v>
      </c>
    </row>
    <row r="2188" spans="1:6" x14ac:dyDescent="0.2">
      <c r="A2188" s="1">
        <v>42364</v>
      </c>
      <c r="B2188">
        <v>361</v>
      </c>
      <c r="C2188">
        <f>'weather data'!E2188</f>
        <v>5.1711111111111112</v>
      </c>
      <c r="D2188">
        <f>LAI!F2188</f>
        <v>0</v>
      </c>
      <c r="E2188">
        <f>0.5*C2188*(1-EXP(-'user input'!$C$19*D2188))</f>
        <v>0</v>
      </c>
      <c r="F2188">
        <f>E2188*'user input'!$C$21</f>
        <v>0</v>
      </c>
    </row>
    <row r="2189" spans="1:6" x14ac:dyDescent="0.2">
      <c r="A2189" s="1">
        <v>42365</v>
      </c>
      <c r="B2189">
        <v>362</v>
      </c>
      <c r="C2189">
        <f>'weather data'!E2189</f>
        <v>4.5044444444444451</v>
      </c>
      <c r="D2189">
        <f>LAI!F2189</f>
        <v>0</v>
      </c>
      <c r="E2189">
        <f>0.5*C2189*(1-EXP(-'user input'!$C$19*D2189))</f>
        <v>0</v>
      </c>
      <c r="F2189">
        <f>E2189*'user input'!$C$21</f>
        <v>0</v>
      </c>
    </row>
    <row r="2190" spans="1:6" x14ac:dyDescent="0.2">
      <c r="A2190" s="1">
        <v>42366</v>
      </c>
      <c r="B2190">
        <v>363</v>
      </c>
      <c r="C2190">
        <f>'weather data'!E2190</f>
        <v>5.0888888888888868</v>
      </c>
      <c r="D2190">
        <f>LAI!F2190</f>
        <v>0</v>
      </c>
      <c r="E2190">
        <f>0.5*C2190*(1-EXP(-'user input'!$C$19*D2190))</f>
        <v>0</v>
      </c>
      <c r="F2190">
        <f>E2190*'user input'!$C$21</f>
        <v>0</v>
      </c>
    </row>
    <row r="2191" spans="1:6" x14ac:dyDescent="0.2">
      <c r="A2191" s="1">
        <v>42367</v>
      </c>
      <c r="B2191">
        <v>364</v>
      </c>
      <c r="C2191">
        <f>'weather data'!E2191</f>
        <v>4.8688888888888897</v>
      </c>
      <c r="D2191">
        <f>LAI!F2191</f>
        <v>0</v>
      </c>
      <c r="E2191">
        <f>0.5*C2191*(1-EXP(-'user input'!$C$19*D2191))</f>
        <v>0</v>
      </c>
      <c r="F2191">
        <f>E2191*'user input'!$C$21</f>
        <v>0</v>
      </c>
    </row>
    <row r="2192" spans="1:6" x14ac:dyDescent="0.2">
      <c r="A2192" s="1">
        <v>42368</v>
      </c>
      <c r="B2192">
        <v>365</v>
      </c>
      <c r="C2192">
        <f>'weather data'!E2192</f>
        <v>5.3977777777777805</v>
      </c>
      <c r="D2192">
        <f>LAI!F2192</f>
        <v>0</v>
      </c>
      <c r="E2192">
        <f>0.5*C2192*(1-EXP(-'user input'!$C$19*D2192))</f>
        <v>0</v>
      </c>
      <c r="F2192">
        <f>E2192*'user input'!$C$21</f>
        <v>0</v>
      </c>
    </row>
    <row r="2193" spans="1:6" x14ac:dyDescent="0.2">
      <c r="A2193" s="1">
        <v>42369</v>
      </c>
      <c r="B2193">
        <v>1</v>
      </c>
      <c r="C2193">
        <f>'weather data'!E2193</f>
        <v>4.9911111111111106</v>
      </c>
      <c r="D2193">
        <f>LAI!F2193</f>
        <v>0</v>
      </c>
      <c r="E2193">
        <f>0.5*C2193*(1-EXP(-'user input'!$C$19*D2193))</f>
        <v>0</v>
      </c>
      <c r="F2193">
        <f>E2193*'user input'!$C$21</f>
        <v>0</v>
      </c>
    </row>
    <row r="2194" spans="1:6" x14ac:dyDescent="0.2">
      <c r="A2194" s="1">
        <v>42370</v>
      </c>
      <c r="B2194">
        <v>2</v>
      </c>
      <c r="C2194">
        <f>'weather data'!E2194</f>
        <v>5.0022222222222226</v>
      </c>
      <c r="D2194">
        <f>LAI!F2194</f>
        <v>0</v>
      </c>
      <c r="E2194">
        <f>0.5*C2194*(1-EXP(-'user input'!$C$19*D2194))</f>
        <v>0</v>
      </c>
      <c r="F2194">
        <f>E2194*'user input'!$C$21</f>
        <v>0</v>
      </c>
    </row>
    <row r="2195" spans="1:6" x14ac:dyDescent="0.2">
      <c r="A2195" s="1">
        <v>42371</v>
      </c>
      <c r="B2195">
        <v>3</v>
      </c>
      <c r="C2195">
        <f>'weather data'!E2195</f>
        <v>5.4333333333333336</v>
      </c>
      <c r="D2195">
        <f>LAI!F2195</f>
        <v>0</v>
      </c>
      <c r="E2195">
        <f>0.5*C2195*(1-EXP(-'user input'!$C$19*D2195))</f>
        <v>0</v>
      </c>
      <c r="F2195">
        <f>E2195*'user input'!$C$21</f>
        <v>0</v>
      </c>
    </row>
    <row r="2196" spans="1:6" x14ac:dyDescent="0.2">
      <c r="A2196" s="1">
        <v>42372</v>
      </c>
      <c r="B2196">
        <v>4</v>
      </c>
      <c r="C2196">
        <f>'weather data'!E2196</f>
        <v>5.8600000000000012</v>
      </c>
      <c r="D2196">
        <f>LAI!F2196</f>
        <v>0</v>
      </c>
      <c r="E2196">
        <f>0.5*C2196*(1-EXP(-'user input'!$C$19*D2196))</f>
        <v>0</v>
      </c>
      <c r="F2196">
        <f>E2196*'user input'!$C$21</f>
        <v>0</v>
      </c>
    </row>
    <row r="2197" spans="1:6" x14ac:dyDescent="0.2">
      <c r="A2197" s="1">
        <v>42373</v>
      </c>
      <c r="B2197">
        <v>5</v>
      </c>
      <c r="C2197">
        <f>'weather data'!E2197</f>
        <v>5.8844444444444459</v>
      </c>
      <c r="D2197">
        <f>LAI!F2197</f>
        <v>0</v>
      </c>
      <c r="E2197">
        <f>0.5*C2197*(1-EXP(-'user input'!$C$19*D2197))</f>
        <v>0</v>
      </c>
      <c r="F2197">
        <f>E2197*'user input'!$C$21</f>
        <v>0</v>
      </c>
    </row>
    <row r="2198" spans="1:6" x14ac:dyDescent="0.2">
      <c r="A2198" s="1">
        <v>42374</v>
      </c>
      <c r="B2198">
        <v>6</v>
      </c>
      <c r="C2198">
        <f>'weather data'!E2198</f>
        <v>5.9622222222222225</v>
      </c>
      <c r="D2198">
        <f>LAI!F2198</f>
        <v>0</v>
      </c>
      <c r="E2198">
        <f>0.5*C2198*(1-EXP(-'user input'!$C$19*D2198))</f>
        <v>0</v>
      </c>
      <c r="F2198">
        <f>E2198*'user input'!$C$21</f>
        <v>0</v>
      </c>
    </row>
    <row r="2199" spans="1:6" x14ac:dyDescent="0.2">
      <c r="A2199" s="1">
        <v>42375</v>
      </c>
      <c r="B2199">
        <v>7</v>
      </c>
      <c r="C2199">
        <f>'weather data'!E2199</f>
        <v>6.1066666666666682</v>
      </c>
      <c r="D2199">
        <f>LAI!F2199</f>
        <v>0</v>
      </c>
      <c r="E2199">
        <f>0.5*C2199*(1-EXP(-'user input'!$C$19*D2199))</f>
        <v>0</v>
      </c>
      <c r="F2199">
        <f>E2199*'user input'!$C$21</f>
        <v>0</v>
      </c>
    </row>
    <row r="2200" spans="1:6" x14ac:dyDescent="0.2">
      <c r="A2200" s="1">
        <v>42376</v>
      </c>
      <c r="B2200">
        <v>8</v>
      </c>
      <c r="C2200">
        <f>'weather data'!E2200</f>
        <v>6.2755555555555587</v>
      </c>
      <c r="D2200">
        <f>LAI!F2200</f>
        <v>0</v>
      </c>
      <c r="E2200">
        <f>0.5*C2200*(1-EXP(-'user input'!$C$19*D2200))</f>
        <v>0</v>
      </c>
      <c r="F2200">
        <f>E2200*'user input'!$C$21</f>
        <v>0</v>
      </c>
    </row>
    <row r="2201" spans="1:6" x14ac:dyDescent="0.2">
      <c r="A2201" s="1">
        <v>42377</v>
      </c>
      <c r="B2201">
        <v>9</v>
      </c>
      <c r="C2201">
        <f>'weather data'!E2201</f>
        <v>6.2377777777777776</v>
      </c>
      <c r="D2201">
        <f>LAI!F2201</f>
        <v>0</v>
      </c>
      <c r="E2201">
        <f>0.5*C2201*(1-EXP(-'user input'!$C$19*D2201))</f>
        <v>0</v>
      </c>
      <c r="F2201">
        <f>E2201*'user input'!$C$21</f>
        <v>0</v>
      </c>
    </row>
    <row r="2202" spans="1:6" x14ac:dyDescent="0.2">
      <c r="A2202" s="1">
        <v>42378</v>
      </c>
      <c r="B2202">
        <v>10</v>
      </c>
      <c r="C2202">
        <f>'weather data'!E2202</f>
        <v>6.6755555555555537</v>
      </c>
      <c r="D2202">
        <f>LAI!F2202</f>
        <v>0</v>
      </c>
      <c r="E2202">
        <f>0.5*C2202*(1-EXP(-'user input'!$C$19*D2202))</f>
        <v>0</v>
      </c>
      <c r="F2202">
        <f>E2202*'user input'!$C$21</f>
        <v>0</v>
      </c>
    </row>
    <row r="2203" spans="1:6" x14ac:dyDescent="0.2">
      <c r="A2203" s="1">
        <v>42379</v>
      </c>
      <c r="B2203">
        <v>11</v>
      </c>
      <c r="C2203">
        <f>'weather data'!E2203</f>
        <v>5.9155555555555575</v>
      </c>
      <c r="D2203">
        <f>LAI!F2203</f>
        <v>0</v>
      </c>
      <c r="E2203">
        <f>0.5*C2203*(1-EXP(-'user input'!$C$19*D2203))</f>
        <v>0</v>
      </c>
      <c r="F2203">
        <f>E2203*'user input'!$C$21</f>
        <v>0</v>
      </c>
    </row>
    <row r="2204" spans="1:6" x14ac:dyDescent="0.2">
      <c r="A2204" s="1">
        <v>42380</v>
      </c>
      <c r="B2204">
        <v>12</v>
      </c>
      <c r="C2204">
        <f>'weather data'!E2204</f>
        <v>5.7666666666666666</v>
      </c>
      <c r="D2204">
        <f>LAI!F2204</f>
        <v>0</v>
      </c>
      <c r="E2204">
        <f>0.5*C2204*(1-EXP(-'user input'!$C$19*D2204))</f>
        <v>0</v>
      </c>
      <c r="F2204">
        <f>E2204*'user input'!$C$21</f>
        <v>0</v>
      </c>
    </row>
    <row r="2205" spans="1:6" x14ac:dyDescent="0.2">
      <c r="A2205" s="1">
        <v>42381</v>
      </c>
      <c r="B2205">
        <v>13</v>
      </c>
      <c r="C2205">
        <f>'weather data'!E2205</f>
        <v>6.44</v>
      </c>
      <c r="D2205">
        <f>LAI!F2205</f>
        <v>0</v>
      </c>
      <c r="E2205">
        <f>0.5*C2205*(1-EXP(-'user input'!$C$19*D2205))</f>
        <v>0</v>
      </c>
      <c r="F2205">
        <f>E2205*'user input'!$C$21</f>
        <v>0</v>
      </c>
    </row>
    <row r="2206" spans="1:6" x14ac:dyDescent="0.2">
      <c r="A2206" s="1">
        <v>42382</v>
      </c>
      <c r="B2206">
        <v>14</v>
      </c>
      <c r="C2206">
        <f>'weather data'!E2206</f>
        <v>6.0333333333333332</v>
      </c>
      <c r="D2206">
        <f>LAI!F2206</f>
        <v>0</v>
      </c>
      <c r="E2206">
        <f>0.5*C2206*(1-EXP(-'user input'!$C$19*D2206))</f>
        <v>0</v>
      </c>
      <c r="F2206">
        <f>E2206*'user input'!$C$21</f>
        <v>0</v>
      </c>
    </row>
    <row r="2207" spans="1:6" x14ac:dyDescent="0.2">
      <c r="A2207" s="1">
        <v>42383</v>
      </c>
      <c r="B2207">
        <v>15</v>
      </c>
      <c r="C2207">
        <f>'weather data'!E2207</f>
        <v>6.6888888888888864</v>
      </c>
      <c r="D2207">
        <f>LAI!F2207</f>
        <v>0</v>
      </c>
      <c r="E2207">
        <f>0.5*C2207*(1-EXP(-'user input'!$C$19*D2207))</f>
        <v>0</v>
      </c>
      <c r="F2207">
        <f>E2207*'user input'!$C$21</f>
        <v>0</v>
      </c>
    </row>
    <row r="2208" spans="1:6" x14ac:dyDescent="0.2">
      <c r="A2208" s="1">
        <v>42384</v>
      </c>
      <c r="B2208">
        <v>16</v>
      </c>
      <c r="C2208">
        <f>'weather data'!E2208</f>
        <v>6.5733333333333333</v>
      </c>
      <c r="D2208">
        <f>LAI!F2208</f>
        <v>0</v>
      </c>
      <c r="E2208">
        <f>0.5*C2208*(1-EXP(-'user input'!$C$19*D2208))</f>
        <v>0</v>
      </c>
      <c r="F2208">
        <f>E2208*'user input'!$C$21</f>
        <v>0</v>
      </c>
    </row>
    <row r="2209" spans="1:6" x14ac:dyDescent="0.2">
      <c r="A2209" s="1">
        <v>42385</v>
      </c>
      <c r="B2209">
        <v>17</v>
      </c>
      <c r="C2209">
        <f>'weather data'!E2209</f>
        <v>6.46</v>
      </c>
      <c r="D2209">
        <f>LAI!F2209</f>
        <v>0</v>
      </c>
      <c r="E2209">
        <f>0.5*C2209*(1-EXP(-'user input'!$C$19*D2209))</f>
        <v>0</v>
      </c>
      <c r="F2209">
        <f>E2209*'user input'!$C$21</f>
        <v>0</v>
      </c>
    </row>
    <row r="2210" spans="1:6" x14ac:dyDescent="0.2">
      <c r="A2210" s="1">
        <v>42386</v>
      </c>
      <c r="B2210">
        <v>18</v>
      </c>
      <c r="C2210">
        <f>'weather data'!E2210</f>
        <v>6.8355555555555547</v>
      </c>
      <c r="D2210">
        <f>LAI!F2210</f>
        <v>0</v>
      </c>
      <c r="E2210">
        <f>0.5*C2210*(1-EXP(-'user input'!$C$19*D2210))</f>
        <v>0</v>
      </c>
      <c r="F2210">
        <f>E2210*'user input'!$C$21</f>
        <v>0</v>
      </c>
    </row>
    <row r="2211" spans="1:6" x14ac:dyDescent="0.2">
      <c r="A2211" s="1">
        <v>42387</v>
      </c>
      <c r="B2211">
        <v>19</v>
      </c>
      <c r="C2211">
        <f>'weather data'!E2211</f>
        <v>6.5555555555555554</v>
      </c>
      <c r="D2211">
        <f>LAI!F2211</f>
        <v>0</v>
      </c>
      <c r="E2211">
        <f>0.5*C2211*(1-EXP(-'user input'!$C$19*D2211))</f>
        <v>0</v>
      </c>
      <c r="F2211">
        <f>E2211*'user input'!$C$21</f>
        <v>0</v>
      </c>
    </row>
    <row r="2212" spans="1:6" x14ac:dyDescent="0.2">
      <c r="A2212" s="1">
        <v>42388</v>
      </c>
      <c r="B2212">
        <v>20</v>
      </c>
      <c r="C2212">
        <f>'weather data'!E2212</f>
        <v>6.5533333333333337</v>
      </c>
      <c r="D2212">
        <f>LAI!F2212</f>
        <v>0</v>
      </c>
      <c r="E2212">
        <f>0.5*C2212*(1-EXP(-'user input'!$C$19*D2212))</f>
        <v>0</v>
      </c>
      <c r="F2212">
        <f>E2212*'user input'!$C$21</f>
        <v>0</v>
      </c>
    </row>
    <row r="2213" spans="1:6" x14ac:dyDescent="0.2">
      <c r="A2213" s="1">
        <v>42389</v>
      </c>
      <c r="B2213">
        <v>21</v>
      </c>
      <c r="C2213">
        <f>'weather data'!E2213</f>
        <v>6.5222222222222221</v>
      </c>
      <c r="D2213">
        <f>LAI!F2213</f>
        <v>0</v>
      </c>
      <c r="E2213">
        <f>0.5*C2213*(1-EXP(-'user input'!$C$19*D2213))</f>
        <v>0</v>
      </c>
      <c r="F2213">
        <f>E2213*'user input'!$C$21</f>
        <v>0</v>
      </c>
    </row>
    <row r="2214" spans="1:6" x14ac:dyDescent="0.2">
      <c r="A2214" s="1">
        <v>42390</v>
      </c>
      <c r="B2214">
        <v>22</v>
      </c>
      <c r="C2214">
        <f>'weather data'!E2214</f>
        <v>6.1199999999999992</v>
      </c>
      <c r="D2214">
        <f>LAI!F2214</f>
        <v>0</v>
      </c>
      <c r="E2214">
        <f>0.5*C2214*(1-EXP(-'user input'!$C$19*D2214))</f>
        <v>0</v>
      </c>
      <c r="F2214">
        <f>E2214*'user input'!$C$21</f>
        <v>0</v>
      </c>
    </row>
    <row r="2215" spans="1:6" x14ac:dyDescent="0.2">
      <c r="A2215" s="1">
        <v>42391</v>
      </c>
      <c r="B2215">
        <v>23</v>
      </c>
      <c r="C2215">
        <f>'weather data'!E2215</f>
        <v>7.2466666666666661</v>
      </c>
      <c r="D2215">
        <f>LAI!F2215</f>
        <v>0</v>
      </c>
      <c r="E2215">
        <f>0.5*C2215*(1-EXP(-'user input'!$C$19*D2215))</f>
        <v>0</v>
      </c>
      <c r="F2215">
        <f>E2215*'user input'!$C$21</f>
        <v>0</v>
      </c>
    </row>
    <row r="2216" spans="1:6" x14ac:dyDescent="0.2">
      <c r="A2216" s="1">
        <v>42392</v>
      </c>
      <c r="B2216">
        <v>24</v>
      </c>
      <c r="C2216">
        <f>'weather data'!E2216</f>
        <v>6.8688888888888879</v>
      </c>
      <c r="D2216">
        <f>LAI!F2216</f>
        <v>0</v>
      </c>
      <c r="E2216">
        <f>0.5*C2216*(1-EXP(-'user input'!$C$19*D2216))</f>
        <v>0</v>
      </c>
      <c r="F2216">
        <f>E2216*'user input'!$C$21</f>
        <v>0</v>
      </c>
    </row>
    <row r="2217" spans="1:6" x14ac:dyDescent="0.2">
      <c r="A2217" s="1">
        <v>42393</v>
      </c>
      <c r="B2217">
        <v>25</v>
      </c>
      <c r="C2217">
        <f>'weather data'!E2217</f>
        <v>7.0244444444444447</v>
      </c>
      <c r="D2217">
        <f>LAI!F2217</f>
        <v>0</v>
      </c>
      <c r="E2217">
        <f>0.5*C2217*(1-EXP(-'user input'!$C$19*D2217))</f>
        <v>0</v>
      </c>
      <c r="F2217">
        <f>E2217*'user input'!$C$21</f>
        <v>0</v>
      </c>
    </row>
    <row r="2218" spans="1:6" x14ac:dyDescent="0.2">
      <c r="A2218" s="1">
        <v>42394</v>
      </c>
      <c r="B2218">
        <v>26</v>
      </c>
      <c r="C2218">
        <f>'weather data'!E2218</f>
        <v>7.3288888888888888</v>
      </c>
      <c r="D2218">
        <f>LAI!F2218</f>
        <v>0</v>
      </c>
      <c r="E2218">
        <f>0.5*C2218*(1-EXP(-'user input'!$C$19*D2218))</f>
        <v>0</v>
      </c>
      <c r="F2218">
        <f>E2218*'user input'!$C$21</f>
        <v>0</v>
      </c>
    </row>
    <row r="2219" spans="1:6" x14ac:dyDescent="0.2">
      <c r="A2219" s="1">
        <v>42395</v>
      </c>
      <c r="B2219">
        <v>27</v>
      </c>
      <c r="C2219">
        <f>'weather data'!E2219</f>
        <v>7.4177777777777756</v>
      </c>
      <c r="D2219">
        <f>LAI!F2219</f>
        <v>0</v>
      </c>
      <c r="E2219">
        <f>0.5*C2219*(1-EXP(-'user input'!$C$19*D2219))</f>
        <v>0</v>
      </c>
      <c r="F2219">
        <f>E2219*'user input'!$C$21</f>
        <v>0</v>
      </c>
    </row>
    <row r="2220" spans="1:6" x14ac:dyDescent="0.2">
      <c r="A2220" s="1">
        <v>42396</v>
      </c>
      <c r="B2220">
        <v>28</v>
      </c>
      <c r="C2220">
        <f>'weather data'!E2220</f>
        <v>7.677777777777778</v>
      </c>
      <c r="D2220">
        <f>LAI!F2220</f>
        <v>0</v>
      </c>
      <c r="E2220">
        <f>0.5*C2220*(1-EXP(-'user input'!$C$19*D2220))</f>
        <v>0</v>
      </c>
      <c r="F2220">
        <f>E2220*'user input'!$C$21</f>
        <v>0</v>
      </c>
    </row>
    <row r="2221" spans="1:6" x14ac:dyDescent="0.2">
      <c r="A2221" s="1">
        <v>42397</v>
      </c>
      <c r="B2221">
        <v>29</v>
      </c>
      <c r="C2221">
        <f>'weather data'!E2221</f>
        <v>7.3044444444444458</v>
      </c>
      <c r="D2221">
        <f>LAI!F2221</f>
        <v>0</v>
      </c>
      <c r="E2221">
        <f>0.5*C2221*(1-EXP(-'user input'!$C$19*D2221))</f>
        <v>0</v>
      </c>
      <c r="F2221">
        <f>E2221*'user input'!$C$21</f>
        <v>0</v>
      </c>
    </row>
    <row r="2222" spans="1:6" x14ac:dyDescent="0.2">
      <c r="A2222" s="1">
        <v>42398</v>
      </c>
      <c r="B2222">
        <v>30</v>
      </c>
      <c r="C2222">
        <f>'weather data'!E2222</f>
        <v>8</v>
      </c>
      <c r="D2222">
        <f>LAI!F2222</f>
        <v>0</v>
      </c>
      <c r="E2222">
        <f>0.5*C2222*(1-EXP(-'user input'!$C$19*D2222))</f>
        <v>0</v>
      </c>
      <c r="F2222">
        <f>E2222*'user input'!$C$21</f>
        <v>0</v>
      </c>
    </row>
    <row r="2223" spans="1:6" x14ac:dyDescent="0.2">
      <c r="A2223" s="1">
        <v>42399</v>
      </c>
      <c r="B2223">
        <v>31</v>
      </c>
      <c r="C2223">
        <f>'weather data'!E2223</f>
        <v>7.6400000000000041</v>
      </c>
      <c r="D2223">
        <f>LAI!F2223</f>
        <v>0</v>
      </c>
      <c r="E2223">
        <f>0.5*C2223*(1-EXP(-'user input'!$C$19*D2223))</f>
        <v>0</v>
      </c>
      <c r="F2223">
        <f>E2223*'user input'!$C$21</f>
        <v>0</v>
      </c>
    </row>
    <row r="2224" spans="1:6" x14ac:dyDescent="0.2">
      <c r="A2224" s="1">
        <v>42400</v>
      </c>
      <c r="B2224">
        <v>32</v>
      </c>
      <c r="C2224">
        <f>'weather data'!E2224</f>
        <v>7.5244444444444474</v>
      </c>
      <c r="D2224">
        <f>LAI!F2224</f>
        <v>0</v>
      </c>
      <c r="E2224">
        <f>0.5*C2224*(1-EXP(-'user input'!$C$19*D2224))</f>
        <v>0</v>
      </c>
      <c r="F2224">
        <f>E2224*'user input'!$C$21</f>
        <v>0</v>
      </c>
    </row>
    <row r="2225" spans="1:6" x14ac:dyDescent="0.2">
      <c r="A2225" s="1">
        <v>42401</v>
      </c>
      <c r="B2225">
        <v>33</v>
      </c>
      <c r="C2225">
        <f>'weather data'!E2225</f>
        <v>7.8222222222222237</v>
      </c>
      <c r="D2225">
        <f>LAI!F2225</f>
        <v>0</v>
      </c>
      <c r="E2225">
        <f>0.5*C2225*(1-EXP(-'user input'!$C$19*D2225))</f>
        <v>0</v>
      </c>
      <c r="F2225">
        <f>E2225*'user input'!$C$21</f>
        <v>0</v>
      </c>
    </row>
    <row r="2226" spans="1:6" x14ac:dyDescent="0.2">
      <c r="A2226" s="1">
        <v>42402</v>
      </c>
      <c r="B2226">
        <v>34</v>
      </c>
      <c r="C2226">
        <f>'weather data'!E2226</f>
        <v>7.9933333333333367</v>
      </c>
      <c r="D2226">
        <f>LAI!F2226</f>
        <v>0</v>
      </c>
      <c r="E2226">
        <f>0.5*C2226*(1-EXP(-'user input'!$C$19*D2226))</f>
        <v>0</v>
      </c>
      <c r="F2226">
        <f>E2226*'user input'!$C$21</f>
        <v>0</v>
      </c>
    </row>
    <row r="2227" spans="1:6" x14ac:dyDescent="0.2">
      <c r="A2227" s="1">
        <v>42403</v>
      </c>
      <c r="B2227">
        <v>35</v>
      </c>
      <c r="C2227">
        <f>'weather data'!E2227</f>
        <v>8.8044444444444458</v>
      </c>
      <c r="D2227">
        <f>LAI!F2227</f>
        <v>0</v>
      </c>
      <c r="E2227">
        <f>0.5*C2227*(1-EXP(-'user input'!$C$19*D2227))</f>
        <v>0</v>
      </c>
      <c r="F2227">
        <f>E2227*'user input'!$C$21</f>
        <v>0</v>
      </c>
    </row>
    <row r="2228" spans="1:6" x14ac:dyDescent="0.2">
      <c r="A2228" s="1">
        <v>42404</v>
      </c>
      <c r="B2228">
        <v>36</v>
      </c>
      <c r="C2228">
        <f>'weather data'!E2228</f>
        <v>8.4622222222222199</v>
      </c>
      <c r="D2228">
        <f>LAI!F2228</f>
        <v>0</v>
      </c>
      <c r="E2228">
        <f>0.5*C2228*(1-EXP(-'user input'!$C$19*D2228))</f>
        <v>0</v>
      </c>
      <c r="F2228">
        <f>E2228*'user input'!$C$21</f>
        <v>0</v>
      </c>
    </row>
    <row r="2229" spans="1:6" x14ac:dyDescent="0.2">
      <c r="A2229" s="1">
        <v>42405</v>
      </c>
      <c r="B2229">
        <v>37</v>
      </c>
      <c r="C2229">
        <f>'weather data'!E2229</f>
        <v>8.9911111111111115</v>
      </c>
      <c r="D2229">
        <f>LAI!F2229</f>
        <v>0</v>
      </c>
      <c r="E2229">
        <f>0.5*C2229*(1-EXP(-'user input'!$C$19*D2229))</f>
        <v>0</v>
      </c>
      <c r="F2229">
        <f>E2229*'user input'!$C$21</f>
        <v>0</v>
      </c>
    </row>
    <row r="2230" spans="1:6" x14ac:dyDescent="0.2">
      <c r="A2230" s="1">
        <v>42406</v>
      </c>
      <c r="B2230">
        <v>38</v>
      </c>
      <c r="C2230">
        <f>'weather data'!E2230</f>
        <v>9.43333333333333</v>
      </c>
      <c r="D2230">
        <f>LAI!F2230</f>
        <v>0</v>
      </c>
      <c r="E2230">
        <f>0.5*C2230*(1-EXP(-'user input'!$C$19*D2230))</f>
        <v>0</v>
      </c>
      <c r="F2230">
        <f>E2230*'user input'!$C$21</f>
        <v>0</v>
      </c>
    </row>
    <row r="2231" spans="1:6" x14ac:dyDescent="0.2">
      <c r="A2231" s="1">
        <v>42407</v>
      </c>
      <c r="B2231">
        <v>39</v>
      </c>
      <c r="C2231">
        <f>'weather data'!E2231</f>
        <v>9.0800000000000036</v>
      </c>
      <c r="D2231">
        <f>LAI!F2231</f>
        <v>0</v>
      </c>
      <c r="E2231">
        <f>0.5*C2231*(1-EXP(-'user input'!$C$19*D2231))</f>
        <v>0</v>
      </c>
      <c r="F2231">
        <f>E2231*'user input'!$C$21</f>
        <v>0</v>
      </c>
    </row>
    <row r="2232" spans="1:6" x14ac:dyDescent="0.2">
      <c r="A2232" s="1">
        <v>42408</v>
      </c>
      <c r="B2232">
        <v>40</v>
      </c>
      <c r="C2232">
        <f>'weather data'!E2232</f>
        <v>9.9822222222222212</v>
      </c>
      <c r="D2232">
        <f>LAI!F2232</f>
        <v>0</v>
      </c>
      <c r="E2232">
        <f>0.5*C2232*(1-EXP(-'user input'!$C$19*D2232))</f>
        <v>0</v>
      </c>
      <c r="F2232">
        <f>E2232*'user input'!$C$21</f>
        <v>0</v>
      </c>
    </row>
    <row r="2233" spans="1:6" x14ac:dyDescent="0.2">
      <c r="A2233" s="1">
        <v>42409</v>
      </c>
      <c r="B2233">
        <v>41</v>
      </c>
      <c r="C2233">
        <f>'weather data'!E2233</f>
        <v>8.9066666666666627</v>
      </c>
      <c r="D2233">
        <f>LAI!F2233</f>
        <v>0</v>
      </c>
      <c r="E2233">
        <f>0.5*C2233*(1-EXP(-'user input'!$C$19*D2233))</f>
        <v>0</v>
      </c>
      <c r="F2233">
        <f>E2233*'user input'!$C$21</f>
        <v>0</v>
      </c>
    </row>
    <row r="2234" spans="1:6" x14ac:dyDescent="0.2">
      <c r="A2234" s="1">
        <v>42410</v>
      </c>
      <c r="B2234">
        <v>42</v>
      </c>
      <c r="C2234">
        <f>'weather data'!E2234</f>
        <v>9.7333333333333325</v>
      </c>
      <c r="D2234">
        <f>LAI!F2234</f>
        <v>0</v>
      </c>
      <c r="E2234">
        <f>0.5*C2234*(1-EXP(-'user input'!$C$19*D2234))</f>
        <v>0</v>
      </c>
      <c r="F2234">
        <f>E2234*'user input'!$C$21</f>
        <v>0</v>
      </c>
    </row>
    <row r="2235" spans="1:6" x14ac:dyDescent="0.2">
      <c r="A2235" s="1">
        <v>42411</v>
      </c>
      <c r="B2235">
        <v>43</v>
      </c>
      <c r="C2235">
        <f>'weather data'!E2235</f>
        <v>10.073333333333336</v>
      </c>
      <c r="D2235">
        <f>LAI!F2235</f>
        <v>0</v>
      </c>
      <c r="E2235">
        <f>0.5*C2235*(1-EXP(-'user input'!$C$19*D2235))</f>
        <v>0</v>
      </c>
      <c r="F2235">
        <f>E2235*'user input'!$C$21</f>
        <v>0</v>
      </c>
    </row>
    <row r="2236" spans="1:6" x14ac:dyDescent="0.2">
      <c r="A2236" s="1">
        <v>42412</v>
      </c>
      <c r="B2236">
        <v>44</v>
      </c>
      <c r="C2236">
        <f>'weather data'!E2236</f>
        <v>8.4711111111111101</v>
      </c>
      <c r="D2236">
        <f>LAI!F2236</f>
        <v>0</v>
      </c>
      <c r="E2236">
        <f>0.5*C2236*(1-EXP(-'user input'!$C$19*D2236))</f>
        <v>0</v>
      </c>
      <c r="F2236">
        <f>E2236*'user input'!$C$21</f>
        <v>0</v>
      </c>
    </row>
    <row r="2237" spans="1:6" x14ac:dyDescent="0.2">
      <c r="A2237" s="1">
        <v>42413</v>
      </c>
      <c r="B2237">
        <v>45</v>
      </c>
      <c r="C2237">
        <f>'weather data'!E2237</f>
        <v>9.2622222222222241</v>
      </c>
      <c r="D2237">
        <f>LAI!F2237</f>
        <v>0</v>
      </c>
      <c r="E2237">
        <f>0.5*C2237*(1-EXP(-'user input'!$C$19*D2237))</f>
        <v>0</v>
      </c>
      <c r="F2237">
        <f>E2237*'user input'!$C$21</f>
        <v>0</v>
      </c>
    </row>
    <row r="2238" spans="1:6" x14ac:dyDescent="0.2">
      <c r="A2238" s="1">
        <v>42414</v>
      </c>
      <c r="B2238">
        <v>46</v>
      </c>
      <c r="C2238">
        <f>'weather data'!E2238</f>
        <v>9.7844444444444445</v>
      </c>
      <c r="D2238">
        <f>LAI!F2238</f>
        <v>0</v>
      </c>
      <c r="E2238">
        <f>0.5*C2238*(1-EXP(-'user input'!$C$19*D2238))</f>
        <v>0</v>
      </c>
      <c r="F2238">
        <f>E2238*'user input'!$C$21</f>
        <v>0</v>
      </c>
    </row>
    <row r="2239" spans="1:6" x14ac:dyDescent="0.2">
      <c r="A2239" s="1">
        <v>42415</v>
      </c>
      <c r="B2239">
        <v>47</v>
      </c>
      <c r="C2239">
        <f>'weather data'!E2239</f>
        <v>10.419999999999996</v>
      </c>
      <c r="D2239">
        <f>LAI!F2239</f>
        <v>0</v>
      </c>
      <c r="E2239">
        <f>0.5*C2239*(1-EXP(-'user input'!$C$19*D2239))</f>
        <v>0</v>
      </c>
      <c r="F2239">
        <f>E2239*'user input'!$C$21</f>
        <v>0</v>
      </c>
    </row>
    <row r="2240" spans="1:6" x14ac:dyDescent="0.2">
      <c r="A2240" s="1">
        <v>42416</v>
      </c>
      <c r="B2240">
        <v>48</v>
      </c>
      <c r="C2240">
        <f>'weather data'!E2240</f>
        <v>10.89111111111111</v>
      </c>
      <c r="D2240">
        <f>LAI!F2240</f>
        <v>0</v>
      </c>
      <c r="E2240">
        <f>0.5*C2240*(1-EXP(-'user input'!$C$19*D2240))</f>
        <v>0</v>
      </c>
      <c r="F2240">
        <f>E2240*'user input'!$C$21</f>
        <v>0</v>
      </c>
    </row>
    <row r="2241" spans="1:6" x14ac:dyDescent="0.2">
      <c r="A2241" s="1">
        <v>42417</v>
      </c>
      <c r="B2241">
        <v>49</v>
      </c>
      <c r="C2241">
        <f>'weather data'!E2241</f>
        <v>8.7977777777777799</v>
      </c>
      <c r="D2241">
        <f>LAI!F2241</f>
        <v>0</v>
      </c>
      <c r="E2241">
        <f>0.5*C2241*(1-EXP(-'user input'!$C$19*D2241))</f>
        <v>0</v>
      </c>
      <c r="F2241">
        <f>E2241*'user input'!$C$21</f>
        <v>0</v>
      </c>
    </row>
    <row r="2242" spans="1:6" x14ac:dyDescent="0.2">
      <c r="A2242" s="1">
        <v>42418</v>
      </c>
      <c r="B2242">
        <v>50</v>
      </c>
      <c r="C2242">
        <f>'weather data'!E2242</f>
        <v>9.6266666666666687</v>
      </c>
      <c r="D2242">
        <f>LAI!F2242</f>
        <v>0</v>
      </c>
      <c r="E2242">
        <f>0.5*C2242*(1-EXP(-'user input'!$C$19*D2242))</f>
        <v>0</v>
      </c>
      <c r="F2242">
        <f>E2242*'user input'!$C$21</f>
        <v>0</v>
      </c>
    </row>
    <row r="2243" spans="1:6" x14ac:dyDescent="0.2">
      <c r="A2243" s="1">
        <v>42419</v>
      </c>
      <c r="B2243">
        <v>51</v>
      </c>
      <c r="C2243">
        <f>'weather data'!E2243</f>
        <v>10.488888888888887</v>
      </c>
      <c r="D2243">
        <f>LAI!F2243</f>
        <v>0</v>
      </c>
      <c r="E2243">
        <f>0.5*C2243*(1-EXP(-'user input'!$C$19*D2243))</f>
        <v>0</v>
      </c>
      <c r="F2243">
        <f>E2243*'user input'!$C$21</f>
        <v>0</v>
      </c>
    </row>
    <row r="2244" spans="1:6" x14ac:dyDescent="0.2">
      <c r="A2244" s="1">
        <v>42420</v>
      </c>
      <c r="B2244">
        <v>52</v>
      </c>
      <c r="C2244">
        <f>'weather data'!E2244</f>
        <v>10.06</v>
      </c>
      <c r="D2244">
        <f>LAI!F2244</f>
        <v>0</v>
      </c>
      <c r="E2244">
        <f>0.5*C2244*(1-EXP(-'user input'!$C$19*D2244))</f>
        <v>0</v>
      </c>
      <c r="F2244">
        <f>E2244*'user input'!$C$21</f>
        <v>0</v>
      </c>
    </row>
    <row r="2245" spans="1:6" x14ac:dyDescent="0.2">
      <c r="A2245" s="1">
        <v>42421</v>
      </c>
      <c r="B2245">
        <v>53</v>
      </c>
      <c r="C2245">
        <f>'weather data'!E2245</f>
        <v>10.406666666666665</v>
      </c>
      <c r="D2245">
        <f>LAI!F2245</f>
        <v>0</v>
      </c>
      <c r="E2245">
        <f>0.5*C2245*(1-EXP(-'user input'!$C$19*D2245))</f>
        <v>0</v>
      </c>
      <c r="F2245">
        <f>E2245*'user input'!$C$21</f>
        <v>0</v>
      </c>
    </row>
    <row r="2246" spans="1:6" x14ac:dyDescent="0.2">
      <c r="A2246" s="1">
        <v>42422</v>
      </c>
      <c r="B2246">
        <v>54</v>
      </c>
      <c r="C2246">
        <f>'weather data'!E2246</f>
        <v>10.113333333333337</v>
      </c>
      <c r="D2246">
        <f>LAI!F2246</f>
        <v>0</v>
      </c>
      <c r="E2246">
        <f>0.5*C2246*(1-EXP(-'user input'!$C$19*D2246))</f>
        <v>0</v>
      </c>
      <c r="F2246">
        <f>E2246*'user input'!$C$21</f>
        <v>0</v>
      </c>
    </row>
    <row r="2247" spans="1:6" x14ac:dyDescent="0.2">
      <c r="A2247" s="1">
        <v>42423</v>
      </c>
      <c r="B2247">
        <v>55</v>
      </c>
      <c r="C2247">
        <f>'weather data'!E2247</f>
        <v>10.037777777777777</v>
      </c>
      <c r="D2247">
        <f>LAI!F2247</f>
        <v>0</v>
      </c>
      <c r="E2247">
        <f>0.5*C2247*(1-EXP(-'user input'!$C$19*D2247))</f>
        <v>0</v>
      </c>
      <c r="F2247">
        <f>E2247*'user input'!$C$21</f>
        <v>0</v>
      </c>
    </row>
    <row r="2248" spans="1:6" x14ac:dyDescent="0.2">
      <c r="A2248" s="1">
        <v>42424</v>
      </c>
      <c r="B2248">
        <v>56</v>
      </c>
      <c r="C2248">
        <f>'weather data'!E2248</f>
        <v>11.8</v>
      </c>
      <c r="D2248">
        <f>LAI!F2248</f>
        <v>0</v>
      </c>
      <c r="E2248">
        <f>0.5*C2248*(1-EXP(-'user input'!$C$19*D2248))</f>
        <v>0</v>
      </c>
      <c r="F2248">
        <f>E2248*'user input'!$C$21</f>
        <v>0</v>
      </c>
    </row>
    <row r="2249" spans="1:6" x14ac:dyDescent="0.2">
      <c r="A2249" s="1">
        <v>42425</v>
      </c>
      <c r="B2249">
        <v>57</v>
      </c>
      <c r="C2249">
        <f>'weather data'!E2249</f>
        <v>11.313333333333336</v>
      </c>
      <c r="D2249">
        <f>LAI!F2249</f>
        <v>0</v>
      </c>
      <c r="E2249">
        <f>0.5*C2249*(1-EXP(-'user input'!$C$19*D2249))</f>
        <v>0</v>
      </c>
      <c r="F2249">
        <f>E2249*'user input'!$C$21</f>
        <v>0</v>
      </c>
    </row>
    <row r="2250" spans="1:6" x14ac:dyDescent="0.2">
      <c r="A2250" s="1">
        <v>42426</v>
      </c>
      <c r="B2250">
        <v>58</v>
      </c>
      <c r="C2250">
        <f>'weather data'!E2250</f>
        <v>11.128888888888891</v>
      </c>
      <c r="D2250">
        <f>LAI!F2250</f>
        <v>0</v>
      </c>
      <c r="E2250">
        <f>0.5*C2250*(1-EXP(-'user input'!$C$19*D2250))</f>
        <v>0</v>
      </c>
      <c r="F2250">
        <f>E2250*'user input'!$C$21</f>
        <v>0</v>
      </c>
    </row>
    <row r="2251" spans="1:6" x14ac:dyDescent="0.2">
      <c r="A2251" s="1">
        <v>42427</v>
      </c>
      <c r="B2251">
        <v>59</v>
      </c>
      <c r="C2251">
        <f>'weather data'!E2251</f>
        <v>11.87555555555555</v>
      </c>
      <c r="D2251">
        <f>LAI!F2251</f>
        <v>0</v>
      </c>
      <c r="E2251">
        <f>0.5*C2251*(1-EXP(-'user input'!$C$19*D2251))</f>
        <v>0</v>
      </c>
      <c r="F2251">
        <f>E2251*'user input'!$C$21</f>
        <v>0</v>
      </c>
    </row>
    <row r="2252" spans="1:6" x14ac:dyDescent="0.2">
      <c r="A2252" s="1">
        <v>42428</v>
      </c>
      <c r="B2252">
        <v>60</v>
      </c>
      <c r="C2252">
        <f>'weather data'!E2252</f>
        <v>11.59555555555556</v>
      </c>
      <c r="D2252">
        <f>LAI!F2252</f>
        <v>0</v>
      </c>
      <c r="E2252">
        <f>0.5*C2252*(1-EXP(-'user input'!$C$19*D2252))</f>
        <v>0</v>
      </c>
      <c r="F2252">
        <f>E2252*'user input'!$C$21</f>
        <v>0</v>
      </c>
    </row>
    <row r="2253" spans="1:6" x14ac:dyDescent="0.2">
      <c r="A2253" s="1">
        <v>42429</v>
      </c>
      <c r="B2253">
        <v>61</v>
      </c>
      <c r="C2253">
        <f>'weather data'!E2253</f>
        <v>11.271111111111111</v>
      </c>
      <c r="D2253">
        <f>LAI!F2253</f>
        <v>0</v>
      </c>
      <c r="E2253">
        <f>0.5*C2253*(1-EXP(-'user input'!$C$19*D2253))</f>
        <v>0</v>
      </c>
      <c r="F2253">
        <f>E2253*'user input'!$C$21</f>
        <v>0</v>
      </c>
    </row>
    <row r="2254" spans="1:6" x14ac:dyDescent="0.2">
      <c r="A2254" s="1">
        <v>42430</v>
      </c>
      <c r="B2254">
        <v>62</v>
      </c>
      <c r="C2254">
        <f>'weather data'!E2254</f>
        <v>11.388888888888886</v>
      </c>
      <c r="D2254">
        <f>LAI!F2254</f>
        <v>0</v>
      </c>
      <c r="E2254">
        <f>0.5*C2254*(1-EXP(-'user input'!$C$19*D2254))</f>
        <v>0</v>
      </c>
      <c r="F2254">
        <f>E2254*'user input'!$C$21</f>
        <v>0</v>
      </c>
    </row>
    <row r="2255" spans="1:6" x14ac:dyDescent="0.2">
      <c r="A2255" s="1">
        <v>42431</v>
      </c>
      <c r="B2255">
        <v>63</v>
      </c>
      <c r="C2255">
        <f>'weather data'!E2255</f>
        <v>10.191111111111111</v>
      </c>
      <c r="D2255">
        <f>LAI!F2255</f>
        <v>0</v>
      </c>
      <c r="E2255">
        <f>0.5*C2255*(1-EXP(-'user input'!$C$19*D2255))</f>
        <v>0</v>
      </c>
      <c r="F2255">
        <f>E2255*'user input'!$C$21</f>
        <v>0</v>
      </c>
    </row>
    <row r="2256" spans="1:6" x14ac:dyDescent="0.2">
      <c r="A2256" s="1">
        <v>42432</v>
      </c>
      <c r="B2256">
        <v>64</v>
      </c>
      <c r="C2256">
        <f>'weather data'!E2256</f>
        <v>11.199999999999996</v>
      </c>
      <c r="D2256">
        <f>LAI!F2256</f>
        <v>0</v>
      </c>
      <c r="E2256">
        <f>0.5*C2256*(1-EXP(-'user input'!$C$19*D2256))</f>
        <v>0</v>
      </c>
      <c r="F2256">
        <f>E2256*'user input'!$C$21</f>
        <v>0</v>
      </c>
    </row>
    <row r="2257" spans="1:6" x14ac:dyDescent="0.2">
      <c r="A2257" s="1">
        <v>42433</v>
      </c>
      <c r="B2257">
        <v>65</v>
      </c>
      <c r="C2257">
        <f>'weather data'!E2257</f>
        <v>12.780000000000003</v>
      </c>
      <c r="D2257">
        <f>LAI!F2257</f>
        <v>0</v>
      </c>
      <c r="E2257">
        <f>0.5*C2257*(1-EXP(-'user input'!$C$19*D2257))</f>
        <v>0</v>
      </c>
      <c r="F2257">
        <f>E2257*'user input'!$C$21</f>
        <v>0</v>
      </c>
    </row>
    <row r="2258" spans="1:6" x14ac:dyDescent="0.2">
      <c r="A2258" s="1">
        <v>42434</v>
      </c>
      <c r="B2258">
        <v>66</v>
      </c>
      <c r="C2258">
        <f>'weather data'!E2258</f>
        <v>13.068888888888889</v>
      </c>
      <c r="D2258">
        <f>LAI!F2258</f>
        <v>0</v>
      </c>
      <c r="E2258">
        <f>0.5*C2258*(1-EXP(-'user input'!$C$19*D2258))</f>
        <v>0</v>
      </c>
      <c r="F2258">
        <f>E2258*'user input'!$C$21</f>
        <v>0</v>
      </c>
    </row>
    <row r="2259" spans="1:6" x14ac:dyDescent="0.2">
      <c r="A2259" s="1">
        <v>42435</v>
      </c>
      <c r="B2259">
        <v>67</v>
      </c>
      <c r="C2259">
        <f>'weather data'!E2259</f>
        <v>11.393333333333333</v>
      </c>
      <c r="D2259">
        <f>LAI!F2259</f>
        <v>0</v>
      </c>
      <c r="E2259">
        <f>0.5*C2259*(1-EXP(-'user input'!$C$19*D2259))</f>
        <v>0</v>
      </c>
      <c r="F2259">
        <f>E2259*'user input'!$C$21</f>
        <v>0</v>
      </c>
    </row>
    <row r="2260" spans="1:6" x14ac:dyDescent="0.2">
      <c r="A2260" s="1">
        <v>42436</v>
      </c>
      <c r="B2260">
        <v>68</v>
      </c>
      <c r="C2260">
        <f>'weather data'!E2260</f>
        <v>12.291111111111112</v>
      </c>
      <c r="D2260">
        <f>LAI!F2260</f>
        <v>0</v>
      </c>
      <c r="E2260">
        <f>0.5*C2260*(1-EXP(-'user input'!$C$19*D2260))</f>
        <v>0</v>
      </c>
      <c r="F2260">
        <f>E2260*'user input'!$C$21</f>
        <v>0</v>
      </c>
    </row>
    <row r="2261" spans="1:6" x14ac:dyDescent="0.2">
      <c r="A2261" s="1">
        <v>42437</v>
      </c>
      <c r="B2261">
        <v>69</v>
      </c>
      <c r="C2261">
        <f>'weather data'!E2261</f>
        <v>13.813333333333336</v>
      </c>
      <c r="D2261">
        <f>LAI!F2261</f>
        <v>0</v>
      </c>
      <c r="E2261">
        <f>0.5*C2261*(1-EXP(-'user input'!$C$19*D2261))</f>
        <v>0</v>
      </c>
      <c r="F2261">
        <f>E2261*'user input'!$C$21</f>
        <v>0</v>
      </c>
    </row>
    <row r="2262" spans="1:6" x14ac:dyDescent="0.2">
      <c r="A2262" s="1">
        <v>42438</v>
      </c>
      <c r="B2262">
        <v>70</v>
      </c>
      <c r="C2262">
        <f>'weather data'!E2262</f>
        <v>12.808888888888891</v>
      </c>
      <c r="D2262">
        <f>LAI!F2262</f>
        <v>0</v>
      </c>
      <c r="E2262">
        <f>0.5*C2262*(1-EXP(-'user input'!$C$19*D2262))</f>
        <v>0</v>
      </c>
      <c r="F2262">
        <f>E2262*'user input'!$C$21</f>
        <v>0</v>
      </c>
    </row>
    <row r="2263" spans="1:6" x14ac:dyDescent="0.2">
      <c r="A2263" s="1">
        <v>42439</v>
      </c>
      <c r="B2263">
        <v>71</v>
      </c>
      <c r="C2263">
        <f>'weather data'!E2263</f>
        <v>12.691111111111107</v>
      </c>
      <c r="D2263">
        <f>LAI!F2263</f>
        <v>0</v>
      </c>
      <c r="E2263">
        <f>0.5*C2263*(1-EXP(-'user input'!$C$19*D2263))</f>
        <v>0</v>
      </c>
      <c r="F2263">
        <f>E2263*'user input'!$C$21</f>
        <v>0</v>
      </c>
    </row>
    <row r="2264" spans="1:6" x14ac:dyDescent="0.2">
      <c r="A2264" s="1">
        <v>42440</v>
      </c>
      <c r="B2264">
        <v>72</v>
      </c>
      <c r="C2264">
        <f>'weather data'!E2264</f>
        <v>11.371111111111109</v>
      </c>
      <c r="D2264">
        <f>LAI!F2264</f>
        <v>0</v>
      </c>
      <c r="E2264">
        <f>0.5*C2264*(1-EXP(-'user input'!$C$19*D2264))</f>
        <v>0</v>
      </c>
      <c r="F2264">
        <f>E2264*'user input'!$C$21</f>
        <v>0</v>
      </c>
    </row>
    <row r="2265" spans="1:6" x14ac:dyDescent="0.2">
      <c r="A2265" s="1">
        <v>42441</v>
      </c>
      <c r="B2265">
        <v>73</v>
      </c>
      <c r="C2265">
        <f>'weather data'!E2265</f>
        <v>13.164444444444442</v>
      </c>
      <c r="D2265">
        <f>LAI!F2265</f>
        <v>0</v>
      </c>
      <c r="E2265">
        <f>0.5*C2265*(1-EXP(-'user input'!$C$19*D2265))</f>
        <v>0</v>
      </c>
      <c r="F2265">
        <f>E2265*'user input'!$C$21</f>
        <v>0</v>
      </c>
    </row>
    <row r="2266" spans="1:6" x14ac:dyDescent="0.2">
      <c r="A2266" s="1">
        <v>42442</v>
      </c>
      <c r="B2266">
        <v>74</v>
      </c>
      <c r="C2266">
        <f>'weather data'!E2266</f>
        <v>12.719999999999995</v>
      </c>
      <c r="D2266">
        <f>LAI!F2266</f>
        <v>0</v>
      </c>
      <c r="E2266">
        <f>0.5*C2266*(1-EXP(-'user input'!$C$19*D2266))</f>
        <v>0</v>
      </c>
      <c r="F2266">
        <f>E2266*'user input'!$C$21</f>
        <v>0</v>
      </c>
    </row>
    <row r="2267" spans="1:6" x14ac:dyDescent="0.2">
      <c r="A2267" s="1">
        <v>42443</v>
      </c>
      <c r="B2267">
        <v>75</v>
      </c>
      <c r="C2267">
        <f>'weather data'!E2267</f>
        <v>14.366666666666664</v>
      </c>
      <c r="D2267">
        <f>LAI!F2267</f>
        <v>0</v>
      </c>
      <c r="E2267">
        <f>0.5*C2267*(1-EXP(-'user input'!$C$19*D2267))</f>
        <v>0</v>
      </c>
      <c r="F2267">
        <f>E2267*'user input'!$C$21</f>
        <v>0</v>
      </c>
    </row>
    <row r="2268" spans="1:6" x14ac:dyDescent="0.2">
      <c r="A2268" s="1">
        <v>42444</v>
      </c>
      <c r="B2268">
        <v>76</v>
      </c>
      <c r="C2268">
        <f>'weather data'!E2268</f>
        <v>13.237777777777776</v>
      </c>
      <c r="D2268">
        <f>LAI!F2268</f>
        <v>0</v>
      </c>
      <c r="E2268">
        <f>0.5*C2268*(1-EXP(-'user input'!$C$19*D2268))</f>
        <v>0</v>
      </c>
      <c r="F2268">
        <f>E2268*'user input'!$C$21</f>
        <v>0</v>
      </c>
    </row>
    <row r="2269" spans="1:6" x14ac:dyDescent="0.2">
      <c r="A2269" s="1">
        <v>42445</v>
      </c>
      <c r="B2269">
        <v>77</v>
      </c>
      <c r="C2269">
        <f>'weather data'!E2269</f>
        <v>12.584444444444451</v>
      </c>
      <c r="D2269">
        <f>LAI!F2269</f>
        <v>0</v>
      </c>
      <c r="E2269">
        <f>0.5*C2269*(1-EXP(-'user input'!$C$19*D2269))</f>
        <v>0</v>
      </c>
      <c r="F2269">
        <f>E2269*'user input'!$C$21</f>
        <v>0</v>
      </c>
    </row>
    <row r="2270" spans="1:6" x14ac:dyDescent="0.2">
      <c r="A2270" s="1">
        <v>42446</v>
      </c>
      <c r="B2270">
        <v>78</v>
      </c>
      <c r="C2270">
        <f>'weather data'!E2270</f>
        <v>12.284444444444446</v>
      </c>
      <c r="D2270">
        <f>LAI!F2270</f>
        <v>0</v>
      </c>
      <c r="E2270">
        <f>0.5*C2270*(1-EXP(-'user input'!$C$19*D2270))</f>
        <v>0</v>
      </c>
      <c r="F2270">
        <f>E2270*'user input'!$C$21</f>
        <v>0</v>
      </c>
    </row>
    <row r="2271" spans="1:6" x14ac:dyDescent="0.2">
      <c r="A2271" s="1">
        <v>42447</v>
      </c>
      <c r="B2271">
        <v>79</v>
      </c>
      <c r="C2271">
        <f>'weather data'!E2271</f>
        <v>13.337777777777776</v>
      </c>
      <c r="D2271">
        <f>LAI!F2271</f>
        <v>0</v>
      </c>
      <c r="E2271">
        <f>0.5*C2271*(1-EXP(-'user input'!$C$19*D2271))</f>
        <v>0</v>
      </c>
      <c r="F2271">
        <f>E2271*'user input'!$C$21</f>
        <v>0</v>
      </c>
    </row>
    <row r="2272" spans="1:6" x14ac:dyDescent="0.2">
      <c r="A2272" s="1">
        <v>42448</v>
      </c>
      <c r="B2272">
        <v>80</v>
      </c>
      <c r="C2272">
        <f>'weather data'!E2272</f>
        <v>15</v>
      </c>
      <c r="D2272">
        <f>LAI!F2272</f>
        <v>0</v>
      </c>
      <c r="E2272">
        <f>0.5*C2272*(1-EXP(-'user input'!$C$19*D2272))</f>
        <v>0</v>
      </c>
      <c r="F2272">
        <f>E2272*'user input'!$C$21</f>
        <v>0</v>
      </c>
    </row>
    <row r="2273" spans="1:6" x14ac:dyDescent="0.2">
      <c r="A2273" s="1">
        <v>42449</v>
      </c>
      <c r="B2273">
        <v>81</v>
      </c>
      <c r="C2273">
        <f>'weather data'!E2273</f>
        <v>14.926666666666668</v>
      </c>
      <c r="D2273">
        <f>LAI!F2273</f>
        <v>0</v>
      </c>
      <c r="E2273">
        <f>0.5*C2273*(1-EXP(-'user input'!$C$19*D2273))</f>
        <v>0</v>
      </c>
      <c r="F2273">
        <f>E2273*'user input'!$C$21</f>
        <v>0</v>
      </c>
    </row>
    <row r="2274" spans="1:6" x14ac:dyDescent="0.2">
      <c r="A2274" s="1">
        <v>42450</v>
      </c>
      <c r="B2274">
        <v>82</v>
      </c>
      <c r="C2274">
        <f>'weather data'!E2274</f>
        <v>16.43333333333333</v>
      </c>
      <c r="D2274">
        <f>LAI!F2274</f>
        <v>0</v>
      </c>
      <c r="E2274">
        <f>0.5*C2274*(1-EXP(-'user input'!$C$19*D2274))</f>
        <v>0</v>
      </c>
      <c r="F2274">
        <f>E2274*'user input'!$C$21</f>
        <v>0</v>
      </c>
    </row>
    <row r="2275" spans="1:6" x14ac:dyDescent="0.2">
      <c r="A2275" s="1">
        <v>42451</v>
      </c>
      <c r="B2275">
        <v>83</v>
      </c>
      <c r="C2275">
        <f>'weather data'!E2275</f>
        <v>14.304444444444442</v>
      </c>
      <c r="D2275">
        <f>LAI!F2275</f>
        <v>0</v>
      </c>
      <c r="E2275">
        <f>0.5*C2275*(1-EXP(-'user input'!$C$19*D2275))</f>
        <v>0</v>
      </c>
      <c r="F2275">
        <f>E2275*'user input'!$C$21</f>
        <v>0</v>
      </c>
    </row>
    <row r="2276" spans="1:6" x14ac:dyDescent="0.2">
      <c r="A2276" s="1">
        <v>42452</v>
      </c>
      <c r="B2276">
        <v>84</v>
      </c>
      <c r="C2276">
        <f>'weather data'!E2276</f>
        <v>14.604444444444443</v>
      </c>
      <c r="D2276">
        <f>LAI!F2276</f>
        <v>0</v>
      </c>
      <c r="E2276">
        <f>0.5*C2276*(1-EXP(-'user input'!$C$19*D2276))</f>
        <v>0</v>
      </c>
      <c r="F2276">
        <f>E2276*'user input'!$C$21</f>
        <v>0</v>
      </c>
    </row>
    <row r="2277" spans="1:6" x14ac:dyDescent="0.2">
      <c r="A2277" s="1">
        <v>42453</v>
      </c>
      <c r="B2277">
        <v>85</v>
      </c>
      <c r="C2277">
        <f>'weather data'!E2277</f>
        <v>15.69777777777778</v>
      </c>
      <c r="D2277">
        <f>LAI!F2277</f>
        <v>0</v>
      </c>
      <c r="E2277">
        <f>0.5*C2277*(1-EXP(-'user input'!$C$19*D2277))</f>
        <v>0</v>
      </c>
      <c r="F2277">
        <f>E2277*'user input'!$C$21</f>
        <v>0</v>
      </c>
    </row>
    <row r="2278" spans="1:6" x14ac:dyDescent="0.2">
      <c r="A2278" s="1">
        <v>42454</v>
      </c>
      <c r="B2278">
        <v>86</v>
      </c>
      <c r="C2278">
        <f>'weather data'!E2278</f>
        <v>14.977777777777776</v>
      </c>
      <c r="D2278">
        <f>LAI!F2278</f>
        <v>0</v>
      </c>
      <c r="E2278">
        <f>0.5*C2278*(1-EXP(-'user input'!$C$19*D2278))</f>
        <v>0</v>
      </c>
      <c r="F2278">
        <f>E2278*'user input'!$C$21</f>
        <v>0</v>
      </c>
    </row>
    <row r="2279" spans="1:6" x14ac:dyDescent="0.2">
      <c r="A2279" s="1">
        <v>42455</v>
      </c>
      <c r="B2279">
        <v>87</v>
      </c>
      <c r="C2279">
        <f>'weather data'!E2279</f>
        <v>12.684444444444447</v>
      </c>
      <c r="D2279">
        <f>LAI!F2279</f>
        <v>0</v>
      </c>
      <c r="E2279">
        <f>0.5*C2279*(1-EXP(-'user input'!$C$19*D2279))</f>
        <v>0</v>
      </c>
      <c r="F2279">
        <f>E2279*'user input'!$C$21</f>
        <v>0</v>
      </c>
    </row>
    <row r="2280" spans="1:6" x14ac:dyDescent="0.2">
      <c r="A2280" s="1">
        <v>42456</v>
      </c>
      <c r="B2280">
        <v>88</v>
      </c>
      <c r="C2280">
        <f>'weather data'!E2280</f>
        <v>14.022222222222222</v>
      </c>
      <c r="D2280">
        <f>LAI!F2280</f>
        <v>0</v>
      </c>
      <c r="E2280">
        <f>0.5*C2280*(1-EXP(-'user input'!$C$19*D2280))</f>
        <v>0</v>
      </c>
      <c r="F2280">
        <f>E2280*'user input'!$C$21</f>
        <v>0</v>
      </c>
    </row>
    <row r="2281" spans="1:6" x14ac:dyDescent="0.2">
      <c r="A2281" s="1">
        <v>42457</v>
      </c>
      <c r="B2281">
        <v>89</v>
      </c>
      <c r="C2281">
        <f>'weather data'!E2281</f>
        <v>15.895555555555557</v>
      </c>
      <c r="D2281">
        <f>LAI!F2281</f>
        <v>0</v>
      </c>
      <c r="E2281">
        <f>0.5*C2281*(1-EXP(-'user input'!$C$19*D2281))</f>
        <v>0</v>
      </c>
      <c r="F2281">
        <f>E2281*'user input'!$C$21</f>
        <v>0</v>
      </c>
    </row>
    <row r="2282" spans="1:6" x14ac:dyDescent="0.2">
      <c r="A2282" s="1">
        <v>42458</v>
      </c>
      <c r="B2282">
        <v>90</v>
      </c>
      <c r="C2282">
        <f>'weather data'!E2282</f>
        <v>14.608888888888893</v>
      </c>
      <c r="D2282">
        <f>LAI!F2282</f>
        <v>0</v>
      </c>
      <c r="E2282">
        <f>0.5*C2282*(1-EXP(-'user input'!$C$19*D2282))</f>
        <v>0</v>
      </c>
      <c r="F2282">
        <f>E2282*'user input'!$C$21</f>
        <v>0</v>
      </c>
    </row>
    <row r="2283" spans="1:6" x14ac:dyDescent="0.2">
      <c r="A2283" s="1">
        <v>42459</v>
      </c>
      <c r="B2283">
        <v>91</v>
      </c>
      <c r="C2283">
        <f>'weather data'!E2283</f>
        <v>13.344444444444447</v>
      </c>
      <c r="D2283">
        <f>LAI!F2283</f>
        <v>0</v>
      </c>
      <c r="E2283">
        <f>0.5*C2283*(1-EXP(-'user input'!$C$19*D2283))</f>
        <v>0</v>
      </c>
      <c r="F2283">
        <f>E2283*'user input'!$C$21</f>
        <v>0</v>
      </c>
    </row>
    <row r="2284" spans="1:6" x14ac:dyDescent="0.2">
      <c r="A2284" s="1">
        <v>42460</v>
      </c>
      <c r="B2284">
        <v>92</v>
      </c>
      <c r="C2284">
        <f>'weather data'!E2284</f>
        <v>14.593333333333337</v>
      </c>
      <c r="D2284">
        <f>LAI!F2284</f>
        <v>0</v>
      </c>
      <c r="E2284">
        <f>0.5*C2284*(1-EXP(-'user input'!$C$19*D2284))</f>
        <v>0</v>
      </c>
      <c r="F2284">
        <f>E2284*'user input'!$C$21</f>
        <v>0</v>
      </c>
    </row>
    <row r="2285" spans="1:6" x14ac:dyDescent="0.2">
      <c r="A2285" s="1">
        <v>42461</v>
      </c>
      <c r="B2285">
        <v>93</v>
      </c>
      <c r="C2285">
        <f>'weather data'!E2285</f>
        <v>13.820000000000002</v>
      </c>
      <c r="D2285">
        <f>LAI!F2285</f>
        <v>0</v>
      </c>
      <c r="E2285">
        <f>0.5*C2285*(1-EXP(-'user input'!$C$19*D2285))</f>
        <v>0</v>
      </c>
      <c r="F2285">
        <f>E2285*'user input'!$C$21</f>
        <v>0</v>
      </c>
    </row>
    <row r="2286" spans="1:6" x14ac:dyDescent="0.2">
      <c r="A2286" s="1">
        <v>42462</v>
      </c>
      <c r="B2286">
        <v>94</v>
      </c>
      <c r="C2286">
        <f>'weather data'!E2286</f>
        <v>15.273333333333332</v>
      </c>
      <c r="D2286">
        <f>LAI!F2286</f>
        <v>0</v>
      </c>
      <c r="E2286">
        <f>0.5*C2286*(1-EXP(-'user input'!$C$19*D2286))</f>
        <v>0</v>
      </c>
      <c r="F2286">
        <f>E2286*'user input'!$C$21</f>
        <v>0</v>
      </c>
    </row>
    <row r="2287" spans="1:6" x14ac:dyDescent="0.2">
      <c r="A2287" s="1">
        <v>42463</v>
      </c>
      <c r="B2287">
        <v>95</v>
      </c>
      <c r="C2287">
        <f>'weather data'!E2287</f>
        <v>14.677777777777782</v>
      </c>
      <c r="D2287">
        <f>LAI!F2287</f>
        <v>0</v>
      </c>
      <c r="E2287">
        <f>0.5*C2287*(1-EXP(-'user input'!$C$19*D2287))</f>
        <v>0</v>
      </c>
      <c r="F2287">
        <f>E2287*'user input'!$C$21</f>
        <v>0</v>
      </c>
    </row>
    <row r="2288" spans="1:6" x14ac:dyDescent="0.2">
      <c r="A2288" s="1">
        <v>42464</v>
      </c>
      <c r="B2288">
        <v>96</v>
      </c>
      <c r="C2288">
        <f>'weather data'!E2288</f>
        <v>17.008888888888887</v>
      </c>
      <c r="D2288">
        <f>LAI!F2288</f>
        <v>0</v>
      </c>
      <c r="E2288">
        <f>0.5*C2288*(1-EXP(-'user input'!$C$19*D2288))</f>
        <v>0</v>
      </c>
      <c r="F2288">
        <f>E2288*'user input'!$C$21</f>
        <v>0</v>
      </c>
    </row>
    <row r="2289" spans="1:6" x14ac:dyDescent="0.2">
      <c r="A2289" s="1">
        <v>42465</v>
      </c>
      <c r="B2289">
        <v>97</v>
      </c>
      <c r="C2289">
        <f>'weather data'!E2289</f>
        <v>16.526666666666664</v>
      </c>
      <c r="D2289">
        <f>LAI!F2289</f>
        <v>0</v>
      </c>
      <c r="E2289">
        <f>0.5*C2289*(1-EXP(-'user input'!$C$19*D2289))</f>
        <v>0</v>
      </c>
      <c r="F2289">
        <f>E2289*'user input'!$C$21</f>
        <v>0</v>
      </c>
    </row>
    <row r="2290" spans="1:6" x14ac:dyDescent="0.2">
      <c r="A2290" s="1">
        <v>42466</v>
      </c>
      <c r="B2290">
        <v>98</v>
      </c>
      <c r="C2290">
        <f>'weather data'!E2290</f>
        <v>14.875555555555552</v>
      </c>
      <c r="D2290">
        <f>LAI!F2290</f>
        <v>0</v>
      </c>
      <c r="E2290">
        <f>0.5*C2290*(1-EXP(-'user input'!$C$19*D2290))</f>
        <v>0</v>
      </c>
      <c r="F2290">
        <f>E2290*'user input'!$C$21</f>
        <v>0</v>
      </c>
    </row>
    <row r="2291" spans="1:6" x14ac:dyDescent="0.2">
      <c r="A2291" s="1">
        <v>42467</v>
      </c>
      <c r="B2291">
        <v>99</v>
      </c>
      <c r="C2291">
        <f>'weather data'!E2291</f>
        <v>17.475555555555555</v>
      </c>
      <c r="D2291">
        <f>LAI!F2291</f>
        <v>0</v>
      </c>
      <c r="E2291">
        <f>0.5*C2291*(1-EXP(-'user input'!$C$19*D2291))</f>
        <v>0</v>
      </c>
      <c r="F2291">
        <f>E2291*'user input'!$C$21</f>
        <v>0</v>
      </c>
    </row>
    <row r="2292" spans="1:6" x14ac:dyDescent="0.2">
      <c r="A2292" s="1">
        <v>42468</v>
      </c>
      <c r="B2292">
        <v>100</v>
      </c>
      <c r="C2292">
        <f>'weather data'!E2292</f>
        <v>17.055555555555557</v>
      </c>
      <c r="D2292">
        <f>LAI!F2292</f>
        <v>0</v>
      </c>
      <c r="E2292">
        <f>0.5*C2292*(1-EXP(-'user input'!$C$19*D2292))</f>
        <v>0</v>
      </c>
      <c r="F2292">
        <f>E2292*'user input'!$C$21</f>
        <v>0</v>
      </c>
    </row>
    <row r="2293" spans="1:6" x14ac:dyDescent="0.2">
      <c r="A2293" s="1">
        <v>42469</v>
      </c>
      <c r="B2293">
        <v>101</v>
      </c>
      <c r="C2293">
        <f>'weather data'!E2293</f>
        <v>15.882222222222218</v>
      </c>
      <c r="D2293">
        <f>LAI!F2293</f>
        <v>0</v>
      </c>
      <c r="E2293">
        <f>0.5*C2293*(1-EXP(-'user input'!$C$19*D2293))</f>
        <v>0</v>
      </c>
      <c r="F2293">
        <f>E2293*'user input'!$C$21</f>
        <v>0</v>
      </c>
    </row>
    <row r="2294" spans="1:6" x14ac:dyDescent="0.2">
      <c r="A2294" s="1">
        <v>42470</v>
      </c>
      <c r="B2294">
        <v>102</v>
      </c>
      <c r="C2294">
        <f>'weather data'!E2294</f>
        <v>15.497777777777774</v>
      </c>
      <c r="D2294">
        <f>LAI!F2294</f>
        <v>0</v>
      </c>
      <c r="E2294">
        <f>0.5*C2294*(1-EXP(-'user input'!$C$19*D2294))</f>
        <v>0</v>
      </c>
      <c r="F2294">
        <f>E2294*'user input'!$C$21</f>
        <v>0</v>
      </c>
    </row>
    <row r="2295" spans="1:6" x14ac:dyDescent="0.2">
      <c r="A2295" s="1">
        <v>42471</v>
      </c>
      <c r="B2295">
        <v>103</v>
      </c>
      <c r="C2295">
        <f>'weather data'!E2295</f>
        <v>18.066666666666666</v>
      </c>
      <c r="D2295">
        <f>LAI!F2295</f>
        <v>0</v>
      </c>
      <c r="E2295">
        <f>0.5*C2295*(1-EXP(-'user input'!$C$19*D2295))</f>
        <v>0</v>
      </c>
      <c r="F2295">
        <f>E2295*'user input'!$C$21</f>
        <v>0</v>
      </c>
    </row>
    <row r="2296" spans="1:6" x14ac:dyDescent="0.2">
      <c r="A2296" s="1">
        <v>42472</v>
      </c>
      <c r="B2296">
        <v>104</v>
      </c>
      <c r="C2296">
        <f>'weather data'!E2296</f>
        <v>17.306666666666665</v>
      </c>
      <c r="D2296">
        <f>LAI!F2296</f>
        <v>0</v>
      </c>
      <c r="E2296">
        <f>0.5*C2296*(1-EXP(-'user input'!$C$19*D2296))</f>
        <v>0</v>
      </c>
      <c r="F2296">
        <f>E2296*'user input'!$C$21</f>
        <v>0</v>
      </c>
    </row>
    <row r="2297" spans="1:6" x14ac:dyDescent="0.2">
      <c r="A2297" s="1">
        <v>42473</v>
      </c>
      <c r="B2297">
        <v>105</v>
      </c>
      <c r="C2297">
        <f>'weather data'!E2297</f>
        <v>18.091111111111108</v>
      </c>
      <c r="D2297">
        <f>LAI!F2297</f>
        <v>0</v>
      </c>
      <c r="E2297">
        <f>0.5*C2297*(1-EXP(-'user input'!$C$19*D2297))</f>
        <v>0</v>
      </c>
      <c r="F2297">
        <f>E2297*'user input'!$C$21</f>
        <v>0</v>
      </c>
    </row>
    <row r="2298" spans="1:6" x14ac:dyDescent="0.2">
      <c r="A2298" s="1">
        <v>42474</v>
      </c>
      <c r="B2298">
        <v>106</v>
      </c>
      <c r="C2298">
        <f>'weather data'!E2298</f>
        <v>15.755555555555551</v>
      </c>
      <c r="D2298">
        <f>LAI!F2298</f>
        <v>0</v>
      </c>
      <c r="E2298">
        <f>0.5*C2298*(1-EXP(-'user input'!$C$19*D2298))</f>
        <v>0</v>
      </c>
      <c r="F2298">
        <f>E2298*'user input'!$C$21</f>
        <v>0</v>
      </c>
    </row>
    <row r="2299" spans="1:6" x14ac:dyDescent="0.2">
      <c r="A2299" s="1">
        <v>42475</v>
      </c>
      <c r="B2299">
        <v>107</v>
      </c>
      <c r="C2299">
        <f>'weather data'!E2299</f>
        <v>18.606666666666669</v>
      </c>
      <c r="D2299">
        <f>LAI!F2299</f>
        <v>0</v>
      </c>
      <c r="E2299">
        <f>0.5*C2299*(1-EXP(-'user input'!$C$19*D2299))</f>
        <v>0</v>
      </c>
      <c r="F2299">
        <f>E2299*'user input'!$C$21</f>
        <v>0</v>
      </c>
    </row>
    <row r="2300" spans="1:6" x14ac:dyDescent="0.2">
      <c r="A2300" s="1">
        <v>42476</v>
      </c>
      <c r="B2300">
        <v>108</v>
      </c>
      <c r="C2300">
        <f>'weather data'!E2300</f>
        <v>17.028888888888886</v>
      </c>
      <c r="D2300">
        <f>LAI!F2300</f>
        <v>0</v>
      </c>
      <c r="E2300">
        <f>0.5*C2300*(1-EXP(-'user input'!$C$19*D2300))</f>
        <v>0</v>
      </c>
      <c r="F2300">
        <f>E2300*'user input'!$C$21</f>
        <v>0</v>
      </c>
    </row>
    <row r="2301" spans="1:6" x14ac:dyDescent="0.2">
      <c r="A2301" s="1">
        <v>42477</v>
      </c>
      <c r="B2301">
        <v>109</v>
      </c>
      <c r="C2301">
        <f>'weather data'!E2301</f>
        <v>16.00888888888889</v>
      </c>
      <c r="D2301">
        <f>LAI!F2301</f>
        <v>0</v>
      </c>
      <c r="E2301">
        <f>0.5*C2301*(1-EXP(-'user input'!$C$19*D2301))</f>
        <v>0</v>
      </c>
      <c r="F2301">
        <f>E2301*'user input'!$C$21</f>
        <v>0</v>
      </c>
    </row>
    <row r="2302" spans="1:6" x14ac:dyDescent="0.2">
      <c r="A2302" s="1">
        <v>42478</v>
      </c>
      <c r="B2302">
        <v>110</v>
      </c>
      <c r="C2302">
        <f>'weather data'!E2302</f>
        <v>14.822222222222214</v>
      </c>
      <c r="D2302">
        <f>LAI!F2302</f>
        <v>0</v>
      </c>
      <c r="E2302">
        <f>0.5*C2302*(1-EXP(-'user input'!$C$19*D2302))</f>
        <v>0</v>
      </c>
      <c r="F2302">
        <f>E2302*'user input'!$C$21</f>
        <v>0</v>
      </c>
    </row>
    <row r="2303" spans="1:6" x14ac:dyDescent="0.2">
      <c r="A2303" s="1">
        <v>42479</v>
      </c>
      <c r="B2303">
        <v>111</v>
      </c>
      <c r="C2303">
        <f>'weather data'!E2303</f>
        <v>16.506666666666668</v>
      </c>
      <c r="D2303">
        <f>LAI!F2303</f>
        <v>0</v>
      </c>
      <c r="E2303">
        <f>0.5*C2303*(1-EXP(-'user input'!$C$19*D2303))</f>
        <v>0</v>
      </c>
      <c r="F2303">
        <f>E2303*'user input'!$C$21</f>
        <v>0</v>
      </c>
    </row>
    <row r="2304" spans="1:6" x14ac:dyDescent="0.2">
      <c r="A2304" s="1">
        <v>42480</v>
      </c>
      <c r="B2304">
        <v>112</v>
      </c>
      <c r="C2304">
        <f>'weather data'!E2304</f>
        <v>16.88</v>
      </c>
      <c r="D2304">
        <f>LAI!F2304</f>
        <v>0</v>
      </c>
      <c r="E2304">
        <f>0.5*C2304*(1-EXP(-'user input'!$C$19*D2304))</f>
        <v>0</v>
      </c>
      <c r="F2304">
        <f>E2304*'user input'!$C$21</f>
        <v>0</v>
      </c>
    </row>
    <row r="2305" spans="1:6" x14ac:dyDescent="0.2">
      <c r="A2305" s="1">
        <v>42481</v>
      </c>
      <c r="B2305">
        <v>113</v>
      </c>
      <c r="C2305">
        <f>'weather data'!E2305</f>
        <v>17.740000000000009</v>
      </c>
      <c r="D2305">
        <f>LAI!F2305</f>
        <v>0</v>
      </c>
      <c r="E2305">
        <f>0.5*C2305*(1-EXP(-'user input'!$C$19*D2305))</f>
        <v>0</v>
      </c>
      <c r="F2305">
        <f>E2305*'user input'!$C$21</f>
        <v>0</v>
      </c>
    </row>
    <row r="2306" spans="1:6" x14ac:dyDescent="0.2">
      <c r="A2306" s="1">
        <v>42482</v>
      </c>
      <c r="B2306">
        <v>114</v>
      </c>
      <c r="C2306">
        <f>'weather data'!E2306</f>
        <v>19.917777777777768</v>
      </c>
      <c r="D2306">
        <f>LAI!F2306</f>
        <v>0</v>
      </c>
      <c r="E2306">
        <f>0.5*C2306*(1-EXP(-'user input'!$C$19*D2306))</f>
        <v>0</v>
      </c>
      <c r="F2306">
        <f>E2306*'user input'!$C$21</f>
        <v>0</v>
      </c>
    </row>
    <row r="2307" spans="1:6" x14ac:dyDescent="0.2">
      <c r="A2307" s="1">
        <v>42483</v>
      </c>
      <c r="B2307">
        <v>115</v>
      </c>
      <c r="C2307">
        <f>'weather data'!E2307</f>
        <v>19.82888888888888</v>
      </c>
      <c r="D2307">
        <f>LAI!F2307</f>
        <v>0</v>
      </c>
      <c r="E2307">
        <f>0.5*C2307*(1-EXP(-'user input'!$C$19*D2307))</f>
        <v>0</v>
      </c>
      <c r="F2307">
        <f>E2307*'user input'!$C$21</f>
        <v>0</v>
      </c>
    </row>
    <row r="2308" spans="1:6" x14ac:dyDescent="0.2">
      <c r="A2308" s="1">
        <v>42484</v>
      </c>
      <c r="B2308">
        <v>116</v>
      </c>
      <c r="C2308">
        <f>'weather data'!E2308</f>
        <v>19.919999999999998</v>
      </c>
      <c r="D2308">
        <f>LAI!F2308</f>
        <v>0</v>
      </c>
      <c r="E2308">
        <f>0.5*C2308*(1-EXP(-'user input'!$C$19*D2308))</f>
        <v>0</v>
      </c>
      <c r="F2308">
        <f>E2308*'user input'!$C$21</f>
        <v>0</v>
      </c>
    </row>
    <row r="2309" spans="1:6" x14ac:dyDescent="0.2">
      <c r="A2309" s="1">
        <v>42485</v>
      </c>
      <c r="B2309">
        <v>117</v>
      </c>
      <c r="C2309">
        <f>'weather data'!E2309</f>
        <v>18.355555555555554</v>
      </c>
      <c r="D2309">
        <f>LAI!F2309</f>
        <v>0</v>
      </c>
      <c r="E2309">
        <f>0.5*C2309*(1-EXP(-'user input'!$C$19*D2309))</f>
        <v>0</v>
      </c>
      <c r="F2309">
        <f>E2309*'user input'!$C$21</f>
        <v>0</v>
      </c>
    </row>
    <row r="2310" spans="1:6" x14ac:dyDescent="0.2">
      <c r="A2310" s="1">
        <v>42486</v>
      </c>
      <c r="B2310">
        <v>118</v>
      </c>
      <c r="C2310">
        <f>'weather data'!E2310</f>
        <v>18.562222222222225</v>
      </c>
      <c r="D2310">
        <f>LAI!F2310</f>
        <v>0</v>
      </c>
      <c r="E2310">
        <f>0.5*C2310*(1-EXP(-'user input'!$C$19*D2310))</f>
        <v>0</v>
      </c>
      <c r="F2310">
        <f>E2310*'user input'!$C$21</f>
        <v>0</v>
      </c>
    </row>
    <row r="2311" spans="1:6" x14ac:dyDescent="0.2">
      <c r="A2311" s="1">
        <v>42487</v>
      </c>
      <c r="B2311">
        <v>119</v>
      </c>
      <c r="C2311">
        <f>'weather data'!E2311</f>
        <v>18.202222222222229</v>
      </c>
      <c r="D2311">
        <f>LAI!F2311</f>
        <v>0</v>
      </c>
      <c r="E2311">
        <f>0.5*C2311*(1-EXP(-'user input'!$C$19*D2311))</f>
        <v>0</v>
      </c>
      <c r="F2311">
        <f>E2311*'user input'!$C$21</f>
        <v>0</v>
      </c>
    </row>
    <row r="2312" spans="1:6" x14ac:dyDescent="0.2">
      <c r="A2312" s="1">
        <v>42488</v>
      </c>
      <c r="B2312">
        <v>120</v>
      </c>
      <c r="C2312">
        <f>'weather data'!E2312</f>
        <v>17.571111111111119</v>
      </c>
      <c r="D2312">
        <f>LAI!F2312</f>
        <v>0</v>
      </c>
      <c r="E2312">
        <f>0.5*C2312*(1-EXP(-'user input'!$C$19*D2312))</f>
        <v>0</v>
      </c>
      <c r="F2312">
        <f>E2312*'user input'!$C$21</f>
        <v>0</v>
      </c>
    </row>
    <row r="2313" spans="1:6" x14ac:dyDescent="0.2">
      <c r="A2313" s="1">
        <v>42489</v>
      </c>
      <c r="B2313">
        <v>121</v>
      </c>
      <c r="C2313">
        <f>'weather data'!E2313</f>
        <v>19.524444444444448</v>
      </c>
      <c r="D2313">
        <f>LAI!F2313</f>
        <v>0</v>
      </c>
      <c r="E2313">
        <f>0.5*C2313*(1-EXP(-'user input'!$C$19*D2313))</f>
        <v>0</v>
      </c>
      <c r="F2313">
        <f>E2313*'user input'!$C$21</f>
        <v>0</v>
      </c>
    </row>
    <row r="2314" spans="1:6" x14ac:dyDescent="0.2">
      <c r="A2314" s="1">
        <v>42490</v>
      </c>
      <c r="B2314">
        <v>122</v>
      </c>
      <c r="C2314">
        <f>'weather data'!E2314</f>
        <v>19.262222222222217</v>
      </c>
      <c r="D2314">
        <f>LAI!F2314</f>
        <v>9.9072418363816412E-5</v>
      </c>
      <c r="E2314">
        <f>0.5*C2314*(1-EXP(-'user input'!$C$19*D2314))</f>
        <v>6.2019538545255749E-4</v>
      </c>
      <c r="F2314">
        <f>E2314*'user input'!$C$21</f>
        <v>2.4187620032649744E-2</v>
      </c>
    </row>
    <row r="2315" spans="1:6" x14ac:dyDescent="0.2">
      <c r="A2315" s="1">
        <v>42491</v>
      </c>
      <c r="B2315">
        <v>123</v>
      </c>
      <c r="C2315">
        <f>'weather data'!E2315</f>
        <v>21.293333333333326</v>
      </c>
      <c r="D2315">
        <f>LAI!F2315</f>
        <v>9.9072418363816412E-5</v>
      </c>
      <c r="E2315">
        <f>0.5*C2315*(1-EXP(-'user input'!$C$19*D2315))</f>
        <v>6.8559208391859782E-4</v>
      </c>
      <c r="F2315">
        <f>E2315*'user input'!$C$21</f>
        <v>2.6738091272825316E-2</v>
      </c>
    </row>
    <row r="2316" spans="1:6" x14ac:dyDescent="0.2">
      <c r="A2316" s="1">
        <v>42492</v>
      </c>
      <c r="B2316">
        <v>124</v>
      </c>
      <c r="C2316">
        <f>'weather data'!E2316</f>
        <v>20.195555555555561</v>
      </c>
      <c r="D2316">
        <f>LAI!F2316</f>
        <v>3.0277391089163062E-4</v>
      </c>
      <c r="E2316">
        <f>0.5*C2316*(1-EXP(-'user input'!$C$19*D2316))</f>
        <v>1.9870778470137893E-3</v>
      </c>
      <c r="F2316">
        <f>E2316*'user input'!$C$21</f>
        <v>7.7496036033537774E-2</v>
      </c>
    </row>
    <row r="2317" spans="1:6" x14ac:dyDescent="0.2">
      <c r="A2317" s="1">
        <v>42493</v>
      </c>
      <c r="B2317">
        <v>125</v>
      </c>
      <c r="C2317">
        <f>'weather data'!E2317</f>
        <v>19.100000000000005</v>
      </c>
      <c r="D2317">
        <f>LAI!F2317</f>
        <v>8.4565531676614983E-4</v>
      </c>
      <c r="E2317">
        <f>0.5*C2317*(1-EXP(-'user input'!$C$19*D2317))</f>
        <v>5.2479629071751702E-3</v>
      </c>
      <c r="F2317">
        <f>E2317*'user input'!$C$21</f>
        <v>0.20467055337983164</v>
      </c>
    </row>
    <row r="2318" spans="1:6" x14ac:dyDescent="0.2">
      <c r="A2318" s="1">
        <v>42494</v>
      </c>
      <c r="B2318">
        <v>126</v>
      </c>
      <c r="C2318">
        <f>'weather data'!E2318</f>
        <v>20.082222222222224</v>
      </c>
      <c r="D2318">
        <f>LAI!F2318</f>
        <v>1.522453709835924E-3</v>
      </c>
      <c r="E2318">
        <f>0.5*C2318*(1-EXP(-'user input'!$C$19*D2318))</f>
        <v>9.9317174612508635E-3</v>
      </c>
      <c r="F2318">
        <f>E2318*'user input'!$C$21</f>
        <v>0.38733698098878366</v>
      </c>
    </row>
    <row r="2319" spans="1:6" x14ac:dyDescent="0.2">
      <c r="A2319" s="1">
        <v>42495</v>
      </c>
      <c r="B2319">
        <v>127</v>
      </c>
      <c r="C2319">
        <f>'weather data'!E2319</f>
        <v>17.606666666666673</v>
      </c>
      <c r="D2319">
        <f>LAI!F2319</f>
        <v>1.9975467745294113E-3</v>
      </c>
      <c r="E2319">
        <f>0.5*C2319*(1-EXP(-'user input'!$C$19*D2319))</f>
        <v>1.14228782001525E-2</v>
      </c>
      <c r="F2319">
        <f>E2319*'user input'!$C$21</f>
        <v>0.44549224980594748</v>
      </c>
    </row>
    <row r="2320" spans="1:6" x14ac:dyDescent="0.2">
      <c r="A2320" s="1">
        <v>42496</v>
      </c>
      <c r="B2320">
        <v>128</v>
      </c>
      <c r="C2320">
        <f>'weather data'!E2320</f>
        <v>18.580000000000002</v>
      </c>
      <c r="D2320">
        <f>LAI!F2320</f>
        <v>2.7932097023585247E-3</v>
      </c>
      <c r="E2320">
        <f>0.5*C2320*(1-EXP(-'user input'!$C$19*D2320))</f>
        <v>1.6851494487334098E-2</v>
      </c>
      <c r="F2320">
        <f>E2320*'user input'!$C$21</f>
        <v>0.65720828500602979</v>
      </c>
    </row>
    <row r="2321" spans="1:6" x14ac:dyDescent="0.2">
      <c r="A2321" s="1">
        <v>42497</v>
      </c>
      <c r="B2321">
        <v>129</v>
      </c>
      <c r="C2321">
        <f>'weather data'!E2321</f>
        <v>20.891111111111112</v>
      </c>
      <c r="D2321">
        <f>LAI!F2321</f>
        <v>4.6893304353190415E-3</v>
      </c>
      <c r="E2321">
        <f>0.5*C2321*(1-EXP(-'user input'!$C$19*D2321))</f>
        <v>3.1790256034579328E-2</v>
      </c>
      <c r="F2321">
        <f>E2321*'user input'!$C$21</f>
        <v>1.2398199853485938</v>
      </c>
    </row>
    <row r="2322" spans="1:6" x14ac:dyDescent="0.2">
      <c r="A2322" s="1">
        <v>42498</v>
      </c>
      <c r="B2322">
        <v>130</v>
      </c>
      <c r="C2322">
        <f>'weather data'!E2322</f>
        <v>21.2911111111111</v>
      </c>
      <c r="D2322">
        <f>LAI!F2322</f>
        <v>5.8142801831784019E-3</v>
      </c>
      <c r="E2322">
        <f>0.5*C2322*(1-EXP(-'user input'!$C$19*D2322))</f>
        <v>4.0156628348568285E-2</v>
      </c>
      <c r="F2322">
        <f>E2322*'user input'!$C$21</f>
        <v>1.566108505594163</v>
      </c>
    </row>
    <row r="2323" spans="1:6" x14ac:dyDescent="0.2">
      <c r="A2323" s="1">
        <v>42499</v>
      </c>
      <c r="B2323">
        <v>131</v>
      </c>
      <c r="C2323">
        <f>'weather data'!E2323</f>
        <v>17.644444444444446</v>
      </c>
      <c r="D2323">
        <f>LAI!F2323</f>
        <v>7.3431295324799997E-3</v>
      </c>
      <c r="E2323">
        <f>0.5*C2323*(1-EXP(-'user input'!$C$19*D2323))</f>
        <v>4.200843475209054E-2</v>
      </c>
      <c r="F2323">
        <f>E2323*'user input'!$C$21</f>
        <v>1.638328955331531</v>
      </c>
    </row>
    <row r="2324" spans="1:6" x14ac:dyDescent="0.2">
      <c r="A2324" s="1">
        <v>42500</v>
      </c>
      <c r="B2324">
        <v>132</v>
      </c>
      <c r="C2324">
        <f>'weather data'!E2324</f>
        <v>19.975555555555552</v>
      </c>
      <c r="D2324">
        <f>LAI!F2324</f>
        <v>8.5702014382766228E-3</v>
      </c>
      <c r="E2324">
        <f>0.5*C2324*(1-EXP(-'user input'!$C$19*D2324))</f>
        <v>5.548354121402671E-2</v>
      </c>
      <c r="F2324">
        <f>E2324*'user input'!$C$21</f>
        <v>2.1638581073470418</v>
      </c>
    </row>
    <row r="2325" spans="1:6" x14ac:dyDescent="0.2">
      <c r="A2325" s="1">
        <v>42501</v>
      </c>
      <c r="B2325">
        <v>133</v>
      </c>
      <c r="C2325">
        <f>'weather data'!E2325</f>
        <v>19.571111111111115</v>
      </c>
      <c r="D2325">
        <f>LAI!F2325</f>
        <v>8.7308002643606032E-3</v>
      </c>
      <c r="E2325">
        <f>0.5*C2325*(1-EXP(-'user input'!$C$19*D2325))</f>
        <v>5.537594674392253E-2</v>
      </c>
      <c r="F2325">
        <f>E2325*'user input'!$C$21</f>
        <v>2.1596619230129788</v>
      </c>
    </row>
    <row r="2326" spans="1:6" x14ac:dyDescent="0.2">
      <c r="A2326" s="1">
        <v>42502</v>
      </c>
      <c r="B2326">
        <v>134</v>
      </c>
      <c r="C2326">
        <f>'weather data'!E2326</f>
        <v>18.477777777777774</v>
      </c>
      <c r="D2326">
        <f>LAI!F2326</f>
        <v>1.0252089340220196E-2</v>
      </c>
      <c r="E2326">
        <f>0.5*C2326*(1-EXP(-'user input'!$C$19*D2326))</f>
        <v>6.1361963507811368E-2</v>
      </c>
      <c r="F2326">
        <f>E2326*'user input'!$C$21</f>
        <v>2.3931165768046432</v>
      </c>
    </row>
    <row r="2327" spans="1:6" x14ac:dyDescent="0.2">
      <c r="A2327" s="1">
        <v>42503</v>
      </c>
      <c r="B2327">
        <v>135</v>
      </c>
      <c r="C2327">
        <f>'weather data'!E2327</f>
        <v>19.902222222222221</v>
      </c>
      <c r="D2327">
        <f>LAI!F2327</f>
        <v>1.1724987810620728E-2</v>
      </c>
      <c r="E2327">
        <f>0.5*C2327*(1-EXP(-'user input'!$C$19*D2327))</f>
        <v>7.5551562647648438E-2</v>
      </c>
      <c r="F2327">
        <f>E2327*'user input'!$C$21</f>
        <v>2.9465109432582892</v>
      </c>
    </row>
    <row r="2328" spans="1:6" x14ac:dyDescent="0.2">
      <c r="A2328" s="1">
        <v>42504</v>
      </c>
      <c r="B2328">
        <v>136</v>
      </c>
      <c r="C2328">
        <f>'weather data'!E2328</f>
        <v>20.839999999999996</v>
      </c>
      <c r="D2328">
        <f>LAI!F2328</f>
        <v>1.2506567216550508E-2</v>
      </c>
      <c r="E2328">
        <f>0.5*C2328*(1-EXP(-'user input'!$C$19*D2328))</f>
        <v>8.4363607942379418E-2</v>
      </c>
      <c r="F2328">
        <f>E2328*'user input'!$C$21</f>
        <v>3.2901807097527973</v>
      </c>
    </row>
    <row r="2329" spans="1:6" x14ac:dyDescent="0.2">
      <c r="A2329" s="1">
        <v>42505</v>
      </c>
      <c r="B2329">
        <v>137</v>
      </c>
      <c r="C2329">
        <f>'weather data'!E2329</f>
        <v>20.335555555555548</v>
      </c>
      <c r="D2329">
        <f>LAI!F2329</f>
        <v>1.2506567216550508E-2</v>
      </c>
      <c r="E2329">
        <f>0.5*C2329*(1-EXP(-'user input'!$C$19*D2329))</f>
        <v>8.2321537244691184E-2</v>
      </c>
      <c r="F2329">
        <f>E2329*'user input'!$C$21</f>
        <v>3.2105399525429563</v>
      </c>
    </row>
    <row r="2330" spans="1:6" x14ac:dyDescent="0.2">
      <c r="A2330" s="1">
        <v>42506</v>
      </c>
      <c r="B2330">
        <v>138</v>
      </c>
      <c r="C2330">
        <f>'weather data'!E2330</f>
        <v>19.555555555555557</v>
      </c>
      <c r="D2330">
        <f>LAI!F2330</f>
        <v>1.3319589452173569E-2</v>
      </c>
      <c r="E2330">
        <f>0.5*C2330*(1-EXP(-'user input'!$C$19*D2330))</f>
        <v>8.4287992773494205E-2</v>
      </c>
      <c r="F2330">
        <f>E2330*'user input'!$C$21</f>
        <v>3.2872317181662738</v>
      </c>
    </row>
    <row r="2331" spans="1:6" x14ac:dyDescent="0.2">
      <c r="A2331" s="1">
        <v>42507</v>
      </c>
      <c r="B2331">
        <v>139</v>
      </c>
      <c r="C2331">
        <f>'weather data'!E2331</f>
        <v>21.506666666666671</v>
      </c>
      <c r="D2331">
        <f>LAI!F2331</f>
        <v>1.5496704301229325E-2</v>
      </c>
      <c r="E2331">
        <f>0.5*C2331*(1-EXP(-'user input'!$C$19*D2331))</f>
        <v>0.10777309472668889</v>
      </c>
      <c r="F2331">
        <f>E2331*'user input'!$C$21</f>
        <v>4.2031506943408665</v>
      </c>
    </row>
    <row r="2332" spans="1:6" x14ac:dyDescent="0.2">
      <c r="A2332" s="1">
        <v>42508</v>
      </c>
      <c r="B2332">
        <v>140</v>
      </c>
      <c r="C2332">
        <f>'weather data'!E2332</f>
        <v>22.404444444444444</v>
      </c>
      <c r="D2332">
        <f>LAI!F2332</f>
        <v>1.678695907102646E-2</v>
      </c>
      <c r="E2332">
        <f>0.5*C2332*(1-EXP(-'user input'!$C$19*D2332))</f>
        <v>0.1215688529981275</v>
      </c>
      <c r="F2332">
        <f>E2332*'user input'!$C$21</f>
        <v>4.7411852669269727</v>
      </c>
    </row>
    <row r="2333" spans="1:6" x14ac:dyDescent="0.2">
      <c r="A2333" s="1">
        <v>42509</v>
      </c>
      <c r="B2333">
        <v>141</v>
      </c>
      <c r="C2333">
        <f>'weather data'!E2333</f>
        <v>22.526666666666674</v>
      </c>
      <c r="D2333">
        <f>LAI!F2333</f>
        <v>1.9050151439530698E-2</v>
      </c>
      <c r="E2333">
        <f>0.5*C2333*(1-EXP(-'user input'!$C$19*D2333))</f>
        <v>0.13860939044096793</v>
      </c>
      <c r="F2333">
        <f>E2333*'user input'!$C$21</f>
        <v>5.4057662271977494</v>
      </c>
    </row>
    <row r="2334" spans="1:6" x14ac:dyDescent="0.2">
      <c r="A2334" s="1">
        <v>42510</v>
      </c>
      <c r="B2334">
        <v>142</v>
      </c>
      <c r="C2334">
        <f>'weather data'!E2334</f>
        <v>20.664444444444445</v>
      </c>
      <c r="D2334">
        <f>LAI!F2334</f>
        <v>2.209050109090847E-2</v>
      </c>
      <c r="E2334">
        <f>0.5*C2334*(1-EXP(-'user input'!$C$19*D2334))</f>
        <v>0.14729853033937898</v>
      </c>
      <c r="F2334">
        <f>E2334*'user input'!$C$21</f>
        <v>5.7446426832357806</v>
      </c>
    </row>
    <row r="2335" spans="1:6" x14ac:dyDescent="0.2">
      <c r="A2335" s="1">
        <v>42511</v>
      </c>
      <c r="B2335">
        <v>143</v>
      </c>
      <c r="C2335">
        <f>'weather data'!E2335</f>
        <v>19.966666666666665</v>
      </c>
      <c r="D2335">
        <f>LAI!F2335</f>
        <v>2.5781876062792381E-2</v>
      </c>
      <c r="E2335">
        <f>0.5*C2335*(1-EXP(-'user input'!$C$19*D2335))</f>
        <v>0.16590883960722058</v>
      </c>
      <c r="F2335">
        <f>E2335*'user input'!$C$21</f>
        <v>6.4704447446816022</v>
      </c>
    </row>
    <row r="2336" spans="1:6" x14ac:dyDescent="0.2">
      <c r="A2336" s="1">
        <v>42512</v>
      </c>
      <c r="B2336">
        <v>144</v>
      </c>
      <c r="C2336">
        <f>'weather data'!E2336</f>
        <v>21.091111111111118</v>
      </c>
      <c r="D2336">
        <f>LAI!F2336</f>
        <v>3.1190164800356933E-2</v>
      </c>
      <c r="E2336">
        <f>0.5*C2336*(1-EXP(-'user input'!$C$19*D2336))</f>
        <v>0.21164380938893868</v>
      </c>
      <c r="F2336">
        <f>E2336*'user input'!$C$21</f>
        <v>8.2541085661686076</v>
      </c>
    </row>
    <row r="2337" spans="1:6" x14ac:dyDescent="0.2">
      <c r="A2337" s="1">
        <v>42513</v>
      </c>
      <c r="B2337">
        <v>145</v>
      </c>
      <c r="C2337">
        <f>'weather data'!E2337</f>
        <v>21.435555555555553</v>
      </c>
      <c r="D2337">
        <f>LAI!F2337</f>
        <v>3.8271070182043988E-2</v>
      </c>
      <c r="E2337">
        <f>0.5*C2337*(1-EXP(-'user input'!$C$19*D2337))</f>
        <v>0.26332864970120684</v>
      </c>
      <c r="F2337">
        <f>E2337*'user input'!$C$21</f>
        <v>10.269817338347067</v>
      </c>
    </row>
    <row r="2338" spans="1:6" x14ac:dyDescent="0.2">
      <c r="A2338" s="1">
        <v>42514</v>
      </c>
      <c r="B2338">
        <v>146</v>
      </c>
      <c r="C2338">
        <f>'weather data'!E2338</f>
        <v>22.319999999999986</v>
      </c>
      <c r="D2338">
        <f>LAI!F2338</f>
        <v>4.6527259714735238E-2</v>
      </c>
      <c r="E2338">
        <f>0.5*C2338*(1-EXP(-'user input'!$C$19*D2338))</f>
        <v>0.33245621315560708</v>
      </c>
      <c r="F2338">
        <f>E2338*'user input'!$C$21</f>
        <v>12.965792313068675</v>
      </c>
    </row>
    <row r="2339" spans="1:6" x14ac:dyDescent="0.2">
      <c r="A2339" s="1">
        <v>42515</v>
      </c>
      <c r="B2339">
        <v>147</v>
      </c>
      <c r="C2339">
        <f>'weather data'!E2339</f>
        <v>21.086666666666666</v>
      </c>
      <c r="D2339">
        <f>LAI!F2339</f>
        <v>5.8217673458197429E-2</v>
      </c>
      <c r="E2339">
        <f>0.5*C2339*(1-EXP(-'user input'!$C$19*D2339))</f>
        <v>0.39152083407206589</v>
      </c>
      <c r="F2339">
        <f>E2339*'user input'!$C$21</f>
        <v>15.26931252881057</v>
      </c>
    </row>
    <row r="2340" spans="1:6" x14ac:dyDescent="0.2">
      <c r="A2340" s="1">
        <v>42516</v>
      </c>
      <c r="B2340">
        <v>148</v>
      </c>
      <c r="C2340">
        <f>'weather data'!E2340</f>
        <v>19.986666666666665</v>
      </c>
      <c r="D2340">
        <f>LAI!F2340</f>
        <v>7.1793768099163741E-2</v>
      </c>
      <c r="E2340">
        <f>0.5*C2340*(1-EXP(-'user input'!$C$19*D2340))</f>
        <v>0.45563439683124812</v>
      </c>
      <c r="F2340">
        <f>E2340*'user input'!$C$21</f>
        <v>17.769741476418677</v>
      </c>
    </row>
    <row r="2341" spans="1:6" x14ac:dyDescent="0.2">
      <c r="A2341" s="1">
        <v>42517</v>
      </c>
      <c r="B2341">
        <v>149</v>
      </c>
      <c r="C2341">
        <f>'weather data'!E2341</f>
        <v>20.988888888888894</v>
      </c>
      <c r="D2341">
        <f>LAI!F2341</f>
        <v>8.9123038178220815E-2</v>
      </c>
      <c r="E2341">
        <f>0.5*C2341*(1-EXP(-'user input'!$C$19*D2341))</f>
        <v>0.59066900664831146</v>
      </c>
      <c r="F2341">
        <f>E2341*'user input'!$C$21</f>
        <v>23.036091259284145</v>
      </c>
    </row>
    <row r="2342" spans="1:6" x14ac:dyDescent="0.2">
      <c r="A2342" s="1">
        <v>42518</v>
      </c>
      <c r="B2342">
        <v>150</v>
      </c>
      <c r="C2342">
        <f>'weather data'!E2342</f>
        <v>21.175555555555562</v>
      </c>
      <c r="D2342">
        <f>LAI!F2342</f>
        <v>0.10874082822688376</v>
      </c>
      <c r="E2342">
        <f>0.5*C2342*(1-EXP(-'user input'!$C$19*D2342))</f>
        <v>0.72252505097959185</v>
      </c>
      <c r="F2342">
        <f>E2342*'user input'!$C$21</f>
        <v>28.178476988204082</v>
      </c>
    </row>
    <row r="2343" spans="1:6" x14ac:dyDescent="0.2">
      <c r="A2343" s="1">
        <v>42519</v>
      </c>
      <c r="B2343">
        <v>151</v>
      </c>
      <c r="C2343">
        <f>'weather data'!E2343</f>
        <v>21.524444444444448</v>
      </c>
      <c r="D2343">
        <f>LAI!F2343</f>
        <v>0.13300181575941292</v>
      </c>
      <c r="E2343">
        <f>0.5*C2343*(1-EXP(-'user input'!$C$19*D2343))</f>
        <v>0.89132375520586671</v>
      </c>
      <c r="F2343">
        <f>E2343*'user input'!$C$21</f>
        <v>34.761626453028803</v>
      </c>
    </row>
    <row r="2344" spans="1:6" x14ac:dyDescent="0.2">
      <c r="A2344" s="1">
        <v>42520</v>
      </c>
      <c r="B2344">
        <v>152</v>
      </c>
      <c r="C2344">
        <f>'weather data'!E2344</f>
        <v>22.935555555555549</v>
      </c>
      <c r="D2344">
        <f>LAI!F2344</f>
        <v>0.15536961983781436</v>
      </c>
      <c r="E2344">
        <f>0.5*C2344*(1-EXP(-'user input'!$C$19*D2344))</f>
        <v>1.1015735906573962</v>
      </c>
      <c r="F2344">
        <f>E2344*'user input'!$C$21</f>
        <v>42.961370035638453</v>
      </c>
    </row>
    <row r="2345" spans="1:6" x14ac:dyDescent="0.2">
      <c r="A2345" s="1">
        <v>42521</v>
      </c>
      <c r="B2345">
        <v>153</v>
      </c>
      <c r="C2345">
        <f>'weather data'!E2345</f>
        <v>22.097777777777782</v>
      </c>
      <c r="D2345">
        <f>LAI!F2345</f>
        <v>0.18467189533329598</v>
      </c>
      <c r="E2345">
        <f>0.5*C2345*(1-EXP(-'user input'!$C$19*D2345))</f>
        <v>1.2497634780746751</v>
      </c>
      <c r="F2345">
        <f>E2345*'user input'!$C$21</f>
        <v>48.740775644912333</v>
      </c>
    </row>
    <row r="2346" spans="1:6" x14ac:dyDescent="0.2">
      <c r="A2346" s="1">
        <v>42522</v>
      </c>
      <c r="B2346">
        <v>154</v>
      </c>
      <c r="C2346">
        <f>'weather data'!E2346</f>
        <v>23.393333333333331</v>
      </c>
      <c r="D2346">
        <f>LAI!F2346</f>
        <v>0.22021530753341667</v>
      </c>
      <c r="E2346">
        <f>0.5*C2346*(1-EXP(-'user input'!$C$19*D2346))</f>
        <v>1.5599519722670114</v>
      </c>
      <c r="F2346">
        <f>E2346*'user input'!$C$21</f>
        <v>60.838126918413444</v>
      </c>
    </row>
    <row r="2347" spans="1:6" x14ac:dyDescent="0.2">
      <c r="A2347" s="1">
        <v>42523</v>
      </c>
      <c r="B2347">
        <v>155</v>
      </c>
      <c r="C2347">
        <f>'weather data'!E2347</f>
        <v>22.279999999999998</v>
      </c>
      <c r="D2347">
        <f>LAI!F2347</f>
        <v>0.24889593837740703</v>
      </c>
      <c r="E2347">
        <f>0.5*C2347*(1-EXP(-'user input'!$C$19*D2347))</f>
        <v>1.664022853646415</v>
      </c>
      <c r="F2347">
        <f>E2347*'user input'!$C$21</f>
        <v>64.896891292210185</v>
      </c>
    </row>
    <row r="2348" spans="1:6" x14ac:dyDescent="0.2">
      <c r="A2348" s="1">
        <v>42524</v>
      </c>
      <c r="B2348">
        <v>156</v>
      </c>
      <c r="C2348">
        <f>'weather data'!E2348</f>
        <v>21.313333333333325</v>
      </c>
      <c r="D2348">
        <f>LAI!F2348</f>
        <v>0.27505630837548151</v>
      </c>
      <c r="E2348">
        <f>0.5*C2348*(1-EXP(-'user input'!$C$19*D2348))</f>
        <v>1.7446631840823115</v>
      </c>
      <c r="F2348">
        <f>E2348*'user input'!$C$21</f>
        <v>68.041864179210151</v>
      </c>
    </row>
    <row r="2349" spans="1:6" x14ac:dyDescent="0.2">
      <c r="A2349" s="1">
        <v>42525</v>
      </c>
      <c r="B2349">
        <v>157</v>
      </c>
      <c r="C2349">
        <f>'weather data'!E2349</f>
        <v>22.002222222222226</v>
      </c>
      <c r="D2349">
        <f>LAI!F2349</f>
        <v>0.31902155912702318</v>
      </c>
      <c r="E2349">
        <f>0.5*C2349*(1-EXP(-'user input'!$C$19*D2349))</f>
        <v>2.0602467932216086</v>
      </c>
      <c r="F2349">
        <f>E2349*'user input'!$C$21</f>
        <v>80.349624935642737</v>
      </c>
    </row>
    <row r="2350" spans="1:6" x14ac:dyDescent="0.2">
      <c r="A2350" s="1">
        <v>42526</v>
      </c>
      <c r="B2350">
        <v>158</v>
      </c>
      <c r="C2350">
        <f>'weather data'!E2350</f>
        <v>22.086666666666659</v>
      </c>
      <c r="D2350">
        <f>LAI!F2350</f>
        <v>0.36838549215847494</v>
      </c>
      <c r="E2350">
        <f>0.5*C2350*(1-EXP(-'user input'!$C$19*D2350))</f>
        <v>2.3515654470822569</v>
      </c>
      <c r="F2350">
        <f>E2350*'user input'!$C$21</f>
        <v>91.711052436208021</v>
      </c>
    </row>
    <row r="2351" spans="1:6" x14ac:dyDescent="0.2">
      <c r="A2351" s="1">
        <v>42527</v>
      </c>
      <c r="B2351">
        <v>159</v>
      </c>
      <c r="C2351">
        <f>'weather data'!E2351</f>
        <v>23.813333333333325</v>
      </c>
      <c r="D2351">
        <f>LAI!F2351</f>
        <v>0.4174041992808053</v>
      </c>
      <c r="E2351">
        <f>0.5*C2351*(1-EXP(-'user input'!$C$19*D2351))</f>
        <v>2.829285458581225</v>
      </c>
      <c r="F2351">
        <f>E2351*'user input'!$C$21</f>
        <v>110.34213288466778</v>
      </c>
    </row>
    <row r="2352" spans="1:6" x14ac:dyDescent="0.2">
      <c r="A2352" s="1">
        <v>42528</v>
      </c>
      <c r="B2352">
        <v>160</v>
      </c>
      <c r="C2352">
        <f>'weather data'!E2352</f>
        <v>21.76222222222221</v>
      </c>
      <c r="D2352">
        <f>LAI!F2352</f>
        <v>0.45487946425609643</v>
      </c>
      <c r="E2352">
        <f>0.5*C2352*(1-EXP(-'user input'!$C$19*D2352))</f>
        <v>2.785219628480387</v>
      </c>
      <c r="F2352">
        <f>E2352*'user input'!$C$21</f>
        <v>108.62356551073509</v>
      </c>
    </row>
    <row r="2353" spans="1:6" x14ac:dyDescent="0.2">
      <c r="A2353" s="1">
        <v>42529</v>
      </c>
      <c r="B2353">
        <v>161</v>
      </c>
      <c r="C2353">
        <f>'weather data'!E2353</f>
        <v>23.468888888888888</v>
      </c>
      <c r="D2353">
        <f>LAI!F2353</f>
        <v>0.48289958047010556</v>
      </c>
      <c r="E2353">
        <f>0.5*C2353*(1-EXP(-'user input'!$C$19*D2353))</f>
        <v>3.1612212913227276</v>
      </c>
      <c r="F2353">
        <f>E2353*'user input'!$C$21</f>
        <v>123.28763036158638</v>
      </c>
    </row>
    <row r="2354" spans="1:6" x14ac:dyDescent="0.2">
      <c r="A2354" s="1">
        <v>42530</v>
      </c>
      <c r="B2354">
        <v>162</v>
      </c>
      <c r="C2354">
        <f>'weather data'!E2354</f>
        <v>20.566666666666666</v>
      </c>
      <c r="D2354">
        <f>LAI!F2354</f>
        <v>0.52457242671939874</v>
      </c>
      <c r="E2354">
        <f>0.5*C2354*(1-EXP(-'user input'!$C$19*D2354))</f>
        <v>2.9710733859148566</v>
      </c>
      <c r="F2354">
        <f>E2354*'user input'!$C$21</f>
        <v>115.87186205067941</v>
      </c>
    </row>
    <row r="2355" spans="1:6" x14ac:dyDescent="0.2">
      <c r="A2355" s="1">
        <v>42531</v>
      </c>
      <c r="B2355">
        <v>163</v>
      </c>
      <c r="C2355">
        <f>'weather data'!E2355</f>
        <v>21.984444444444435</v>
      </c>
      <c r="D2355">
        <f>LAI!F2355</f>
        <v>0.58210129455386583</v>
      </c>
      <c r="E2355">
        <f>0.5*C2355*(1-EXP(-'user input'!$C$19*D2355))</f>
        <v>3.4627713746817439</v>
      </c>
      <c r="F2355">
        <f>E2355*'user input'!$C$21</f>
        <v>135.04808361258802</v>
      </c>
    </row>
    <row r="2356" spans="1:6" x14ac:dyDescent="0.2">
      <c r="A2356" s="1">
        <v>42532</v>
      </c>
      <c r="B2356">
        <v>164</v>
      </c>
      <c r="C2356">
        <f>'weather data'!E2356</f>
        <v>23.388888888888882</v>
      </c>
      <c r="D2356">
        <f>LAI!F2356</f>
        <v>0.68154143525176536</v>
      </c>
      <c r="E2356">
        <f>0.5*C2356*(1-EXP(-'user input'!$C$19*D2356))</f>
        <v>4.1853718981816694</v>
      </c>
      <c r="F2356">
        <f>E2356*'user input'!$C$21</f>
        <v>163.22950402908512</v>
      </c>
    </row>
    <row r="2357" spans="1:6" x14ac:dyDescent="0.2">
      <c r="A2357" s="1">
        <v>42533</v>
      </c>
      <c r="B2357">
        <v>165</v>
      </c>
      <c r="C2357">
        <f>'weather data'!E2357</f>
        <v>21.657777777777785</v>
      </c>
      <c r="D2357">
        <f>LAI!F2357</f>
        <v>0.78646215574442901</v>
      </c>
      <c r="E2357">
        <f>0.5*C2357*(1-EXP(-'user input'!$C$19*D2357))</f>
        <v>4.3339901534455363</v>
      </c>
      <c r="F2357">
        <f>E2357*'user input'!$C$21</f>
        <v>169.02561598437592</v>
      </c>
    </row>
    <row r="2358" spans="1:6" x14ac:dyDescent="0.2">
      <c r="A2358" s="1">
        <v>42534</v>
      </c>
      <c r="B2358">
        <v>166</v>
      </c>
      <c r="C2358">
        <f>'weather data'!E2358</f>
        <v>20.875555555555547</v>
      </c>
      <c r="D2358">
        <f>LAI!F2358</f>
        <v>0.85073122045578242</v>
      </c>
      <c r="E2358">
        <f>0.5*C2358*(1-EXP(-'user input'!$C$19*D2358))</f>
        <v>4.4335946758301192</v>
      </c>
      <c r="F2358">
        <f>E2358*'user input'!$C$21</f>
        <v>172.91019235737465</v>
      </c>
    </row>
    <row r="2359" spans="1:6" x14ac:dyDescent="0.2">
      <c r="A2359" s="1">
        <v>42535</v>
      </c>
      <c r="B2359">
        <v>167</v>
      </c>
      <c r="C2359">
        <f>'weather data'!E2359</f>
        <v>21.88</v>
      </c>
      <c r="D2359">
        <f>LAI!F2359</f>
        <v>0.94315307745655941</v>
      </c>
      <c r="E2359">
        <f>0.5*C2359*(1-EXP(-'user input'!$C$19*D2359))</f>
        <v>5.0138408996047792</v>
      </c>
      <c r="F2359">
        <f>E2359*'user input'!$C$21</f>
        <v>195.53979508458639</v>
      </c>
    </row>
    <row r="2360" spans="1:6" x14ac:dyDescent="0.2">
      <c r="A2360" s="1">
        <v>42536</v>
      </c>
      <c r="B2360">
        <v>168</v>
      </c>
      <c r="C2360">
        <f>'weather data'!E2360</f>
        <v>23.36666666666666</v>
      </c>
      <c r="D2360">
        <f>LAI!F2360</f>
        <v>1.0669284382123436</v>
      </c>
      <c r="E2360">
        <f>0.5*C2360*(1-EXP(-'user input'!$C$19*D2360))</f>
        <v>5.8437477067273509</v>
      </c>
      <c r="F2360">
        <f>E2360*'user input'!$C$21</f>
        <v>227.90616056236669</v>
      </c>
    </row>
    <row r="2361" spans="1:6" x14ac:dyDescent="0.2">
      <c r="A2361" s="1">
        <v>42537</v>
      </c>
      <c r="B2361">
        <v>169</v>
      </c>
      <c r="C2361">
        <f>'weather data'!E2361</f>
        <v>21.613333333333337</v>
      </c>
      <c r="D2361">
        <f>LAI!F2361</f>
        <v>1.2048087542005372</v>
      </c>
      <c r="E2361">
        <f>0.5*C2361*(1-EXP(-'user input'!$C$19*D2361))</f>
        <v>5.8682857026235586</v>
      </c>
      <c r="F2361">
        <f>E2361*'user input'!$C$21</f>
        <v>228.8631424023188</v>
      </c>
    </row>
    <row r="2362" spans="1:6" x14ac:dyDescent="0.2">
      <c r="A2362" s="1">
        <v>42538</v>
      </c>
      <c r="B2362">
        <v>170</v>
      </c>
      <c r="C2362">
        <f>'weather data'!E2362</f>
        <v>23.11333333333333</v>
      </c>
      <c r="D2362">
        <f>LAI!F2362</f>
        <v>1.2840128940952329</v>
      </c>
      <c r="E2362">
        <f>0.5*C2362*(1-EXP(-'user input'!$C$19*D2362))</f>
        <v>6.5405598922641532</v>
      </c>
      <c r="F2362">
        <f>E2362*'user input'!$C$21</f>
        <v>255.08183579830197</v>
      </c>
    </row>
    <row r="2363" spans="1:6" x14ac:dyDescent="0.2">
      <c r="A2363" s="1">
        <v>42539</v>
      </c>
      <c r="B2363">
        <v>171</v>
      </c>
      <c r="C2363">
        <f>'weather data'!E2363</f>
        <v>23.373333333333328</v>
      </c>
      <c r="D2363">
        <f>LAI!F2363</f>
        <v>1.401474216030133</v>
      </c>
      <c r="E2363">
        <f>0.5*C2363*(1-EXP(-'user input'!$C$19*D2363))</f>
        <v>6.9870057984908458</v>
      </c>
      <c r="F2363">
        <f>E2363*'user input'!$C$21</f>
        <v>272.493226141143</v>
      </c>
    </row>
    <row r="2364" spans="1:6" x14ac:dyDescent="0.2">
      <c r="A2364" s="1">
        <v>42540</v>
      </c>
      <c r="B2364">
        <v>172</v>
      </c>
      <c r="C2364">
        <f>'weather data'!E2364</f>
        <v>22.980000000000004</v>
      </c>
      <c r="D2364">
        <f>LAI!F2364</f>
        <v>1.5222966314753412</v>
      </c>
      <c r="E2364">
        <f>0.5*C2364*(1-EXP(-'user input'!$C$19*D2364))</f>
        <v>7.2184178676961981</v>
      </c>
      <c r="F2364">
        <f>E2364*'user input'!$C$21</f>
        <v>281.51829684015172</v>
      </c>
    </row>
    <row r="2365" spans="1:6" x14ac:dyDescent="0.2">
      <c r="A2365" s="1">
        <v>42541</v>
      </c>
      <c r="B2365">
        <v>173</v>
      </c>
      <c r="C2365">
        <f>'weather data'!E2365</f>
        <v>22.42444444444444</v>
      </c>
      <c r="D2365">
        <f>LAI!F2365</f>
        <v>1.6759324212527502</v>
      </c>
      <c r="E2365">
        <f>0.5*C2365*(1-EXP(-'user input'!$C$19*D2365))</f>
        <v>7.4400599678321937</v>
      </c>
      <c r="F2365">
        <f>E2365*'user input'!$C$21</f>
        <v>290.16233874545554</v>
      </c>
    </row>
    <row r="2366" spans="1:6" x14ac:dyDescent="0.2">
      <c r="A2366" s="1">
        <v>42542</v>
      </c>
      <c r="B2366">
        <v>174</v>
      </c>
      <c r="C2366">
        <f>'weather data'!E2366</f>
        <v>22.90444444444444</v>
      </c>
      <c r="D2366">
        <f>LAI!F2366</f>
        <v>1.7813254680770301</v>
      </c>
      <c r="E2366">
        <f>0.5*C2366*(1-EXP(-'user input'!$C$19*D2366))</f>
        <v>7.8544233378423938</v>
      </c>
      <c r="F2366">
        <f>E2366*'user input'!$C$21</f>
        <v>306.32251017585338</v>
      </c>
    </row>
    <row r="2367" spans="1:6" x14ac:dyDescent="0.2">
      <c r="A2367" s="1">
        <v>42543</v>
      </c>
      <c r="B2367">
        <v>175</v>
      </c>
      <c r="C2367">
        <f>'weather data'!E2367</f>
        <v>23.068888888888885</v>
      </c>
      <c r="D2367">
        <f>LAI!F2367</f>
        <v>1.8833395977476266</v>
      </c>
      <c r="E2367">
        <f>0.5*C2367*(1-EXP(-'user input'!$C$19*D2367))</f>
        <v>8.1433015915270257</v>
      </c>
      <c r="F2367">
        <f>E2367*'user input'!$C$21</f>
        <v>317.58876206955398</v>
      </c>
    </row>
    <row r="2368" spans="1:6" x14ac:dyDescent="0.2">
      <c r="A2368" s="1">
        <v>42544</v>
      </c>
      <c r="B2368">
        <v>176</v>
      </c>
      <c r="C2368">
        <f>'weather data'!E2368</f>
        <v>23.437777777777779</v>
      </c>
      <c r="D2368">
        <f>LAI!F2368</f>
        <v>1.9861205722371829</v>
      </c>
      <c r="E2368">
        <f>0.5*C2368*(1-EXP(-'user input'!$C$19*D2368))</f>
        <v>8.4961757225933656</v>
      </c>
      <c r="F2368">
        <f>E2368*'user input'!$C$21</f>
        <v>331.35085318114125</v>
      </c>
    </row>
    <row r="2369" spans="1:6" x14ac:dyDescent="0.2">
      <c r="A2369" s="1">
        <v>42545</v>
      </c>
      <c r="B2369">
        <v>177</v>
      </c>
      <c r="C2369">
        <f>'weather data'!E2369</f>
        <v>24.166666666666679</v>
      </c>
      <c r="D2369">
        <f>LAI!F2369</f>
        <v>2.0523631217814042</v>
      </c>
      <c r="E2369">
        <f>0.5*C2369*(1-EXP(-'user input'!$C$19*D2369))</f>
        <v>8.9004386405902043</v>
      </c>
      <c r="F2369">
        <f>E2369*'user input'!$C$21</f>
        <v>347.11710698301795</v>
      </c>
    </row>
    <row r="2370" spans="1:6" x14ac:dyDescent="0.2">
      <c r="A2370" s="1">
        <v>42546</v>
      </c>
      <c r="B2370">
        <v>178</v>
      </c>
      <c r="C2370">
        <f>'weather data'!E2370</f>
        <v>24.371111111111112</v>
      </c>
      <c r="D2370">
        <f>LAI!F2370</f>
        <v>2.1431751252156497</v>
      </c>
      <c r="E2370">
        <f>0.5*C2370*(1-EXP(-'user input'!$C$19*D2370))</f>
        <v>9.1597194614279918</v>
      </c>
      <c r="F2370">
        <f>E2370*'user input'!$C$21</f>
        <v>357.22905899569167</v>
      </c>
    </row>
    <row r="2371" spans="1:6" x14ac:dyDescent="0.2">
      <c r="A2371" s="1">
        <v>42547</v>
      </c>
      <c r="B2371">
        <v>179</v>
      </c>
      <c r="C2371">
        <f>'weather data'!E2371</f>
        <v>22.171111111111113</v>
      </c>
      <c r="D2371">
        <f>LAI!F2371</f>
        <v>2.2565991727729284</v>
      </c>
      <c r="E2371">
        <f>0.5*C2371*(1-EXP(-'user input'!$C$19*D2371))</f>
        <v>8.5285074810035439</v>
      </c>
      <c r="F2371">
        <f>E2371*'user input'!$C$21</f>
        <v>332.61179175913821</v>
      </c>
    </row>
    <row r="2372" spans="1:6" x14ac:dyDescent="0.2">
      <c r="A2372" s="1">
        <v>42548</v>
      </c>
      <c r="B2372">
        <v>180</v>
      </c>
      <c r="C2372">
        <f>'weather data'!E2372</f>
        <v>22.31111111111111</v>
      </c>
      <c r="D2372">
        <f>LAI!F2372</f>
        <v>2.3468052643320525</v>
      </c>
      <c r="E2372">
        <f>0.5*C2372*(1-EXP(-'user input'!$C$19*D2372))</f>
        <v>8.7288994823211468</v>
      </c>
      <c r="F2372">
        <f>E2372*'user input'!$C$21</f>
        <v>340.42707981052473</v>
      </c>
    </row>
    <row r="2373" spans="1:6" x14ac:dyDescent="0.2">
      <c r="A2373" s="1">
        <v>42549</v>
      </c>
      <c r="B2373">
        <v>181</v>
      </c>
      <c r="C2373">
        <f>'weather data'!E2373</f>
        <v>25.455555555555552</v>
      </c>
      <c r="D2373">
        <f>LAI!F2373</f>
        <v>2.4106971498389038</v>
      </c>
      <c r="E2373">
        <f>0.5*C2373*(1-EXP(-'user input'!$C$19*D2373))</f>
        <v>10.071744703588928</v>
      </c>
      <c r="F2373">
        <f>E2373*'user input'!$C$21</f>
        <v>392.79804343996818</v>
      </c>
    </row>
    <row r="2374" spans="1:6" x14ac:dyDescent="0.2">
      <c r="A2374" s="1">
        <v>42550</v>
      </c>
      <c r="B2374">
        <v>182</v>
      </c>
      <c r="C2374">
        <f>'weather data'!E2374</f>
        <v>25.371111111111109</v>
      </c>
      <c r="D2374">
        <f>LAI!F2374</f>
        <v>2.4517941826262208</v>
      </c>
      <c r="E2374">
        <f>0.5*C2374*(1-EXP(-'user input'!$C$19*D2374))</f>
        <v>10.108112691045257</v>
      </c>
      <c r="F2374">
        <f>E2374*'user input'!$C$21</f>
        <v>394.21639495076499</v>
      </c>
    </row>
    <row r="2375" spans="1:6" x14ac:dyDescent="0.2">
      <c r="A2375" s="1">
        <v>42551</v>
      </c>
      <c r="B2375">
        <v>183</v>
      </c>
      <c r="C2375">
        <f>'weather data'!E2375</f>
        <v>23.746666666666659</v>
      </c>
      <c r="D2375">
        <f>LAI!F2375</f>
        <v>2.4941159587131638</v>
      </c>
      <c r="E2375">
        <f>0.5*C2375*(1-EXP(-'user input'!$C$19*D2375))</f>
        <v>9.5263762850095244</v>
      </c>
      <c r="F2375">
        <f>E2375*'user input'!$C$21</f>
        <v>371.52867511537147</v>
      </c>
    </row>
    <row r="2376" spans="1:6" x14ac:dyDescent="0.2">
      <c r="A2376" s="1">
        <v>42552</v>
      </c>
      <c r="B2376">
        <v>184</v>
      </c>
      <c r="C2376">
        <f>'weather data'!E2376</f>
        <v>22.228888888888893</v>
      </c>
      <c r="D2376">
        <f>LAI!F2376</f>
        <v>2.5353549222062366</v>
      </c>
      <c r="E2376">
        <f>0.5*C2376*(1-EXP(-'user input'!$C$19*D2376))</f>
        <v>8.9756017960598342</v>
      </c>
      <c r="F2376">
        <f>E2376*'user input'!$C$21</f>
        <v>350.04847004633353</v>
      </c>
    </row>
    <row r="2377" spans="1:6" x14ac:dyDescent="0.2">
      <c r="A2377" s="1">
        <v>42553</v>
      </c>
      <c r="B2377">
        <v>185</v>
      </c>
      <c r="C2377">
        <f>'weather data'!E2377</f>
        <v>22.664444444444449</v>
      </c>
      <c r="D2377">
        <f>LAI!F2377</f>
        <v>2.567967544941308</v>
      </c>
      <c r="E2377">
        <f>0.5*C2377*(1-EXP(-'user input'!$C$19*D2377))</f>
        <v>9.197212313592134</v>
      </c>
      <c r="F2377">
        <f>E2377*'user input'!$C$21</f>
        <v>358.69128023009324</v>
      </c>
    </row>
    <row r="2378" spans="1:6" x14ac:dyDescent="0.2">
      <c r="A2378" s="1">
        <v>42554</v>
      </c>
      <c r="B2378">
        <v>186</v>
      </c>
      <c r="C2378">
        <f>'weather data'!E2378</f>
        <v>24.606666666666666</v>
      </c>
      <c r="D2378">
        <f>LAI!F2378</f>
        <v>2.5955620281938563</v>
      </c>
      <c r="E2378">
        <f>0.5*C2378*(1-EXP(-'user input'!$C$19*D2378))</f>
        <v>10.026569849054834</v>
      </c>
      <c r="F2378">
        <f>E2378*'user input'!$C$21</f>
        <v>391.03622411313853</v>
      </c>
    </row>
    <row r="2379" spans="1:6" x14ac:dyDescent="0.2">
      <c r="A2379" s="1">
        <v>42555</v>
      </c>
      <c r="B2379">
        <v>187</v>
      </c>
      <c r="C2379">
        <f>'weather data'!E2379</f>
        <v>23.071111111111112</v>
      </c>
      <c r="D2379">
        <f>LAI!F2379</f>
        <v>2.6265980862883938</v>
      </c>
      <c r="E2379">
        <f>0.5*C2379*(1-EXP(-'user input'!$C$19*D2379))</f>
        <v>9.4435037762982166</v>
      </c>
      <c r="F2379">
        <f>E2379*'user input'!$C$21</f>
        <v>368.29664727563045</v>
      </c>
    </row>
    <row r="2380" spans="1:6" x14ac:dyDescent="0.2">
      <c r="A2380" s="1">
        <v>42556</v>
      </c>
      <c r="B2380">
        <v>188</v>
      </c>
      <c r="C2380">
        <f>'weather data'!E2380</f>
        <v>23.468888888888888</v>
      </c>
      <c r="D2380">
        <f>LAI!F2380</f>
        <v>2.65341456651915</v>
      </c>
      <c r="E2380">
        <f>0.5*C2380*(1-EXP(-'user input'!$C$19*D2380))</f>
        <v>9.6430960595545656</v>
      </c>
      <c r="F2380">
        <f>E2380*'user input'!$C$21</f>
        <v>376.08074632262804</v>
      </c>
    </row>
    <row r="2381" spans="1:6" x14ac:dyDescent="0.2">
      <c r="A2381" s="1">
        <v>42557</v>
      </c>
      <c r="B2381">
        <v>189</v>
      </c>
      <c r="C2381">
        <f>'weather data'!E2381</f>
        <v>22.911111111111111</v>
      </c>
      <c r="D2381">
        <f>LAI!F2381</f>
        <v>2.6921186277274951</v>
      </c>
      <c r="E2381">
        <f>0.5*C2381*(1-EXP(-'user input'!$C$19*D2381))</f>
        <v>9.4646338389782247</v>
      </c>
      <c r="F2381">
        <f>E2381*'user input'!$C$21</f>
        <v>369.12071972015076</v>
      </c>
    </row>
    <row r="2382" spans="1:6" x14ac:dyDescent="0.2">
      <c r="A2382" s="1">
        <v>42558</v>
      </c>
      <c r="B2382">
        <v>190</v>
      </c>
      <c r="C2382">
        <f>'weather data'!E2382</f>
        <v>22.133333333333333</v>
      </c>
      <c r="D2382">
        <f>LAI!F2382</f>
        <v>2.7214917065153332</v>
      </c>
      <c r="E2382">
        <f>0.5*C2382*(1-EXP(-'user input'!$C$19*D2382))</f>
        <v>9.1797049504269239</v>
      </c>
      <c r="F2382">
        <f>E2382*'user input'!$C$21</f>
        <v>358.00849306665003</v>
      </c>
    </row>
    <row r="2383" spans="1:6" x14ac:dyDescent="0.2">
      <c r="A2383" s="1">
        <v>42559</v>
      </c>
      <c r="B2383">
        <v>191</v>
      </c>
      <c r="C2383">
        <f>'weather data'!E2383</f>
        <v>23.479999999999993</v>
      </c>
      <c r="D2383">
        <f>LAI!F2383</f>
        <v>2.7473193221038934</v>
      </c>
      <c r="E2383">
        <f>0.5*C2383*(1-EXP(-'user input'!$C$19*D2383))</f>
        <v>9.771554283334364</v>
      </c>
      <c r="F2383">
        <f>E2383*'user input'!$C$21</f>
        <v>381.09061705004018</v>
      </c>
    </row>
    <row r="2384" spans="1:6" x14ac:dyDescent="0.2">
      <c r="A2384" s="1">
        <v>42560</v>
      </c>
      <c r="B2384">
        <v>192</v>
      </c>
      <c r="C2384">
        <f>'weather data'!E2384</f>
        <v>23.637777777777778</v>
      </c>
      <c r="D2384">
        <f>LAI!F2384</f>
        <v>2.7647849449802027</v>
      </c>
      <c r="E2384">
        <f>0.5*C2384*(1-EXP(-'user input'!$C$19*D2384))</f>
        <v>9.8595859027260282</v>
      </c>
      <c r="F2384">
        <f>E2384*'user input'!$C$21</f>
        <v>384.5238502063151</v>
      </c>
    </row>
    <row r="2385" spans="1:6" x14ac:dyDescent="0.2">
      <c r="A2385" s="1">
        <v>42561</v>
      </c>
      <c r="B2385">
        <v>193</v>
      </c>
      <c r="C2385">
        <f>'weather data'!E2385</f>
        <v>22.757777777777775</v>
      </c>
      <c r="D2385">
        <f>LAI!F2385</f>
        <v>2.7792363563436338</v>
      </c>
      <c r="E2385">
        <f>0.5*C2385*(1-EXP(-'user input'!$C$19*D2385))</f>
        <v>9.5101643093766111</v>
      </c>
      <c r="F2385">
        <f>E2385*'user input'!$C$21</f>
        <v>370.89640806568781</v>
      </c>
    </row>
    <row r="2386" spans="1:6" x14ac:dyDescent="0.2">
      <c r="A2386" s="1">
        <v>42562</v>
      </c>
      <c r="B2386">
        <v>194</v>
      </c>
      <c r="C2386">
        <f>'weather data'!E2386</f>
        <v>22.486666666666665</v>
      </c>
      <c r="D2386">
        <f>LAI!F2386</f>
        <v>2.7915334373984364</v>
      </c>
      <c r="E2386">
        <f>0.5*C2386*(1-EXP(-'user input'!$C$19*D2386))</f>
        <v>9.4115708187040052</v>
      </c>
      <c r="F2386">
        <f>E2386*'user input'!$C$21</f>
        <v>367.05126192945619</v>
      </c>
    </row>
    <row r="2387" spans="1:6" x14ac:dyDescent="0.2">
      <c r="A2387" s="1">
        <v>42563</v>
      </c>
      <c r="B2387">
        <v>195</v>
      </c>
      <c r="C2387">
        <f>'weather data'!E2387</f>
        <v>23.213333333333335</v>
      </c>
      <c r="D2387">
        <f>LAI!F2387</f>
        <v>2.805683891865959</v>
      </c>
      <c r="E2387">
        <f>0.5*C2387*(1-EXP(-'user input'!$C$19*D2387))</f>
        <v>9.7330228199832831</v>
      </c>
      <c r="F2387">
        <f>E2387*'user input'!$C$21</f>
        <v>379.58788997934806</v>
      </c>
    </row>
    <row r="2388" spans="1:6" x14ac:dyDescent="0.2">
      <c r="A2388" s="1">
        <v>42564</v>
      </c>
      <c r="B2388">
        <v>196</v>
      </c>
      <c r="C2388">
        <f>'weather data'!E2388</f>
        <v>23.213333333333335</v>
      </c>
      <c r="D2388">
        <f>LAI!F2388</f>
        <v>2.8154736066364436</v>
      </c>
      <c r="E2388">
        <f>0.5*C2388*(1-EXP(-'user input'!$C$19*D2388))</f>
        <v>9.7449075519824877</v>
      </c>
      <c r="F2388">
        <f>E2388*'user input'!$C$21</f>
        <v>380.05139452731703</v>
      </c>
    </row>
    <row r="2389" spans="1:6" x14ac:dyDescent="0.2">
      <c r="A2389" s="1">
        <v>42565</v>
      </c>
      <c r="B2389">
        <v>197</v>
      </c>
      <c r="C2389">
        <f>'weather data'!E2389</f>
        <v>24.926666666666669</v>
      </c>
      <c r="D2389">
        <f>LAI!F2389</f>
        <v>2.8237652484651106</v>
      </c>
      <c r="E2389">
        <f>0.5*C2389*(1-EXP(-'user input'!$C$19*D2389))</f>
        <v>10.474906900202749</v>
      </c>
      <c r="F2389">
        <f>E2389*'user input'!$C$21</f>
        <v>408.52136910790722</v>
      </c>
    </row>
    <row r="2390" spans="1:6" x14ac:dyDescent="0.2">
      <c r="A2390" s="1">
        <v>42566</v>
      </c>
      <c r="B2390">
        <v>198</v>
      </c>
      <c r="C2390">
        <f>'weather data'!E2390</f>
        <v>22.395555555555553</v>
      </c>
      <c r="D2390">
        <f>LAI!F2390</f>
        <v>2.8295445603827418</v>
      </c>
      <c r="E2390">
        <f>0.5*C2390*(1-EXP(-'user input'!$C$19*D2390))</f>
        <v>9.4179592976147308</v>
      </c>
      <c r="F2390">
        <f>E2390*'user input'!$C$21</f>
        <v>367.30041260697448</v>
      </c>
    </row>
    <row r="2391" spans="1:6" x14ac:dyDescent="0.2">
      <c r="A2391" s="1">
        <v>42567</v>
      </c>
      <c r="B2391">
        <v>199</v>
      </c>
      <c r="C2391">
        <f>'weather data'!E2391</f>
        <v>20.604444444444447</v>
      </c>
      <c r="D2391">
        <f>LAI!F2391</f>
        <v>2.8324208598843303</v>
      </c>
      <c r="E2391">
        <f>0.5*C2391*(1-EXP(-'user input'!$C$19*D2391))</f>
        <v>8.6678053906770849</v>
      </c>
      <c r="F2391">
        <f>E2391*'user input'!$C$21</f>
        <v>338.04441023640629</v>
      </c>
    </row>
    <row r="2392" spans="1:6" x14ac:dyDescent="0.2">
      <c r="A2392" s="1">
        <v>42568</v>
      </c>
      <c r="B2392">
        <v>200</v>
      </c>
      <c r="C2392">
        <f>'weather data'!E2392</f>
        <v>19.959999999999997</v>
      </c>
      <c r="D2392">
        <f>LAI!F2392</f>
        <v>2.8360842539486906</v>
      </c>
      <c r="E2392">
        <f>0.5*C2392*(1-EXP(-'user input'!$C$19*D2392))</f>
        <v>8.4004684349617822</v>
      </c>
      <c r="F2392">
        <f>E2392*'user input'!$C$21</f>
        <v>327.61826896350948</v>
      </c>
    </row>
    <row r="2393" spans="1:6" x14ac:dyDescent="0.2">
      <c r="A2393" s="1">
        <v>42569</v>
      </c>
      <c r="B2393">
        <v>201</v>
      </c>
      <c r="C2393">
        <f>'weather data'!E2393</f>
        <v>21.315555555555552</v>
      </c>
      <c r="D2393">
        <f>LAI!F2393</f>
        <v>2.8404046528810749</v>
      </c>
      <c r="E2393">
        <f>0.5*C2393*(1-EXP(-'user input'!$C$19*D2393))</f>
        <v>8.9757048657704903</v>
      </c>
      <c r="F2393">
        <f>E2393*'user input'!$C$21</f>
        <v>350.05248976504913</v>
      </c>
    </row>
    <row r="2394" spans="1:6" x14ac:dyDescent="0.2">
      <c r="A2394" s="1">
        <v>42570</v>
      </c>
      <c r="B2394">
        <v>202</v>
      </c>
      <c r="C2394">
        <f>'weather data'!E2394</f>
        <v>21.008888888888883</v>
      </c>
      <c r="D2394">
        <f>LAI!F2394</f>
        <v>2.8442430232200202</v>
      </c>
      <c r="E2394">
        <f>0.5*C2394*(1-EXP(-'user input'!$C$19*D2394))</f>
        <v>8.850702636293251</v>
      </c>
      <c r="F2394">
        <f>E2394*'user input'!$C$21</f>
        <v>345.17740281543678</v>
      </c>
    </row>
    <row r="2395" spans="1:6" x14ac:dyDescent="0.2">
      <c r="A2395" s="1">
        <v>42571</v>
      </c>
      <c r="B2395">
        <v>203</v>
      </c>
      <c r="C2395">
        <f>'weather data'!E2395</f>
        <v>22.064444444444447</v>
      </c>
      <c r="D2395">
        <f>LAI!F2395</f>
        <v>2.8476262029532218</v>
      </c>
      <c r="E2395">
        <f>0.5*C2395*(1-EXP(-'user input'!$C$19*D2395))</f>
        <v>9.2992062073977966</v>
      </c>
      <c r="F2395">
        <f>E2395*'user input'!$C$21</f>
        <v>362.66904208851406</v>
      </c>
    </row>
    <row r="2396" spans="1:6" x14ac:dyDescent="0.2">
      <c r="A2396" s="1">
        <v>42572</v>
      </c>
      <c r="B2396">
        <v>204</v>
      </c>
      <c r="C2396">
        <f>'weather data'!E2396</f>
        <v>21.877777777777776</v>
      </c>
      <c r="D2396">
        <f>LAI!F2396</f>
        <v>2.8506984727500235</v>
      </c>
      <c r="E2396">
        <f>0.5*C2396*(1-EXP(-'user input'!$C$19*D2396))</f>
        <v>9.2239623924820915</v>
      </c>
      <c r="F2396">
        <f>E2396*'user input'!$C$21</f>
        <v>359.73453330680155</v>
      </c>
    </row>
    <row r="2397" spans="1:6" x14ac:dyDescent="0.2">
      <c r="A2397" s="1">
        <v>42573</v>
      </c>
      <c r="B2397">
        <v>205</v>
      </c>
      <c r="C2397">
        <f>'weather data'!E2397</f>
        <v>23.522222222222226</v>
      </c>
      <c r="D2397">
        <f>LAI!F2397</f>
        <v>2.8533883812275169</v>
      </c>
      <c r="E2397">
        <f>0.5*C2397*(1-EXP(-'user input'!$C$19*D2397))</f>
        <v>9.920503073148911</v>
      </c>
      <c r="F2397">
        <f>E2397*'user input'!$C$21</f>
        <v>386.89961985280752</v>
      </c>
    </row>
    <row r="2398" spans="1:6" x14ac:dyDescent="0.2">
      <c r="A2398" s="1">
        <v>42574</v>
      </c>
      <c r="B2398">
        <v>206</v>
      </c>
      <c r="C2398">
        <f>'weather data'!E2398</f>
        <v>21.008888888888887</v>
      </c>
      <c r="D2398">
        <f>LAI!F2398</f>
        <v>2.8556390633103059</v>
      </c>
      <c r="E2398">
        <f>0.5*C2398*(1-EXP(-'user input'!$C$19*D2398))</f>
        <v>8.8629073479019329</v>
      </c>
      <c r="F2398">
        <f>E2398*'user input'!$C$21</f>
        <v>345.65338656817539</v>
      </c>
    </row>
    <row r="2399" spans="1:6" x14ac:dyDescent="0.2">
      <c r="A2399" s="1">
        <v>42575</v>
      </c>
      <c r="B2399">
        <v>207</v>
      </c>
      <c r="C2399">
        <f>'weather data'!E2399</f>
        <v>20.684444444444445</v>
      </c>
      <c r="D2399">
        <f>LAI!F2399</f>
        <v>2.8574560113911751</v>
      </c>
      <c r="E2399">
        <f>0.5*C2399*(1-EXP(-'user input'!$C$19*D2399))</f>
        <v>8.727943325001247</v>
      </c>
      <c r="F2399">
        <f>E2399*'user input'!$C$21</f>
        <v>340.38978967504863</v>
      </c>
    </row>
    <row r="2400" spans="1:6" x14ac:dyDescent="0.2">
      <c r="A2400" s="1">
        <v>42576</v>
      </c>
      <c r="B2400">
        <v>208</v>
      </c>
      <c r="C2400">
        <f>'weather data'!E2400</f>
        <v>21.106666666666669</v>
      </c>
      <c r="D2400">
        <f>LAI!F2400</f>
        <v>2.8589041822566075</v>
      </c>
      <c r="E2400">
        <f>0.5*C2400*(1-EXP(-'user input'!$C$19*D2400))</f>
        <v>8.9076527167695314</v>
      </c>
      <c r="F2400">
        <f>E2400*'user input'!$C$21</f>
        <v>347.39845595401175</v>
      </c>
    </row>
    <row r="2401" spans="1:6" x14ac:dyDescent="0.2">
      <c r="A2401" s="1">
        <v>42577</v>
      </c>
      <c r="B2401">
        <v>209</v>
      </c>
      <c r="C2401">
        <f>'weather data'!E2401</f>
        <v>20.757777777777772</v>
      </c>
      <c r="D2401">
        <f>LAI!F2401</f>
        <v>2.8600229216277366</v>
      </c>
      <c r="E2401">
        <f>0.5*C2401*(1-EXP(-'user input'!$C$19*D2401))</f>
        <v>8.7615875346471555</v>
      </c>
      <c r="F2401">
        <f>E2401*'user input'!$C$21</f>
        <v>341.70191385123906</v>
      </c>
    </row>
    <row r="2402" spans="1:6" x14ac:dyDescent="0.2">
      <c r="A2402" s="1">
        <v>42578</v>
      </c>
      <c r="B2402">
        <v>210</v>
      </c>
      <c r="C2402">
        <f>'weather data'!E2402</f>
        <v>21.942222222222224</v>
      </c>
      <c r="D2402">
        <f>LAI!F2402</f>
        <v>2.8610058782684078</v>
      </c>
      <c r="E2402">
        <f>0.5*C2402*(1-EXP(-'user input'!$C$19*D2402))</f>
        <v>9.262618044110047</v>
      </c>
      <c r="F2402">
        <f>E2402*'user input'!$C$21</f>
        <v>361.24210372029182</v>
      </c>
    </row>
    <row r="2403" spans="1:6" x14ac:dyDescent="0.2">
      <c r="A2403" s="1">
        <v>42579</v>
      </c>
      <c r="B2403">
        <v>211</v>
      </c>
      <c r="C2403">
        <f>'weather data'!E2403</f>
        <v>21.31999999999999</v>
      </c>
      <c r="D2403">
        <f>LAI!F2403</f>
        <v>2.861847399172138</v>
      </c>
      <c r="E2403">
        <f>0.5*C2403*(1-EXP(-'user input'!$C$19*D2403))</f>
        <v>9.0008629641466413</v>
      </c>
      <c r="F2403">
        <f>E2403*'user input'!$C$21</f>
        <v>351.03365560171903</v>
      </c>
    </row>
    <row r="2404" spans="1:6" x14ac:dyDescent="0.2">
      <c r="A2404" s="1">
        <v>42580</v>
      </c>
      <c r="B2404">
        <v>212</v>
      </c>
      <c r="C2404">
        <f>'weather data'!E2404</f>
        <v>21.69777777777778</v>
      </c>
      <c r="D2404">
        <f>LAI!F2404</f>
        <v>2.8624212220226686</v>
      </c>
      <c r="E2404">
        <f>0.5*C2404*(1-EXP(-'user input'!$C$19*D2404))</f>
        <v>9.1609826079294514</v>
      </c>
      <c r="F2404">
        <f>E2404*'user input'!$C$21</f>
        <v>357.27832170924859</v>
      </c>
    </row>
    <row r="2405" spans="1:6" x14ac:dyDescent="0.2">
      <c r="A2405" s="1">
        <v>42581</v>
      </c>
      <c r="B2405">
        <v>213</v>
      </c>
      <c r="C2405">
        <f>'weather data'!E2405</f>
        <v>21.27999999999999</v>
      </c>
      <c r="D2405">
        <f>LAI!F2405</f>
        <v>2.8628373970269636</v>
      </c>
      <c r="E2405">
        <f>0.5*C2405*(1-EXP(-'user input'!$C$19*D2405))</f>
        <v>8.9850410980766551</v>
      </c>
      <c r="F2405">
        <f>E2405*'user input'!$C$21</f>
        <v>350.41660282498952</v>
      </c>
    </row>
    <row r="2406" spans="1:6" x14ac:dyDescent="0.2">
      <c r="A2406" s="1">
        <v>42582</v>
      </c>
      <c r="B2406">
        <v>214</v>
      </c>
      <c r="C2406">
        <f>'weather data'!E2406</f>
        <v>22.631111111111117</v>
      </c>
      <c r="D2406">
        <f>LAI!F2406</f>
        <v>2.8632292558262926</v>
      </c>
      <c r="E2406">
        <f>0.5*C2406*(1-EXP(-'user input'!$C$19*D2406))</f>
        <v>9.5559681364158262</v>
      </c>
      <c r="F2406">
        <f>E2406*'user input'!$C$21</f>
        <v>372.68275732021721</v>
      </c>
    </row>
    <row r="2407" spans="1:6" x14ac:dyDescent="0.2">
      <c r="A2407" s="1">
        <v>42583</v>
      </c>
      <c r="B2407">
        <v>215</v>
      </c>
      <c r="C2407">
        <f>'weather data'!E2407</f>
        <v>21.322222222222216</v>
      </c>
      <c r="D2407">
        <f>LAI!F2407</f>
        <v>2.8636586079034525</v>
      </c>
      <c r="E2407">
        <f>0.5*C2407*(1-EXP(-'user input'!$C$19*D2407))</f>
        <v>9.0037534728064088</v>
      </c>
      <c r="F2407">
        <f>E2407*'user input'!$C$21</f>
        <v>351.14638543944994</v>
      </c>
    </row>
    <row r="2408" spans="1:6" x14ac:dyDescent="0.2">
      <c r="A2408" s="1">
        <v>42584</v>
      </c>
      <c r="B2408">
        <v>216</v>
      </c>
      <c r="C2408">
        <f>'weather data'!E2408</f>
        <v>19.813333333333325</v>
      </c>
      <c r="D2408">
        <f>LAI!F2408</f>
        <v>2.8640346593419359</v>
      </c>
      <c r="E2408">
        <f>0.5*C2408*(1-EXP(-'user input'!$C$19*D2408))</f>
        <v>8.3669700380586782</v>
      </c>
      <c r="F2408">
        <f>E2408*'user input'!$C$21</f>
        <v>326.31183148428846</v>
      </c>
    </row>
    <row r="2409" spans="1:6" x14ac:dyDescent="0.2">
      <c r="A2409" s="1">
        <v>42585</v>
      </c>
      <c r="B2409">
        <v>217</v>
      </c>
      <c r="C2409">
        <f>'weather data'!E2409</f>
        <v>19.868888888888886</v>
      </c>
      <c r="D2409">
        <f>LAI!F2409</f>
        <v>2.8644019948336115</v>
      </c>
      <c r="E2409">
        <f>0.5*C2409*(1-EXP(-'user input'!$C$19*D2409))</f>
        <v>8.3907992038171084</v>
      </c>
      <c r="F2409">
        <f>E2409*'user input'!$C$21</f>
        <v>327.24116894886726</v>
      </c>
    </row>
    <row r="2410" spans="1:6" x14ac:dyDescent="0.2">
      <c r="A2410" s="1">
        <v>42586</v>
      </c>
      <c r="B2410">
        <v>218</v>
      </c>
      <c r="C2410">
        <f>'weather data'!E2410</f>
        <v>20.691111111111113</v>
      </c>
      <c r="D2410">
        <f>LAI!F2410</f>
        <v>2.8647248672876438</v>
      </c>
      <c r="E2410">
        <f>0.5*C2410*(1-EXP(-'user input'!$C$19*D2410))</f>
        <v>8.7383679079512042</v>
      </c>
      <c r="F2410">
        <f>E2410*'user input'!$C$21</f>
        <v>340.79634841009698</v>
      </c>
    </row>
    <row r="2411" spans="1:6" x14ac:dyDescent="0.2">
      <c r="A2411" s="1">
        <v>42587</v>
      </c>
      <c r="B2411">
        <v>219</v>
      </c>
      <c r="C2411">
        <f>'weather data'!E2411</f>
        <v>21.084444444444447</v>
      </c>
      <c r="D2411">
        <f>LAI!F2411</f>
        <v>2.864987466479672</v>
      </c>
      <c r="E2411">
        <f>0.5*C2411*(1-EXP(-'user input'!$C$19*D2411))</f>
        <v>8.9047618227582213</v>
      </c>
      <c r="F2411">
        <f>E2411*'user input'!$C$21</f>
        <v>347.28571108757063</v>
      </c>
    </row>
    <row r="2412" spans="1:6" x14ac:dyDescent="0.2">
      <c r="A2412" s="1">
        <v>42588</v>
      </c>
      <c r="B2412">
        <v>220</v>
      </c>
      <c r="C2412">
        <f>'weather data'!E2412</f>
        <v>20.291111111111103</v>
      </c>
      <c r="D2412">
        <f>LAI!F2412</f>
        <v>2.8651372452374373</v>
      </c>
      <c r="E2412">
        <f>0.5*C2412*(1-EXP(-'user input'!$C$19*D2412))</f>
        <v>8.5698604309184923</v>
      </c>
      <c r="F2412">
        <f>E2412*'user input'!$C$21</f>
        <v>334.22455680582118</v>
      </c>
    </row>
    <row r="2413" spans="1:6" x14ac:dyDescent="0.2">
      <c r="A2413" s="1">
        <v>42589</v>
      </c>
      <c r="B2413">
        <v>221</v>
      </c>
      <c r="C2413">
        <f>'weather data'!E2413</f>
        <v>20.335555555555551</v>
      </c>
      <c r="D2413">
        <f>LAI!F2413</f>
        <v>2.8652730411509992</v>
      </c>
      <c r="E2413">
        <f>0.5*C2413*(1-EXP(-'user input'!$C$19*D2413))</f>
        <v>8.5887707250489225</v>
      </c>
      <c r="F2413">
        <f>E2413*'user input'!$C$21</f>
        <v>334.96205827690795</v>
      </c>
    </row>
    <row r="2414" spans="1:6" x14ac:dyDescent="0.2">
      <c r="A2414" s="1">
        <v>42590</v>
      </c>
      <c r="B2414">
        <v>222</v>
      </c>
      <c r="C2414">
        <f>'weather data'!E2414</f>
        <v>20.286666666666665</v>
      </c>
      <c r="D2414">
        <f>LAI!F2414</f>
        <v>2.8653773511737581</v>
      </c>
      <c r="E2414">
        <f>0.5*C2414*(1-EXP(-'user input'!$C$19*D2414))</f>
        <v>8.5682291834870679</v>
      </c>
      <c r="F2414">
        <f>E2414*'user input'!$C$21</f>
        <v>334.16093815599567</v>
      </c>
    </row>
    <row r="2415" spans="1:6" x14ac:dyDescent="0.2">
      <c r="A2415" s="1">
        <v>42591</v>
      </c>
      <c r="B2415">
        <v>223</v>
      </c>
      <c r="C2415">
        <f>'weather data'!E2415</f>
        <v>19.695555555555561</v>
      </c>
      <c r="D2415">
        <f>LAI!F2415</f>
        <v>2.8654872484836296</v>
      </c>
      <c r="E2415">
        <f>0.5*C2415*(1-EXP(-'user input'!$C$19*D2415))</f>
        <v>8.3186781067364546</v>
      </c>
      <c r="F2415">
        <f>E2415*'user input'!$C$21</f>
        <v>324.42844616272174</v>
      </c>
    </row>
    <row r="2416" spans="1:6" x14ac:dyDescent="0.2">
      <c r="A2416" s="1">
        <v>42592</v>
      </c>
      <c r="B2416">
        <v>224</v>
      </c>
      <c r="C2416">
        <f>'weather data'!E2416</f>
        <v>19.864444444444441</v>
      </c>
      <c r="D2416">
        <f>LAI!F2416</f>
        <v>2.8656071340004017</v>
      </c>
      <c r="E2416">
        <f>0.5*C2416*(1-EXP(-'user input'!$C$19*D2416))</f>
        <v>8.3901307333851083</v>
      </c>
      <c r="F2416">
        <f>E2416*'user input'!$C$21</f>
        <v>327.21509860201922</v>
      </c>
    </row>
    <row r="2417" spans="1:6" x14ac:dyDescent="0.2">
      <c r="A2417" s="1">
        <v>42593</v>
      </c>
      <c r="B2417">
        <v>225</v>
      </c>
      <c r="C2417">
        <f>'weather data'!E2417</f>
        <v>19.211111111111116</v>
      </c>
      <c r="D2417">
        <f>LAI!F2417</f>
        <v>2.865714716617509</v>
      </c>
      <c r="E2417">
        <f>0.5*C2417*(1-EXP(-'user input'!$C$19*D2417))</f>
        <v>8.1142871018762293</v>
      </c>
      <c r="F2417">
        <f>E2417*'user input'!$C$21</f>
        <v>316.45719697317293</v>
      </c>
    </row>
    <row r="2418" spans="1:6" x14ac:dyDescent="0.2">
      <c r="A2418" s="1">
        <v>42594</v>
      </c>
      <c r="B2418">
        <v>226</v>
      </c>
      <c r="C2418">
        <f>'weather data'!E2418</f>
        <v>19.971111111111117</v>
      </c>
      <c r="D2418">
        <f>LAI!F2418</f>
        <v>2.865814772856583</v>
      </c>
      <c r="E2418">
        <f>0.5*C2418*(1-EXP(-'user input'!$C$19*D2418))</f>
        <v>8.4353926868778188</v>
      </c>
      <c r="F2418">
        <f>E2418*'user input'!$C$21</f>
        <v>328.98031478823492</v>
      </c>
    </row>
    <row r="2419" spans="1:6" x14ac:dyDescent="0.2">
      <c r="A2419" s="1">
        <v>42595</v>
      </c>
      <c r="B2419">
        <v>227</v>
      </c>
      <c r="C2419">
        <f>'weather data'!E2419</f>
        <v>19.895555555555553</v>
      </c>
      <c r="D2419">
        <f>LAI!F2419</f>
        <v>2.8658852100695218</v>
      </c>
      <c r="E2419">
        <f>0.5*C2419*(1-EXP(-'user input'!$C$19*D2419))</f>
        <v>8.4035502539092253</v>
      </c>
      <c r="F2419">
        <f>E2419*'user input'!$C$21</f>
        <v>327.73845990245979</v>
      </c>
    </row>
    <row r="2420" spans="1:6" x14ac:dyDescent="0.2">
      <c r="A2420" s="1">
        <v>42596</v>
      </c>
      <c r="B2420">
        <v>228</v>
      </c>
      <c r="C2420">
        <f>'weather data'!E2420</f>
        <v>19.86</v>
      </c>
      <c r="D2420">
        <f>LAI!F2420</f>
        <v>2.8659380892767095</v>
      </c>
      <c r="E2420">
        <f>0.5*C2420*(1-EXP(-'user input'!$C$19*D2420))</f>
        <v>8.3885851629278445</v>
      </c>
      <c r="F2420">
        <f>E2420*'user input'!$C$21</f>
        <v>327.15482135418591</v>
      </c>
    </row>
    <row r="2421" spans="1:6" x14ac:dyDescent="0.2">
      <c r="A2421" s="1">
        <v>42597</v>
      </c>
      <c r="B2421">
        <v>229</v>
      </c>
      <c r="C2421">
        <f>'weather data'!E2421</f>
        <v>19.584444444444447</v>
      </c>
      <c r="D2421">
        <f>LAI!F2421</f>
        <v>2.8659859699996764</v>
      </c>
      <c r="E2421">
        <f>0.5*C2421*(1-EXP(-'user input'!$C$19*D2421))</f>
        <v>8.2722416713833802</v>
      </c>
      <c r="F2421">
        <f>E2421*'user input'!$C$21</f>
        <v>322.61742518395181</v>
      </c>
    </row>
    <row r="2422" spans="1:6" x14ac:dyDescent="0.2">
      <c r="A2422" s="1">
        <v>42598</v>
      </c>
      <c r="B2422">
        <v>230</v>
      </c>
      <c r="C2422">
        <f>'weather data'!E2422</f>
        <v>18.513333333333335</v>
      </c>
      <c r="D2422">
        <f>LAI!F2422</f>
        <v>2.8660272178784005</v>
      </c>
      <c r="E2422">
        <f>0.5*C2422*(1-EXP(-'user input'!$C$19*D2422))</f>
        <v>7.8198553123617591</v>
      </c>
      <c r="F2422">
        <f>E2422*'user input'!$C$21</f>
        <v>304.97435718210863</v>
      </c>
    </row>
    <row r="2423" spans="1:6" x14ac:dyDescent="0.2">
      <c r="A2423" s="1">
        <v>42599</v>
      </c>
      <c r="B2423">
        <v>231</v>
      </c>
      <c r="C2423">
        <f>'weather data'!E2423</f>
        <v>18.513333333333335</v>
      </c>
      <c r="D2423">
        <f>LAI!F2423</f>
        <v>2.8660642515367103</v>
      </c>
      <c r="E2423">
        <f>0.5*C2423*(1-EXP(-'user input'!$C$19*D2423))</f>
        <v>7.8198898986929661</v>
      </c>
      <c r="F2423">
        <f>E2423*'user input'!$C$21</f>
        <v>304.97570604902569</v>
      </c>
    </row>
    <row r="2424" spans="1:6" x14ac:dyDescent="0.2">
      <c r="A2424" s="1">
        <v>42600</v>
      </c>
      <c r="B2424">
        <v>232</v>
      </c>
      <c r="C2424">
        <f>'weather data'!E2424</f>
        <v>20.05777777777778</v>
      </c>
      <c r="D2424">
        <f>LAI!F2424</f>
        <v>2.8541666666666705</v>
      </c>
      <c r="E2424">
        <f>0.5*C2424*(1-EXP(-'user input'!$C$19*D2424))</f>
        <v>8.4601665616593937</v>
      </c>
      <c r="F2424">
        <f>E2424*'user input'!$C$21</f>
        <v>329.94649590471636</v>
      </c>
    </row>
    <row r="2425" spans="1:6" x14ac:dyDescent="0.2">
      <c r="A2425" s="1">
        <v>42601</v>
      </c>
      <c r="B2425">
        <v>233</v>
      </c>
      <c r="C2425">
        <f>'weather data'!E2425</f>
        <v>18.846666666666664</v>
      </c>
      <c r="D2425">
        <f>LAI!F2425</f>
        <v>2.5000000000000018</v>
      </c>
      <c r="E2425">
        <f>0.5*C2425*(1-EXP(-'user input'!$C$19*D2425))</f>
        <v>7.5677689806591459</v>
      </c>
      <c r="F2425">
        <f>E2425*'user input'!$C$21</f>
        <v>295.1429902457067</v>
      </c>
    </row>
    <row r="2426" spans="1:6" x14ac:dyDescent="0.2">
      <c r="A2426" s="1">
        <v>42602</v>
      </c>
      <c r="B2426">
        <v>234</v>
      </c>
      <c r="C2426">
        <f>'weather data'!E2426</f>
        <v>16.657777777777788</v>
      </c>
      <c r="D2426">
        <f>LAI!F2426</f>
        <v>2.2083333333333326</v>
      </c>
      <c r="E2426">
        <f>0.5*C2426*(1-EXP(-'user input'!$C$19*D2426))</f>
        <v>6.3464786556452086</v>
      </c>
      <c r="F2426">
        <f>E2426*'user input'!$C$21</f>
        <v>247.51266757016313</v>
      </c>
    </row>
    <row r="2427" spans="1:6" x14ac:dyDescent="0.2">
      <c r="A2427" s="1">
        <v>42603</v>
      </c>
      <c r="B2427">
        <v>235</v>
      </c>
      <c r="C2427">
        <f>'weather data'!E2427</f>
        <v>17.182222222222222</v>
      </c>
      <c r="D2427">
        <f>LAI!F2427</f>
        <v>2.0069444444444398</v>
      </c>
      <c r="E2427">
        <f>0.5*C2427*(1-EXP(-'user input'!$C$19*D2427))</f>
        <v>6.2603049768377703</v>
      </c>
      <c r="F2427">
        <f>E2427*'user input'!$C$21</f>
        <v>244.15189409667303</v>
      </c>
    </row>
    <row r="2428" spans="1:6" x14ac:dyDescent="0.2">
      <c r="A2428" s="1">
        <v>42604</v>
      </c>
      <c r="B2428">
        <v>236</v>
      </c>
      <c r="C2428">
        <f>'weather data'!E2428</f>
        <v>17.515555555555554</v>
      </c>
      <c r="D2428">
        <f>LAI!F2428</f>
        <v>1.8541666666666639</v>
      </c>
      <c r="E2428">
        <f>0.5*C2428*(1-EXP(-'user input'!$C$19*D2428))</f>
        <v>6.1336885864614006</v>
      </c>
      <c r="F2428">
        <f>E2428*'user input'!$C$21</f>
        <v>239.21385487199461</v>
      </c>
    </row>
    <row r="2429" spans="1:6" x14ac:dyDescent="0.2">
      <c r="A2429" s="1">
        <v>42605</v>
      </c>
      <c r="B2429">
        <v>237</v>
      </c>
      <c r="C2429">
        <f>'weather data'!E2429</f>
        <v>17.753333333333327</v>
      </c>
      <c r="D2429">
        <f>LAI!F2429</f>
        <v>1.6666666666666643</v>
      </c>
      <c r="E2429">
        <f>0.5*C2429*(1-EXP(-'user input'!$C$19*D2429))</f>
        <v>5.8722219098024784</v>
      </c>
      <c r="F2429">
        <f>E2429*'user input'!$C$21</f>
        <v>229.01665448229664</v>
      </c>
    </row>
    <row r="2430" spans="1:6" x14ac:dyDescent="0.2">
      <c r="A2430" s="1">
        <v>42606</v>
      </c>
      <c r="B2430">
        <v>238</v>
      </c>
      <c r="C2430">
        <f>'weather data'!E2430</f>
        <v>17.366666666666664</v>
      </c>
      <c r="D2430">
        <f>LAI!F2430</f>
        <v>1.4027777777777719</v>
      </c>
      <c r="E2430">
        <f>0.5*C2430*(1-EXP(-'user input'!$C$19*D2430))</f>
        <v>5.1943864991089654</v>
      </c>
      <c r="F2430">
        <f>E2430*'user input'!$C$21</f>
        <v>202.58107346524966</v>
      </c>
    </row>
    <row r="2431" spans="1:6" x14ac:dyDescent="0.2">
      <c r="A2431" s="1">
        <v>42607</v>
      </c>
      <c r="B2431">
        <v>239</v>
      </c>
      <c r="C2431">
        <f>'weather data'!E2431</f>
        <v>17.388888888888886</v>
      </c>
      <c r="D2431">
        <f>LAI!F2431</f>
        <v>1.0763888888888797</v>
      </c>
      <c r="E2431">
        <f>0.5*C2431*(1-EXP(-'user input'!$C$19*D2431))</f>
        <v>4.3754117048849883</v>
      </c>
      <c r="F2431">
        <f>E2431*'user input'!$C$21</f>
        <v>170.64105649051456</v>
      </c>
    </row>
    <row r="2432" spans="1:6" x14ac:dyDescent="0.2">
      <c r="A2432" s="1">
        <v>42608</v>
      </c>
      <c r="B2432">
        <v>240</v>
      </c>
      <c r="C2432">
        <f>'weather data'!E2432</f>
        <v>18.282222222222217</v>
      </c>
      <c r="D2432">
        <f>LAI!F2432</f>
        <v>0.84027777777777057</v>
      </c>
      <c r="E2432">
        <f>0.5*C2432*(1-EXP(-'user input'!$C$19*D2432))</f>
        <v>3.8469666650814132</v>
      </c>
      <c r="F2432">
        <f>E2432*'user input'!$C$21</f>
        <v>150.03169993817511</v>
      </c>
    </row>
    <row r="2433" spans="1:6" x14ac:dyDescent="0.2">
      <c r="A2433" s="1">
        <v>42609</v>
      </c>
      <c r="B2433">
        <v>241</v>
      </c>
      <c r="C2433">
        <f>'weather data'!E2433</f>
        <v>19.166666666666675</v>
      </c>
      <c r="D2433">
        <f>LAI!F2433</f>
        <v>0.62499999999999467</v>
      </c>
      <c r="E2433">
        <f>0.5*C2433*(1-EXP(-'user input'!$C$19*D2433))</f>
        <v>3.1994570640915549</v>
      </c>
      <c r="F2433">
        <f>E2433*'user input'!$C$21</f>
        <v>124.77882549957064</v>
      </c>
    </row>
    <row r="2434" spans="1:6" x14ac:dyDescent="0.2">
      <c r="A2434" s="1">
        <v>42610</v>
      </c>
      <c r="B2434">
        <v>242</v>
      </c>
      <c r="C2434">
        <f>'weather data'!E2434</f>
        <v>17.893333333333331</v>
      </c>
      <c r="D2434">
        <f>LAI!F2434</f>
        <v>0.40277777777777202</v>
      </c>
      <c r="E2434">
        <f>0.5*C2434*(1-EXP(-'user input'!$C$19*D2434))</f>
        <v>2.0607692468960184</v>
      </c>
      <c r="F2434">
        <f>E2434*'user input'!$C$21</f>
        <v>80.370000628944723</v>
      </c>
    </row>
    <row r="2435" spans="1:6" x14ac:dyDescent="0.2">
      <c r="A2435" s="1">
        <v>42611</v>
      </c>
      <c r="B2435">
        <v>243</v>
      </c>
      <c r="C2435">
        <f>'weather data'!E2435</f>
        <v>18.108888888888892</v>
      </c>
      <c r="D2435">
        <f>LAI!F2435</f>
        <v>9.7222222222216353E-2</v>
      </c>
      <c r="E2435">
        <f>0.5*C2435*(1-EXP(-'user input'!$C$19*D2435))</f>
        <v>0.55448585587438715</v>
      </c>
      <c r="F2435">
        <f>E2435*'user input'!$C$21</f>
        <v>21.624948379101099</v>
      </c>
    </row>
    <row r="2436" spans="1:6" x14ac:dyDescent="0.2">
      <c r="A2436" s="1">
        <v>42612</v>
      </c>
      <c r="B2436">
        <v>244</v>
      </c>
      <c r="C2436">
        <f>'weather data'!E2436</f>
        <v>18.124444444444446</v>
      </c>
      <c r="D2436">
        <f>LAI!F2436</f>
        <v>0</v>
      </c>
      <c r="E2436">
        <f>0.5*C2436*(1-EXP(-'user input'!$C$19*D2436))</f>
        <v>0</v>
      </c>
      <c r="F2436">
        <f>E2436*'user input'!$C$21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weather data</vt:lpstr>
      <vt:lpstr>user input</vt:lpstr>
      <vt:lpstr>heat units</vt:lpstr>
      <vt:lpstr>LAI</vt:lpstr>
      <vt:lpstr>max biomass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Gaillard</dc:creator>
  <cp:lastModifiedBy>Kass Chupongstimun</cp:lastModifiedBy>
  <dcterms:created xsi:type="dcterms:W3CDTF">2018-03-19T14:46:40Z</dcterms:created>
  <dcterms:modified xsi:type="dcterms:W3CDTF">2018-03-24T21:45:20Z</dcterms:modified>
</cp:coreProperties>
</file>